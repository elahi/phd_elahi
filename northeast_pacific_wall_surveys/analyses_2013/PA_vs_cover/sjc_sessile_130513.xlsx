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codeName="ThisWorkbook" autoCompressPictures="0"/>
  <bookViews>
    <workbookView xWindow="20" yWindow="0" windowWidth="19680" windowHeight="14080" tabRatio="765" activeTab="2"/>
  </bookViews>
  <sheets>
    <sheet name="raw3edit_mds_120118" sheetId="13" r:id="rId1"/>
    <sheet name="occ vs abund_1009" sheetId="14" r:id="rId2"/>
    <sheet name="occ v abund graph" sheetId="15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76" i="14" l="1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AV81" i="14"/>
  <c r="AW81" i="14"/>
  <c r="AX81" i="14"/>
  <c r="AY81" i="14"/>
  <c r="AZ81" i="14"/>
  <c r="BA81" i="14"/>
  <c r="BB81" i="14"/>
  <c r="BC81" i="14"/>
  <c r="BD81" i="14"/>
  <c r="BE81" i="14"/>
  <c r="BF81" i="14"/>
  <c r="BG81" i="14"/>
  <c r="BH81" i="14"/>
  <c r="BI81" i="14"/>
  <c r="BJ81" i="14"/>
  <c r="BK81" i="14"/>
  <c r="BL81" i="14"/>
  <c r="BM81" i="14"/>
  <c r="BN81" i="14"/>
  <c r="BO81" i="14"/>
  <c r="BP81" i="14"/>
  <c r="BQ81" i="14"/>
  <c r="BR81" i="14"/>
  <c r="BS81" i="14"/>
  <c r="BT81" i="14"/>
  <c r="BU81" i="14"/>
  <c r="BV81" i="14"/>
  <c r="BW81" i="14"/>
  <c r="BX81" i="14"/>
  <c r="BY81" i="14"/>
  <c r="BZ81" i="14"/>
  <c r="CA81" i="14"/>
  <c r="CB81" i="14"/>
  <c r="L81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AX78" i="14"/>
  <c r="AY78" i="14"/>
  <c r="AZ78" i="14"/>
  <c r="BA78" i="14"/>
  <c r="BB78" i="14"/>
  <c r="BC78" i="14"/>
  <c r="BD78" i="14"/>
  <c r="BE78" i="14"/>
  <c r="BF78" i="14"/>
  <c r="BG78" i="14"/>
  <c r="BH78" i="14"/>
  <c r="BI78" i="14"/>
  <c r="BJ78" i="14"/>
  <c r="BK78" i="14"/>
  <c r="BL78" i="14"/>
  <c r="BM78" i="14"/>
  <c r="BN78" i="14"/>
  <c r="BO78" i="14"/>
  <c r="BP78" i="14"/>
  <c r="BQ78" i="14"/>
  <c r="BR78" i="14"/>
  <c r="BS78" i="14"/>
  <c r="BT78" i="14"/>
  <c r="BU78" i="14"/>
  <c r="BV78" i="14"/>
  <c r="BW78" i="14"/>
  <c r="BX78" i="14"/>
  <c r="BY78" i="14"/>
  <c r="BZ78" i="14"/>
  <c r="CA78" i="14"/>
  <c r="CB78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AY79" i="14"/>
  <c r="AZ79" i="14"/>
  <c r="BA79" i="14"/>
  <c r="BB79" i="14"/>
  <c r="BC79" i="14"/>
  <c r="BD79" i="14"/>
  <c r="BE79" i="14"/>
  <c r="BF79" i="14"/>
  <c r="BG79" i="14"/>
  <c r="BH79" i="14"/>
  <c r="BI79" i="14"/>
  <c r="BJ79" i="14"/>
  <c r="BK79" i="14"/>
  <c r="BL79" i="14"/>
  <c r="BM79" i="14"/>
  <c r="BN79" i="14"/>
  <c r="BO79" i="14"/>
  <c r="BP79" i="14"/>
  <c r="BQ79" i="14"/>
  <c r="BR79" i="14"/>
  <c r="BS79" i="14"/>
  <c r="BT79" i="14"/>
  <c r="BU79" i="14"/>
  <c r="BV79" i="14"/>
  <c r="BW79" i="14"/>
  <c r="BX79" i="14"/>
  <c r="BY79" i="14"/>
  <c r="BZ79" i="14"/>
  <c r="CA79" i="14"/>
  <c r="CB79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AY80" i="14"/>
  <c r="AZ80" i="14"/>
  <c r="BA80" i="14"/>
  <c r="BB80" i="14"/>
  <c r="BC80" i="14"/>
  <c r="BD80" i="14"/>
  <c r="BE80" i="14"/>
  <c r="BF80" i="14"/>
  <c r="BG80" i="14"/>
  <c r="BH80" i="14"/>
  <c r="BI80" i="14"/>
  <c r="BJ80" i="14"/>
  <c r="BK80" i="14"/>
  <c r="BL80" i="14"/>
  <c r="BM80" i="14"/>
  <c r="BN80" i="14"/>
  <c r="BO80" i="14"/>
  <c r="BP80" i="14"/>
  <c r="BQ80" i="14"/>
  <c r="BR80" i="14"/>
  <c r="BS80" i="14"/>
  <c r="BT80" i="14"/>
  <c r="BU80" i="14"/>
  <c r="BV80" i="14"/>
  <c r="BW80" i="14"/>
  <c r="BX80" i="14"/>
  <c r="BY80" i="14"/>
  <c r="BZ80" i="14"/>
  <c r="CA80" i="14"/>
  <c r="CB80" i="14"/>
  <c r="L79" i="14"/>
  <c r="L80" i="14"/>
  <c r="L78" i="14"/>
  <c r="M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AX76" i="14"/>
  <c r="AY76" i="14"/>
  <c r="AZ76" i="14"/>
  <c r="BA76" i="14"/>
  <c r="BB76" i="14"/>
  <c r="BC76" i="14"/>
  <c r="BD76" i="14"/>
  <c r="BE76" i="14"/>
  <c r="BF76" i="14"/>
  <c r="BG76" i="14"/>
  <c r="BH76" i="14"/>
  <c r="BI76" i="14"/>
  <c r="BJ76" i="14"/>
  <c r="BK76" i="14"/>
  <c r="BL76" i="14"/>
  <c r="BM76" i="14"/>
  <c r="BN76" i="14"/>
  <c r="BO76" i="14"/>
  <c r="BP76" i="14"/>
  <c r="BQ76" i="14"/>
  <c r="BR76" i="14"/>
  <c r="BS76" i="14"/>
  <c r="BT76" i="14"/>
  <c r="BU76" i="14"/>
  <c r="BV76" i="14"/>
  <c r="BW76" i="14"/>
  <c r="BX76" i="14"/>
  <c r="BY76" i="14"/>
  <c r="BZ76" i="14"/>
  <c r="CA76" i="14"/>
  <c r="CB76" i="14"/>
  <c r="L76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AY75" i="14"/>
  <c r="AZ75" i="14"/>
  <c r="BA75" i="14"/>
  <c r="BB75" i="14"/>
  <c r="BC75" i="14"/>
  <c r="BD75" i="14"/>
  <c r="BE75" i="14"/>
  <c r="BF75" i="14"/>
  <c r="BG75" i="14"/>
  <c r="BH75" i="14"/>
  <c r="BI75" i="14"/>
  <c r="BJ75" i="14"/>
  <c r="BK75" i="14"/>
  <c r="BL75" i="14"/>
  <c r="BM75" i="14"/>
  <c r="BN75" i="14"/>
  <c r="BO75" i="14"/>
  <c r="BP75" i="14"/>
  <c r="BQ75" i="14"/>
  <c r="BR75" i="14"/>
  <c r="BS75" i="14"/>
  <c r="BT75" i="14"/>
  <c r="BU75" i="14"/>
  <c r="BV75" i="14"/>
  <c r="BW75" i="14"/>
  <c r="BX75" i="14"/>
  <c r="BY75" i="14"/>
  <c r="BZ75" i="14"/>
  <c r="CA75" i="14"/>
  <c r="CB75" i="14"/>
  <c r="L75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  <c r="J865" i="13"/>
  <c r="J864" i="13"/>
  <c r="J863" i="13"/>
  <c r="J862" i="13"/>
  <c r="J861" i="13"/>
  <c r="J860" i="13"/>
  <c r="J859" i="13"/>
  <c r="J858" i="13"/>
  <c r="J857" i="13"/>
  <c r="J856" i="13"/>
  <c r="J855" i="13"/>
  <c r="J854" i="13"/>
  <c r="J853" i="13"/>
  <c r="J852" i="13"/>
  <c r="J851" i="13"/>
  <c r="J850" i="13"/>
  <c r="J849" i="13"/>
  <c r="J848" i="13"/>
  <c r="J847" i="13"/>
  <c r="J846" i="13"/>
  <c r="J845" i="13"/>
  <c r="J844" i="13"/>
  <c r="J843" i="13"/>
  <c r="J842" i="13"/>
  <c r="J841" i="13"/>
  <c r="J840" i="13"/>
  <c r="J839" i="13"/>
  <c r="J838" i="13"/>
  <c r="J837" i="13"/>
  <c r="J836" i="13"/>
  <c r="J835" i="13"/>
  <c r="J834" i="13"/>
  <c r="J833" i="13"/>
  <c r="J832" i="13"/>
  <c r="J831" i="13"/>
  <c r="J830" i="13"/>
  <c r="J829" i="13"/>
  <c r="J828" i="13"/>
  <c r="J827" i="13"/>
  <c r="J826" i="13"/>
  <c r="J825" i="13"/>
  <c r="J824" i="13"/>
  <c r="J823" i="13"/>
  <c r="J822" i="13"/>
  <c r="J821" i="13"/>
  <c r="J820" i="13"/>
  <c r="J819" i="13"/>
  <c r="J818" i="13"/>
  <c r="J817" i="13"/>
  <c r="J816" i="13"/>
  <c r="J815" i="13"/>
  <c r="J814" i="13"/>
  <c r="J813" i="13"/>
  <c r="J812" i="13"/>
  <c r="J811" i="13"/>
  <c r="J810" i="13"/>
  <c r="J809" i="13"/>
  <c r="J808" i="13"/>
  <c r="J807" i="13"/>
  <c r="J806" i="13"/>
  <c r="J805" i="13"/>
  <c r="J804" i="13"/>
  <c r="J803" i="13"/>
  <c r="J802" i="13"/>
  <c r="J801" i="13"/>
  <c r="J800" i="13"/>
  <c r="J799" i="13"/>
  <c r="J798" i="13"/>
  <c r="J797" i="13"/>
  <c r="J796" i="13"/>
  <c r="J795" i="13"/>
  <c r="J794" i="13"/>
  <c r="J793" i="13"/>
  <c r="J792" i="13"/>
  <c r="J791" i="13"/>
  <c r="J790" i="13"/>
  <c r="J789" i="13"/>
  <c r="J788" i="13"/>
  <c r="J787" i="13"/>
  <c r="J786" i="13"/>
  <c r="J785" i="13"/>
  <c r="J784" i="13"/>
  <c r="J783" i="13"/>
  <c r="J782" i="13"/>
  <c r="J781" i="13"/>
  <c r="J780" i="13"/>
  <c r="J779" i="13"/>
  <c r="J778" i="13"/>
  <c r="J777" i="13"/>
  <c r="J776" i="13"/>
  <c r="J775" i="13"/>
  <c r="J774" i="13"/>
  <c r="J773" i="13"/>
  <c r="J772" i="13"/>
  <c r="J771" i="13"/>
  <c r="J770" i="13"/>
  <c r="J769" i="13"/>
  <c r="J768" i="13"/>
  <c r="J767" i="13"/>
  <c r="J766" i="13"/>
  <c r="J765" i="13"/>
  <c r="J764" i="13"/>
  <c r="J763" i="13"/>
  <c r="J762" i="13"/>
  <c r="J761" i="13"/>
  <c r="J760" i="13"/>
  <c r="J759" i="13"/>
  <c r="J758" i="13"/>
  <c r="J757" i="13"/>
  <c r="J756" i="13"/>
  <c r="J755" i="13"/>
  <c r="J754" i="13"/>
  <c r="J753" i="13"/>
  <c r="J752" i="13"/>
  <c r="J751" i="13"/>
  <c r="J750" i="13"/>
  <c r="J749" i="13"/>
  <c r="J748" i="13"/>
  <c r="J747" i="13"/>
  <c r="J746" i="13"/>
  <c r="J745" i="13"/>
  <c r="J744" i="13"/>
  <c r="J743" i="13"/>
  <c r="J742" i="13"/>
  <c r="J741" i="13"/>
  <c r="J740" i="13"/>
  <c r="J739" i="13"/>
  <c r="J738" i="13"/>
  <c r="J737" i="13"/>
  <c r="J736" i="13"/>
  <c r="J735" i="13"/>
  <c r="J734" i="13"/>
  <c r="J733" i="13"/>
  <c r="J732" i="13"/>
  <c r="J731" i="13"/>
  <c r="J730" i="13"/>
  <c r="J729" i="13"/>
  <c r="J728" i="13"/>
  <c r="J727" i="13"/>
  <c r="J726" i="13"/>
  <c r="J725" i="13"/>
  <c r="J724" i="13"/>
  <c r="J723" i="13"/>
  <c r="J722" i="13"/>
  <c r="J721" i="13"/>
  <c r="J720" i="13"/>
  <c r="J719" i="13"/>
  <c r="J718" i="13"/>
  <c r="J717" i="13"/>
  <c r="J716" i="13"/>
  <c r="J715" i="13"/>
  <c r="J714" i="13"/>
  <c r="J713" i="13"/>
  <c r="J712" i="13"/>
  <c r="J711" i="13"/>
  <c r="J710" i="13"/>
  <c r="J709" i="13"/>
  <c r="J708" i="13"/>
  <c r="J707" i="13"/>
  <c r="J706" i="13"/>
  <c r="J705" i="13"/>
  <c r="J704" i="13"/>
  <c r="J703" i="13"/>
  <c r="J702" i="13"/>
  <c r="J701" i="13"/>
  <c r="J700" i="13"/>
  <c r="J699" i="13"/>
  <c r="J698" i="13"/>
  <c r="J697" i="13"/>
  <c r="J696" i="13"/>
  <c r="J695" i="13"/>
  <c r="J694" i="13"/>
  <c r="J693" i="13"/>
  <c r="J692" i="13"/>
  <c r="J691" i="13"/>
  <c r="J690" i="13"/>
  <c r="J689" i="13"/>
  <c r="J688" i="13"/>
  <c r="J687" i="13"/>
  <c r="J686" i="13"/>
  <c r="J685" i="13"/>
  <c r="J684" i="13"/>
  <c r="J683" i="13"/>
  <c r="J682" i="13"/>
  <c r="J681" i="13"/>
  <c r="J680" i="13"/>
  <c r="J679" i="13"/>
  <c r="J678" i="13"/>
  <c r="J677" i="13"/>
  <c r="J676" i="13"/>
  <c r="J675" i="13"/>
  <c r="J674" i="13"/>
  <c r="J673" i="13"/>
  <c r="J672" i="13"/>
  <c r="J671" i="13"/>
  <c r="J670" i="13"/>
  <c r="J669" i="13"/>
  <c r="J668" i="13"/>
  <c r="J667" i="13"/>
  <c r="J666" i="13"/>
  <c r="J665" i="13"/>
  <c r="J664" i="13"/>
  <c r="J663" i="13"/>
  <c r="J662" i="13"/>
  <c r="J661" i="13"/>
  <c r="J660" i="13"/>
  <c r="J659" i="13"/>
  <c r="J658" i="13"/>
  <c r="J657" i="13"/>
  <c r="J656" i="13"/>
  <c r="J655" i="13"/>
  <c r="J654" i="13"/>
  <c r="J653" i="13"/>
  <c r="J652" i="13"/>
  <c r="J651" i="13"/>
  <c r="J650" i="13"/>
  <c r="J649" i="13"/>
  <c r="J648" i="13"/>
  <c r="J647" i="13"/>
  <c r="J646" i="13"/>
  <c r="J645" i="13"/>
  <c r="J644" i="13"/>
  <c r="J643" i="13"/>
  <c r="J642" i="13"/>
  <c r="J641" i="13"/>
  <c r="J640" i="13"/>
  <c r="J639" i="13"/>
  <c r="J638" i="13"/>
  <c r="J637" i="13"/>
  <c r="J636" i="13"/>
  <c r="J635" i="13"/>
  <c r="J634" i="13"/>
  <c r="J633" i="13"/>
  <c r="J632" i="13"/>
  <c r="J631" i="13"/>
  <c r="J630" i="13"/>
  <c r="J629" i="13"/>
  <c r="J628" i="13"/>
  <c r="J627" i="13"/>
  <c r="J626" i="13"/>
  <c r="J625" i="13"/>
  <c r="J624" i="13"/>
  <c r="J623" i="13"/>
  <c r="J622" i="13"/>
  <c r="J621" i="13"/>
  <c r="J620" i="13"/>
  <c r="J619" i="13"/>
  <c r="J618" i="13"/>
  <c r="J617" i="13"/>
  <c r="J616" i="13"/>
  <c r="J615" i="13"/>
  <c r="J614" i="13"/>
  <c r="J613" i="13"/>
  <c r="J612" i="13"/>
  <c r="J611" i="13"/>
  <c r="J610" i="13"/>
  <c r="J609" i="13"/>
  <c r="J608" i="13"/>
  <c r="J607" i="13"/>
  <c r="J606" i="13"/>
  <c r="J605" i="13"/>
  <c r="J604" i="13"/>
  <c r="J603" i="13"/>
  <c r="J602" i="13"/>
  <c r="J601" i="13"/>
  <c r="J600" i="13"/>
  <c r="J599" i="13"/>
  <c r="J598" i="13"/>
  <c r="J597" i="13"/>
  <c r="J596" i="13"/>
  <c r="J595" i="13"/>
  <c r="J594" i="13"/>
  <c r="J593" i="13"/>
  <c r="J592" i="13"/>
  <c r="J591" i="13"/>
  <c r="J590" i="13"/>
  <c r="J589" i="13"/>
  <c r="J588" i="13"/>
  <c r="J587" i="13"/>
  <c r="J586" i="13"/>
  <c r="J585" i="13"/>
  <c r="J584" i="13"/>
  <c r="J583" i="13"/>
  <c r="J582" i="13"/>
  <c r="J581" i="13"/>
  <c r="J580" i="13"/>
  <c r="J579" i="13"/>
  <c r="J578" i="13"/>
  <c r="J577" i="13"/>
  <c r="J576" i="13"/>
  <c r="J575" i="13"/>
  <c r="J574" i="13"/>
  <c r="J573" i="13"/>
  <c r="J572" i="13"/>
  <c r="J571" i="13"/>
  <c r="J570" i="13"/>
  <c r="J569" i="13"/>
  <c r="J568" i="13"/>
  <c r="J567" i="13"/>
  <c r="J566" i="13"/>
  <c r="J565" i="13"/>
  <c r="J564" i="13"/>
  <c r="J563" i="13"/>
  <c r="J562" i="13"/>
  <c r="J561" i="13"/>
  <c r="J560" i="13"/>
  <c r="J559" i="13"/>
  <c r="J558" i="13"/>
  <c r="J557" i="13"/>
  <c r="J556" i="13"/>
  <c r="J555" i="13"/>
  <c r="J554" i="13"/>
  <c r="J553" i="13"/>
  <c r="J552" i="13"/>
  <c r="J551" i="13"/>
  <c r="J550" i="13"/>
  <c r="J549" i="13"/>
  <c r="J548" i="13"/>
  <c r="J547" i="13"/>
  <c r="J546" i="13"/>
  <c r="J545" i="13"/>
  <c r="J544" i="13"/>
  <c r="J543" i="13"/>
  <c r="J542" i="13"/>
  <c r="J541" i="13"/>
  <c r="J540" i="13"/>
  <c r="J539" i="13"/>
  <c r="J538" i="13"/>
  <c r="J537" i="13"/>
  <c r="J536" i="13"/>
  <c r="J535" i="13"/>
  <c r="J534" i="13"/>
  <c r="J533" i="13"/>
  <c r="J532" i="13"/>
  <c r="J531" i="13"/>
  <c r="J530" i="13"/>
  <c r="J529" i="13"/>
  <c r="J528" i="13"/>
  <c r="J527" i="13"/>
  <c r="J526" i="13"/>
  <c r="J525" i="13"/>
  <c r="J524" i="13"/>
  <c r="J523" i="13"/>
  <c r="J522" i="13"/>
  <c r="J521" i="13"/>
  <c r="J520" i="13"/>
  <c r="J519" i="13"/>
  <c r="J518" i="13"/>
  <c r="J517" i="13"/>
  <c r="J516" i="13"/>
  <c r="J515" i="13"/>
  <c r="J514" i="13"/>
  <c r="J513" i="13"/>
  <c r="J512" i="13"/>
  <c r="J511" i="13"/>
  <c r="J510" i="13"/>
  <c r="J509" i="13"/>
  <c r="J508" i="13"/>
  <c r="J507" i="13"/>
  <c r="J506" i="13"/>
  <c r="J505" i="13"/>
  <c r="J504" i="13"/>
  <c r="J503" i="13"/>
  <c r="J502" i="13"/>
  <c r="J501" i="13"/>
  <c r="J500" i="13"/>
  <c r="J499" i="13"/>
  <c r="J498" i="13"/>
  <c r="J497" i="13"/>
  <c r="J496" i="13"/>
  <c r="J495" i="13"/>
  <c r="J494" i="13"/>
  <c r="J493" i="13"/>
  <c r="J492" i="13"/>
  <c r="J491" i="13"/>
  <c r="J490" i="13"/>
  <c r="J489" i="13"/>
  <c r="J488" i="13"/>
  <c r="J487" i="13"/>
  <c r="J486" i="13"/>
  <c r="J485" i="13"/>
  <c r="J484" i="13"/>
  <c r="J483" i="13"/>
  <c r="J482" i="13"/>
  <c r="J481" i="13"/>
  <c r="J480" i="13"/>
  <c r="J479" i="13"/>
  <c r="J478" i="13"/>
  <c r="J477" i="13"/>
  <c r="J476" i="13"/>
  <c r="J475" i="13"/>
  <c r="J474" i="13"/>
  <c r="J473" i="13"/>
  <c r="J472" i="13"/>
  <c r="J471" i="13"/>
  <c r="J470" i="13"/>
  <c r="J469" i="13"/>
  <c r="J468" i="13"/>
  <c r="J467" i="13"/>
  <c r="J466" i="13"/>
  <c r="J465" i="13"/>
  <c r="J464" i="13"/>
  <c r="J463" i="13"/>
  <c r="J462" i="13"/>
  <c r="J461" i="13"/>
  <c r="J460" i="13"/>
  <c r="J459" i="13"/>
  <c r="J458" i="13"/>
  <c r="J457" i="13"/>
  <c r="J456" i="13"/>
  <c r="J455" i="13"/>
  <c r="J454" i="13"/>
  <c r="J453" i="13"/>
  <c r="J452" i="13"/>
  <c r="J451" i="13"/>
  <c r="J450" i="13"/>
  <c r="J449" i="13"/>
  <c r="J448" i="13"/>
  <c r="J447" i="13"/>
  <c r="J446" i="13"/>
  <c r="J445" i="13"/>
  <c r="J444" i="13"/>
  <c r="J443" i="13"/>
  <c r="J442" i="13"/>
  <c r="J441" i="13"/>
  <c r="J440" i="13"/>
  <c r="J439" i="13"/>
  <c r="J438" i="13"/>
  <c r="J437" i="13"/>
  <c r="J436" i="13"/>
  <c r="J435" i="13"/>
  <c r="J434" i="13"/>
  <c r="J433" i="13"/>
  <c r="J432" i="13"/>
  <c r="J431" i="13"/>
  <c r="J430" i="13"/>
  <c r="J429" i="13"/>
  <c r="J428" i="13"/>
  <c r="J427" i="13"/>
  <c r="J426" i="13"/>
  <c r="J425" i="13"/>
  <c r="J424" i="13"/>
  <c r="J423" i="13"/>
  <c r="J422" i="13"/>
  <c r="J421" i="13"/>
  <c r="J420" i="13"/>
  <c r="J419" i="13"/>
  <c r="J418" i="13"/>
  <c r="J417" i="13"/>
  <c r="J416" i="13"/>
  <c r="J415" i="13"/>
  <c r="J414" i="13"/>
  <c r="J413" i="13"/>
  <c r="J412" i="13"/>
  <c r="J411" i="13"/>
  <c r="J410" i="13"/>
  <c r="J409" i="13"/>
  <c r="J408" i="13"/>
  <c r="J407" i="13"/>
  <c r="J406" i="13"/>
  <c r="J405" i="13"/>
  <c r="J404" i="13"/>
  <c r="J403" i="13"/>
  <c r="J402" i="13"/>
  <c r="J401" i="13"/>
  <c r="J400" i="13"/>
  <c r="J399" i="13"/>
  <c r="J398" i="13"/>
  <c r="J397" i="13"/>
  <c r="J396" i="13"/>
  <c r="J395" i="13"/>
  <c r="J394" i="13"/>
  <c r="J393" i="13"/>
  <c r="J392" i="13"/>
  <c r="J391" i="13"/>
  <c r="J390" i="13"/>
  <c r="J389" i="13"/>
  <c r="J388" i="13"/>
  <c r="J387" i="13"/>
  <c r="J386" i="13"/>
  <c r="J385" i="13"/>
  <c r="J384" i="13"/>
  <c r="J383" i="13"/>
  <c r="J382" i="13"/>
  <c r="J381" i="13"/>
  <c r="J380" i="13"/>
  <c r="J379" i="13"/>
  <c r="J378" i="13"/>
  <c r="J377" i="13"/>
  <c r="J376" i="13"/>
  <c r="J375" i="13"/>
  <c r="J374" i="13"/>
  <c r="J373" i="13"/>
  <c r="J372" i="13"/>
  <c r="J371" i="13"/>
  <c r="J370" i="13"/>
  <c r="J369" i="13"/>
  <c r="J368" i="13"/>
  <c r="J367" i="13"/>
  <c r="J366" i="13"/>
  <c r="J365" i="13"/>
  <c r="J364" i="13"/>
  <c r="J363" i="13"/>
  <c r="J362" i="13"/>
  <c r="J361" i="13"/>
  <c r="J360" i="13"/>
  <c r="J359" i="13"/>
  <c r="J358" i="13"/>
  <c r="J357" i="13"/>
  <c r="J356" i="13"/>
  <c r="J355" i="13"/>
  <c r="J354" i="13"/>
  <c r="J353" i="13"/>
  <c r="J352" i="13"/>
  <c r="J351" i="13"/>
  <c r="J350" i="13"/>
  <c r="J349" i="13"/>
  <c r="J348" i="13"/>
  <c r="J347" i="13"/>
  <c r="J346" i="13"/>
  <c r="J345" i="13"/>
  <c r="J344" i="13"/>
  <c r="J343" i="13"/>
  <c r="J342" i="13"/>
  <c r="J341" i="13"/>
  <c r="J340" i="13"/>
  <c r="J339" i="13"/>
  <c r="J338" i="13"/>
  <c r="J337" i="13"/>
  <c r="J336" i="13"/>
  <c r="J335" i="13"/>
  <c r="J334" i="13"/>
  <c r="J333" i="13"/>
  <c r="J332" i="13"/>
  <c r="J331" i="13"/>
  <c r="J330" i="13"/>
  <c r="J329" i="13"/>
  <c r="J328" i="13"/>
  <c r="J327" i="13"/>
  <c r="J326" i="13"/>
  <c r="J325" i="13"/>
  <c r="J324" i="13"/>
  <c r="J323" i="13"/>
  <c r="J322" i="13"/>
  <c r="J321" i="13"/>
  <c r="J320" i="13"/>
  <c r="J319" i="13"/>
  <c r="J318" i="13"/>
  <c r="J317" i="13"/>
  <c r="J316" i="13"/>
  <c r="J315" i="13"/>
  <c r="J314" i="13"/>
  <c r="J313" i="13"/>
  <c r="J312" i="13"/>
  <c r="J311" i="13"/>
  <c r="J310" i="13"/>
  <c r="J309" i="13"/>
  <c r="J308" i="13"/>
  <c r="J307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4" i="13"/>
  <c r="J293" i="13"/>
  <c r="J292" i="13"/>
  <c r="J291" i="13"/>
  <c r="J290" i="13"/>
  <c r="J289" i="13"/>
  <c r="J288" i="13"/>
  <c r="J287" i="13"/>
  <c r="J286" i="13"/>
  <c r="J285" i="13"/>
  <c r="J284" i="13"/>
  <c r="J283" i="13"/>
  <c r="J282" i="13"/>
  <c r="J281" i="13"/>
  <c r="J280" i="13"/>
  <c r="J279" i="13"/>
  <c r="J278" i="13"/>
  <c r="J277" i="13"/>
  <c r="J276" i="13"/>
  <c r="J275" i="13"/>
  <c r="J274" i="13"/>
  <c r="J273" i="13"/>
  <c r="J272" i="13"/>
  <c r="J271" i="13"/>
  <c r="J270" i="13"/>
  <c r="J269" i="13"/>
  <c r="J268" i="13"/>
  <c r="J267" i="13"/>
  <c r="J266" i="13"/>
  <c r="J265" i="13"/>
  <c r="J264" i="13"/>
  <c r="J263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J249" i="13"/>
  <c r="J248" i="13"/>
  <c r="J247" i="13"/>
  <c r="J246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J203" i="13"/>
  <c r="J202" i="13"/>
  <c r="J201" i="13"/>
  <c r="J200" i="13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</calcChain>
</file>

<file path=xl/sharedStrings.xml><?xml version="1.0" encoding="utf-8"?>
<sst xmlns="http://schemas.openxmlformats.org/spreadsheetml/2006/main" count="4920" uniqueCount="185">
  <si>
    <t>BACR</t>
  </si>
  <si>
    <t>PSCH</t>
  </si>
  <si>
    <t>TETR</t>
  </si>
  <si>
    <t>Chel</t>
  </si>
  <si>
    <t>Core</t>
  </si>
  <si>
    <t>CNFI</t>
  </si>
  <si>
    <t>HAIG</t>
  </si>
  <si>
    <t>Stye</t>
  </si>
  <si>
    <t>ASPA</t>
  </si>
  <si>
    <t>TSV1</t>
  </si>
  <si>
    <t>TSV2</t>
  </si>
  <si>
    <t>TSOT</t>
  </si>
  <si>
    <t>CHHA</t>
  </si>
  <si>
    <t>POMA</t>
  </si>
  <si>
    <t>SPS10</t>
  </si>
  <si>
    <t>GERU</t>
  </si>
  <si>
    <t>DELI</t>
  </si>
  <si>
    <t>BRUP</t>
  </si>
  <si>
    <t>DITR</t>
  </si>
  <si>
    <t>EUPU</t>
  </si>
  <si>
    <t>SYPA</t>
  </si>
  <si>
    <t>PEAN</t>
  </si>
  <si>
    <t>CLHU</t>
  </si>
  <si>
    <t>APPO</t>
  </si>
  <si>
    <t>APSO</t>
  </si>
  <si>
    <t>TCM2</t>
  </si>
  <si>
    <t>TCOT</t>
  </si>
  <si>
    <t>MSP1</t>
  </si>
  <si>
    <t>INOT</t>
  </si>
  <si>
    <t>OTHE</t>
  </si>
  <si>
    <t>RUBB</t>
  </si>
  <si>
    <t>Cris</t>
  </si>
  <si>
    <t>HEPA</t>
  </si>
  <si>
    <t>PHPA</t>
  </si>
  <si>
    <t>BOVI</t>
  </si>
  <si>
    <t>ON0_45</t>
  </si>
  <si>
    <t>ON0_46</t>
  </si>
  <si>
    <t>ON0_48</t>
  </si>
  <si>
    <t>ON0_49</t>
  </si>
  <si>
    <t>ON1_17</t>
  </si>
  <si>
    <t>ON1_84</t>
  </si>
  <si>
    <t>ON1_85</t>
  </si>
  <si>
    <t>ON1_86</t>
  </si>
  <si>
    <t>ON2_43</t>
  </si>
  <si>
    <t>ON2_44</t>
  </si>
  <si>
    <t>ON2_82</t>
  </si>
  <si>
    <t>ON2_83</t>
  </si>
  <si>
    <t>ON3_16</t>
  </si>
  <si>
    <t>ON3_77</t>
  </si>
  <si>
    <t>ON3_78</t>
  </si>
  <si>
    <t>ON3_79</t>
  </si>
  <si>
    <t>ON4_71</t>
  </si>
  <si>
    <t>ON4_72</t>
  </si>
  <si>
    <t>ON4_73</t>
  </si>
  <si>
    <t>ON4_74</t>
  </si>
  <si>
    <t>ON5_25</t>
  </si>
  <si>
    <t>ON5_88</t>
  </si>
  <si>
    <t>ON5_89</t>
  </si>
  <si>
    <t>ON5_91</t>
  </si>
  <si>
    <t>PG1_7</t>
  </si>
  <si>
    <t>PG1_8</t>
  </si>
  <si>
    <t>PG1_96</t>
  </si>
  <si>
    <t>PG1_97</t>
  </si>
  <si>
    <t>PG2_27</t>
  </si>
  <si>
    <t>PG2_98</t>
  </si>
  <si>
    <t>PG2_99</t>
  </si>
  <si>
    <t>PG3_0</t>
  </si>
  <si>
    <t>PG3_11</t>
  </si>
  <si>
    <t>PG3_15</t>
  </si>
  <si>
    <t>PG3_95</t>
  </si>
  <si>
    <t>PG4_5</t>
  </si>
  <si>
    <t>PG4_28</t>
  </si>
  <si>
    <t>PG4_65</t>
  </si>
  <si>
    <t>PG4_94</t>
  </si>
  <si>
    <t>PG5_2</t>
  </si>
  <si>
    <t>PG5_3</t>
  </si>
  <si>
    <t>PG5_92</t>
  </si>
  <si>
    <t>PG5_93</t>
  </si>
  <si>
    <t>PG6_B</t>
  </si>
  <si>
    <t>PG6_D</t>
  </si>
  <si>
    <t>PG6_E</t>
  </si>
  <si>
    <t>PG6_F</t>
  </si>
  <si>
    <t>SC1_54</t>
  </si>
  <si>
    <t>SC1_62</t>
  </si>
  <si>
    <t>SC1_63</t>
  </si>
  <si>
    <t>SC1_64</t>
  </si>
  <si>
    <t>SC4_36</t>
  </si>
  <si>
    <t>SC4_45</t>
  </si>
  <si>
    <t>SC4_51</t>
  </si>
  <si>
    <t>SC4_52</t>
  </si>
  <si>
    <t>SC5_34</t>
  </si>
  <si>
    <t>SC5_47</t>
  </si>
  <si>
    <t>SC5_49</t>
  </si>
  <si>
    <t>SC5_50</t>
  </si>
  <si>
    <t>SC6_14</t>
  </si>
  <si>
    <t>SC6_18</t>
  </si>
  <si>
    <t>SC6_21</t>
  </si>
  <si>
    <t>SC6_33</t>
  </si>
  <si>
    <t>SC7_2</t>
  </si>
  <si>
    <t>SC7_3</t>
  </si>
  <si>
    <t>SC7_4</t>
  </si>
  <si>
    <t>SC7_5</t>
  </si>
  <si>
    <t>SC8_37</t>
  </si>
  <si>
    <t>SC8_38</t>
  </si>
  <si>
    <t>SC8_39</t>
  </si>
  <si>
    <t>SC8_40</t>
  </si>
  <si>
    <t>PG2_10</t>
  </si>
  <si>
    <t>u_con</t>
  </si>
  <si>
    <t>c_con</t>
  </si>
  <si>
    <t>c_rem</t>
  </si>
  <si>
    <t>u_rem</t>
  </si>
  <si>
    <t>quad</t>
  </si>
  <si>
    <t>urch</t>
  </si>
  <si>
    <t>chit</t>
  </si>
  <si>
    <t>month</t>
  </si>
  <si>
    <t>site</t>
  </si>
  <si>
    <t>ON</t>
  </si>
  <si>
    <t>PG</t>
  </si>
  <si>
    <t>SC</t>
  </si>
  <si>
    <t>treat</t>
  </si>
  <si>
    <t>real.date</t>
  </si>
  <si>
    <t>comm.date</t>
  </si>
  <si>
    <t>transect</t>
  </si>
  <si>
    <t>MEFA.t</t>
  </si>
  <si>
    <t>RFSP</t>
  </si>
  <si>
    <t>RBSP</t>
  </si>
  <si>
    <t>OPCA</t>
  </si>
  <si>
    <t>AGFI</t>
  </si>
  <si>
    <t>BFSP</t>
  </si>
  <si>
    <t>DICL</t>
  </si>
  <si>
    <t>HYSP</t>
  </si>
  <si>
    <t>SHEL</t>
  </si>
  <si>
    <t>FUZZ</t>
  </si>
  <si>
    <t>BASP</t>
  </si>
  <si>
    <t>CCAP</t>
  </si>
  <si>
    <t>EALM</t>
  </si>
  <si>
    <t>HBCO</t>
  </si>
  <si>
    <t>SPS1</t>
  </si>
  <si>
    <t>SPS3</t>
  </si>
  <si>
    <t>SPS8</t>
  </si>
  <si>
    <t>SPS9</t>
  </si>
  <si>
    <t>SYSP</t>
  </si>
  <si>
    <t>SPOT</t>
  </si>
  <si>
    <t>SCUN</t>
  </si>
  <si>
    <t>BRSH</t>
  </si>
  <si>
    <t>EUBI</t>
  </si>
  <si>
    <t>META</t>
  </si>
  <si>
    <t>DICA</t>
  </si>
  <si>
    <t>PYST</t>
  </si>
  <si>
    <t>TCM3</t>
  </si>
  <si>
    <t>DOCO</t>
  </si>
  <si>
    <t>DOFE</t>
  </si>
  <si>
    <t>EPSC</t>
  </si>
  <si>
    <t>BAEL</t>
  </si>
  <si>
    <t>TUBE</t>
  </si>
  <si>
    <t>PSOC</t>
  </si>
  <si>
    <t>VECO</t>
  </si>
  <si>
    <t>treat.ch</t>
  </si>
  <si>
    <t>orig.order</t>
  </si>
  <si>
    <t>ON0</t>
  </si>
  <si>
    <t>ON1</t>
  </si>
  <si>
    <t>ON2</t>
  </si>
  <si>
    <t>ON3</t>
  </si>
  <si>
    <t>ON4</t>
  </si>
  <si>
    <t>ON5</t>
  </si>
  <si>
    <t>PG1</t>
  </si>
  <si>
    <t>PG2</t>
  </si>
  <si>
    <t>PG3</t>
  </si>
  <si>
    <t>PG4</t>
  </si>
  <si>
    <t>PG5</t>
  </si>
  <si>
    <t>PG6</t>
  </si>
  <si>
    <t>SC1</t>
  </si>
  <si>
    <t>SC4</t>
  </si>
  <si>
    <t>SC5</t>
  </si>
  <si>
    <t>SC6</t>
  </si>
  <si>
    <t>SC7</t>
  </si>
  <si>
    <t>SC8</t>
  </si>
  <si>
    <t>Presence</t>
  </si>
  <si>
    <t>Mean</t>
  </si>
  <si>
    <t>Spp</t>
  </si>
  <si>
    <t>Occurrence</t>
  </si>
  <si>
    <t>Abundance</t>
  </si>
  <si>
    <t>% occurrence by site</t>
  </si>
  <si>
    <t>average</t>
  </si>
  <si>
    <t>%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</si>
</sst>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Verdana"/>
    </font>
    <font>
      <sz val="8"/>
      <name val="Verdana"/>
    </font>
  </fonts>
  <fills count="1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0" fillId="7" borderId="0" xfId="0" applyFill="1"/>
    <xf numFmtId="0" fontId="3" fillId="0" borderId="0" xfId="0" applyFont="1"/>
    <xf numFmtId="0" fontId="0" fillId="0" borderId="0" xfId="0" applyFill="1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textRotation="90"/>
    </xf>
    <xf numFmtId="164" fontId="0" fillId="2" borderId="2" xfId="0" applyNumberFormat="1" applyFill="1" applyBorder="1" applyAlignment="1">
      <alignment textRotation="90"/>
    </xf>
    <xf numFmtId="164" fontId="0" fillId="3" borderId="2" xfId="0" applyNumberFormat="1" applyFill="1" applyBorder="1" applyAlignment="1">
      <alignment textRotation="90"/>
    </xf>
    <xf numFmtId="164" fontId="0" fillId="3" borderId="0" xfId="0" applyNumberFormat="1" applyFill="1" applyBorder="1" applyAlignment="1">
      <alignment textRotation="90"/>
    </xf>
    <xf numFmtId="164" fontId="0" fillId="0" borderId="1" xfId="0" applyNumberFormat="1" applyBorder="1" applyAlignment="1">
      <alignment textRotation="90"/>
    </xf>
    <xf numFmtId="164" fontId="0" fillId="4" borderId="1" xfId="0" applyNumberFormat="1" applyFill="1" applyBorder="1" applyAlignment="1">
      <alignment textRotation="90"/>
    </xf>
    <xf numFmtId="164" fontId="0" fillId="5" borderId="2" xfId="0" applyNumberFormat="1" applyFill="1" applyBorder="1" applyAlignment="1">
      <alignment textRotation="90"/>
    </xf>
    <xf numFmtId="164" fontId="0" fillId="6" borderId="2" xfId="0" applyNumberFormat="1" applyFill="1" applyBorder="1" applyAlignment="1">
      <alignment textRotation="90"/>
    </xf>
    <xf numFmtId="164" fontId="0" fillId="0" borderId="2" xfId="0" applyNumberFormat="1" applyBorder="1" applyAlignment="1">
      <alignment textRotation="90"/>
    </xf>
    <xf numFmtId="164" fontId="0" fillId="0" borderId="2" xfId="0" applyNumberFormat="1" applyFill="1" applyBorder="1" applyAlignment="1">
      <alignment textRotation="90"/>
    </xf>
    <xf numFmtId="164" fontId="0" fillId="0" borderId="0" xfId="0" applyNumberFormat="1" applyFill="1" applyBorder="1" applyAlignment="1">
      <alignment textRotation="90"/>
    </xf>
    <xf numFmtId="164" fontId="0" fillId="2" borderId="1" xfId="0" applyNumberFormat="1" applyFill="1" applyBorder="1" applyAlignment="1">
      <alignment textRotation="90"/>
    </xf>
    <xf numFmtId="164" fontId="0" fillId="0" borderId="0" xfId="0" applyNumberFormat="1" applyFill="1"/>
    <xf numFmtId="164" fontId="0" fillId="3" borderId="0" xfId="0" applyNumberFormat="1" applyFill="1"/>
    <xf numFmtId="0" fontId="0" fillId="8" borderId="0" xfId="0" applyFill="1"/>
    <xf numFmtId="1" fontId="0" fillId="0" borderId="1" xfId="0" applyNumberFormat="1" applyBorder="1" applyAlignment="1">
      <alignment textRotation="90"/>
    </xf>
    <xf numFmtId="1" fontId="0" fillId="0" borderId="0" xfId="0" applyNumberFormat="1" applyFill="1"/>
    <xf numFmtId="164" fontId="0" fillId="9" borderId="2" xfId="0" applyNumberFormat="1" applyFill="1" applyBorder="1" applyAlignment="1">
      <alignment textRotation="90"/>
    </xf>
    <xf numFmtId="164" fontId="0" fillId="10" borderId="3" xfId="0" applyNumberFormat="1" applyFill="1" applyBorder="1" applyAlignment="1">
      <alignment textRotation="90"/>
    </xf>
    <xf numFmtId="164" fontId="0" fillId="10" borderId="2" xfId="0" applyNumberFormat="1" applyFill="1" applyBorder="1" applyAlignment="1">
      <alignment textRotation="90"/>
    </xf>
    <xf numFmtId="164" fontId="0" fillId="11" borderId="2" xfId="0" applyNumberFormat="1" applyFill="1" applyBorder="1" applyAlignment="1">
      <alignment textRotation="90"/>
    </xf>
    <xf numFmtId="164" fontId="0" fillId="12" borderId="2" xfId="0" applyNumberFormat="1" applyFill="1" applyBorder="1" applyAlignment="1">
      <alignment textRotation="90"/>
    </xf>
    <xf numFmtId="164" fontId="0" fillId="13" borderId="0" xfId="0" applyNumberFormat="1" applyFill="1" applyBorder="1" applyAlignment="1">
      <alignment textRotation="90"/>
    </xf>
    <xf numFmtId="164" fontId="0" fillId="13" borderId="1" xfId="0" applyNumberFormat="1" applyFill="1" applyBorder="1" applyAlignment="1">
      <alignment textRotation="90"/>
    </xf>
    <xf numFmtId="164" fontId="0" fillId="13" borderId="2" xfId="0" applyNumberFormat="1" applyFill="1" applyBorder="1" applyAlignment="1">
      <alignment textRotation="90"/>
    </xf>
    <xf numFmtId="164" fontId="0" fillId="14" borderId="2" xfId="0" applyNumberFormat="1" applyFill="1" applyBorder="1" applyAlignment="1">
      <alignment textRotation="90"/>
    </xf>
    <xf numFmtId="164" fontId="0" fillId="14" borderId="0" xfId="0" applyNumberFormat="1" applyFill="1" applyBorder="1" applyAlignment="1">
      <alignment textRotation="90"/>
    </xf>
    <xf numFmtId="164" fontId="0" fillId="3" borderId="2" xfId="0" applyNumberFormat="1" applyFill="1" applyBorder="1" applyAlignment="1"/>
    <xf numFmtId="164" fontId="0" fillId="3" borderId="0" xfId="0" applyNumberFormat="1" applyFill="1" applyBorder="1" applyAlignment="1"/>
    <xf numFmtId="164" fontId="0" fillId="9" borderId="2" xfId="0" applyNumberFormat="1" applyFill="1" applyBorder="1" applyAlignment="1"/>
    <xf numFmtId="164" fontId="0" fillId="10" borderId="3" xfId="0" applyNumberFormat="1" applyFill="1" applyBorder="1" applyAlignment="1"/>
    <xf numFmtId="164" fontId="0" fillId="10" borderId="2" xfId="0" applyNumberFormat="1" applyFill="1" applyBorder="1" applyAlignment="1"/>
    <xf numFmtId="164" fontId="0" fillId="11" borderId="2" xfId="0" applyNumberFormat="1" applyFill="1" applyBorder="1" applyAlignment="1"/>
    <xf numFmtId="164" fontId="0" fillId="0" borderId="1" xfId="0" applyNumberFormat="1" applyBorder="1" applyAlignment="1"/>
    <xf numFmtId="164" fontId="0" fillId="14" borderId="2" xfId="0" applyNumberFormat="1" applyFill="1" applyBorder="1" applyAlignment="1"/>
    <xf numFmtId="164" fontId="0" fillId="14" borderId="0" xfId="0" applyNumberFormat="1" applyFill="1" applyBorder="1" applyAlignment="1"/>
    <xf numFmtId="164" fontId="0" fillId="4" borderId="1" xfId="0" applyNumberFormat="1" applyFill="1" applyBorder="1" applyAlignment="1"/>
    <xf numFmtId="164" fontId="0" fillId="5" borderId="2" xfId="0" applyNumberFormat="1" applyFill="1" applyBorder="1" applyAlignment="1"/>
    <xf numFmtId="164" fontId="0" fillId="13" borderId="0" xfId="0" applyNumberFormat="1" applyFill="1" applyBorder="1" applyAlignment="1"/>
    <xf numFmtId="164" fontId="0" fillId="13" borderId="2" xfId="0" applyNumberFormat="1" applyFill="1" applyBorder="1" applyAlignment="1"/>
    <xf numFmtId="164" fontId="0" fillId="13" borderId="1" xfId="0" applyNumberFormat="1" applyFill="1" applyBorder="1" applyAlignment="1"/>
    <xf numFmtId="164" fontId="0" fillId="0" borderId="2" xfId="0" applyNumberFormat="1" applyBorder="1" applyAlignment="1"/>
    <xf numFmtId="164" fontId="0" fillId="12" borderId="2" xfId="0" applyNumberFormat="1" applyFill="1" applyBorder="1" applyAlignment="1"/>
    <xf numFmtId="164" fontId="0" fillId="6" borderId="2" xfId="0" applyNumberFormat="1" applyFill="1" applyBorder="1" applyAlignment="1"/>
    <xf numFmtId="164" fontId="0" fillId="0" borderId="2" xfId="0" applyNumberFormat="1" applyFill="1" applyBorder="1" applyAlignment="1"/>
    <xf numFmtId="164" fontId="0" fillId="0" borderId="0" xfId="0" applyNumberFormat="1" applyFill="1" applyBorder="1" applyAlignment="1"/>
    <xf numFmtId="164" fontId="0" fillId="2" borderId="2" xfId="0" applyNumberFormat="1" applyFill="1" applyBorder="1" applyAlignment="1"/>
    <xf numFmtId="164" fontId="0" fillId="2" borderId="1" xfId="0" applyNumberFormat="1" applyFill="1" applyBorder="1" applyAlignment="1"/>
  </cellXfs>
  <cellStyles count="38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Normal" xfId="0" builtinId="0"/>
    <cellStyle name="Normal 2" xfId="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1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trendline>
            <c:trendlineType val="log"/>
            <c:dispRSqr val="1"/>
            <c:dispEq val="1"/>
            <c:trendlineLbl>
              <c:layout/>
              <c:numFmt formatCode="General" sourceLinked="0"/>
            </c:trendlineLbl>
          </c:trendline>
          <c:trendline>
            <c:trendlineType val="linear"/>
            <c:dispRSqr val="1"/>
            <c:dispEq val="1"/>
            <c:trendlineLbl>
              <c:layout>
                <c:manualLayout>
                  <c:x val="0.0265796837378799"/>
                  <c:y val="-0.300280071212646"/>
                </c:manualLayout>
              </c:layout>
              <c:numFmt formatCode="General" sourceLinked="0"/>
            </c:trendlineLbl>
          </c:trendline>
          <c:xVal>
            <c:numRef>
              <c:f>'occ v abund graph'!$D$5:$D$62</c:f>
              <c:numCache>
                <c:formatCode>General</c:formatCode>
                <c:ptCount val="58"/>
                <c:pt idx="0">
                  <c:v>0.277777777777778</c:v>
                </c:pt>
                <c:pt idx="1">
                  <c:v>0.0</c:v>
                </c:pt>
                <c:pt idx="2">
                  <c:v>0.805555555555555</c:v>
                </c:pt>
                <c:pt idx="3">
                  <c:v>0.208333333333333</c:v>
                </c:pt>
                <c:pt idx="4">
                  <c:v>0.0</c:v>
                </c:pt>
                <c:pt idx="5">
                  <c:v>0.263888888888889</c:v>
                </c:pt>
                <c:pt idx="6">
                  <c:v>0.0</c:v>
                </c:pt>
                <c:pt idx="7">
                  <c:v>0.0</c:v>
                </c:pt>
                <c:pt idx="8">
                  <c:v>0.0277777777777778</c:v>
                </c:pt>
                <c:pt idx="9">
                  <c:v>0.25</c:v>
                </c:pt>
                <c:pt idx="10">
                  <c:v>0.263888888888889</c:v>
                </c:pt>
                <c:pt idx="11">
                  <c:v>0.375</c:v>
                </c:pt>
                <c:pt idx="12">
                  <c:v>0.0277777777777778</c:v>
                </c:pt>
                <c:pt idx="13">
                  <c:v>0.0</c:v>
                </c:pt>
                <c:pt idx="14">
                  <c:v>0.0416666666666667</c:v>
                </c:pt>
                <c:pt idx="15">
                  <c:v>0.0416666666666667</c:v>
                </c:pt>
                <c:pt idx="16">
                  <c:v>0.75</c:v>
                </c:pt>
                <c:pt idx="17">
                  <c:v>0.0</c:v>
                </c:pt>
                <c:pt idx="18">
                  <c:v>0.0972222222222222</c:v>
                </c:pt>
                <c:pt idx="19">
                  <c:v>0.569444444444444</c:v>
                </c:pt>
                <c:pt idx="20">
                  <c:v>0.958333333333333</c:v>
                </c:pt>
                <c:pt idx="21">
                  <c:v>0.458333333333333</c:v>
                </c:pt>
                <c:pt idx="22">
                  <c:v>0.0277777777777778</c:v>
                </c:pt>
                <c:pt idx="23">
                  <c:v>0.513888888888889</c:v>
                </c:pt>
                <c:pt idx="24">
                  <c:v>0.0555555555555555</c:v>
                </c:pt>
                <c:pt idx="25">
                  <c:v>0.777777777777778</c:v>
                </c:pt>
                <c:pt idx="26">
                  <c:v>0.0555555555555555</c:v>
                </c:pt>
                <c:pt idx="27">
                  <c:v>0.0138888888888889</c:v>
                </c:pt>
                <c:pt idx="28">
                  <c:v>0.208333333333333</c:v>
                </c:pt>
                <c:pt idx="29">
                  <c:v>0.0</c:v>
                </c:pt>
                <c:pt idx="30">
                  <c:v>0.805555555555555</c:v>
                </c:pt>
                <c:pt idx="31">
                  <c:v>0.736111111111111</c:v>
                </c:pt>
                <c:pt idx="32">
                  <c:v>0.333333333333333</c:v>
                </c:pt>
                <c:pt idx="33">
                  <c:v>0.319444444444444</c:v>
                </c:pt>
                <c:pt idx="34">
                  <c:v>0.25</c:v>
                </c:pt>
                <c:pt idx="35">
                  <c:v>0.569444444444444</c:v>
                </c:pt>
                <c:pt idx="36">
                  <c:v>0.0</c:v>
                </c:pt>
                <c:pt idx="37">
                  <c:v>0.0416666666666667</c:v>
                </c:pt>
                <c:pt idx="38">
                  <c:v>0.486111111111111</c:v>
                </c:pt>
                <c:pt idx="39">
                  <c:v>0.166666666666667</c:v>
                </c:pt>
                <c:pt idx="40">
                  <c:v>0.0</c:v>
                </c:pt>
                <c:pt idx="41">
                  <c:v>0.0</c:v>
                </c:pt>
                <c:pt idx="42">
                  <c:v>0.375</c:v>
                </c:pt>
                <c:pt idx="43">
                  <c:v>0.236111111111111</c:v>
                </c:pt>
                <c:pt idx="44">
                  <c:v>0.0138888888888889</c:v>
                </c:pt>
                <c:pt idx="45">
                  <c:v>0.0</c:v>
                </c:pt>
                <c:pt idx="46">
                  <c:v>0.0138888888888889</c:v>
                </c:pt>
                <c:pt idx="47">
                  <c:v>0.0</c:v>
                </c:pt>
                <c:pt idx="48">
                  <c:v>0.0277777777777778</c:v>
                </c:pt>
                <c:pt idx="49">
                  <c:v>0.0</c:v>
                </c:pt>
                <c:pt idx="50">
                  <c:v>0.0</c:v>
                </c:pt>
                <c:pt idx="51">
                  <c:v>0.166666666666667</c:v>
                </c:pt>
                <c:pt idx="52">
                  <c:v>0.0555555555555555</c:v>
                </c:pt>
                <c:pt idx="53">
                  <c:v>0.166666666666667</c:v>
                </c:pt>
                <c:pt idx="54">
                  <c:v>0.0972222222222222</c:v>
                </c:pt>
                <c:pt idx="55">
                  <c:v>0.0138888888888889</c:v>
                </c:pt>
                <c:pt idx="56">
                  <c:v>0.0138888888888889</c:v>
                </c:pt>
                <c:pt idx="57">
                  <c:v>0.0</c:v>
                </c:pt>
              </c:numCache>
            </c:numRef>
          </c:xVal>
          <c:yVal>
            <c:numRef>
              <c:f>'occ v abund graph'!$C$5:$C$62</c:f>
              <c:numCache>
                <c:formatCode>General</c:formatCode>
                <c:ptCount val="58"/>
                <c:pt idx="0">
                  <c:v>0.00563493553838331</c:v>
                </c:pt>
                <c:pt idx="1">
                  <c:v>0.0</c:v>
                </c:pt>
                <c:pt idx="2">
                  <c:v>0.0367987817894109</c:v>
                </c:pt>
                <c:pt idx="3">
                  <c:v>0.0169897736710881</c:v>
                </c:pt>
                <c:pt idx="4">
                  <c:v>0.0</c:v>
                </c:pt>
                <c:pt idx="5">
                  <c:v>0.00655383454198974</c:v>
                </c:pt>
                <c:pt idx="6">
                  <c:v>0.0</c:v>
                </c:pt>
                <c:pt idx="7">
                  <c:v>0.0</c:v>
                </c:pt>
                <c:pt idx="8">
                  <c:v>0.000138265277503868</c:v>
                </c:pt>
                <c:pt idx="9">
                  <c:v>0.00174636718402208</c:v>
                </c:pt>
                <c:pt idx="10">
                  <c:v>0.0181198575678234</c:v>
                </c:pt>
                <c:pt idx="11">
                  <c:v>0.0336378792182306</c:v>
                </c:pt>
                <c:pt idx="12">
                  <c:v>6.49093390875572E-5</c:v>
                </c:pt>
                <c:pt idx="13">
                  <c:v>0.0</c:v>
                </c:pt>
                <c:pt idx="14">
                  <c:v>0.00156305083128355</c:v>
                </c:pt>
                <c:pt idx="15">
                  <c:v>0.000504690518871849</c:v>
                </c:pt>
                <c:pt idx="16">
                  <c:v>0.0083608519937546</c:v>
                </c:pt>
                <c:pt idx="17">
                  <c:v>0.0</c:v>
                </c:pt>
                <c:pt idx="18">
                  <c:v>0.00126481524775548</c:v>
                </c:pt>
                <c:pt idx="19">
                  <c:v>0.014007128040455</c:v>
                </c:pt>
                <c:pt idx="20">
                  <c:v>0.0335373061313203</c:v>
                </c:pt>
                <c:pt idx="21">
                  <c:v>0.047789560695183</c:v>
                </c:pt>
                <c:pt idx="22">
                  <c:v>0.000564160878007087</c:v>
                </c:pt>
                <c:pt idx="23">
                  <c:v>0.0472981551702202</c:v>
                </c:pt>
                <c:pt idx="24">
                  <c:v>0.00699752903154155</c:v>
                </c:pt>
                <c:pt idx="25">
                  <c:v>0.0113847116965003</c:v>
                </c:pt>
                <c:pt idx="26">
                  <c:v>0.00689910227417716</c:v>
                </c:pt>
                <c:pt idx="27">
                  <c:v>0.000413279132791328</c:v>
                </c:pt>
                <c:pt idx="28">
                  <c:v>0.00514054263675492</c:v>
                </c:pt>
                <c:pt idx="29">
                  <c:v>0.0</c:v>
                </c:pt>
                <c:pt idx="30">
                  <c:v>0.0099803222373789</c:v>
                </c:pt>
                <c:pt idx="31">
                  <c:v>0.00407796363893899</c:v>
                </c:pt>
                <c:pt idx="32">
                  <c:v>0.006313371678041</c:v>
                </c:pt>
                <c:pt idx="33">
                  <c:v>0.0128101149788606</c:v>
                </c:pt>
                <c:pt idx="34">
                  <c:v>0.00232515419405371</c:v>
                </c:pt>
                <c:pt idx="35">
                  <c:v>0.00411247059005993</c:v>
                </c:pt>
                <c:pt idx="36">
                  <c:v>0.0</c:v>
                </c:pt>
                <c:pt idx="37">
                  <c:v>0.000303126515371094</c:v>
                </c:pt>
                <c:pt idx="38">
                  <c:v>0.0632497483186791</c:v>
                </c:pt>
                <c:pt idx="39">
                  <c:v>0.0192521091155063</c:v>
                </c:pt>
                <c:pt idx="40">
                  <c:v>0.0</c:v>
                </c:pt>
                <c:pt idx="41">
                  <c:v>0.0</c:v>
                </c:pt>
                <c:pt idx="42">
                  <c:v>0.0395341014270147</c:v>
                </c:pt>
                <c:pt idx="43">
                  <c:v>0.000818011959999426</c:v>
                </c:pt>
                <c:pt idx="44">
                  <c:v>5.93162028139607E-5</c:v>
                </c:pt>
                <c:pt idx="45">
                  <c:v>0.0</c:v>
                </c:pt>
                <c:pt idx="46">
                  <c:v>0.000338956680224934</c:v>
                </c:pt>
                <c:pt idx="47">
                  <c:v>0.0</c:v>
                </c:pt>
                <c:pt idx="48">
                  <c:v>0.000132341153929132</c:v>
                </c:pt>
                <c:pt idx="49">
                  <c:v>0.0</c:v>
                </c:pt>
                <c:pt idx="50">
                  <c:v>0.0</c:v>
                </c:pt>
                <c:pt idx="51">
                  <c:v>0.00155567184048464</c:v>
                </c:pt>
                <c:pt idx="52">
                  <c:v>0.000201432073932079</c:v>
                </c:pt>
                <c:pt idx="53">
                  <c:v>0.0023360376850681</c:v>
                </c:pt>
                <c:pt idx="54">
                  <c:v>0.000461565760159209</c:v>
                </c:pt>
                <c:pt idx="55">
                  <c:v>6.99608219397138E-5</c:v>
                </c:pt>
                <c:pt idx="56">
                  <c:v>6.21010010681372E-5</c:v>
                </c:pt>
                <c:pt idx="57">
                  <c:v>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762088"/>
        <c:axId val="2122767592"/>
      </c:scatterChart>
      <c:valAx>
        <c:axId val="2122762088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occurence (n = 3 sites)</a:t>
                </a:r>
              </a:p>
            </c:rich>
          </c:tx>
          <c:layout>
            <c:manualLayout>
              <c:xMode val="edge"/>
              <c:yMode val="edge"/>
              <c:x val="0.335614791436194"/>
              <c:y val="0.9095601782705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22767592"/>
        <c:crosses val="autoZero"/>
        <c:crossBetween val="midCat"/>
      </c:valAx>
      <c:valAx>
        <c:axId val="2122767592"/>
        <c:scaling>
          <c:orientation val="minMax"/>
          <c:min val="0.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Mean cover (72 quadrats)</a:t>
                </a:r>
              </a:p>
            </c:rich>
          </c:tx>
          <c:layout>
            <c:manualLayout>
              <c:xMode val="edge"/>
              <c:yMode val="edge"/>
              <c:x val="0.00826446280991735"/>
              <c:y val="0.18586906909777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227620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>
          <a:latin typeface="Arial"/>
          <a:cs typeface="Arial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711200</xdr:colOff>
      <xdr:row>0</xdr:row>
      <xdr:rowOff>120650</xdr:rowOff>
    </xdr:from>
    <xdr:to>
      <xdr:col>12</xdr:col>
      <xdr:colOff>254000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865"/>
  <sheetViews>
    <sheetView workbookViewId="0">
      <pane xSplit="10" ySplit="1" topLeftCell="BP2" activePane="bottomRight" state="frozen"/>
      <selection pane="topRight" activeCell="I1" sqref="I1"/>
      <selection pane="bottomLeft" activeCell="A2" sqref="A2"/>
      <selection pane="bottomRight" activeCell="CF12" sqref="CF12"/>
    </sheetView>
  </sheetViews>
  <sheetFormatPr baseColWidth="10" defaultColWidth="6" defaultRowHeight="15" x14ac:dyDescent="0"/>
  <cols>
    <col min="2" max="2" width="8.1640625" customWidth="1"/>
    <col min="3" max="3" width="6" customWidth="1"/>
    <col min="4" max="4" width="3.83203125" customWidth="1"/>
    <col min="5" max="6" width="9.83203125" style="5" customWidth="1"/>
    <col min="8" max="8" width="6.5" customWidth="1"/>
    <col min="9" max="9" width="6.33203125" customWidth="1"/>
    <col min="10" max="10" width="12.1640625" customWidth="1"/>
    <col min="11" max="11" width="4.83203125" style="5" customWidth="1"/>
    <col min="12" max="80" width="5" customWidth="1"/>
  </cols>
  <sheetData>
    <row r="1" spans="1:80" s="6" customFormat="1" ht="64" thickBot="1">
      <c r="A1" s="6" t="s">
        <v>158</v>
      </c>
      <c r="B1" s="6" t="s">
        <v>111</v>
      </c>
      <c r="C1" s="6" t="s">
        <v>122</v>
      </c>
      <c r="D1" s="6" t="s">
        <v>115</v>
      </c>
      <c r="E1" s="21" t="s">
        <v>120</v>
      </c>
      <c r="F1" s="21" t="s">
        <v>121</v>
      </c>
      <c r="G1" s="6" t="s">
        <v>114</v>
      </c>
      <c r="H1" s="10" t="s">
        <v>112</v>
      </c>
      <c r="I1" s="10" t="s">
        <v>113</v>
      </c>
      <c r="J1" s="10" t="s">
        <v>119</v>
      </c>
      <c r="K1" s="21" t="s">
        <v>157</v>
      </c>
      <c r="L1" s="8" t="s">
        <v>133</v>
      </c>
      <c r="M1" s="8" t="s">
        <v>134</v>
      </c>
      <c r="N1" s="9" t="s">
        <v>135</v>
      </c>
      <c r="O1" s="23" t="s">
        <v>124</v>
      </c>
      <c r="P1" s="23" t="s">
        <v>126</v>
      </c>
      <c r="Q1" s="23" t="s">
        <v>125</v>
      </c>
      <c r="R1" s="24" t="s">
        <v>127</v>
      </c>
      <c r="S1" s="25" t="s">
        <v>128</v>
      </c>
      <c r="T1" s="26" t="s">
        <v>129</v>
      </c>
      <c r="U1" s="26" t="s">
        <v>31</v>
      </c>
      <c r="V1" s="26" t="s">
        <v>32</v>
      </c>
      <c r="W1" s="26" t="s">
        <v>33</v>
      </c>
      <c r="X1" s="26" t="s">
        <v>17</v>
      </c>
      <c r="Y1" s="10" t="s">
        <v>136</v>
      </c>
      <c r="Z1" s="31" t="s">
        <v>137</v>
      </c>
      <c r="AA1" s="31" t="s">
        <v>138</v>
      </c>
      <c r="AB1" s="31" t="s">
        <v>139</v>
      </c>
      <c r="AC1" s="32" t="s">
        <v>140</v>
      </c>
      <c r="AD1" s="31" t="s">
        <v>14</v>
      </c>
      <c r="AE1" s="31" t="s">
        <v>142</v>
      </c>
      <c r="AF1" s="31" t="s">
        <v>27</v>
      </c>
      <c r="AG1" s="11" t="s">
        <v>141</v>
      </c>
      <c r="AH1" s="12" t="s">
        <v>143</v>
      </c>
      <c r="AI1" s="12" t="s">
        <v>144</v>
      </c>
      <c r="AJ1" s="12" t="s">
        <v>145</v>
      </c>
      <c r="AK1" s="12" t="s">
        <v>16</v>
      </c>
      <c r="AL1" s="28" t="s">
        <v>130</v>
      </c>
      <c r="AM1" s="30" t="s">
        <v>152</v>
      </c>
      <c r="AN1" s="29" t="s">
        <v>153</v>
      </c>
      <c r="AO1" s="28" t="s">
        <v>123</v>
      </c>
      <c r="AP1" s="30" t="s">
        <v>15</v>
      </c>
      <c r="AQ1" s="14" t="s">
        <v>150</v>
      </c>
      <c r="AR1" s="14" t="s">
        <v>151</v>
      </c>
      <c r="AS1" s="14" t="s">
        <v>154</v>
      </c>
      <c r="AT1" s="14" t="s">
        <v>155</v>
      </c>
      <c r="AU1" s="14" t="s">
        <v>156</v>
      </c>
      <c r="AV1" s="14" t="s">
        <v>0</v>
      </c>
      <c r="AW1" s="14" t="s">
        <v>1</v>
      </c>
      <c r="AX1" s="14" t="s">
        <v>2</v>
      </c>
      <c r="AY1" s="14" t="s">
        <v>12</v>
      </c>
      <c r="AZ1" s="14" t="s">
        <v>13</v>
      </c>
      <c r="BA1" s="27" t="s">
        <v>146</v>
      </c>
      <c r="BB1" s="27" t="s">
        <v>148</v>
      </c>
      <c r="BC1" s="27" t="s">
        <v>21</v>
      </c>
      <c r="BD1" s="27" t="s">
        <v>22</v>
      </c>
      <c r="BE1" s="13" t="s">
        <v>147</v>
      </c>
      <c r="BF1" s="13" t="s">
        <v>149</v>
      </c>
      <c r="BG1" s="13" t="s">
        <v>18</v>
      </c>
      <c r="BH1" s="13" t="s">
        <v>19</v>
      </c>
      <c r="BI1" s="13" t="s">
        <v>20</v>
      </c>
      <c r="BJ1" s="13" t="s">
        <v>23</v>
      </c>
      <c r="BK1" s="13" t="s">
        <v>24</v>
      </c>
      <c r="BL1" s="13" t="s">
        <v>25</v>
      </c>
      <c r="BM1" s="13" t="s">
        <v>26</v>
      </c>
      <c r="BN1" s="27" t="s">
        <v>34</v>
      </c>
      <c r="BO1" s="27" t="s">
        <v>3</v>
      </c>
      <c r="BP1" s="27" t="s">
        <v>4</v>
      </c>
      <c r="BQ1" s="27" t="s">
        <v>5</v>
      </c>
      <c r="BR1" s="27" t="s">
        <v>6</v>
      </c>
      <c r="BS1" s="27" t="s">
        <v>7</v>
      </c>
      <c r="BT1" s="27" t="s">
        <v>8</v>
      </c>
      <c r="BU1" s="27" t="s">
        <v>9</v>
      </c>
      <c r="BV1" s="27" t="s">
        <v>10</v>
      </c>
      <c r="BW1" s="27" t="s">
        <v>11</v>
      </c>
      <c r="BX1" s="15" t="s">
        <v>28</v>
      </c>
      <c r="BY1" s="16" t="s">
        <v>29</v>
      </c>
      <c r="BZ1" s="7" t="s">
        <v>131</v>
      </c>
      <c r="CA1" s="7" t="s">
        <v>132</v>
      </c>
      <c r="CB1" s="17" t="s">
        <v>30</v>
      </c>
    </row>
    <row r="2" spans="1:80">
      <c r="A2">
        <v>1</v>
      </c>
      <c r="B2" s="4" t="s">
        <v>35</v>
      </c>
      <c r="C2" s="4" t="s">
        <v>159</v>
      </c>
      <c r="D2" s="4" t="s">
        <v>116</v>
      </c>
      <c r="E2" s="5">
        <v>39424</v>
      </c>
      <c r="F2" s="5">
        <v>39426</v>
      </c>
      <c r="G2">
        <v>712</v>
      </c>
      <c r="H2" s="4" t="s">
        <v>107</v>
      </c>
      <c r="I2" s="4" t="s">
        <v>108</v>
      </c>
      <c r="J2" s="4" t="str">
        <f t="shared" ref="J2:J65" si="0">CONCATENATE(H2,".",I2)</f>
        <v>u_con.c_con</v>
      </c>
      <c r="K2" s="5">
        <v>19</v>
      </c>
      <c r="L2">
        <v>7.9606649496605009E-2</v>
      </c>
      <c r="M2">
        <v>3.5354717864668692E-2</v>
      </c>
      <c r="N2">
        <v>0.43807070943572918</v>
      </c>
      <c r="O2">
        <v>0</v>
      </c>
      <c r="P2">
        <v>0</v>
      </c>
      <c r="Q2">
        <v>4.6827440880355883E-3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3.5120580660266909E-2</v>
      </c>
      <c r="Z2">
        <v>3.2779208616249111E-2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2.4584406462186841E-3</v>
      </c>
      <c r="AI2">
        <v>1.4048232264106763E-2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5.1744322172793247E-2</v>
      </c>
      <c r="AT2">
        <v>2.9267150550222431E-3</v>
      </c>
      <c r="AU2">
        <v>7.0241161320533816E-3</v>
      </c>
      <c r="AV2">
        <v>0</v>
      </c>
      <c r="AW2">
        <v>0</v>
      </c>
      <c r="AX2">
        <v>1.170686022008897E-4</v>
      </c>
      <c r="AY2">
        <v>2.3413720440177942E-3</v>
      </c>
      <c r="AZ2">
        <v>0</v>
      </c>
      <c r="BA2">
        <v>8.4991805197845924E-2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1.170686022008897E-4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9.8454694450948219E-2</v>
      </c>
      <c r="CA2">
        <v>7.0358229922734702E-2</v>
      </c>
      <c r="CB2">
        <v>3.9803324748302497E-2</v>
      </c>
    </row>
    <row r="3" spans="1:80">
      <c r="A3">
        <v>2</v>
      </c>
      <c r="B3" s="4" t="s">
        <v>36</v>
      </c>
      <c r="C3" s="4" t="s">
        <v>159</v>
      </c>
      <c r="D3" s="4" t="s">
        <v>116</v>
      </c>
      <c r="E3" s="5">
        <v>39424</v>
      </c>
      <c r="F3" s="5">
        <v>39426</v>
      </c>
      <c r="G3">
        <v>712</v>
      </c>
      <c r="H3" s="4" t="s">
        <v>107</v>
      </c>
      <c r="I3" s="4" t="s">
        <v>109</v>
      </c>
      <c r="J3" s="4" t="str">
        <f t="shared" si="0"/>
        <v>u_con.c_rem</v>
      </c>
      <c r="K3" s="5">
        <v>2</v>
      </c>
      <c r="L3">
        <v>0.19048134126554883</v>
      </c>
      <c r="M3">
        <v>4.1103299080584105E-2</v>
      </c>
      <c r="N3">
        <v>0.38301784748512713</v>
      </c>
      <c r="O3">
        <v>0</v>
      </c>
      <c r="P3">
        <v>0</v>
      </c>
      <c r="Q3">
        <v>4.3266630611141152E-3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6.4899945916711719E-3</v>
      </c>
      <c r="Z3">
        <v>0.15143320713899402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1.2979989183342344E-2</v>
      </c>
      <c r="AJ3">
        <v>0</v>
      </c>
      <c r="AK3">
        <v>0</v>
      </c>
      <c r="AL3">
        <v>0</v>
      </c>
      <c r="AM3">
        <v>0</v>
      </c>
      <c r="AN3">
        <v>4.3266630611141152E-3</v>
      </c>
      <c r="AO3">
        <v>0</v>
      </c>
      <c r="AP3">
        <v>0</v>
      </c>
      <c r="AQ3">
        <v>0</v>
      </c>
      <c r="AR3">
        <v>0</v>
      </c>
      <c r="AS3">
        <v>2.1633315305570576E-3</v>
      </c>
      <c r="AT3">
        <v>6.5981611681990267E-3</v>
      </c>
      <c r="AU3">
        <v>1.9469983775013515E-2</v>
      </c>
      <c r="AV3">
        <v>0</v>
      </c>
      <c r="AW3">
        <v>0</v>
      </c>
      <c r="AX3">
        <v>0</v>
      </c>
      <c r="AY3">
        <v>0</v>
      </c>
      <c r="AZ3">
        <v>0</v>
      </c>
      <c r="BA3">
        <v>2.8231476473769602E-2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4.3266630611141152E-3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0.12990805840995129</v>
      </c>
      <c r="CA3">
        <v>1.5143320713899401E-2</v>
      </c>
      <c r="CB3">
        <v>0</v>
      </c>
    </row>
    <row r="4" spans="1:80">
      <c r="A4">
        <v>3</v>
      </c>
      <c r="B4" s="4" t="s">
        <v>37</v>
      </c>
      <c r="C4" s="4" t="s">
        <v>159</v>
      </c>
      <c r="D4" s="4" t="s">
        <v>116</v>
      </c>
      <c r="E4" s="5">
        <v>39424</v>
      </c>
      <c r="F4" s="5">
        <v>39426</v>
      </c>
      <c r="G4">
        <v>712</v>
      </c>
      <c r="H4" s="4" t="s">
        <v>107</v>
      </c>
      <c r="I4" s="4" t="s">
        <v>109</v>
      </c>
      <c r="J4" s="4" t="str">
        <f t="shared" si="0"/>
        <v>u_con.c_rem</v>
      </c>
      <c r="K4" s="5">
        <v>2</v>
      </c>
      <c r="L4">
        <v>0.17205410362219153</v>
      </c>
      <c r="M4">
        <v>0.10545621274644658</v>
      </c>
      <c r="N4">
        <v>0.29573590096286106</v>
      </c>
      <c r="O4">
        <v>0</v>
      </c>
      <c r="P4">
        <v>0</v>
      </c>
      <c r="Q4">
        <v>6.8775790921595612E-3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0.15130674002751032</v>
      </c>
      <c r="Z4">
        <v>0.11244841815680877</v>
      </c>
      <c r="AA4">
        <v>0</v>
      </c>
      <c r="AB4">
        <v>0</v>
      </c>
      <c r="AC4">
        <v>6.8775790921595603E-3</v>
      </c>
      <c r="AD4">
        <v>0</v>
      </c>
      <c r="AE4">
        <v>4.5850527281063739E-3</v>
      </c>
      <c r="AF4">
        <v>0</v>
      </c>
      <c r="AG4">
        <v>0</v>
      </c>
      <c r="AH4">
        <v>6.8775790921595612E-3</v>
      </c>
      <c r="AI4">
        <v>2.2925263640531865E-2</v>
      </c>
      <c r="AJ4">
        <v>0</v>
      </c>
      <c r="AK4">
        <v>0</v>
      </c>
      <c r="AL4">
        <v>0</v>
      </c>
      <c r="AM4">
        <v>0</v>
      </c>
      <c r="AN4">
        <v>2.4071526822558465E-3</v>
      </c>
      <c r="AO4">
        <v>0</v>
      </c>
      <c r="AP4">
        <v>0</v>
      </c>
      <c r="AQ4">
        <v>0</v>
      </c>
      <c r="AR4">
        <v>0</v>
      </c>
      <c r="AS4">
        <v>6.8775790921595612E-3</v>
      </c>
      <c r="AT4">
        <v>2.4071526822558465E-3</v>
      </c>
      <c r="AU4">
        <v>1.1462631820265934E-2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3.6680421824850991E-2</v>
      </c>
      <c r="CA4">
        <v>5.5020632737276483E-2</v>
      </c>
      <c r="CB4">
        <v>0</v>
      </c>
    </row>
    <row r="5" spans="1:80" s="1" customFormat="1">
      <c r="A5">
        <v>4</v>
      </c>
      <c r="B5" s="4" t="s">
        <v>38</v>
      </c>
      <c r="C5" s="4" t="s">
        <v>159</v>
      </c>
      <c r="D5" s="4" t="s">
        <v>116</v>
      </c>
      <c r="E5" s="5">
        <v>39424</v>
      </c>
      <c r="F5" s="5">
        <v>39426</v>
      </c>
      <c r="G5">
        <v>712</v>
      </c>
      <c r="H5" s="4" t="s">
        <v>107</v>
      </c>
      <c r="I5" s="4" t="s">
        <v>108</v>
      </c>
      <c r="J5" s="4" t="str">
        <f t="shared" si="0"/>
        <v>u_con.c_con</v>
      </c>
      <c r="K5" s="5">
        <v>19</v>
      </c>
      <c r="L5">
        <v>6.1217549030722157E-2</v>
      </c>
      <c r="M5">
        <v>3.4009749461512306E-2</v>
      </c>
      <c r="N5">
        <v>0.40811699353814762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1.5871216415372411E-2</v>
      </c>
      <c r="Z5">
        <v>3.4009749461512313E-2</v>
      </c>
      <c r="AA5">
        <v>0</v>
      </c>
      <c r="AB5">
        <v>0</v>
      </c>
      <c r="AC5">
        <v>0</v>
      </c>
      <c r="AD5">
        <v>0</v>
      </c>
      <c r="AE5">
        <v>2.2673166307674874E-3</v>
      </c>
      <c r="AF5">
        <v>0</v>
      </c>
      <c r="AG5">
        <v>0</v>
      </c>
      <c r="AH5">
        <v>0</v>
      </c>
      <c r="AI5">
        <v>2.4940482938442355E-2</v>
      </c>
      <c r="AJ5">
        <v>0</v>
      </c>
      <c r="AK5">
        <v>0</v>
      </c>
      <c r="AL5">
        <v>0</v>
      </c>
      <c r="AM5">
        <v>0</v>
      </c>
      <c r="AN5">
        <v>2.2673166307674873E-2</v>
      </c>
      <c r="AO5">
        <v>0</v>
      </c>
      <c r="AP5">
        <v>0</v>
      </c>
      <c r="AQ5">
        <v>0</v>
      </c>
      <c r="AR5">
        <v>0</v>
      </c>
      <c r="AS5">
        <v>0</v>
      </c>
      <c r="AT5">
        <v>1.8138533046139896E-2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3.412311529305069E-2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0.33556286135358798</v>
      </c>
      <c r="CA5">
        <v>9.0692665230699496E-3</v>
      </c>
      <c r="CB5">
        <v>0</v>
      </c>
    </row>
    <row r="6" spans="1:80">
      <c r="A6">
        <v>5</v>
      </c>
      <c r="B6" s="4" t="s">
        <v>39</v>
      </c>
      <c r="C6" s="4" t="s">
        <v>160</v>
      </c>
      <c r="D6" s="4" t="s">
        <v>116</v>
      </c>
      <c r="E6" s="5">
        <v>39424</v>
      </c>
      <c r="F6" s="5">
        <v>39426</v>
      </c>
      <c r="G6">
        <v>712</v>
      </c>
      <c r="H6" s="4" t="s">
        <v>110</v>
      </c>
      <c r="I6" s="4" t="s">
        <v>109</v>
      </c>
      <c r="J6" s="4" t="str">
        <f t="shared" si="0"/>
        <v>u_rem.c_rem</v>
      </c>
      <c r="K6" s="5">
        <v>1</v>
      </c>
      <c r="L6">
        <v>1.7278385919725261E-2</v>
      </c>
      <c r="M6">
        <v>2.3610216784717753E-3</v>
      </c>
      <c r="N6">
        <v>0.76840523717535902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8.5855333762610009E-3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3.659583601631252E-2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1.0731916720326251E-4</v>
      </c>
      <c r="AT6">
        <v>4.4000858553337636E-3</v>
      </c>
      <c r="AU6">
        <v>0</v>
      </c>
      <c r="AV6">
        <v>2.1463833440652502E-3</v>
      </c>
      <c r="AW6">
        <v>0</v>
      </c>
      <c r="AX6">
        <v>0</v>
      </c>
      <c r="AY6">
        <v>0</v>
      </c>
      <c r="AZ6">
        <v>0</v>
      </c>
      <c r="BA6">
        <v>3.9600772698003869E-2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1.7385705086928525E-2</v>
      </c>
      <c r="CA6">
        <v>0.10313371968233524</v>
      </c>
      <c r="CB6">
        <v>0</v>
      </c>
    </row>
    <row r="7" spans="1:80">
      <c r="A7">
        <v>6</v>
      </c>
      <c r="B7" s="4" t="s">
        <v>40</v>
      </c>
      <c r="C7" s="4" t="s">
        <v>160</v>
      </c>
      <c r="D7" s="4" t="s">
        <v>116</v>
      </c>
      <c r="E7" s="5">
        <v>39424</v>
      </c>
      <c r="F7" s="5">
        <v>39426</v>
      </c>
      <c r="G7">
        <v>712</v>
      </c>
      <c r="H7" s="4" t="s">
        <v>110</v>
      </c>
      <c r="I7" s="4" t="s">
        <v>108</v>
      </c>
      <c r="J7" s="4" t="str">
        <f t="shared" si="0"/>
        <v>u_rem.c_con</v>
      </c>
      <c r="K7" s="5">
        <v>8</v>
      </c>
      <c r="L7">
        <v>0.14299857001429975</v>
      </c>
      <c r="M7">
        <v>3.5199648003519955E-2</v>
      </c>
      <c r="N7">
        <v>0.49279507204927936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2.6399736002639965E-2</v>
      </c>
      <c r="Z7">
        <v>1.0999890001099986E-2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4.3999560004399944E-3</v>
      </c>
      <c r="AI7">
        <v>1.0999890001099986E-2</v>
      </c>
      <c r="AJ7">
        <v>0</v>
      </c>
      <c r="AK7">
        <v>2.1999780002199972E-3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4.3999560004399944E-3</v>
      </c>
      <c r="AU7">
        <v>0</v>
      </c>
      <c r="AV7">
        <v>0</v>
      </c>
      <c r="AW7">
        <v>0</v>
      </c>
      <c r="AX7">
        <v>0</v>
      </c>
      <c r="AY7">
        <v>0</v>
      </c>
      <c r="AZ7">
        <v>6.5999340006599912E-3</v>
      </c>
      <c r="BA7">
        <v>7.8099219007809903E-2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2.1999780002199972E-3</v>
      </c>
      <c r="BO7">
        <v>2.1999780002199972E-3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7.0509294907050907E-2</v>
      </c>
      <c r="CA7">
        <v>0.10999890001099984</v>
      </c>
      <c r="CB7">
        <v>0</v>
      </c>
    </row>
    <row r="8" spans="1:80">
      <c r="A8">
        <v>7</v>
      </c>
      <c r="B8" s="4" t="s">
        <v>41</v>
      </c>
      <c r="C8" s="4" t="s">
        <v>160</v>
      </c>
      <c r="D8" s="4" t="s">
        <v>116</v>
      </c>
      <c r="E8" s="5">
        <v>39424</v>
      </c>
      <c r="F8" s="5">
        <v>39426</v>
      </c>
      <c r="G8">
        <v>712</v>
      </c>
      <c r="H8" s="4" t="s">
        <v>110</v>
      </c>
      <c r="I8" s="4" t="s">
        <v>109</v>
      </c>
      <c r="J8" s="4" t="str">
        <f t="shared" si="0"/>
        <v>u_rem.c_rem</v>
      </c>
      <c r="K8" s="5">
        <v>1</v>
      </c>
      <c r="L8">
        <v>7.7652768585925472E-2</v>
      </c>
      <c r="M8">
        <v>2.2060445621001545E-3</v>
      </c>
      <c r="N8">
        <v>0.58901389808074089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4.853298036620339E-2</v>
      </c>
      <c r="Z8">
        <v>2.8678579307302013E-2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1.5442311934701081E-2</v>
      </c>
      <c r="AJ8">
        <v>0</v>
      </c>
      <c r="AK8">
        <v>2.2060445621001545E-3</v>
      </c>
      <c r="AL8">
        <v>2.8678579307302009E-2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1.7648356496801236E-2</v>
      </c>
      <c r="BA8">
        <v>2.4376792411206705E-2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2.2060445621001545E-3</v>
      </c>
      <c r="BO8">
        <v>6.6181336863004644E-3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1.5552614162806089E-2</v>
      </c>
      <c r="CA8">
        <v>0.14118685197440975</v>
      </c>
      <c r="CB8">
        <v>0</v>
      </c>
    </row>
    <row r="9" spans="1:80">
      <c r="A9">
        <v>8</v>
      </c>
      <c r="B9" s="4" t="s">
        <v>42</v>
      </c>
      <c r="C9" s="4" t="s">
        <v>160</v>
      </c>
      <c r="D9" s="4" t="s">
        <v>116</v>
      </c>
      <c r="E9" s="5">
        <v>39424</v>
      </c>
      <c r="F9" s="5">
        <v>39426</v>
      </c>
      <c r="G9">
        <v>712</v>
      </c>
      <c r="H9" s="4" t="s">
        <v>110</v>
      </c>
      <c r="I9" s="4" t="s">
        <v>108</v>
      </c>
      <c r="J9" s="4" t="str">
        <f t="shared" si="0"/>
        <v>u_rem.c_con</v>
      </c>
      <c r="K9" s="5">
        <v>8</v>
      </c>
      <c r="L9">
        <v>7.2871736662883102E-2</v>
      </c>
      <c r="M9">
        <v>6.8104426787741219E-3</v>
      </c>
      <c r="N9">
        <v>0.45641316685584582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3.1782065834279234E-2</v>
      </c>
      <c r="AJ9">
        <v>0</v>
      </c>
      <c r="AK9">
        <v>0</v>
      </c>
      <c r="AL9">
        <v>0</v>
      </c>
      <c r="AM9">
        <v>0.34767309875141889</v>
      </c>
      <c r="AN9">
        <v>0</v>
      </c>
      <c r="AO9">
        <v>0</v>
      </c>
      <c r="AP9">
        <v>0</v>
      </c>
      <c r="AQ9">
        <v>0</v>
      </c>
      <c r="AR9">
        <v>0</v>
      </c>
      <c r="AS9">
        <v>1.362088535754824E-2</v>
      </c>
      <c r="AT9">
        <v>1.8501702610669694E-2</v>
      </c>
      <c r="AU9">
        <v>0</v>
      </c>
      <c r="AV9">
        <v>0</v>
      </c>
      <c r="AW9">
        <v>0</v>
      </c>
      <c r="AX9">
        <v>0</v>
      </c>
      <c r="AY9">
        <v>0</v>
      </c>
      <c r="AZ9">
        <v>2.2701475595913738E-3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4.3246311010215678E-2</v>
      </c>
      <c r="CA9">
        <v>6.8104426787741219E-3</v>
      </c>
      <c r="CB9">
        <v>0</v>
      </c>
    </row>
    <row r="10" spans="1:80">
      <c r="A10">
        <v>9</v>
      </c>
      <c r="B10" s="4" t="s">
        <v>43</v>
      </c>
      <c r="C10" s="4" t="s">
        <v>161</v>
      </c>
      <c r="D10" s="4" t="s">
        <v>116</v>
      </c>
      <c r="E10" s="5">
        <v>39424</v>
      </c>
      <c r="F10" s="5">
        <v>39426</v>
      </c>
      <c r="G10">
        <v>712</v>
      </c>
      <c r="H10" s="4" t="s">
        <v>107</v>
      </c>
      <c r="I10" s="4" t="s">
        <v>109</v>
      </c>
      <c r="J10" s="4" t="str">
        <f t="shared" si="0"/>
        <v>u_con.c_rem</v>
      </c>
      <c r="K10" s="5">
        <v>2</v>
      </c>
      <c r="L10">
        <v>0</v>
      </c>
      <c r="M10">
        <v>4.7644770959377719E-2</v>
      </c>
      <c r="N10">
        <v>0.52938634399308582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4.1054451166810731E-2</v>
      </c>
      <c r="Z10">
        <v>8.2108902333621461E-2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1.7286084701815044E-2</v>
      </c>
      <c r="AI10">
        <v>8.6430423509075219E-3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8.7510803802938672E-3</v>
      </c>
      <c r="AT10">
        <v>2.1607605877268805E-4</v>
      </c>
      <c r="AU10">
        <v>5.6179775280898896E-2</v>
      </c>
      <c r="AV10">
        <v>9.1832324978392433E-3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1.1560069144338811E-2</v>
      </c>
      <c r="CA10">
        <v>0.18798617113223859</v>
      </c>
      <c r="CB10">
        <v>0</v>
      </c>
    </row>
    <row r="11" spans="1:80">
      <c r="A11">
        <v>10</v>
      </c>
      <c r="B11" s="4" t="s">
        <v>44</v>
      </c>
      <c r="C11" s="4" t="s">
        <v>161</v>
      </c>
      <c r="D11" s="4" t="s">
        <v>116</v>
      </c>
      <c r="E11" s="5">
        <v>39424</v>
      </c>
      <c r="F11" s="5">
        <v>39426</v>
      </c>
      <c r="G11">
        <v>712</v>
      </c>
      <c r="H11" s="4" t="s">
        <v>107</v>
      </c>
      <c r="I11" s="4" t="s">
        <v>109</v>
      </c>
      <c r="J11" s="4" t="str">
        <f t="shared" si="0"/>
        <v>u_con.c_rem</v>
      </c>
      <c r="K11" s="5">
        <v>2</v>
      </c>
      <c r="L11">
        <v>0</v>
      </c>
      <c r="M11">
        <v>3.8921832884097028E-2</v>
      </c>
      <c r="N11">
        <v>0.55202156334231789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0.11212938005390827</v>
      </c>
      <c r="Z11">
        <v>0.12506738544474388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1.0781671159029647E-2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4.3126684636118585E-3</v>
      </c>
      <c r="AO11">
        <v>0</v>
      </c>
      <c r="AP11">
        <v>0</v>
      </c>
      <c r="AQ11">
        <v>0</v>
      </c>
      <c r="AR11">
        <v>0</v>
      </c>
      <c r="AS11">
        <v>1.52021563342318E-2</v>
      </c>
      <c r="AT11">
        <v>6.4690026954177882E-4</v>
      </c>
      <c r="AU11">
        <v>4.3126684636118585E-3</v>
      </c>
      <c r="AV11">
        <v>6.5768194070080855E-3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2.1563342318059293E-3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1.552560646900269E-2</v>
      </c>
      <c r="CA11">
        <v>9.9299191374663018E-2</v>
      </c>
      <c r="CB11">
        <v>1.3045822102425872E-2</v>
      </c>
    </row>
    <row r="12" spans="1:80">
      <c r="A12">
        <v>11</v>
      </c>
      <c r="B12" s="4" t="s">
        <v>45</v>
      </c>
      <c r="C12" s="4" t="s">
        <v>161</v>
      </c>
      <c r="D12" s="4" t="s">
        <v>116</v>
      </c>
      <c r="E12" s="5">
        <v>39424</v>
      </c>
      <c r="F12" s="5">
        <v>39426</v>
      </c>
      <c r="G12">
        <v>712</v>
      </c>
      <c r="H12" s="4" t="s">
        <v>107</v>
      </c>
      <c r="I12" s="4" t="s">
        <v>108</v>
      </c>
      <c r="J12" s="4" t="str">
        <f t="shared" si="0"/>
        <v>u_con.c_con</v>
      </c>
      <c r="K12" s="5">
        <v>19</v>
      </c>
      <c r="L12">
        <v>1.1473152822395597E-4</v>
      </c>
      <c r="M12">
        <v>4.1532813217072063E-2</v>
      </c>
      <c r="N12">
        <v>0.30071133547498857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4.5892611289582389E-3</v>
      </c>
      <c r="Z12">
        <v>0.25481872418540624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9.1785222579164778E-3</v>
      </c>
      <c r="AI12">
        <v>4.5892611289582389E-3</v>
      </c>
      <c r="AJ12">
        <v>0</v>
      </c>
      <c r="AK12">
        <v>0</v>
      </c>
      <c r="AL12">
        <v>0</v>
      </c>
      <c r="AM12">
        <v>0</v>
      </c>
      <c r="AN12">
        <v>2.2946305644791195E-3</v>
      </c>
      <c r="AO12">
        <v>0</v>
      </c>
      <c r="AP12">
        <v>0</v>
      </c>
      <c r="AQ12">
        <v>0</v>
      </c>
      <c r="AR12">
        <v>0</v>
      </c>
      <c r="AS12">
        <v>0.10119320789352912</v>
      </c>
      <c r="AT12">
        <v>1.4685635612666365E-2</v>
      </c>
      <c r="AU12">
        <v>2.2946305644791195E-3</v>
      </c>
      <c r="AV12">
        <v>0</v>
      </c>
      <c r="AW12">
        <v>0</v>
      </c>
      <c r="AX12">
        <v>0</v>
      </c>
      <c r="AY12">
        <v>2.2946305644791195E-3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4.5892611289582389E-3</v>
      </c>
      <c r="BO12">
        <v>0</v>
      </c>
      <c r="BP12">
        <v>0</v>
      </c>
      <c r="BQ12">
        <v>2.2946305644791195E-3</v>
      </c>
      <c r="BR12">
        <v>1.3767783386874718E-2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5.0596603946764594E-2</v>
      </c>
      <c r="CA12">
        <v>0.1904543368517668</v>
      </c>
      <c r="CB12">
        <v>0</v>
      </c>
    </row>
    <row r="13" spans="1:80" s="1" customFormat="1">
      <c r="A13">
        <v>12</v>
      </c>
      <c r="B13" s="4" t="s">
        <v>46</v>
      </c>
      <c r="C13" s="4" t="s">
        <v>161</v>
      </c>
      <c r="D13" s="4" t="s">
        <v>116</v>
      </c>
      <c r="E13" s="5">
        <v>39424</v>
      </c>
      <c r="F13" s="5">
        <v>39426</v>
      </c>
      <c r="G13">
        <v>712</v>
      </c>
      <c r="H13" s="4" t="s">
        <v>107</v>
      </c>
      <c r="I13" s="4" t="s">
        <v>108</v>
      </c>
      <c r="J13" s="4" t="str">
        <f t="shared" si="0"/>
        <v>u_con.c_con</v>
      </c>
      <c r="K13" s="5">
        <v>19</v>
      </c>
      <c r="L13">
        <v>7.6385857704059368E-2</v>
      </c>
      <c r="M13">
        <v>5.674378000872983E-2</v>
      </c>
      <c r="N13">
        <v>0.66128328240942813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1.7459624618070716E-2</v>
      </c>
      <c r="AI13">
        <v>6.547359231776519E-3</v>
      </c>
      <c r="AJ13">
        <v>0</v>
      </c>
      <c r="AK13">
        <v>0</v>
      </c>
      <c r="AL13">
        <v>0</v>
      </c>
      <c r="AM13">
        <v>0</v>
      </c>
      <c r="AN13">
        <v>2.1824530772588395E-3</v>
      </c>
      <c r="AO13">
        <v>0</v>
      </c>
      <c r="AP13">
        <v>0</v>
      </c>
      <c r="AQ13">
        <v>0</v>
      </c>
      <c r="AR13">
        <v>0</v>
      </c>
      <c r="AS13">
        <v>6.9838498472282851E-2</v>
      </c>
      <c r="AT13">
        <v>1.0912265386294197E-4</v>
      </c>
      <c r="AU13">
        <v>6.5473592317765172E-3</v>
      </c>
      <c r="AV13">
        <v>1.3094718463553034E-2</v>
      </c>
      <c r="AW13">
        <v>0</v>
      </c>
      <c r="AX13">
        <v>0</v>
      </c>
      <c r="AY13">
        <v>0</v>
      </c>
      <c r="AZ13">
        <v>0</v>
      </c>
      <c r="BA13">
        <v>4.5831514622435626E-3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1.9751200349192494E-2</v>
      </c>
      <c r="CA13">
        <v>6.5473592317765186E-2</v>
      </c>
      <c r="CB13">
        <v>0</v>
      </c>
    </row>
    <row r="14" spans="1:80">
      <c r="A14">
        <v>13</v>
      </c>
      <c r="B14" s="4" t="s">
        <v>47</v>
      </c>
      <c r="C14" s="4" t="s">
        <v>162</v>
      </c>
      <c r="D14" s="4" t="s">
        <v>116</v>
      </c>
      <c r="E14" s="5">
        <v>39424</v>
      </c>
      <c r="F14" s="5">
        <v>39426</v>
      </c>
      <c r="G14">
        <v>712</v>
      </c>
      <c r="H14" s="4" t="s">
        <v>110</v>
      </c>
      <c r="I14" s="4" t="s">
        <v>108</v>
      </c>
      <c r="J14" s="4" t="str">
        <f t="shared" si="0"/>
        <v>u_rem.c_con</v>
      </c>
      <c r="K14" s="5">
        <v>8</v>
      </c>
      <c r="L14">
        <v>0.1670556442697457</v>
      </c>
      <c r="M14">
        <v>0.11546493059820662</v>
      </c>
      <c r="N14">
        <v>0.24075666380051594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2.4567006510256731E-3</v>
      </c>
      <c r="Z14">
        <v>3.6850509765385099E-2</v>
      </c>
      <c r="AA14">
        <v>0</v>
      </c>
      <c r="AB14">
        <v>0</v>
      </c>
      <c r="AC14">
        <v>1.4740203906154038E-2</v>
      </c>
      <c r="AD14">
        <v>0</v>
      </c>
      <c r="AE14">
        <v>0</v>
      </c>
      <c r="AF14">
        <v>0</v>
      </c>
      <c r="AG14">
        <v>0</v>
      </c>
      <c r="AH14">
        <v>4.66773123694878E-2</v>
      </c>
      <c r="AI14">
        <v>2.4567006510256732E-2</v>
      </c>
      <c r="AJ14">
        <v>0</v>
      </c>
      <c r="AK14">
        <v>0</v>
      </c>
      <c r="AL14">
        <v>0</v>
      </c>
      <c r="AM14">
        <v>0</v>
      </c>
      <c r="AN14">
        <v>6.3997051959218801E-2</v>
      </c>
      <c r="AO14">
        <v>0</v>
      </c>
      <c r="AP14">
        <v>0</v>
      </c>
      <c r="AQ14">
        <v>0</v>
      </c>
      <c r="AR14">
        <v>0</v>
      </c>
      <c r="AS14">
        <v>5.4047414322564824E-2</v>
      </c>
      <c r="AT14">
        <v>6.7559267903206013E-3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4.9748188183269891E-2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0.17196904557179699</v>
      </c>
      <c r="CA14">
        <v>4.9134013020513461E-3</v>
      </c>
      <c r="CB14">
        <v>0</v>
      </c>
    </row>
    <row r="15" spans="1:80">
      <c r="A15">
        <v>14</v>
      </c>
      <c r="B15" s="4" t="s">
        <v>48</v>
      </c>
      <c r="C15" s="4" t="s">
        <v>162</v>
      </c>
      <c r="D15" s="4" t="s">
        <v>116</v>
      </c>
      <c r="E15" s="5">
        <v>39424</v>
      </c>
      <c r="F15" s="5">
        <v>39426</v>
      </c>
      <c r="G15">
        <v>712</v>
      </c>
      <c r="H15" s="4" t="s">
        <v>110</v>
      </c>
      <c r="I15" s="4" t="s">
        <v>108</v>
      </c>
      <c r="J15" s="4" t="str">
        <f t="shared" si="0"/>
        <v>u_rem.c_con</v>
      </c>
      <c r="K15" s="5">
        <v>8</v>
      </c>
      <c r="L15">
        <v>6.5336600163341502E-2</v>
      </c>
      <c r="M15">
        <v>0.14479057286197636</v>
      </c>
      <c r="N15">
        <v>0.38268580095671456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9.3338000233345007E-3</v>
      </c>
      <c r="Z15">
        <v>0.11667250029168123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1.4000700035001751E-2</v>
      </c>
      <c r="AI15">
        <v>6.0669700151674257E-2</v>
      </c>
      <c r="AJ15">
        <v>7.0003500175008756E-3</v>
      </c>
      <c r="AK15">
        <v>0</v>
      </c>
      <c r="AL15">
        <v>4.6669000116672504E-3</v>
      </c>
      <c r="AM15">
        <v>0</v>
      </c>
      <c r="AN15">
        <v>3.5351767588379428E-2</v>
      </c>
      <c r="AO15">
        <v>0</v>
      </c>
      <c r="AP15">
        <v>0</v>
      </c>
      <c r="AQ15">
        <v>0</v>
      </c>
      <c r="AR15">
        <v>0</v>
      </c>
      <c r="AS15">
        <v>2.566795006416988E-2</v>
      </c>
      <c r="AT15">
        <v>4.4802240112005613E-2</v>
      </c>
      <c r="AU15">
        <v>0</v>
      </c>
      <c r="AV15">
        <v>0</v>
      </c>
      <c r="AW15">
        <v>1.1667250029168127E-2</v>
      </c>
      <c r="AX15">
        <v>4.6669000116672504E-3</v>
      </c>
      <c r="AY15">
        <v>0</v>
      </c>
      <c r="AZ15">
        <v>0</v>
      </c>
      <c r="BA15">
        <v>4.7019017617547558E-2</v>
      </c>
      <c r="BB15">
        <v>0</v>
      </c>
      <c r="BC15">
        <v>0</v>
      </c>
      <c r="BD15">
        <v>0</v>
      </c>
      <c r="BE15">
        <v>2.3334500058336252E-3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9.3338000233345007E-3</v>
      </c>
      <c r="CB15">
        <v>1.1667250029168127E-2</v>
      </c>
    </row>
    <row r="16" spans="1:80">
      <c r="A16">
        <v>15</v>
      </c>
      <c r="B16" s="4" t="s">
        <v>49</v>
      </c>
      <c r="C16" s="4" t="s">
        <v>162</v>
      </c>
      <c r="D16" s="4" t="s">
        <v>116</v>
      </c>
      <c r="E16" s="5">
        <v>39424</v>
      </c>
      <c r="F16" s="5">
        <v>39426</v>
      </c>
      <c r="G16">
        <v>712</v>
      </c>
      <c r="H16" s="4" t="s">
        <v>110</v>
      </c>
      <c r="I16" s="4" t="s">
        <v>109</v>
      </c>
      <c r="J16" s="4" t="str">
        <f t="shared" si="0"/>
        <v>u_rem.c_rem</v>
      </c>
      <c r="K16" s="5">
        <v>1</v>
      </c>
      <c r="L16">
        <v>8.7408457358847141E-2</v>
      </c>
      <c r="M16">
        <v>0.36617056461138664</v>
      </c>
      <c r="N16">
        <v>0.21733994802740364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2.8348688873139613E-2</v>
      </c>
      <c r="Z16">
        <v>3.0711079612567915E-2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2.3623907394283009E-2</v>
      </c>
      <c r="AI16">
        <v>7.0871722182849033E-3</v>
      </c>
      <c r="AJ16">
        <v>0</v>
      </c>
      <c r="AK16">
        <v>2.3623907394283014E-3</v>
      </c>
      <c r="AL16">
        <v>0</v>
      </c>
      <c r="AM16">
        <v>0</v>
      </c>
      <c r="AN16">
        <v>6.6619418851878109E-2</v>
      </c>
      <c r="AO16">
        <v>0</v>
      </c>
      <c r="AP16">
        <v>0</v>
      </c>
      <c r="AQ16">
        <v>0</v>
      </c>
      <c r="AR16">
        <v>0</v>
      </c>
      <c r="AS16">
        <v>6.1422159225135831E-2</v>
      </c>
      <c r="AT16">
        <v>4.5003543586109147E-2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3.0829199149539327E-2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9.4495629577132055E-3</v>
      </c>
      <c r="CA16">
        <v>7.0871722182849033E-3</v>
      </c>
      <c r="CB16">
        <v>1.6536735175998105E-2</v>
      </c>
    </row>
    <row r="17" spans="1:80">
      <c r="A17">
        <v>16</v>
      </c>
      <c r="B17" s="4" t="s">
        <v>50</v>
      </c>
      <c r="C17" s="4" t="s">
        <v>162</v>
      </c>
      <c r="D17" s="4" t="s">
        <v>116</v>
      </c>
      <c r="E17" s="5">
        <v>39424</v>
      </c>
      <c r="F17" s="5">
        <v>39426</v>
      </c>
      <c r="G17">
        <v>712</v>
      </c>
      <c r="H17" s="4" t="s">
        <v>110</v>
      </c>
      <c r="I17" s="4" t="s">
        <v>109</v>
      </c>
      <c r="J17" s="4" t="str">
        <f t="shared" si="0"/>
        <v>u_rem.c_rem</v>
      </c>
      <c r="K17" s="5">
        <v>1</v>
      </c>
      <c r="L17">
        <v>7.3855243722304287E-2</v>
      </c>
      <c r="M17">
        <v>0.14524864598719836</v>
      </c>
      <c r="N17">
        <v>0.15509601181683899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2.4618414574101428E-2</v>
      </c>
      <c r="Z17">
        <v>6.8931560807484013E-2</v>
      </c>
      <c r="AA17">
        <v>2.461841457410143E-3</v>
      </c>
      <c r="AB17">
        <v>0</v>
      </c>
      <c r="AC17">
        <v>4.9236829148202859E-3</v>
      </c>
      <c r="AD17">
        <v>0</v>
      </c>
      <c r="AE17">
        <v>2.461841457410143E-3</v>
      </c>
      <c r="AF17">
        <v>0</v>
      </c>
      <c r="AG17">
        <v>0</v>
      </c>
      <c r="AH17">
        <v>2.2156573116691284E-2</v>
      </c>
      <c r="AI17">
        <v>1.4771048744460858E-2</v>
      </c>
      <c r="AJ17">
        <v>0.14524864598719844</v>
      </c>
      <c r="AK17">
        <v>0</v>
      </c>
      <c r="AL17">
        <v>0</v>
      </c>
      <c r="AM17">
        <v>0</v>
      </c>
      <c r="AN17">
        <v>2.227966518956179E-2</v>
      </c>
      <c r="AO17">
        <v>0</v>
      </c>
      <c r="AP17">
        <v>0</v>
      </c>
      <c r="AQ17">
        <v>0</v>
      </c>
      <c r="AR17">
        <v>0</v>
      </c>
      <c r="AS17">
        <v>1.9694731659281144E-2</v>
      </c>
      <c r="AT17">
        <v>2.4864598719842444E-2</v>
      </c>
      <c r="AU17">
        <v>0.11078286558345643</v>
      </c>
      <c r="AV17">
        <v>0</v>
      </c>
      <c r="AW17">
        <v>0</v>
      </c>
      <c r="AX17">
        <v>2.461841457410143E-3</v>
      </c>
      <c r="AY17">
        <v>0</v>
      </c>
      <c r="AZ17">
        <v>0</v>
      </c>
      <c r="BA17">
        <v>6.6592811422944362E-2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7.3855243722304289E-3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7.8778926637124574E-2</v>
      </c>
      <c r="CB17">
        <v>7.3855243722304289E-3</v>
      </c>
    </row>
    <row r="18" spans="1:80">
      <c r="A18">
        <v>17</v>
      </c>
      <c r="B18" s="4" t="s">
        <v>51</v>
      </c>
      <c r="C18" s="4" t="s">
        <v>163</v>
      </c>
      <c r="D18" s="4" t="s">
        <v>116</v>
      </c>
      <c r="E18" s="5">
        <v>39424</v>
      </c>
      <c r="F18" s="5">
        <v>39426</v>
      </c>
      <c r="G18">
        <v>712</v>
      </c>
      <c r="H18" s="4" t="s">
        <v>107</v>
      </c>
      <c r="I18" s="4" t="s">
        <v>109</v>
      </c>
      <c r="J18" s="4" t="str">
        <f t="shared" si="0"/>
        <v>u_con.c_rem</v>
      </c>
      <c r="K18" s="5">
        <v>2</v>
      </c>
      <c r="L18">
        <v>2.0222446916076848E-2</v>
      </c>
      <c r="M18">
        <v>6.2914279294461306E-2</v>
      </c>
      <c r="N18">
        <v>0.14380406695876863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0.33029996629592184</v>
      </c>
      <c r="Z18">
        <v>2.9210201100999891E-2</v>
      </c>
      <c r="AA18">
        <v>0</v>
      </c>
      <c r="AB18">
        <v>0</v>
      </c>
      <c r="AC18">
        <v>0</v>
      </c>
      <c r="AD18">
        <v>0</v>
      </c>
      <c r="AE18">
        <v>8.9877541849230445E-3</v>
      </c>
      <c r="AF18">
        <v>0</v>
      </c>
      <c r="AG18">
        <v>0</v>
      </c>
      <c r="AH18">
        <v>2.0222446916076848E-2</v>
      </c>
      <c r="AI18">
        <v>7.639591057184586E-2</v>
      </c>
      <c r="AJ18">
        <v>2.6963262554769128E-2</v>
      </c>
      <c r="AK18">
        <v>2.9210201100999891E-2</v>
      </c>
      <c r="AL18">
        <v>2.2469385462307611E-3</v>
      </c>
      <c r="AM18">
        <v>0</v>
      </c>
      <c r="AN18">
        <v>2.0222446916076844E-2</v>
      </c>
      <c r="AO18">
        <v>0</v>
      </c>
      <c r="AP18">
        <v>0</v>
      </c>
      <c r="AQ18">
        <v>0</v>
      </c>
      <c r="AR18">
        <v>0</v>
      </c>
      <c r="AS18">
        <v>0.17750814515223007</v>
      </c>
      <c r="AT18">
        <v>4.7298056398157526E-2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4.4938770924615222E-3</v>
      </c>
      <c r="CA18">
        <v>0</v>
      </c>
      <c r="CB18">
        <v>0</v>
      </c>
    </row>
    <row r="19" spans="1:80">
      <c r="A19">
        <v>18</v>
      </c>
      <c r="B19" s="4" t="s">
        <v>52</v>
      </c>
      <c r="C19" s="4" t="s">
        <v>163</v>
      </c>
      <c r="D19" s="4" t="s">
        <v>116</v>
      </c>
      <c r="E19" s="5">
        <v>39424</v>
      </c>
      <c r="F19" s="5">
        <v>39426</v>
      </c>
      <c r="G19">
        <v>712</v>
      </c>
      <c r="H19" s="4" t="s">
        <v>107</v>
      </c>
      <c r="I19" s="4" t="s">
        <v>109</v>
      </c>
      <c r="J19" s="4" t="str">
        <f t="shared" si="0"/>
        <v>u_con.c_rem</v>
      </c>
      <c r="K19" s="5">
        <v>2</v>
      </c>
      <c r="L19">
        <v>8.6569379173880814E-2</v>
      </c>
      <c r="M19">
        <v>8.4095968340341345E-2</v>
      </c>
      <c r="N19">
        <v>0.24981449418748458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1.9787286668315609E-2</v>
      </c>
      <c r="Z19">
        <v>0.13109077417759091</v>
      </c>
      <c r="AA19">
        <v>2.4734108335394515E-4</v>
      </c>
      <c r="AB19">
        <v>0</v>
      </c>
      <c r="AC19">
        <v>0</v>
      </c>
      <c r="AD19">
        <v>0</v>
      </c>
      <c r="AE19">
        <v>2.4734108335394515E-3</v>
      </c>
      <c r="AF19">
        <v>0</v>
      </c>
      <c r="AG19">
        <v>0</v>
      </c>
      <c r="AH19">
        <v>1.7313875834776157E-2</v>
      </c>
      <c r="AI19">
        <v>3.7101162503091777E-2</v>
      </c>
      <c r="AJ19">
        <v>5.4415038337867948E-2</v>
      </c>
      <c r="AK19">
        <v>0</v>
      </c>
      <c r="AL19">
        <v>0</v>
      </c>
      <c r="AM19">
        <v>0</v>
      </c>
      <c r="AN19">
        <v>6.4432352213702734E-2</v>
      </c>
      <c r="AO19">
        <v>0</v>
      </c>
      <c r="AP19">
        <v>0</v>
      </c>
      <c r="AQ19">
        <v>0</v>
      </c>
      <c r="AR19">
        <v>0</v>
      </c>
      <c r="AS19">
        <v>0.1014098441751175</v>
      </c>
      <c r="AT19">
        <v>2.7454860252287907E-2</v>
      </c>
      <c r="AU19">
        <v>0</v>
      </c>
      <c r="AV19">
        <v>0</v>
      </c>
      <c r="AW19">
        <v>2.4734108335394515E-3</v>
      </c>
      <c r="AX19">
        <v>2.4734108335394515E-3</v>
      </c>
      <c r="AY19">
        <v>4.9468216670789031E-3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2.5970813752164241E-3</v>
      </c>
      <c r="CA19">
        <v>0.1113034875092753</v>
      </c>
      <c r="CB19">
        <v>0</v>
      </c>
    </row>
    <row r="20" spans="1:80">
      <c r="A20">
        <v>19</v>
      </c>
      <c r="B20" s="4" t="s">
        <v>53</v>
      </c>
      <c r="C20" s="4" t="s">
        <v>163</v>
      </c>
      <c r="D20" s="4" t="s">
        <v>116</v>
      </c>
      <c r="E20" s="5">
        <v>39424</v>
      </c>
      <c r="F20" s="5">
        <v>39426</v>
      </c>
      <c r="G20">
        <v>712</v>
      </c>
      <c r="H20" s="4" t="s">
        <v>107</v>
      </c>
      <c r="I20" s="4" t="s">
        <v>108</v>
      </c>
      <c r="J20" s="4" t="str">
        <f t="shared" si="0"/>
        <v>u_con.c_con</v>
      </c>
      <c r="K20" s="5">
        <v>19</v>
      </c>
      <c r="L20">
        <v>4.0122728345527513E-2</v>
      </c>
      <c r="M20">
        <v>6.1600188812839296E-2</v>
      </c>
      <c r="N20">
        <v>0.16332310597120595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8.0245456691054998E-2</v>
      </c>
      <c r="Z20">
        <v>0.18409251829124382</v>
      </c>
      <c r="AA20">
        <v>6.3724333254661342E-2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4.7203209818267658E-3</v>
      </c>
      <c r="AI20">
        <v>3.3042246872787354E-2</v>
      </c>
      <c r="AJ20">
        <v>0</v>
      </c>
      <c r="AK20">
        <v>7.0804814727401478E-3</v>
      </c>
      <c r="AL20">
        <v>2.3601604909133829E-3</v>
      </c>
      <c r="AM20">
        <v>0</v>
      </c>
      <c r="AN20">
        <v>1.6639131460939347E-2</v>
      </c>
      <c r="AO20">
        <v>0</v>
      </c>
      <c r="AP20">
        <v>0</v>
      </c>
      <c r="AQ20">
        <v>0</v>
      </c>
      <c r="AR20">
        <v>0</v>
      </c>
      <c r="AS20">
        <v>0.11092754307292897</v>
      </c>
      <c r="AT20">
        <v>1.2390842577295259E-2</v>
      </c>
      <c r="AU20">
        <v>2.8439933915506262E-2</v>
      </c>
      <c r="AV20">
        <v>0</v>
      </c>
      <c r="AW20">
        <v>2.3601604909133829E-3</v>
      </c>
      <c r="AX20">
        <v>2.3601604909133829E-3</v>
      </c>
      <c r="AY20">
        <v>0</v>
      </c>
      <c r="AZ20">
        <v>0</v>
      </c>
      <c r="BA20">
        <v>1.1800802454566914E-4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2.3601604909133829E-3</v>
      </c>
      <c r="BW20">
        <v>0</v>
      </c>
      <c r="BX20">
        <v>0</v>
      </c>
      <c r="BY20">
        <v>0</v>
      </c>
      <c r="BZ20">
        <v>7.0804814727401487E-3</v>
      </c>
      <c r="CA20">
        <v>0.17701203681850367</v>
      </c>
      <c r="CB20">
        <v>0</v>
      </c>
    </row>
    <row r="21" spans="1:80">
      <c r="A21">
        <v>20</v>
      </c>
      <c r="B21" s="4" t="s">
        <v>54</v>
      </c>
      <c r="C21" s="4" t="s">
        <v>163</v>
      </c>
      <c r="D21" s="4" t="s">
        <v>116</v>
      </c>
      <c r="E21" s="5">
        <v>39424</v>
      </c>
      <c r="F21" s="5">
        <v>39426</v>
      </c>
      <c r="G21">
        <v>712</v>
      </c>
      <c r="H21" s="4" t="s">
        <v>107</v>
      </c>
      <c r="I21" s="4" t="s">
        <v>108</v>
      </c>
      <c r="J21" s="4" t="str">
        <f t="shared" si="0"/>
        <v>u_con.c_con</v>
      </c>
      <c r="K21" s="5">
        <v>19</v>
      </c>
      <c r="L21">
        <v>6.8894247330347925E-3</v>
      </c>
      <c r="M21">
        <v>3.9154897232747732E-2</v>
      </c>
      <c r="N21">
        <v>0.14284073946492129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3.2150648754162355E-2</v>
      </c>
      <c r="Z21">
        <v>0.39499368469399476</v>
      </c>
      <c r="AA21">
        <v>2.2964749110115971E-3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9.1858996440463882E-3</v>
      </c>
      <c r="AI21">
        <v>4.5929498220231941E-3</v>
      </c>
      <c r="AJ21">
        <v>1.1482374555057986E-2</v>
      </c>
      <c r="AK21">
        <v>4.5929498220231941E-3</v>
      </c>
      <c r="AL21">
        <v>6.8894247330347907E-3</v>
      </c>
      <c r="AM21">
        <v>0</v>
      </c>
      <c r="AN21">
        <v>3.2265472499712941E-2</v>
      </c>
      <c r="AO21">
        <v>0</v>
      </c>
      <c r="AP21">
        <v>0</v>
      </c>
      <c r="AQ21">
        <v>0</v>
      </c>
      <c r="AR21">
        <v>0</v>
      </c>
      <c r="AS21">
        <v>0.10357101848662302</v>
      </c>
      <c r="AT21">
        <v>1.1482374555057986E-4</v>
      </c>
      <c r="AU21">
        <v>0</v>
      </c>
      <c r="AV21">
        <v>0</v>
      </c>
      <c r="AW21">
        <v>4.5929498220231941E-3</v>
      </c>
      <c r="AX21">
        <v>2.2964749110115971E-3</v>
      </c>
      <c r="AY21">
        <v>0</v>
      </c>
      <c r="AZ21">
        <v>4.5929498220231941E-3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0.1974968423469973</v>
      </c>
      <c r="CB21">
        <v>0</v>
      </c>
    </row>
    <row r="22" spans="1:80">
      <c r="A22">
        <v>21</v>
      </c>
      <c r="B22" s="4" t="s">
        <v>55</v>
      </c>
      <c r="C22" s="4" t="s">
        <v>164</v>
      </c>
      <c r="D22" s="4" t="s">
        <v>116</v>
      </c>
      <c r="E22" s="5">
        <v>39424</v>
      </c>
      <c r="F22" s="5">
        <v>39426</v>
      </c>
      <c r="G22">
        <v>712</v>
      </c>
      <c r="H22" s="4" t="s">
        <v>110</v>
      </c>
      <c r="I22" s="4" t="s">
        <v>108</v>
      </c>
      <c r="J22" s="4" t="str">
        <f t="shared" si="0"/>
        <v>u_rem.c_con</v>
      </c>
      <c r="K22" s="5">
        <v>8</v>
      </c>
      <c r="L22">
        <v>0</v>
      </c>
      <c r="M22">
        <v>3.4242910647405027E-2</v>
      </c>
      <c r="N22">
        <v>3.8523274478330656E-2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0.77688603531300127</v>
      </c>
      <c r="Z22">
        <v>2.1401819154628142E-3</v>
      </c>
      <c r="AA22">
        <v>0</v>
      </c>
      <c r="AB22">
        <v>0</v>
      </c>
      <c r="AC22">
        <v>2.1401819154628142E-3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6.2065275548421603E-2</v>
      </c>
      <c r="AM22">
        <v>0</v>
      </c>
      <c r="AN22">
        <v>2.8357410379882285E-2</v>
      </c>
      <c r="AO22">
        <v>0</v>
      </c>
      <c r="AP22">
        <v>0</v>
      </c>
      <c r="AQ22">
        <v>0</v>
      </c>
      <c r="AR22">
        <v>0</v>
      </c>
      <c r="AS22">
        <v>3.2102728731942212E-2</v>
      </c>
      <c r="AT22">
        <v>0</v>
      </c>
      <c r="AU22">
        <v>0</v>
      </c>
      <c r="AV22">
        <v>0</v>
      </c>
      <c r="AW22">
        <v>4.2803638309256284E-3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6.4205457463884412E-3</v>
      </c>
      <c r="CA22">
        <v>1.2841091492776882E-2</v>
      </c>
      <c r="CB22">
        <v>0</v>
      </c>
    </row>
    <row r="23" spans="1:80">
      <c r="A23">
        <v>22</v>
      </c>
      <c r="B23" s="4" t="s">
        <v>56</v>
      </c>
      <c r="C23" s="4" t="s">
        <v>164</v>
      </c>
      <c r="D23" s="4" t="s">
        <v>116</v>
      </c>
      <c r="E23" s="5">
        <v>39424</v>
      </c>
      <c r="F23" s="5">
        <v>39426</v>
      </c>
      <c r="G23">
        <v>712</v>
      </c>
      <c r="H23" s="4" t="s">
        <v>110</v>
      </c>
      <c r="I23" s="4" t="s">
        <v>109</v>
      </c>
      <c r="J23" s="4" t="str">
        <f t="shared" si="0"/>
        <v>u_rem.c_rem</v>
      </c>
      <c r="K23" s="5">
        <v>1</v>
      </c>
      <c r="L23">
        <v>0</v>
      </c>
      <c r="M23">
        <v>2.2358859698155403E-3</v>
      </c>
      <c r="N23">
        <v>0.2034656232532141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0.52319731693683613</v>
      </c>
      <c r="Z23">
        <v>5.8133035215204042E-2</v>
      </c>
      <c r="AA23">
        <v>6.707657909446621E-3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3.5774175517048645E-2</v>
      </c>
      <c r="AI23">
        <v>3.1302403577417565E-2</v>
      </c>
      <c r="AJ23">
        <v>0</v>
      </c>
      <c r="AK23">
        <v>0</v>
      </c>
      <c r="AL23">
        <v>0</v>
      </c>
      <c r="AM23">
        <v>0</v>
      </c>
      <c r="AN23">
        <v>2.045835662381219E-2</v>
      </c>
      <c r="AO23">
        <v>0</v>
      </c>
      <c r="AP23">
        <v>0</v>
      </c>
      <c r="AQ23">
        <v>0</v>
      </c>
      <c r="AR23">
        <v>0</v>
      </c>
      <c r="AS23">
        <v>4.4829513694801586E-2</v>
      </c>
      <c r="AT23">
        <v>4.5835662381218572E-3</v>
      </c>
      <c r="AU23">
        <v>0</v>
      </c>
      <c r="AV23">
        <v>0</v>
      </c>
      <c r="AW23">
        <v>4.4717719396310807E-3</v>
      </c>
      <c r="AX23">
        <v>0</v>
      </c>
      <c r="AY23">
        <v>0</v>
      </c>
      <c r="AZ23">
        <v>0</v>
      </c>
      <c r="BA23">
        <v>1.11794298490777E-2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2.2358859698155403E-3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3.1302403577417572E-2</v>
      </c>
      <c r="CA23">
        <v>2.012297372833986E-2</v>
      </c>
      <c r="CB23">
        <v>0</v>
      </c>
    </row>
    <row r="24" spans="1:80">
      <c r="A24">
        <v>23</v>
      </c>
      <c r="B24" s="4" t="s">
        <v>57</v>
      </c>
      <c r="C24" s="4" t="s">
        <v>164</v>
      </c>
      <c r="D24" s="4" t="s">
        <v>116</v>
      </c>
      <c r="E24" s="5">
        <v>39424</v>
      </c>
      <c r="F24" s="5">
        <v>39426</v>
      </c>
      <c r="G24">
        <v>712</v>
      </c>
      <c r="H24" s="4" t="s">
        <v>110</v>
      </c>
      <c r="I24" s="4" t="s">
        <v>108</v>
      </c>
      <c r="J24" s="4" t="str">
        <f t="shared" si="0"/>
        <v>u_rem.c_con</v>
      </c>
      <c r="K24" s="5">
        <v>8</v>
      </c>
      <c r="L24">
        <v>9.0405695558820227E-3</v>
      </c>
      <c r="M24">
        <v>4.6332918973895371E-3</v>
      </c>
      <c r="N24">
        <v>6.7804271669115165E-2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0.55147474290880338</v>
      </c>
      <c r="Z24">
        <v>0.11300711944852528</v>
      </c>
      <c r="AA24">
        <v>9.0405695558820227E-3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1.1300711944852528E-2</v>
      </c>
      <c r="AI24">
        <v>0</v>
      </c>
      <c r="AJ24">
        <v>0</v>
      </c>
      <c r="AK24">
        <v>0</v>
      </c>
      <c r="AL24">
        <v>4.0682563001469101E-2</v>
      </c>
      <c r="AM24">
        <v>0</v>
      </c>
      <c r="AN24">
        <v>1.4012882811617135E-2</v>
      </c>
      <c r="AO24">
        <v>0</v>
      </c>
      <c r="AP24">
        <v>0</v>
      </c>
      <c r="AQ24">
        <v>0</v>
      </c>
      <c r="AR24">
        <v>0</v>
      </c>
      <c r="AS24">
        <v>4.9723132557351127E-2</v>
      </c>
      <c r="AT24">
        <v>2.5991637473160817E-3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1.1300711944852529E-4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2.2601423889705057E-3</v>
      </c>
      <c r="BV24">
        <v>0</v>
      </c>
      <c r="BW24">
        <v>0</v>
      </c>
      <c r="BX24">
        <v>0</v>
      </c>
      <c r="BY24">
        <v>0</v>
      </c>
      <c r="BZ24">
        <v>2.2601423889705057E-3</v>
      </c>
      <c r="CA24">
        <v>0.12204768900440731</v>
      </c>
      <c r="CB24">
        <v>0</v>
      </c>
    </row>
    <row r="25" spans="1:80">
      <c r="A25">
        <v>24</v>
      </c>
      <c r="B25" s="4" t="s">
        <v>58</v>
      </c>
      <c r="C25" s="4" t="s">
        <v>164</v>
      </c>
      <c r="D25" s="4" t="s">
        <v>116</v>
      </c>
      <c r="E25" s="5">
        <v>39424</v>
      </c>
      <c r="F25" s="5">
        <v>39426</v>
      </c>
      <c r="G25">
        <v>712</v>
      </c>
      <c r="H25" s="4" t="s">
        <v>110</v>
      </c>
      <c r="I25" s="4" t="s">
        <v>109</v>
      </c>
      <c r="J25" s="4" t="str">
        <f t="shared" si="0"/>
        <v>u_rem.c_rem</v>
      </c>
      <c r="K25" s="5">
        <v>1</v>
      </c>
      <c r="L25">
        <v>2.2165576859137768E-3</v>
      </c>
      <c r="M25">
        <v>6.6496730577413291E-3</v>
      </c>
      <c r="N25">
        <v>0.17732461487310211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0.46547711404189324</v>
      </c>
      <c r="Z25">
        <v>7.7579519006982164E-2</v>
      </c>
      <c r="AA25">
        <v>1.9949019173223986E-2</v>
      </c>
      <c r="AB25">
        <v>0</v>
      </c>
      <c r="AC25">
        <v>0</v>
      </c>
      <c r="AD25">
        <v>0</v>
      </c>
      <c r="AE25">
        <v>6.2063615205585745E-2</v>
      </c>
      <c r="AF25">
        <v>0</v>
      </c>
      <c r="AG25">
        <v>0</v>
      </c>
      <c r="AH25">
        <v>6.6496730577413309E-3</v>
      </c>
      <c r="AI25">
        <v>6.6496730577413291E-3</v>
      </c>
      <c r="AJ25">
        <v>0</v>
      </c>
      <c r="AK25">
        <v>0</v>
      </c>
      <c r="AL25">
        <v>3.3248365288706651E-2</v>
      </c>
      <c r="AM25">
        <v>0</v>
      </c>
      <c r="AN25">
        <v>1.5737559569987812E-2</v>
      </c>
      <c r="AO25">
        <v>0</v>
      </c>
      <c r="AP25">
        <v>0</v>
      </c>
      <c r="AQ25">
        <v>0</v>
      </c>
      <c r="AR25">
        <v>0</v>
      </c>
      <c r="AS25">
        <v>4.6547711404189319E-2</v>
      </c>
      <c r="AT25">
        <v>2.3273855702094655E-3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2.2165576859137768E-3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1.1082788429568882E-2</v>
      </c>
      <c r="CA25">
        <v>6.428017289149951E-2</v>
      </c>
      <c r="CB25">
        <v>0</v>
      </c>
    </row>
    <row r="26" spans="1:80">
      <c r="A26">
        <v>25</v>
      </c>
      <c r="B26" s="4" t="s">
        <v>59</v>
      </c>
      <c r="C26" s="4" t="s">
        <v>165</v>
      </c>
      <c r="D26" s="4" t="s">
        <v>117</v>
      </c>
      <c r="E26" s="5">
        <v>39426</v>
      </c>
      <c r="F26" s="5">
        <v>39426</v>
      </c>
      <c r="G26">
        <v>712</v>
      </c>
      <c r="H26" s="4" t="s">
        <v>107</v>
      </c>
      <c r="I26" s="4" t="s">
        <v>109</v>
      </c>
      <c r="J26" s="4" t="str">
        <f t="shared" si="0"/>
        <v>u_con.c_rem</v>
      </c>
      <c r="K26" s="5">
        <v>2</v>
      </c>
      <c r="L26">
        <v>0</v>
      </c>
      <c r="M26">
        <v>0.14953271028037388</v>
      </c>
      <c r="N26">
        <v>1.401869158878505E-2</v>
      </c>
      <c r="O26">
        <v>0</v>
      </c>
      <c r="P26">
        <v>7.7102803738317766E-2</v>
      </c>
      <c r="Q26">
        <v>2.3364485981308418E-3</v>
      </c>
      <c r="R26">
        <v>0.24766355140186921</v>
      </c>
      <c r="S26">
        <v>0</v>
      </c>
      <c r="T26">
        <v>0</v>
      </c>
      <c r="U26">
        <v>1.401869158878505E-2</v>
      </c>
      <c r="V26">
        <v>0</v>
      </c>
      <c r="W26">
        <v>0</v>
      </c>
      <c r="X26">
        <v>0</v>
      </c>
      <c r="Y26">
        <v>0.22196261682242996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7.009345794392525E-3</v>
      </c>
      <c r="AF26">
        <v>0</v>
      </c>
      <c r="AG26">
        <v>0</v>
      </c>
      <c r="AH26">
        <v>0</v>
      </c>
      <c r="AI26">
        <v>0</v>
      </c>
      <c r="AJ26">
        <v>0.10280373831775701</v>
      </c>
      <c r="AK26">
        <v>0</v>
      </c>
      <c r="AL26">
        <v>0.13084112149532715</v>
      </c>
      <c r="AM26">
        <v>0</v>
      </c>
      <c r="AN26">
        <v>2.3364485981308418E-3</v>
      </c>
      <c r="AO26">
        <v>0</v>
      </c>
      <c r="AP26">
        <v>0</v>
      </c>
      <c r="AQ26">
        <v>0</v>
      </c>
      <c r="AR26">
        <v>0</v>
      </c>
      <c r="AS26">
        <v>2.3364485981308418E-3</v>
      </c>
      <c r="AT26">
        <v>0</v>
      </c>
      <c r="AU26">
        <v>0</v>
      </c>
      <c r="AV26">
        <v>0</v>
      </c>
      <c r="AW26">
        <v>0</v>
      </c>
      <c r="AX26">
        <v>2.3364485981308418E-3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2.3364485981308418E-3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7.009345794392525E-3</v>
      </c>
      <c r="CB26">
        <v>1.635514018691589E-2</v>
      </c>
    </row>
    <row r="27" spans="1:80">
      <c r="A27">
        <v>26</v>
      </c>
      <c r="B27" s="4" t="s">
        <v>60</v>
      </c>
      <c r="C27" s="4" t="s">
        <v>165</v>
      </c>
      <c r="D27" s="4" t="s">
        <v>117</v>
      </c>
      <c r="E27" s="5">
        <v>39426</v>
      </c>
      <c r="F27" s="5">
        <v>39426</v>
      </c>
      <c r="G27">
        <v>712</v>
      </c>
      <c r="H27" s="4" t="s">
        <v>107</v>
      </c>
      <c r="I27" s="4" t="s">
        <v>108</v>
      </c>
      <c r="J27" s="4" t="str">
        <f t="shared" si="0"/>
        <v>u_con.c_con</v>
      </c>
      <c r="K27" s="5">
        <v>19</v>
      </c>
      <c r="L27">
        <v>2.1786492374727662E-3</v>
      </c>
      <c r="M27">
        <v>0.44444444444444436</v>
      </c>
      <c r="N27">
        <v>2.1786492374727662E-3</v>
      </c>
      <c r="O27">
        <v>0</v>
      </c>
      <c r="P27">
        <v>0</v>
      </c>
      <c r="Q27">
        <v>2.1786492374727662E-3</v>
      </c>
      <c r="R27">
        <v>0.23311546840958597</v>
      </c>
      <c r="S27">
        <v>0</v>
      </c>
      <c r="T27">
        <v>6.5359477124183E-3</v>
      </c>
      <c r="U27">
        <v>4.3572984749455325E-3</v>
      </c>
      <c r="V27">
        <v>0</v>
      </c>
      <c r="W27">
        <v>0</v>
      </c>
      <c r="X27">
        <v>0</v>
      </c>
      <c r="Y27">
        <v>0.28322440087145967</v>
      </c>
      <c r="Z27">
        <v>0</v>
      </c>
      <c r="AA27">
        <v>0</v>
      </c>
      <c r="AB27">
        <v>0</v>
      </c>
      <c r="AC27">
        <v>4.3572984749455325E-3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6.5359477124183E-3</v>
      </c>
      <c r="AM27">
        <v>0</v>
      </c>
      <c r="AN27">
        <v>8.7145969498910649E-3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2.1786492374727662E-3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 spans="1:80">
      <c r="A28">
        <v>27</v>
      </c>
      <c r="B28" s="4" t="s">
        <v>61</v>
      </c>
      <c r="C28" s="4" t="s">
        <v>165</v>
      </c>
      <c r="D28" s="4" t="s">
        <v>117</v>
      </c>
      <c r="E28" s="5">
        <v>39426</v>
      </c>
      <c r="F28" s="5">
        <v>39426</v>
      </c>
      <c r="G28">
        <v>712</v>
      </c>
      <c r="H28" s="4" t="s">
        <v>107</v>
      </c>
      <c r="I28" s="4" t="s">
        <v>109</v>
      </c>
      <c r="J28" s="4" t="str">
        <f t="shared" si="0"/>
        <v>u_con.c_rem</v>
      </c>
      <c r="K28" s="5">
        <v>2</v>
      </c>
      <c r="L28">
        <v>0</v>
      </c>
      <c r="M28">
        <v>0.31817163343042804</v>
      </c>
      <c r="N28">
        <v>1.5684517140936594E-2</v>
      </c>
      <c r="O28">
        <v>0</v>
      </c>
      <c r="P28">
        <v>0</v>
      </c>
      <c r="Q28">
        <v>4.48129061169617E-3</v>
      </c>
      <c r="R28">
        <v>2.2406453058480848E-2</v>
      </c>
      <c r="S28">
        <v>0</v>
      </c>
      <c r="T28">
        <v>2.240645305848085E-3</v>
      </c>
      <c r="U28">
        <v>1.8037194712077081E-2</v>
      </c>
      <c r="V28">
        <v>0</v>
      </c>
      <c r="W28">
        <v>0</v>
      </c>
      <c r="X28">
        <v>0</v>
      </c>
      <c r="Y28">
        <v>0.20165807752632756</v>
      </c>
      <c r="Z28">
        <v>0</v>
      </c>
      <c r="AA28">
        <v>0</v>
      </c>
      <c r="AB28">
        <v>0</v>
      </c>
      <c r="AC28">
        <v>1.7925162446784677E-2</v>
      </c>
      <c r="AD28">
        <v>0</v>
      </c>
      <c r="AE28">
        <v>8.9625812233923401E-3</v>
      </c>
      <c r="AF28">
        <v>0</v>
      </c>
      <c r="AG28">
        <v>0</v>
      </c>
      <c r="AH28">
        <v>4.48129061169617E-3</v>
      </c>
      <c r="AI28">
        <v>1.5684517140936594E-2</v>
      </c>
      <c r="AJ28">
        <v>0.30920905220703571</v>
      </c>
      <c r="AK28">
        <v>0</v>
      </c>
      <c r="AL28">
        <v>0</v>
      </c>
      <c r="AM28">
        <v>0</v>
      </c>
      <c r="AN28">
        <v>9.4107102845619565E-3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1.1203226529240424E-4</v>
      </c>
      <c r="AU28">
        <v>0</v>
      </c>
      <c r="AV28">
        <v>0</v>
      </c>
      <c r="AW28">
        <v>0</v>
      </c>
      <c r="AX28">
        <v>6.7219359175442542E-3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4.4812906116961704E-2</v>
      </c>
      <c r="CB28">
        <v>0</v>
      </c>
    </row>
    <row r="29" spans="1:80">
      <c r="A29">
        <v>28</v>
      </c>
      <c r="B29" s="4" t="s">
        <v>62</v>
      </c>
      <c r="C29" s="4" t="s">
        <v>165</v>
      </c>
      <c r="D29" s="4" t="s">
        <v>117</v>
      </c>
      <c r="E29" s="5">
        <v>39426</v>
      </c>
      <c r="F29" s="5">
        <v>39426</v>
      </c>
      <c r="G29">
        <v>712</v>
      </c>
      <c r="H29" s="4" t="s">
        <v>107</v>
      </c>
      <c r="I29" s="4" t="s">
        <v>108</v>
      </c>
      <c r="J29" s="4" t="str">
        <f t="shared" si="0"/>
        <v>u_con.c_con</v>
      </c>
      <c r="K29" s="5">
        <v>19</v>
      </c>
      <c r="L29">
        <v>0</v>
      </c>
      <c r="M29">
        <v>1.0893246187363835E-2</v>
      </c>
      <c r="N29">
        <v>1.0893246187363835E-2</v>
      </c>
      <c r="O29">
        <v>0</v>
      </c>
      <c r="P29">
        <v>0</v>
      </c>
      <c r="Q29">
        <v>4.3572984749455342E-3</v>
      </c>
      <c r="R29">
        <v>0</v>
      </c>
      <c r="S29">
        <v>0</v>
      </c>
      <c r="T29">
        <v>0</v>
      </c>
      <c r="U29">
        <v>7.1895424836601302E-2</v>
      </c>
      <c r="V29">
        <v>0</v>
      </c>
      <c r="W29">
        <v>0</v>
      </c>
      <c r="X29">
        <v>0</v>
      </c>
      <c r="Y29">
        <v>0.43355119825708066</v>
      </c>
      <c r="Z29">
        <v>0</v>
      </c>
      <c r="AA29">
        <v>1.3071895424836603E-2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2.1786492374727671E-3</v>
      </c>
      <c r="AI29">
        <v>6.5359477124183009E-3</v>
      </c>
      <c r="AJ29">
        <v>0</v>
      </c>
      <c r="AK29">
        <v>0</v>
      </c>
      <c r="AL29">
        <v>0.41176470588235298</v>
      </c>
      <c r="AM29">
        <v>0</v>
      </c>
      <c r="AN29">
        <v>1.3071895424836602E-2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4.3572984749455342E-3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1.7429193899782137E-2</v>
      </c>
      <c r="CB29">
        <v>0</v>
      </c>
    </row>
    <row r="30" spans="1:80">
      <c r="A30">
        <v>29</v>
      </c>
      <c r="B30" s="4" t="s">
        <v>106</v>
      </c>
      <c r="C30" s="4" t="s">
        <v>166</v>
      </c>
      <c r="D30" s="4" t="s">
        <v>117</v>
      </c>
      <c r="E30" s="5">
        <v>39426</v>
      </c>
      <c r="F30" s="5">
        <v>39426</v>
      </c>
      <c r="G30">
        <v>712</v>
      </c>
      <c r="H30" s="4" t="s">
        <v>110</v>
      </c>
      <c r="I30" s="4" t="s">
        <v>109</v>
      </c>
      <c r="J30" s="4" t="str">
        <f t="shared" si="0"/>
        <v>u_rem.c_rem</v>
      </c>
      <c r="K30" s="5">
        <v>1</v>
      </c>
      <c r="L30">
        <v>6.4088869899594121E-3</v>
      </c>
      <c r="M30">
        <v>1.4954069643238624E-2</v>
      </c>
      <c r="N30">
        <v>0.23712881862849816</v>
      </c>
      <c r="O30">
        <v>0</v>
      </c>
      <c r="P30">
        <v>0</v>
      </c>
      <c r="Q30">
        <v>1.7090365306558428E-2</v>
      </c>
      <c r="R30">
        <v>0</v>
      </c>
      <c r="S30">
        <v>0</v>
      </c>
      <c r="T30">
        <v>1.2817773979918821E-2</v>
      </c>
      <c r="U30">
        <v>0</v>
      </c>
      <c r="V30">
        <v>0</v>
      </c>
      <c r="W30">
        <v>0</v>
      </c>
      <c r="X30">
        <v>0</v>
      </c>
      <c r="Y30">
        <v>0.446485793633839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2.1362956633198039E-3</v>
      </c>
      <c r="AJ30">
        <v>0.20935697500534073</v>
      </c>
      <c r="AK30">
        <v>0</v>
      </c>
      <c r="AL30">
        <v>3.4180730613116862E-2</v>
      </c>
      <c r="AM30">
        <v>0</v>
      </c>
      <c r="AN30">
        <v>4.2725913266396078E-3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2.1362956633198037E-4</v>
      </c>
      <c r="AU30">
        <v>0</v>
      </c>
      <c r="AV30">
        <v>0</v>
      </c>
      <c r="AW30">
        <v>0</v>
      </c>
      <c r="AX30">
        <v>1.0681478316599019E-2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2.1362956633198039E-3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2.1362956633198039E-3</v>
      </c>
    </row>
    <row r="31" spans="1:80">
      <c r="A31">
        <v>30</v>
      </c>
      <c r="B31" s="4" t="s">
        <v>63</v>
      </c>
      <c r="C31" s="4" t="s">
        <v>166</v>
      </c>
      <c r="D31" s="4" t="s">
        <v>117</v>
      </c>
      <c r="E31" s="5">
        <v>39426</v>
      </c>
      <c r="F31" s="5">
        <v>39426</v>
      </c>
      <c r="G31">
        <v>712</v>
      </c>
      <c r="H31" s="4" t="s">
        <v>110</v>
      </c>
      <c r="I31" s="4" t="s">
        <v>108</v>
      </c>
      <c r="J31" s="4" t="str">
        <f t="shared" si="0"/>
        <v>u_rem.c_con</v>
      </c>
      <c r="K31" s="5">
        <v>8</v>
      </c>
      <c r="L31">
        <v>4.3806811959259673E-3</v>
      </c>
      <c r="M31">
        <v>7.0090899134815476E-2</v>
      </c>
      <c r="N31">
        <v>7.0090899134815463E-2</v>
      </c>
      <c r="O31">
        <v>0</v>
      </c>
      <c r="P31">
        <v>0</v>
      </c>
      <c r="Q31">
        <v>8.7613623918519346E-3</v>
      </c>
      <c r="R31">
        <v>0</v>
      </c>
      <c r="S31">
        <v>0</v>
      </c>
      <c r="T31">
        <v>1.31420435877779E-2</v>
      </c>
      <c r="U31">
        <v>0</v>
      </c>
      <c r="V31">
        <v>0</v>
      </c>
      <c r="W31">
        <v>0</v>
      </c>
      <c r="X31">
        <v>0</v>
      </c>
      <c r="Y31">
        <v>0.37892892344759627</v>
      </c>
      <c r="Z31">
        <v>0</v>
      </c>
      <c r="AA31">
        <v>0</v>
      </c>
      <c r="AB31">
        <v>0</v>
      </c>
      <c r="AC31">
        <v>0</v>
      </c>
      <c r="AD31">
        <v>2.4203263607490973E-2</v>
      </c>
      <c r="AE31">
        <v>0</v>
      </c>
      <c r="AF31">
        <v>4.3806811959259674E-4</v>
      </c>
      <c r="AG31">
        <v>2.1903405979629836E-3</v>
      </c>
      <c r="AH31">
        <v>2.1903405979629836E-3</v>
      </c>
      <c r="AI31">
        <v>0</v>
      </c>
      <c r="AJ31">
        <v>0.37892892344759632</v>
      </c>
      <c r="AK31">
        <v>0</v>
      </c>
      <c r="AL31">
        <v>2.1903405979629836E-3</v>
      </c>
      <c r="AM31">
        <v>0</v>
      </c>
      <c r="AN31">
        <v>4.3806811959259673E-3</v>
      </c>
      <c r="AO31">
        <v>0</v>
      </c>
      <c r="AP31">
        <v>0</v>
      </c>
      <c r="AQ31">
        <v>0</v>
      </c>
      <c r="AR31">
        <v>0</v>
      </c>
      <c r="AS31">
        <v>2.73792574745373E-3</v>
      </c>
      <c r="AT31">
        <v>2.1903405979629836E-3</v>
      </c>
      <c r="AU31">
        <v>0</v>
      </c>
      <c r="AV31">
        <v>0</v>
      </c>
      <c r="AW31">
        <v>0</v>
      </c>
      <c r="AX31">
        <v>1.0951702989814918E-4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2.1903405979629836E-3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3.0664768371481771E-2</v>
      </c>
      <c r="CB31">
        <v>2.1903405979629836E-3</v>
      </c>
    </row>
    <row r="32" spans="1:80">
      <c r="A32">
        <v>31</v>
      </c>
      <c r="B32" s="4" t="s">
        <v>64</v>
      </c>
      <c r="C32" s="4" t="s">
        <v>166</v>
      </c>
      <c r="D32" s="4" t="s">
        <v>117</v>
      </c>
      <c r="E32" s="5">
        <v>39426</v>
      </c>
      <c r="F32" s="5">
        <v>39426</v>
      </c>
      <c r="G32">
        <v>712</v>
      </c>
      <c r="H32" s="4" t="s">
        <v>110</v>
      </c>
      <c r="I32" s="4" t="s">
        <v>109</v>
      </c>
      <c r="J32" s="4" t="str">
        <f t="shared" si="0"/>
        <v>u_rem.c_rem</v>
      </c>
      <c r="K32" s="5">
        <v>1</v>
      </c>
      <c r="L32">
        <v>6.8902158934313279E-3</v>
      </c>
      <c r="M32">
        <v>4.8690858980248053E-2</v>
      </c>
      <c r="N32">
        <v>0.40192926045016081</v>
      </c>
      <c r="O32">
        <v>0</v>
      </c>
      <c r="P32">
        <v>0</v>
      </c>
      <c r="Q32">
        <v>0</v>
      </c>
      <c r="R32">
        <v>4.5934772622875514E-3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0.37907671107028007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1.1598530087276066E-2</v>
      </c>
      <c r="AJ32">
        <v>0.112540192926045</v>
      </c>
      <c r="AK32">
        <v>0</v>
      </c>
      <c r="AL32">
        <v>4.5934772622875514E-3</v>
      </c>
      <c r="AM32">
        <v>0</v>
      </c>
      <c r="AN32">
        <v>4.5934772622875514E-3</v>
      </c>
      <c r="AO32">
        <v>0</v>
      </c>
      <c r="AP32">
        <v>0</v>
      </c>
      <c r="AQ32">
        <v>4.7083141938447405E-3</v>
      </c>
      <c r="AR32">
        <v>0</v>
      </c>
      <c r="AS32">
        <v>0</v>
      </c>
      <c r="AT32">
        <v>1.1483693155718878E-4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2.2967386311437757E-3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1.8373909049150206E-2</v>
      </c>
      <c r="CB32">
        <v>0</v>
      </c>
    </row>
    <row r="33" spans="1:80">
      <c r="A33">
        <v>32</v>
      </c>
      <c r="B33" s="4" t="s">
        <v>65</v>
      </c>
      <c r="C33" s="4" t="s">
        <v>166</v>
      </c>
      <c r="D33" s="4" t="s">
        <v>117</v>
      </c>
      <c r="E33" s="5">
        <v>39426</v>
      </c>
      <c r="F33" s="5">
        <v>39426</v>
      </c>
      <c r="G33">
        <v>712</v>
      </c>
      <c r="H33" s="4" t="s">
        <v>110</v>
      </c>
      <c r="I33" s="4" t="s">
        <v>108</v>
      </c>
      <c r="J33" s="4" t="str">
        <f t="shared" si="0"/>
        <v>u_rem.c_con</v>
      </c>
      <c r="K33" s="5">
        <v>8</v>
      </c>
      <c r="L33">
        <v>8.797976465412952E-3</v>
      </c>
      <c r="M33">
        <v>9.0289233476300412E-2</v>
      </c>
      <c r="N33">
        <v>2.6393929396238854E-2</v>
      </c>
      <c r="O33">
        <v>0</v>
      </c>
      <c r="P33">
        <v>0</v>
      </c>
      <c r="Q33">
        <v>2.6393929396238854E-2</v>
      </c>
      <c r="R33">
        <v>0</v>
      </c>
      <c r="S33">
        <v>0</v>
      </c>
      <c r="T33">
        <v>2.6503904102056518E-2</v>
      </c>
      <c r="U33">
        <v>0</v>
      </c>
      <c r="V33">
        <v>0</v>
      </c>
      <c r="W33">
        <v>0</v>
      </c>
      <c r="X33">
        <v>0</v>
      </c>
      <c r="Y33">
        <v>0.52787858792477693</v>
      </c>
      <c r="Z33">
        <v>0</v>
      </c>
      <c r="AA33">
        <v>0</v>
      </c>
      <c r="AB33">
        <v>0</v>
      </c>
      <c r="AC33">
        <v>0</v>
      </c>
      <c r="AD33">
        <v>6.5984823490597136E-3</v>
      </c>
      <c r="AE33">
        <v>0</v>
      </c>
      <c r="AF33">
        <v>5.498735290883095E-4</v>
      </c>
      <c r="AG33">
        <v>0</v>
      </c>
      <c r="AH33">
        <v>2.3094688221709002E-3</v>
      </c>
      <c r="AI33">
        <v>1.099747058176619E-4</v>
      </c>
      <c r="AJ33">
        <v>0.26833828219509503</v>
      </c>
      <c r="AK33">
        <v>0</v>
      </c>
      <c r="AL33">
        <v>0</v>
      </c>
      <c r="AM33">
        <v>0</v>
      </c>
      <c r="AN33">
        <v>1.1107445287583851E-2</v>
      </c>
      <c r="AO33">
        <v>0</v>
      </c>
      <c r="AP33">
        <v>0</v>
      </c>
      <c r="AQ33">
        <v>0</v>
      </c>
      <c r="AR33">
        <v>0</v>
      </c>
      <c r="AS33">
        <v>2.199494116353238E-3</v>
      </c>
      <c r="AT33">
        <v>3.299241174529857E-4</v>
      </c>
      <c r="AU33">
        <v>0</v>
      </c>
      <c r="AV33">
        <v>0</v>
      </c>
      <c r="AW33">
        <v>0</v>
      </c>
      <c r="AX33">
        <v>2.199494116353238E-3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</row>
    <row r="34" spans="1:80">
      <c r="A34">
        <v>33</v>
      </c>
      <c r="B34" s="4" t="s">
        <v>66</v>
      </c>
      <c r="C34" s="4" t="s">
        <v>167</v>
      </c>
      <c r="D34" s="4" t="s">
        <v>117</v>
      </c>
      <c r="E34" s="5">
        <v>39426</v>
      </c>
      <c r="F34" s="5">
        <v>39426</v>
      </c>
      <c r="G34">
        <v>712</v>
      </c>
      <c r="H34" s="4" t="s">
        <v>107</v>
      </c>
      <c r="I34" s="4" t="s">
        <v>108</v>
      </c>
      <c r="J34" s="4" t="str">
        <f t="shared" si="0"/>
        <v>u_con.c_con</v>
      </c>
      <c r="K34" s="5">
        <v>19</v>
      </c>
      <c r="L34">
        <v>4.3449923962633067E-3</v>
      </c>
      <c r="M34">
        <v>0.41071040625678906</v>
      </c>
      <c r="N34">
        <v>9.1353465131436024E-2</v>
      </c>
      <c r="O34">
        <v>0</v>
      </c>
      <c r="P34">
        <v>0</v>
      </c>
      <c r="Q34">
        <v>6.9519878340212907E-2</v>
      </c>
      <c r="R34">
        <v>0</v>
      </c>
      <c r="S34">
        <v>4.3449923962633067E-3</v>
      </c>
      <c r="T34">
        <v>0</v>
      </c>
      <c r="U34">
        <v>0</v>
      </c>
      <c r="V34">
        <v>0</v>
      </c>
      <c r="W34">
        <v>0</v>
      </c>
      <c r="X34">
        <v>0</v>
      </c>
      <c r="Y34">
        <v>0.34988051270910275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8.9072344123397786E-3</v>
      </c>
      <c r="AG34">
        <v>0</v>
      </c>
      <c r="AH34">
        <v>6.5174885943949604E-3</v>
      </c>
      <c r="AI34">
        <v>0</v>
      </c>
      <c r="AJ34">
        <v>3.4759939170106446E-2</v>
      </c>
      <c r="AK34">
        <v>0</v>
      </c>
      <c r="AL34">
        <v>6.5174885943949596E-3</v>
      </c>
      <c r="AM34">
        <v>0</v>
      </c>
      <c r="AN34">
        <v>6.5174885943949604E-3</v>
      </c>
      <c r="AO34">
        <v>0</v>
      </c>
      <c r="AP34">
        <v>0</v>
      </c>
      <c r="AQ34">
        <v>0</v>
      </c>
      <c r="AR34">
        <v>0</v>
      </c>
      <c r="AS34">
        <v>2.281121008038236E-3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4.3449923962633067E-3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</row>
    <row r="35" spans="1:80" s="1" customFormat="1">
      <c r="A35">
        <v>34</v>
      </c>
      <c r="B35" s="4" t="s">
        <v>67</v>
      </c>
      <c r="C35" s="4" t="s">
        <v>167</v>
      </c>
      <c r="D35" s="4" t="s">
        <v>117</v>
      </c>
      <c r="E35" s="5">
        <v>39426</v>
      </c>
      <c r="F35" s="5">
        <v>39426</v>
      </c>
      <c r="G35">
        <v>712</v>
      </c>
      <c r="H35" s="4" t="s">
        <v>107</v>
      </c>
      <c r="I35" s="4" t="s">
        <v>109</v>
      </c>
      <c r="J35" s="4" t="str">
        <f t="shared" si="0"/>
        <v>u_con.c_rem</v>
      </c>
      <c r="K35" s="5">
        <v>2</v>
      </c>
      <c r="L35">
        <v>0</v>
      </c>
      <c r="M35">
        <v>0.18825844539193165</v>
      </c>
      <c r="N35">
        <v>0.54662730950038219</v>
      </c>
      <c r="O35">
        <v>0</v>
      </c>
      <c r="P35">
        <v>0</v>
      </c>
      <c r="Q35">
        <v>6.5595277140045897E-3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0.23187930469006218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2.2958346999016064E-3</v>
      </c>
      <c r="AG35">
        <v>0</v>
      </c>
      <c r="AH35">
        <v>6.5595277140045897E-3</v>
      </c>
      <c r="AI35">
        <v>2.1865092380015296E-3</v>
      </c>
      <c r="AJ35">
        <v>4.3730184760030592E-3</v>
      </c>
      <c r="AK35">
        <v>0</v>
      </c>
      <c r="AL35">
        <v>0</v>
      </c>
      <c r="AM35">
        <v>0</v>
      </c>
      <c r="AN35">
        <v>4.3730184760030592E-3</v>
      </c>
      <c r="AO35">
        <v>0</v>
      </c>
      <c r="AP35">
        <v>0</v>
      </c>
      <c r="AQ35">
        <v>4.3730184760030592E-3</v>
      </c>
      <c r="AR35">
        <v>0</v>
      </c>
      <c r="AS35">
        <v>0</v>
      </c>
      <c r="AT35">
        <v>2.1865092380015297E-4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2.2958346999016064E-3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</row>
    <row r="36" spans="1:80">
      <c r="A36">
        <v>35</v>
      </c>
      <c r="B36" s="4" t="s">
        <v>68</v>
      </c>
      <c r="C36" s="4" t="s">
        <v>167</v>
      </c>
      <c r="D36" s="4" t="s">
        <v>117</v>
      </c>
      <c r="E36" s="5">
        <v>39426</v>
      </c>
      <c r="F36" s="5">
        <v>39426</v>
      </c>
      <c r="G36">
        <v>712</v>
      </c>
      <c r="H36" s="4" t="s">
        <v>107</v>
      </c>
      <c r="I36" s="4" t="s">
        <v>108</v>
      </c>
      <c r="J36" s="4" t="str">
        <f t="shared" si="0"/>
        <v>u_con.c_con</v>
      </c>
      <c r="K36" s="5">
        <v>19</v>
      </c>
      <c r="L36">
        <v>0</v>
      </c>
      <c r="M36">
        <v>8.9724417859431749E-2</v>
      </c>
      <c r="N36">
        <v>9.8269600512710928E-2</v>
      </c>
      <c r="O36">
        <v>2.1362956633198035E-3</v>
      </c>
      <c r="P36">
        <v>0</v>
      </c>
      <c r="Q36">
        <v>7.4770348216193105E-2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0.55757316812646851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2.2431104464857936E-3</v>
      </c>
      <c r="AG36">
        <v>0</v>
      </c>
      <c r="AH36">
        <v>1.5060884426404615E-2</v>
      </c>
      <c r="AI36">
        <v>0</v>
      </c>
      <c r="AJ36">
        <v>0.12176885280922874</v>
      </c>
      <c r="AK36">
        <v>0</v>
      </c>
      <c r="AL36">
        <v>1.4954069643238622E-2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1.0681478316599017E-2</v>
      </c>
      <c r="AT36">
        <v>0</v>
      </c>
      <c r="AU36">
        <v>0</v>
      </c>
      <c r="AV36">
        <v>0</v>
      </c>
      <c r="AW36">
        <v>0</v>
      </c>
      <c r="AX36">
        <v>2.1362956633198035E-3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2.1362956633198035E-3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2.1362956633198035E-3</v>
      </c>
      <c r="CB36">
        <v>2.1362956633198035E-3</v>
      </c>
    </row>
    <row r="37" spans="1:80">
      <c r="A37">
        <v>36</v>
      </c>
      <c r="B37" s="4" t="s">
        <v>69</v>
      </c>
      <c r="C37" s="4" t="s">
        <v>167</v>
      </c>
      <c r="D37" s="4" t="s">
        <v>117</v>
      </c>
      <c r="E37" s="5">
        <v>39426</v>
      </c>
      <c r="F37" s="5">
        <v>39426</v>
      </c>
      <c r="G37">
        <v>712</v>
      </c>
      <c r="H37" s="4" t="s">
        <v>107</v>
      </c>
      <c r="I37" s="4" t="s">
        <v>109</v>
      </c>
      <c r="J37" s="4" t="str">
        <f t="shared" si="0"/>
        <v>u_con.c_rem</v>
      </c>
      <c r="K37" s="5">
        <v>2</v>
      </c>
      <c r="L37">
        <v>0</v>
      </c>
      <c r="M37">
        <v>7.3520964962665122E-2</v>
      </c>
      <c r="N37">
        <v>5.0545663411832288E-2</v>
      </c>
      <c r="O37">
        <v>1.3785180930499713E-2</v>
      </c>
      <c r="P37">
        <v>0</v>
      </c>
      <c r="Q37">
        <v>7.1223434807581837E-2</v>
      </c>
      <c r="R37">
        <v>0</v>
      </c>
      <c r="S37">
        <v>0</v>
      </c>
      <c r="T37">
        <v>0</v>
      </c>
      <c r="U37">
        <v>0</v>
      </c>
      <c r="V37">
        <v>2.2975301550832855E-3</v>
      </c>
      <c r="W37">
        <v>0</v>
      </c>
      <c r="X37">
        <v>0</v>
      </c>
      <c r="Y37">
        <v>0.4686961516369903</v>
      </c>
      <c r="Z37">
        <v>4.595060310166571E-3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3.9402642159678362E-2</v>
      </c>
      <c r="AG37">
        <v>0</v>
      </c>
      <c r="AH37">
        <v>0</v>
      </c>
      <c r="AI37">
        <v>0</v>
      </c>
      <c r="AJ37">
        <v>0.17001723147616307</v>
      </c>
      <c r="AK37">
        <v>0</v>
      </c>
      <c r="AL37">
        <v>5.5140723721998852E-2</v>
      </c>
      <c r="AM37">
        <v>0</v>
      </c>
      <c r="AN37">
        <v>1.3785180930499713E-2</v>
      </c>
      <c r="AO37">
        <v>0</v>
      </c>
      <c r="AP37">
        <v>0</v>
      </c>
      <c r="AQ37">
        <v>0</v>
      </c>
      <c r="AR37">
        <v>0</v>
      </c>
      <c r="AS37">
        <v>9.304997128087307E-3</v>
      </c>
      <c r="AT37">
        <v>1.1487650775416428E-4</v>
      </c>
      <c r="AU37">
        <v>0</v>
      </c>
      <c r="AV37">
        <v>0</v>
      </c>
      <c r="AW37">
        <v>0</v>
      </c>
      <c r="AX37">
        <v>2.2975301550832855E-3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6.8925904652498565E-3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1.3785180930499713E-2</v>
      </c>
      <c r="CB37">
        <v>0</v>
      </c>
    </row>
    <row r="38" spans="1:80">
      <c r="A38">
        <v>37</v>
      </c>
      <c r="B38" s="4" t="s">
        <v>71</v>
      </c>
      <c r="C38" s="4" t="s">
        <v>168</v>
      </c>
      <c r="D38" s="4" t="s">
        <v>117</v>
      </c>
      <c r="E38" s="5">
        <v>39426</v>
      </c>
      <c r="F38" s="5">
        <v>39426</v>
      </c>
      <c r="G38">
        <v>712</v>
      </c>
      <c r="H38" s="4" t="s">
        <v>110</v>
      </c>
      <c r="I38" s="4" t="s">
        <v>108</v>
      </c>
      <c r="J38" s="4" t="str">
        <f t="shared" si="0"/>
        <v>u_rem.c_con</v>
      </c>
      <c r="K38" s="5">
        <v>8</v>
      </c>
      <c r="L38">
        <v>1.5445719329214477E-2</v>
      </c>
      <c r="M38">
        <v>0.34642541924095321</v>
      </c>
      <c r="N38">
        <v>0.36849073256840253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5.9576345984112988E-2</v>
      </c>
      <c r="Z38">
        <v>0</v>
      </c>
      <c r="AA38">
        <v>1.1032656663724627E-2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8.8261253309797009E-3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1.7652250661959402E-2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2.2065313327449252E-3</v>
      </c>
      <c r="AY38">
        <v>0</v>
      </c>
      <c r="AZ38">
        <v>0</v>
      </c>
      <c r="BA38">
        <v>0.168027360988526</v>
      </c>
      <c r="BB38">
        <v>0</v>
      </c>
      <c r="BC38">
        <v>0</v>
      </c>
      <c r="BD38">
        <v>0</v>
      </c>
      <c r="BE38">
        <v>2.3168578993821719E-3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 spans="1:80" s="1" customFormat="1">
      <c r="A39">
        <v>38</v>
      </c>
      <c r="B39" s="4" t="s">
        <v>70</v>
      </c>
      <c r="C39" s="4" t="s">
        <v>168</v>
      </c>
      <c r="D39" s="4" t="s">
        <v>117</v>
      </c>
      <c r="E39" s="5">
        <v>39426</v>
      </c>
      <c r="F39" s="5">
        <v>39426</v>
      </c>
      <c r="G39">
        <v>712</v>
      </c>
      <c r="H39" s="4" t="s">
        <v>110</v>
      </c>
      <c r="I39" s="4" t="s">
        <v>109</v>
      </c>
      <c r="J39" s="4" t="str">
        <f t="shared" si="0"/>
        <v>u_rem.c_rem</v>
      </c>
      <c r="K39" s="5">
        <v>1</v>
      </c>
      <c r="L39">
        <v>2.2082367229767034E-2</v>
      </c>
      <c r="M39">
        <v>7.4307165728166064E-2</v>
      </c>
      <c r="N39">
        <v>0.59622391520370976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1.1041183614883517E-4</v>
      </c>
      <c r="AR39">
        <v>0</v>
      </c>
      <c r="AS39">
        <v>0</v>
      </c>
      <c r="AT39">
        <v>1.1041183614883517E-4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0.30054101799712929</v>
      </c>
      <c r="BB39">
        <v>0</v>
      </c>
      <c r="BC39">
        <v>0</v>
      </c>
      <c r="BD39">
        <v>0</v>
      </c>
      <c r="BE39">
        <v>4.4164734459534068E-3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2.2082367229767034E-3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>
      <c r="A40">
        <v>39</v>
      </c>
      <c r="B40" s="4" t="s">
        <v>72</v>
      </c>
      <c r="C40" s="4" t="s">
        <v>168</v>
      </c>
      <c r="D40" s="4" t="s">
        <v>117</v>
      </c>
      <c r="E40" s="5">
        <v>39426</v>
      </c>
      <c r="F40" s="5">
        <v>39426</v>
      </c>
      <c r="G40">
        <v>712</v>
      </c>
      <c r="H40" s="4" t="s">
        <v>110</v>
      </c>
      <c r="I40" s="4" t="s">
        <v>108</v>
      </c>
      <c r="J40" s="4" t="str">
        <f t="shared" si="0"/>
        <v>u_rem.c_con</v>
      </c>
      <c r="K40" s="5">
        <v>8</v>
      </c>
      <c r="L40">
        <v>0</v>
      </c>
      <c r="M40">
        <v>0.15382007233273054</v>
      </c>
      <c r="N40">
        <v>0.26457956600361665</v>
      </c>
      <c r="O40">
        <v>0</v>
      </c>
      <c r="P40">
        <v>0</v>
      </c>
      <c r="Q40">
        <v>9.0415913200723348E-3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2.4864376130198915E-2</v>
      </c>
      <c r="Z40">
        <v>0</v>
      </c>
      <c r="AA40">
        <v>2.2603978300180832E-2</v>
      </c>
      <c r="AB40">
        <v>0</v>
      </c>
      <c r="AC40">
        <v>0</v>
      </c>
      <c r="AD40">
        <v>0</v>
      </c>
      <c r="AE40">
        <v>2.2603978300180837E-3</v>
      </c>
      <c r="AF40">
        <v>0</v>
      </c>
      <c r="AG40">
        <v>0</v>
      </c>
      <c r="AH40">
        <v>4.5207956600361674E-3</v>
      </c>
      <c r="AI40">
        <v>4.5207956600361674E-3</v>
      </c>
      <c r="AJ40">
        <v>0</v>
      </c>
      <c r="AK40">
        <v>4.5207956600361674E-3</v>
      </c>
      <c r="AL40">
        <v>6.7811934900542502E-3</v>
      </c>
      <c r="AM40">
        <v>0</v>
      </c>
      <c r="AN40">
        <v>2.0456600361663652E-2</v>
      </c>
      <c r="AO40">
        <v>0</v>
      </c>
      <c r="AP40">
        <v>0</v>
      </c>
      <c r="AQ40">
        <v>2.0343580470162752E-2</v>
      </c>
      <c r="AR40">
        <v>0</v>
      </c>
      <c r="AS40">
        <v>2.2603978300180837E-3</v>
      </c>
      <c r="AT40">
        <v>1.1301989150090417E-4</v>
      </c>
      <c r="AU40">
        <v>0</v>
      </c>
      <c r="AV40">
        <v>0</v>
      </c>
      <c r="AW40">
        <v>0</v>
      </c>
      <c r="AX40">
        <v>2.2603978300180837E-3</v>
      </c>
      <c r="AY40">
        <v>0</v>
      </c>
      <c r="AZ40">
        <v>0</v>
      </c>
      <c r="BA40">
        <v>0.4431509945750452</v>
      </c>
      <c r="BB40">
        <v>0</v>
      </c>
      <c r="BC40">
        <v>0</v>
      </c>
      <c r="BD40">
        <v>0</v>
      </c>
      <c r="BE40">
        <v>7.1202531645569644E-3</v>
      </c>
      <c r="BF40">
        <v>2.2603978300180837E-3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2.2603978300180837E-3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2.2603978300180837E-3</v>
      </c>
      <c r="CB40">
        <v>0</v>
      </c>
    </row>
    <row r="41" spans="1:80">
      <c r="A41">
        <v>40</v>
      </c>
      <c r="B41" s="4" t="s">
        <v>73</v>
      </c>
      <c r="C41" s="4" t="s">
        <v>168</v>
      </c>
      <c r="D41" s="4" t="s">
        <v>117</v>
      </c>
      <c r="E41" s="5">
        <v>39426</v>
      </c>
      <c r="F41" s="5">
        <v>39426</v>
      </c>
      <c r="G41">
        <v>712</v>
      </c>
      <c r="H41" s="4" t="s">
        <v>110</v>
      </c>
      <c r="I41" s="4" t="s">
        <v>109</v>
      </c>
      <c r="J41" s="4" t="str">
        <f t="shared" si="0"/>
        <v>u_rem.c_rem</v>
      </c>
      <c r="K41" s="5">
        <v>1</v>
      </c>
      <c r="L41">
        <v>1.5232292460015232E-2</v>
      </c>
      <c r="M41">
        <v>0.27657491023827652</v>
      </c>
      <c r="N41">
        <v>0.47230986834947275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5.2225002720052226E-2</v>
      </c>
      <c r="Z41">
        <v>0</v>
      </c>
      <c r="AA41">
        <v>6.5281253400065291E-3</v>
      </c>
      <c r="AB41">
        <v>0</v>
      </c>
      <c r="AC41">
        <v>0</v>
      </c>
      <c r="AD41">
        <v>0</v>
      </c>
      <c r="AE41">
        <v>4.3520835600043524E-3</v>
      </c>
      <c r="AF41">
        <v>0</v>
      </c>
      <c r="AG41">
        <v>0</v>
      </c>
      <c r="AH41">
        <v>2.1760417800021762E-3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4.4608856490044617E-3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0.15079969535415069</v>
      </c>
      <c r="BB41">
        <v>0</v>
      </c>
      <c r="BC41">
        <v>0</v>
      </c>
      <c r="BD41">
        <v>0</v>
      </c>
      <c r="BE41">
        <v>1.098901098901099E-2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4.3520835600043524E-3</v>
      </c>
      <c r="CB41">
        <v>0</v>
      </c>
    </row>
    <row r="42" spans="1:80">
      <c r="A42">
        <v>41</v>
      </c>
      <c r="B42" s="4" t="s">
        <v>74</v>
      </c>
      <c r="C42" s="4" t="s">
        <v>169</v>
      </c>
      <c r="D42" s="4" t="s">
        <v>117</v>
      </c>
      <c r="E42" s="5">
        <v>39426</v>
      </c>
      <c r="F42" s="5">
        <v>39426</v>
      </c>
      <c r="G42">
        <v>712</v>
      </c>
      <c r="H42" s="4" t="s">
        <v>110</v>
      </c>
      <c r="I42" s="4" t="s">
        <v>108</v>
      </c>
      <c r="J42" s="4" t="str">
        <f t="shared" si="0"/>
        <v>u_rem.c_con</v>
      </c>
      <c r="K42" s="5">
        <v>8</v>
      </c>
      <c r="L42">
        <v>1.9396290459449631E-2</v>
      </c>
      <c r="M42">
        <v>0.20123651351678989</v>
      </c>
      <c r="N42">
        <v>0.36852951872954298</v>
      </c>
      <c r="O42">
        <v>1.2122681537156019E-2</v>
      </c>
      <c r="P42">
        <v>0</v>
      </c>
      <c r="Q42">
        <v>2.4245363074312039E-3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1.4547217844587223E-2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0.10183052491211059</v>
      </c>
      <c r="AI42">
        <v>0.21578373136137713</v>
      </c>
      <c r="AJ42">
        <v>0</v>
      </c>
      <c r="AK42">
        <v>0</v>
      </c>
      <c r="AL42">
        <v>4.8490726148624078E-3</v>
      </c>
      <c r="AM42">
        <v>0</v>
      </c>
      <c r="AN42">
        <v>1.988119772093587E-2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3.6368044611468058E-4</v>
      </c>
      <c r="AU42">
        <v>0</v>
      </c>
      <c r="AV42">
        <v>0</v>
      </c>
      <c r="AW42">
        <v>0</v>
      </c>
      <c r="AX42">
        <v>2.4245363074312039E-3</v>
      </c>
      <c r="AY42">
        <v>0</v>
      </c>
      <c r="AZ42">
        <v>0</v>
      </c>
      <c r="BA42">
        <v>2.9336889319917573E-2</v>
      </c>
      <c r="BB42">
        <v>0</v>
      </c>
      <c r="BC42">
        <v>0</v>
      </c>
      <c r="BD42">
        <v>0</v>
      </c>
      <c r="BE42">
        <v>4.8490726148624078E-3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</row>
    <row r="43" spans="1:80">
      <c r="A43">
        <v>42</v>
      </c>
      <c r="B43" s="4" t="s">
        <v>75</v>
      </c>
      <c r="C43" s="4" t="s">
        <v>169</v>
      </c>
      <c r="D43" s="4" t="s">
        <v>117</v>
      </c>
      <c r="E43" s="5">
        <v>39426</v>
      </c>
      <c r="F43" s="5">
        <v>39426</v>
      </c>
      <c r="G43">
        <v>712</v>
      </c>
      <c r="H43" s="4" t="s">
        <v>110</v>
      </c>
      <c r="I43" s="4" t="s">
        <v>108</v>
      </c>
      <c r="J43" s="4" t="str">
        <f t="shared" si="0"/>
        <v>u_rem.c_con</v>
      </c>
      <c r="K43" s="5">
        <v>8</v>
      </c>
      <c r="L43">
        <v>2.0773225620311603E-2</v>
      </c>
      <c r="M43">
        <v>0.29082515868436237</v>
      </c>
      <c r="N43">
        <v>0.15002885170225042</v>
      </c>
      <c r="O43">
        <v>1.1656087709174845E-2</v>
      </c>
      <c r="P43">
        <v>0</v>
      </c>
      <c r="Q43">
        <v>3.4622042700519343E-2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4.3854587420657842E-2</v>
      </c>
      <c r="Z43">
        <v>0</v>
      </c>
      <c r="AA43">
        <v>1.6156953260242357E-2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2.3081361800346225E-2</v>
      </c>
      <c r="AI43">
        <v>4.3854587420657828E-2</v>
      </c>
      <c r="AJ43">
        <v>0</v>
      </c>
      <c r="AK43">
        <v>0</v>
      </c>
      <c r="AL43">
        <v>6.9244085401038678E-3</v>
      </c>
      <c r="AM43">
        <v>0</v>
      </c>
      <c r="AN43">
        <v>1.3964223889209466E-2</v>
      </c>
      <c r="AO43">
        <v>0</v>
      </c>
      <c r="AP43">
        <v>0</v>
      </c>
      <c r="AQ43">
        <v>0</v>
      </c>
      <c r="AR43">
        <v>0</v>
      </c>
      <c r="AS43">
        <v>2.3081361800346228E-3</v>
      </c>
      <c r="AT43">
        <v>0</v>
      </c>
      <c r="AU43">
        <v>0</v>
      </c>
      <c r="AV43">
        <v>0</v>
      </c>
      <c r="AW43">
        <v>0</v>
      </c>
      <c r="AX43">
        <v>2.3081361800346228E-3</v>
      </c>
      <c r="AY43">
        <v>0</v>
      </c>
      <c r="AZ43">
        <v>0</v>
      </c>
      <c r="BA43">
        <v>0.31633006347374493</v>
      </c>
      <c r="BB43">
        <v>0</v>
      </c>
      <c r="BC43">
        <v>0</v>
      </c>
      <c r="BD43">
        <v>0</v>
      </c>
      <c r="BE43">
        <v>1.1656087709174845E-2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2.3081361800346228E-3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2.423542989036354E-3</v>
      </c>
      <c r="CA43">
        <v>4.6162723600692455E-3</v>
      </c>
      <c r="CB43">
        <v>0</v>
      </c>
    </row>
    <row r="44" spans="1:80">
      <c r="A44">
        <v>43</v>
      </c>
      <c r="B44" s="4" t="s">
        <v>76</v>
      </c>
      <c r="C44" s="4" t="s">
        <v>169</v>
      </c>
      <c r="D44" s="4" t="s">
        <v>117</v>
      </c>
      <c r="E44" s="5">
        <v>39426</v>
      </c>
      <c r="F44" s="5">
        <v>39426</v>
      </c>
      <c r="G44">
        <v>712</v>
      </c>
      <c r="H44" s="4" t="s">
        <v>110</v>
      </c>
      <c r="I44" s="4" t="s">
        <v>109</v>
      </c>
      <c r="J44" s="4" t="str">
        <f t="shared" si="0"/>
        <v>u_rem.c_rem</v>
      </c>
      <c r="K44" s="5">
        <v>1</v>
      </c>
      <c r="L44">
        <v>8.8330109606705343E-2</v>
      </c>
      <c r="M44">
        <v>0.739307973350526</v>
      </c>
      <c r="N44">
        <v>0.13109821620459916</v>
      </c>
      <c r="O44">
        <v>0</v>
      </c>
      <c r="P44">
        <v>0</v>
      </c>
      <c r="Q44">
        <v>2.149151085321298E-3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2.149151085321298E-3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3.6857941113260274E-2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1.074575542660649E-4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</row>
    <row r="45" spans="1:80">
      <c r="A45">
        <v>44</v>
      </c>
      <c r="B45" s="4" t="s">
        <v>77</v>
      </c>
      <c r="C45" s="4" t="s">
        <v>169</v>
      </c>
      <c r="D45" s="4" t="s">
        <v>117</v>
      </c>
      <c r="E45" s="5">
        <v>39426</v>
      </c>
      <c r="F45" s="5">
        <v>39426</v>
      </c>
      <c r="G45">
        <v>712</v>
      </c>
      <c r="H45" s="4" t="s">
        <v>110</v>
      </c>
      <c r="I45" s="4" t="s">
        <v>109</v>
      </c>
      <c r="J45" s="4" t="str">
        <f t="shared" si="0"/>
        <v>u_rem.c_rem</v>
      </c>
      <c r="K45" s="5">
        <v>1</v>
      </c>
      <c r="L45">
        <v>1.6228121015416722E-2</v>
      </c>
      <c r="M45">
        <v>0.23890112437695601</v>
      </c>
      <c r="N45">
        <v>0.2411035122290483</v>
      </c>
      <c r="O45">
        <v>2.3183030022023887E-3</v>
      </c>
      <c r="P45">
        <v>0</v>
      </c>
      <c r="Q45">
        <v>2.3183030022023887E-3</v>
      </c>
      <c r="R45">
        <v>0</v>
      </c>
      <c r="S45">
        <v>0</v>
      </c>
      <c r="T45">
        <v>0</v>
      </c>
      <c r="U45">
        <v>1.1591515011011943E-2</v>
      </c>
      <c r="V45">
        <v>0</v>
      </c>
      <c r="W45">
        <v>0</v>
      </c>
      <c r="X45">
        <v>0</v>
      </c>
      <c r="Y45">
        <v>2.0864727019821495E-2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4.1729454039643003E-2</v>
      </c>
      <c r="AI45">
        <v>4.8684363046250165E-2</v>
      </c>
      <c r="AJ45">
        <v>0</v>
      </c>
      <c r="AK45">
        <v>2.3183030022023887E-3</v>
      </c>
      <c r="AL45">
        <v>2.3183030022023887E-3</v>
      </c>
      <c r="AM45">
        <v>0</v>
      </c>
      <c r="AN45">
        <v>1.3909818013214332E-2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2.3183030022023887E-4</v>
      </c>
      <c r="AU45">
        <v>2.3183030022023887E-3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0.33186507476527194</v>
      </c>
      <c r="BB45">
        <v>0</v>
      </c>
      <c r="BC45">
        <v>0</v>
      </c>
      <c r="BD45">
        <v>0</v>
      </c>
      <c r="BE45">
        <v>9.3891271589196749E-3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2.3183030022023887E-3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4.6366060044047775E-3</v>
      </c>
      <c r="CA45">
        <v>6.9549090066071675E-3</v>
      </c>
      <c r="CB45">
        <v>0</v>
      </c>
    </row>
    <row r="46" spans="1:80">
      <c r="A46">
        <v>45</v>
      </c>
      <c r="B46" s="4" t="s">
        <v>78</v>
      </c>
      <c r="C46" s="4" t="s">
        <v>170</v>
      </c>
      <c r="D46" s="4" t="s">
        <v>117</v>
      </c>
      <c r="E46" s="5">
        <v>39426</v>
      </c>
      <c r="F46" s="5">
        <v>39426</v>
      </c>
      <c r="G46">
        <v>712</v>
      </c>
      <c r="H46" s="4" t="s">
        <v>107</v>
      </c>
      <c r="I46" s="4" t="s">
        <v>109</v>
      </c>
      <c r="J46" s="4" t="str">
        <f t="shared" si="0"/>
        <v>u_con.c_rem</v>
      </c>
      <c r="K46" s="5">
        <v>2</v>
      </c>
      <c r="L46">
        <v>9.4306259577979518E-3</v>
      </c>
      <c r="M46">
        <v>0.28527643522338797</v>
      </c>
      <c r="N46">
        <v>0.1579629847931156</v>
      </c>
      <c r="O46">
        <v>0</v>
      </c>
      <c r="P46">
        <v>0</v>
      </c>
      <c r="Q46">
        <v>2.5934221383944366E-2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0.41494754214310986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3.0649534362843341E-2</v>
      </c>
      <c r="AI46">
        <v>4.9510786278439245E-2</v>
      </c>
      <c r="AJ46">
        <v>0</v>
      </c>
      <c r="AK46">
        <v>0</v>
      </c>
      <c r="AL46">
        <v>0</v>
      </c>
      <c r="AM46">
        <v>0</v>
      </c>
      <c r="AN46">
        <v>9.5485087822704262E-3</v>
      </c>
      <c r="AO46">
        <v>0</v>
      </c>
      <c r="AP46">
        <v>0</v>
      </c>
      <c r="AQ46">
        <v>0</v>
      </c>
      <c r="AR46">
        <v>0</v>
      </c>
      <c r="AS46">
        <v>4.7153129788989759E-3</v>
      </c>
      <c r="AT46">
        <v>2.5934221383944363E-3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2.357656489449488E-3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7.0729694683484643E-3</v>
      </c>
      <c r="CB46">
        <v>0</v>
      </c>
    </row>
    <row r="47" spans="1:80">
      <c r="A47">
        <v>46</v>
      </c>
      <c r="B47" s="4" t="s">
        <v>79</v>
      </c>
      <c r="C47" s="4" t="s">
        <v>170</v>
      </c>
      <c r="D47" s="4" t="s">
        <v>117</v>
      </c>
      <c r="E47" s="5">
        <v>39426</v>
      </c>
      <c r="F47" s="5">
        <v>39426</v>
      </c>
      <c r="G47">
        <v>712</v>
      </c>
      <c r="H47" s="4" t="s">
        <v>107</v>
      </c>
      <c r="I47" s="4" t="s">
        <v>108</v>
      </c>
      <c r="J47" s="4" t="str">
        <f t="shared" si="0"/>
        <v>u_con.c_con</v>
      </c>
      <c r="K47" s="5">
        <v>19</v>
      </c>
      <c r="L47">
        <v>1.3720557969357419E-2</v>
      </c>
      <c r="M47">
        <v>0.11662474273953806</v>
      </c>
      <c r="N47">
        <v>0.11891150240109762</v>
      </c>
      <c r="O47">
        <v>0</v>
      </c>
      <c r="P47">
        <v>0</v>
      </c>
      <c r="Q47">
        <v>1.3720557969357419E-2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0.24925680310999304</v>
      </c>
      <c r="Z47">
        <v>0</v>
      </c>
      <c r="AA47">
        <v>9.2613766293162588E-3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1.6121655613994968E-2</v>
      </c>
      <c r="AI47">
        <v>0.18065401326320601</v>
      </c>
      <c r="AJ47">
        <v>0.20580836954036125</v>
      </c>
      <c r="AK47">
        <v>0</v>
      </c>
      <c r="AL47">
        <v>0</v>
      </c>
      <c r="AM47">
        <v>0</v>
      </c>
      <c r="AN47">
        <v>1.3949233935513375E-2</v>
      </c>
      <c r="AO47">
        <v>0</v>
      </c>
      <c r="AP47">
        <v>0</v>
      </c>
      <c r="AQ47">
        <v>0</v>
      </c>
      <c r="AR47">
        <v>0</v>
      </c>
      <c r="AS47">
        <v>3.4301394923393548E-2</v>
      </c>
      <c r="AT47">
        <v>2.2867596615595698E-4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2.2867596615595699E-3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2.515435627715527E-2</v>
      </c>
      <c r="CB47">
        <v>0</v>
      </c>
    </row>
    <row r="48" spans="1:80">
      <c r="A48">
        <v>47</v>
      </c>
      <c r="B48" s="4" t="s">
        <v>80</v>
      </c>
      <c r="C48" s="4" t="s">
        <v>170</v>
      </c>
      <c r="D48" s="4" t="s">
        <v>117</v>
      </c>
      <c r="E48" s="5">
        <v>39426</v>
      </c>
      <c r="F48" s="5">
        <v>39426</v>
      </c>
      <c r="G48">
        <v>712</v>
      </c>
      <c r="H48" s="4" t="s">
        <v>107</v>
      </c>
      <c r="I48" s="4" t="s">
        <v>109</v>
      </c>
      <c r="J48" s="4" t="str">
        <f t="shared" si="0"/>
        <v>u_con.c_rem</v>
      </c>
      <c r="K48" s="5">
        <v>2</v>
      </c>
      <c r="L48">
        <v>1.2978585334198571E-2</v>
      </c>
      <c r="M48">
        <v>0.15141682889898325</v>
      </c>
      <c r="N48">
        <v>0.38513951979234268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5.8403634003893562E-2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4.7588146225394777E-2</v>
      </c>
      <c r="AI48">
        <v>5.6348691325978792E-2</v>
      </c>
      <c r="AJ48">
        <v>0.2465931213497729</v>
      </c>
      <c r="AK48">
        <v>0</v>
      </c>
      <c r="AL48">
        <v>0</v>
      </c>
      <c r="AM48">
        <v>0</v>
      </c>
      <c r="AN48">
        <v>4.3261951113995238E-3</v>
      </c>
      <c r="AO48">
        <v>0</v>
      </c>
      <c r="AP48">
        <v>0</v>
      </c>
      <c r="AQ48">
        <v>0</v>
      </c>
      <c r="AR48">
        <v>0</v>
      </c>
      <c r="AS48">
        <v>2.1630975556997619E-3</v>
      </c>
      <c r="AT48">
        <v>4.3261951113995238E-4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3.4609560891196191E-2</v>
      </c>
      <c r="CB48">
        <v>0</v>
      </c>
    </row>
    <row r="49" spans="1:80">
      <c r="A49">
        <v>48</v>
      </c>
      <c r="B49" s="4" t="s">
        <v>81</v>
      </c>
      <c r="C49" s="4" t="s">
        <v>170</v>
      </c>
      <c r="D49" s="4" t="s">
        <v>117</v>
      </c>
      <c r="E49" s="5">
        <v>39426</v>
      </c>
      <c r="F49" s="5">
        <v>39426</v>
      </c>
      <c r="G49">
        <v>712</v>
      </c>
      <c r="H49" s="4" t="s">
        <v>107</v>
      </c>
      <c r="I49" s="4" t="s">
        <v>108</v>
      </c>
      <c r="J49" s="4" t="str">
        <f t="shared" si="0"/>
        <v>u_con.c_con</v>
      </c>
      <c r="K49" s="5">
        <v>19</v>
      </c>
      <c r="L49">
        <v>2.2512381809995503E-2</v>
      </c>
      <c r="M49">
        <v>4.052228725799191E-2</v>
      </c>
      <c r="N49">
        <v>0.16208914903196758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0.10805943268797839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3.3768572714993263E-2</v>
      </c>
      <c r="AI49">
        <v>0.17784781629896446</v>
      </c>
      <c r="AJ49">
        <v>0.24763619990995051</v>
      </c>
      <c r="AK49">
        <v>0</v>
      </c>
      <c r="AL49">
        <v>0</v>
      </c>
      <c r="AM49">
        <v>0</v>
      </c>
      <c r="AN49">
        <v>4.5024763619991009E-3</v>
      </c>
      <c r="AO49">
        <v>0</v>
      </c>
      <c r="AP49">
        <v>0</v>
      </c>
      <c r="AQ49">
        <v>0</v>
      </c>
      <c r="AR49">
        <v>0</v>
      </c>
      <c r="AS49">
        <v>2.2512381809995504E-3</v>
      </c>
      <c r="AT49">
        <v>9.4552003601981131E-3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2.2512381809995504E-3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2.2512381809995504E-3</v>
      </c>
      <c r="CA49">
        <v>0.18009905447996402</v>
      </c>
      <c r="CB49">
        <v>6.7537145429986513E-3</v>
      </c>
    </row>
    <row r="50" spans="1:80" s="1" customFormat="1">
      <c r="A50">
        <v>49</v>
      </c>
      <c r="B50" s="4" t="s">
        <v>82</v>
      </c>
      <c r="C50" s="4" t="s">
        <v>171</v>
      </c>
      <c r="D50" s="4" t="s">
        <v>118</v>
      </c>
      <c r="E50" s="5">
        <v>39426</v>
      </c>
      <c r="F50" s="5">
        <v>39426</v>
      </c>
      <c r="G50">
        <v>712</v>
      </c>
      <c r="H50" s="4" t="s">
        <v>110</v>
      </c>
      <c r="I50" s="4" t="s">
        <v>109</v>
      </c>
      <c r="J50" s="4" t="str">
        <f t="shared" si="0"/>
        <v>u_rem.c_rem</v>
      </c>
      <c r="K50" s="5">
        <v>1</v>
      </c>
      <c r="L50">
        <v>1.5728569823615323E-2</v>
      </c>
      <c r="M50">
        <v>0.26513874845522972</v>
      </c>
      <c r="N50">
        <v>7.1902033479384342E-2</v>
      </c>
      <c r="O50">
        <v>2.2469385462307607E-3</v>
      </c>
      <c r="P50">
        <v>0</v>
      </c>
      <c r="Q50">
        <v>2.2469385462307603E-2</v>
      </c>
      <c r="R50">
        <v>0</v>
      </c>
      <c r="S50">
        <v>0</v>
      </c>
      <c r="T50">
        <v>1.3481631277384562E-2</v>
      </c>
      <c r="U50">
        <v>0</v>
      </c>
      <c r="V50">
        <v>0</v>
      </c>
      <c r="W50">
        <v>0</v>
      </c>
      <c r="X50">
        <v>0</v>
      </c>
      <c r="Y50">
        <v>4.2691832378384448E-2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4.4938770924615214E-3</v>
      </c>
      <c r="AI50">
        <v>0</v>
      </c>
      <c r="AJ50">
        <v>0</v>
      </c>
      <c r="AK50">
        <v>1.1234692731153802E-2</v>
      </c>
      <c r="AL50">
        <v>0</v>
      </c>
      <c r="AM50">
        <v>0</v>
      </c>
      <c r="AN50">
        <v>2.033479384338838E-2</v>
      </c>
      <c r="AO50">
        <v>0</v>
      </c>
      <c r="AP50">
        <v>0</v>
      </c>
      <c r="AQ50">
        <v>6.740815638692282E-3</v>
      </c>
      <c r="AR50">
        <v>0</v>
      </c>
      <c r="AS50">
        <v>0</v>
      </c>
      <c r="AT50">
        <v>2.2469385462307607E-3</v>
      </c>
      <c r="AU50">
        <v>0</v>
      </c>
      <c r="AV50">
        <v>0</v>
      </c>
      <c r="AW50">
        <v>0</v>
      </c>
      <c r="AX50">
        <v>4.4938770924615214E-3</v>
      </c>
      <c r="AY50">
        <v>0</v>
      </c>
      <c r="AZ50">
        <v>0</v>
      </c>
      <c r="BA50">
        <v>0.35726322885069089</v>
      </c>
      <c r="BB50">
        <v>0.11908774295023028</v>
      </c>
      <c r="BC50">
        <v>0</v>
      </c>
      <c r="BD50">
        <v>0</v>
      </c>
      <c r="BE50">
        <v>3.3704078193461412E-2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6.740815638692282E-3</v>
      </c>
      <c r="CB50">
        <v>0</v>
      </c>
    </row>
    <row r="51" spans="1:80" s="1" customFormat="1">
      <c r="A51">
        <v>50</v>
      </c>
      <c r="B51" s="4" t="s">
        <v>83</v>
      </c>
      <c r="C51" s="4" t="s">
        <v>171</v>
      </c>
      <c r="D51" s="4" t="s">
        <v>118</v>
      </c>
      <c r="E51" s="5">
        <v>39426</v>
      </c>
      <c r="F51" s="5">
        <v>39426</v>
      </c>
      <c r="G51">
        <v>712</v>
      </c>
      <c r="H51" s="4" t="s">
        <v>110</v>
      </c>
      <c r="I51" s="4" t="s">
        <v>108</v>
      </c>
      <c r="J51" s="4" t="str">
        <f t="shared" si="0"/>
        <v>u_rem.c_con</v>
      </c>
      <c r="K51" s="5">
        <v>8</v>
      </c>
      <c r="L51">
        <v>1.8015989190406485E-2</v>
      </c>
      <c r="M51">
        <v>0.29726382164170706</v>
      </c>
      <c r="N51">
        <v>4.2787974327215414E-2</v>
      </c>
      <c r="O51">
        <v>2.2519986488008111E-3</v>
      </c>
      <c r="P51">
        <v>0</v>
      </c>
      <c r="Q51">
        <v>6.3055962166422716E-2</v>
      </c>
      <c r="R51">
        <v>3.8283977029613794E-2</v>
      </c>
      <c r="S51">
        <v>4.5039972976016222E-3</v>
      </c>
      <c r="T51">
        <v>0</v>
      </c>
      <c r="U51">
        <v>0</v>
      </c>
      <c r="V51">
        <v>0</v>
      </c>
      <c r="W51">
        <v>0</v>
      </c>
      <c r="X51">
        <v>0</v>
      </c>
      <c r="Y51">
        <v>3.1527981083211365E-2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6.8685958788424744E-3</v>
      </c>
      <c r="AO51">
        <v>0</v>
      </c>
      <c r="AP51">
        <v>0</v>
      </c>
      <c r="AQ51">
        <v>1.3511991892804866E-2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6.7559959464024329E-3</v>
      </c>
      <c r="AY51">
        <v>0</v>
      </c>
      <c r="AZ51">
        <v>0</v>
      </c>
      <c r="BA51">
        <v>0.31077581353451184</v>
      </c>
      <c r="BB51">
        <v>0.12385992568404461</v>
      </c>
      <c r="BC51">
        <v>0</v>
      </c>
      <c r="BD51">
        <v>0</v>
      </c>
      <c r="BE51">
        <v>4.5039972976016222E-3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4.5039972976016222E-3</v>
      </c>
      <c r="BM51">
        <v>0</v>
      </c>
      <c r="BN51">
        <v>0</v>
      </c>
      <c r="BO51">
        <v>0</v>
      </c>
      <c r="BP51">
        <v>2.2519986488008111E-3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2.9275982434410545E-2</v>
      </c>
      <c r="CB51">
        <v>0</v>
      </c>
    </row>
    <row r="52" spans="1:80">
      <c r="A52">
        <v>51</v>
      </c>
      <c r="B52" s="4" t="s">
        <v>84</v>
      </c>
      <c r="C52" s="4" t="s">
        <v>171</v>
      </c>
      <c r="D52" s="4" t="s">
        <v>118</v>
      </c>
      <c r="E52" s="5">
        <v>39426</v>
      </c>
      <c r="F52" s="5">
        <v>39426</v>
      </c>
      <c r="G52">
        <v>712</v>
      </c>
      <c r="H52" s="4" t="s">
        <v>110</v>
      </c>
      <c r="I52" s="4" t="s">
        <v>109</v>
      </c>
      <c r="J52" s="4" t="str">
        <f t="shared" si="0"/>
        <v>u_rem.c_rem</v>
      </c>
      <c r="K52" s="5">
        <v>1</v>
      </c>
      <c r="L52">
        <v>1.3127666557269446E-2</v>
      </c>
      <c r="M52">
        <v>0.14878022098238705</v>
      </c>
      <c r="N52">
        <v>0.15315610983481015</v>
      </c>
      <c r="O52">
        <v>0</v>
      </c>
      <c r="P52">
        <v>0</v>
      </c>
      <c r="Q52">
        <v>2.1879444262115744E-2</v>
      </c>
      <c r="R52">
        <v>0</v>
      </c>
      <c r="S52">
        <v>0</v>
      </c>
      <c r="T52">
        <v>2.1879444262115745E-3</v>
      </c>
      <c r="U52">
        <v>0</v>
      </c>
      <c r="V52">
        <v>0</v>
      </c>
      <c r="W52">
        <v>0</v>
      </c>
      <c r="X52">
        <v>0</v>
      </c>
      <c r="Y52">
        <v>0.10939722131057869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1.3127666557269446E-2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1.0939722131057872E-4</v>
      </c>
      <c r="AU52">
        <v>0</v>
      </c>
      <c r="AV52">
        <v>0</v>
      </c>
      <c r="AW52">
        <v>0</v>
      </c>
      <c r="AX52">
        <v>1.0939722131057872E-2</v>
      </c>
      <c r="AY52">
        <v>0</v>
      </c>
      <c r="AZ52">
        <v>0</v>
      </c>
      <c r="BA52">
        <v>0.31287605294825505</v>
      </c>
      <c r="BB52">
        <v>4.1570944098019924E-2</v>
      </c>
      <c r="BC52">
        <v>0</v>
      </c>
      <c r="BD52">
        <v>0</v>
      </c>
      <c r="BE52">
        <v>0.15096816540859859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2.187944426211574E-2</v>
      </c>
      <c r="CB52">
        <v>0</v>
      </c>
    </row>
    <row r="53" spans="1:80">
      <c r="A53">
        <v>52</v>
      </c>
      <c r="B53" s="4" t="s">
        <v>85</v>
      </c>
      <c r="C53" s="4" t="s">
        <v>171</v>
      </c>
      <c r="D53" s="4" t="s">
        <v>118</v>
      </c>
      <c r="E53" s="5">
        <v>39426</v>
      </c>
      <c r="F53" s="5">
        <v>39426</v>
      </c>
      <c r="G53">
        <v>712</v>
      </c>
      <c r="H53" s="4" t="s">
        <v>110</v>
      </c>
      <c r="I53" s="4" t="s">
        <v>108</v>
      </c>
      <c r="J53" s="4" t="str">
        <f t="shared" si="0"/>
        <v>u_rem.c_con</v>
      </c>
      <c r="K53" s="5">
        <v>8</v>
      </c>
      <c r="L53">
        <v>2.2075055187637971E-2</v>
      </c>
      <c r="M53">
        <v>0.42384105960264923</v>
      </c>
      <c r="N53">
        <v>3.7527593818984552E-2</v>
      </c>
      <c r="O53">
        <v>2.2075055187637973E-3</v>
      </c>
      <c r="P53">
        <v>0</v>
      </c>
      <c r="Q53">
        <v>3.0905077262693162E-2</v>
      </c>
      <c r="R53">
        <v>0</v>
      </c>
      <c r="S53">
        <v>0</v>
      </c>
      <c r="T53">
        <v>1.3245033112582781E-2</v>
      </c>
      <c r="U53">
        <v>0</v>
      </c>
      <c r="V53">
        <v>0</v>
      </c>
      <c r="W53">
        <v>0</v>
      </c>
      <c r="X53">
        <v>0</v>
      </c>
      <c r="Y53">
        <v>0.31567328918322302</v>
      </c>
      <c r="Z53">
        <v>0</v>
      </c>
      <c r="AA53">
        <v>0</v>
      </c>
      <c r="AB53">
        <v>0</v>
      </c>
      <c r="AC53">
        <v>0</v>
      </c>
      <c r="AD53">
        <v>2.2075055187637973E-3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4.4150110375275947E-3</v>
      </c>
      <c r="AO53">
        <v>0</v>
      </c>
      <c r="AP53">
        <v>0</v>
      </c>
      <c r="AQ53">
        <v>3.9735099337748353E-2</v>
      </c>
      <c r="AR53">
        <v>0</v>
      </c>
      <c r="AS53">
        <v>6.6225165562913925E-3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1.3245033112582781E-2</v>
      </c>
      <c r="BB53">
        <v>0</v>
      </c>
      <c r="BC53">
        <v>0</v>
      </c>
      <c r="BD53">
        <v>0</v>
      </c>
      <c r="BE53">
        <v>1.3245033112582781E-2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2.2075055187637973E-3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5.7395143487858714E-2</v>
      </c>
      <c r="CB53">
        <v>1.5452538631346579E-2</v>
      </c>
    </row>
    <row r="54" spans="1:80">
      <c r="A54">
        <v>53</v>
      </c>
      <c r="B54" s="4" t="s">
        <v>86</v>
      </c>
      <c r="C54" s="4" t="s">
        <v>172</v>
      </c>
      <c r="D54" s="4" t="s">
        <v>118</v>
      </c>
      <c r="E54" s="5">
        <v>39426</v>
      </c>
      <c r="F54" s="5">
        <v>39426</v>
      </c>
      <c r="G54">
        <v>712</v>
      </c>
      <c r="H54" s="4" t="s">
        <v>107</v>
      </c>
      <c r="I54" s="4" t="s">
        <v>108</v>
      </c>
      <c r="J54" s="4" t="str">
        <f t="shared" si="0"/>
        <v>u_con.c_con</v>
      </c>
      <c r="K54" s="5">
        <v>19</v>
      </c>
      <c r="L54">
        <v>0</v>
      </c>
      <c r="M54">
        <v>3.6027921639270447E-2</v>
      </c>
      <c r="N54">
        <v>2.4769196126998433E-2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0.23418149065525784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2.2517451024544029E-3</v>
      </c>
      <c r="AI54">
        <v>0</v>
      </c>
      <c r="AJ54">
        <v>0</v>
      </c>
      <c r="AK54">
        <v>0</v>
      </c>
      <c r="AL54">
        <v>0.18689484350371541</v>
      </c>
      <c r="AM54">
        <v>0</v>
      </c>
      <c r="AN54">
        <v>1.1258725512272014E-2</v>
      </c>
      <c r="AO54">
        <v>0</v>
      </c>
      <c r="AP54">
        <v>0</v>
      </c>
      <c r="AQ54">
        <v>0</v>
      </c>
      <c r="AR54">
        <v>0</v>
      </c>
      <c r="AS54">
        <v>6.7552353073632087E-3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0.32425129475343395</v>
      </c>
      <c r="BB54">
        <v>6.7552353073632087E-3</v>
      </c>
      <c r="BC54">
        <v>0</v>
      </c>
      <c r="BD54">
        <v>0</v>
      </c>
      <c r="BE54">
        <v>0.16460256698941675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2.2517451024544029E-3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</row>
    <row r="55" spans="1:80" s="1" customFormat="1">
      <c r="A55">
        <v>54</v>
      </c>
      <c r="B55" s="4" t="s">
        <v>87</v>
      </c>
      <c r="C55" s="4" t="s">
        <v>172</v>
      </c>
      <c r="D55" s="4" t="s">
        <v>118</v>
      </c>
      <c r="E55" s="5">
        <v>39426</v>
      </c>
      <c r="F55" s="5">
        <v>39426</v>
      </c>
      <c r="G55">
        <v>712</v>
      </c>
      <c r="H55" s="4" t="s">
        <v>107</v>
      </c>
      <c r="I55" s="4" t="s">
        <v>109</v>
      </c>
      <c r="J55" s="4" t="str">
        <f t="shared" si="0"/>
        <v>u_con.c_rem</v>
      </c>
      <c r="K55" s="5">
        <v>2</v>
      </c>
      <c r="L55">
        <v>7.6103500761035047E-3</v>
      </c>
      <c r="M55">
        <v>3.5641806189751414E-2</v>
      </c>
      <c r="N55">
        <v>0.12937595129375953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0.19786910197869106</v>
      </c>
      <c r="Z55">
        <v>0</v>
      </c>
      <c r="AA55">
        <v>8.8787417554540879E-2</v>
      </c>
      <c r="AB55">
        <v>5.0735667174023362E-3</v>
      </c>
      <c r="AC55">
        <v>2.2831050228310508E-2</v>
      </c>
      <c r="AD55">
        <v>0</v>
      </c>
      <c r="AE55">
        <v>0</v>
      </c>
      <c r="AF55">
        <v>0</v>
      </c>
      <c r="AG55">
        <v>0</v>
      </c>
      <c r="AH55">
        <v>2.5367833587011681E-3</v>
      </c>
      <c r="AI55">
        <v>2.0294266869609341E-2</v>
      </c>
      <c r="AJ55">
        <v>2.5367833587011681E-3</v>
      </c>
      <c r="AK55">
        <v>0</v>
      </c>
      <c r="AL55">
        <v>1.2810755961440897E-2</v>
      </c>
      <c r="AM55">
        <v>5.3272450532724523E-2</v>
      </c>
      <c r="AN55">
        <v>7.6103500761035047E-3</v>
      </c>
      <c r="AO55">
        <v>0</v>
      </c>
      <c r="AP55">
        <v>0</v>
      </c>
      <c r="AQ55">
        <v>0</v>
      </c>
      <c r="AR55">
        <v>0</v>
      </c>
      <c r="AS55">
        <v>5.0735667174023362E-3</v>
      </c>
      <c r="AT55">
        <v>0</v>
      </c>
      <c r="AU55">
        <v>2.5367833587011681E-3</v>
      </c>
      <c r="AV55">
        <v>1.2683916793505839E-4</v>
      </c>
      <c r="AW55">
        <v>0</v>
      </c>
      <c r="AX55">
        <v>0</v>
      </c>
      <c r="AY55">
        <v>0</v>
      </c>
      <c r="AZ55">
        <v>0</v>
      </c>
      <c r="BA55">
        <v>0.27143581938102485</v>
      </c>
      <c r="BB55">
        <v>1.0147133434804672E-2</v>
      </c>
      <c r="BC55">
        <v>0</v>
      </c>
      <c r="BD55">
        <v>0</v>
      </c>
      <c r="BE55">
        <v>5.3272450532724537E-2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7.6103500761035047E-3</v>
      </c>
      <c r="BO55">
        <v>2.5367833587011681E-3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6.1009639776763082E-2</v>
      </c>
      <c r="CB55">
        <v>0</v>
      </c>
    </row>
    <row r="56" spans="1:80">
      <c r="A56">
        <v>55</v>
      </c>
      <c r="B56" s="18" t="s">
        <v>88</v>
      </c>
      <c r="C56" s="4" t="s">
        <v>172</v>
      </c>
      <c r="D56" s="4" t="s">
        <v>118</v>
      </c>
      <c r="E56" s="5">
        <v>39426</v>
      </c>
      <c r="F56" s="5">
        <v>39426</v>
      </c>
      <c r="G56">
        <v>712</v>
      </c>
      <c r="H56" s="4" t="s">
        <v>107</v>
      </c>
      <c r="I56" s="4" t="s">
        <v>109</v>
      </c>
      <c r="J56" s="4" t="str">
        <f t="shared" si="0"/>
        <v>u_con.c_rem</v>
      </c>
      <c r="K56" s="5">
        <v>2</v>
      </c>
      <c r="L56">
        <v>0</v>
      </c>
      <c r="M56">
        <v>1.2013455069678042E-2</v>
      </c>
      <c r="N56">
        <v>9.370494954348875E-2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0.1129264776549736</v>
      </c>
      <c r="Z56">
        <v>0</v>
      </c>
      <c r="AA56">
        <v>0</v>
      </c>
      <c r="AB56">
        <v>1.6818837097549257E-2</v>
      </c>
      <c r="AC56">
        <v>4.805382027871217E-3</v>
      </c>
      <c r="AD56">
        <v>2.4026910139356085E-3</v>
      </c>
      <c r="AE56">
        <v>2.4026910139356081E-2</v>
      </c>
      <c r="AF56">
        <v>0</v>
      </c>
      <c r="AG56">
        <v>0</v>
      </c>
      <c r="AH56">
        <v>0</v>
      </c>
      <c r="AI56">
        <v>1.2013455069678042E-2</v>
      </c>
      <c r="AJ56">
        <v>0</v>
      </c>
      <c r="AK56">
        <v>0</v>
      </c>
      <c r="AL56">
        <v>0.12289764536280638</v>
      </c>
      <c r="AM56">
        <v>4.3248438250840959E-2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2.4026910139356085E-3</v>
      </c>
      <c r="AT56">
        <v>0</v>
      </c>
      <c r="AU56">
        <v>2.4026910139356085E-3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0.39416146083613668</v>
      </c>
      <c r="BB56">
        <v>2.1624219125420476E-2</v>
      </c>
      <c r="BC56">
        <v>0</v>
      </c>
      <c r="BD56">
        <v>0</v>
      </c>
      <c r="BE56">
        <v>9.370494954348875E-2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4.805382027871217E-3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3.6040365209034128E-2</v>
      </c>
      <c r="CB56">
        <v>0</v>
      </c>
    </row>
    <row r="57" spans="1:80">
      <c r="A57">
        <v>56</v>
      </c>
      <c r="B57" s="4" t="s">
        <v>89</v>
      </c>
      <c r="C57" s="4" t="s">
        <v>172</v>
      </c>
      <c r="D57" s="4" t="s">
        <v>118</v>
      </c>
      <c r="E57" s="5">
        <v>39426</v>
      </c>
      <c r="F57" s="5">
        <v>39426</v>
      </c>
      <c r="G57">
        <v>712</v>
      </c>
      <c r="H57" s="4" t="s">
        <v>107</v>
      </c>
      <c r="I57" s="4" t="s">
        <v>108</v>
      </c>
      <c r="J57" s="4" t="str">
        <f t="shared" si="0"/>
        <v>u_con.c_con</v>
      </c>
      <c r="K57" s="5">
        <v>19</v>
      </c>
      <c r="L57">
        <v>0</v>
      </c>
      <c r="M57">
        <v>8.6346465191581203E-3</v>
      </c>
      <c r="N57">
        <v>5.8283864004317322E-2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0.17701025364274145</v>
      </c>
      <c r="Z57">
        <v>0</v>
      </c>
      <c r="AA57">
        <v>0</v>
      </c>
      <c r="AB57">
        <v>6.9185105234754435E-2</v>
      </c>
      <c r="AC57">
        <v>0</v>
      </c>
      <c r="AD57">
        <v>0</v>
      </c>
      <c r="AE57">
        <v>4.3173232595790602E-3</v>
      </c>
      <c r="AF57">
        <v>0</v>
      </c>
      <c r="AG57">
        <v>0</v>
      </c>
      <c r="AH57">
        <v>0</v>
      </c>
      <c r="AI57">
        <v>4.3173232595790602E-3</v>
      </c>
      <c r="AJ57">
        <v>0</v>
      </c>
      <c r="AK57">
        <v>0</v>
      </c>
      <c r="AL57">
        <v>9.7139773340528854E-2</v>
      </c>
      <c r="AM57">
        <v>3.4646519158121968E-2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4.3173232595790602E-3</v>
      </c>
      <c r="AT57">
        <v>4.3173232595790602E-3</v>
      </c>
      <c r="AU57">
        <v>0</v>
      </c>
      <c r="AV57">
        <v>0</v>
      </c>
      <c r="AW57">
        <v>0</v>
      </c>
      <c r="AX57">
        <v>2.1586616297895301E-3</v>
      </c>
      <c r="AY57">
        <v>0</v>
      </c>
      <c r="AZ57">
        <v>0</v>
      </c>
      <c r="BA57">
        <v>0.30868861305990275</v>
      </c>
      <c r="BB57">
        <v>5.4290339989206696E-2</v>
      </c>
      <c r="BC57">
        <v>0</v>
      </c>
      <c r="BD57">
        <v>0</v>
      </c>
      <c r="BE57">
        <v>0.14247166756610893</v>
      </c>
      <c r="BF57">
        <v>0</v>
      </c>
      <c r="BG57">
        <v>2.8062601187263891E-2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2.1586616297895301E-3</v>
      </c>
      <c r="CB57">
        <v>0</v>
      </c>
    </row>
    <row r="58" spans="1:80">
      <c r="A58">
        <v>57</v>
      </c>
      <c r="B58" s="4" t="s">
        <v>90</v>
      </c>
      <c r="C58" s="4" t="s">
        <v>173</v>
      </c>
      <c r="D58" s="4" t="s">
        <v>118</v>
      </c>
      <c r="E58" s="5">
        <v>39426</v>
      </c>
      <c r="F58" s="5">
        <v>39426</v>
      </c>
      <c r="G58">
        <v>712</v>
      </c>
      <c r="H58" s="4" t="s">
        <v>107</v>
      </c>
      <c r="I58" s="4" t="s">
        <v>108</v>
      </c>
      <c r="J58" s="4" t="str">
        <f t="shared" si="0"/>
        <v>u_con.c_con</v>
      </c>
      <c r="K58" s="5">
        <v>19</v>
      </c>
      <c r="L58">
        <v>0</v>
      </c>
      <c r="M58">
        <v>3.6334733734529348E-2</v>
      </c>
      <c r="N58">
        <v>0.24525945270807303</v>
      </c>
      <c r="O58">
        <v>2.2709208584080843E-3</v>
      </c>
      <c r="P58">
        <v>0</v>
      </c>
      <c r="Q58">
        <v>2.0438287725672754E-2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6.1314863177018258E-2</v>
      </c>
      <c r="Z58">
        <v>4.5418417168161685E-3</v>
      </c>
      <c r="AA58">
        <v>1.5896446008856587E-2</v>
      </c>
      <c r="AB58">
        <v>2.2709208584080843E-3</v>
      </c>
      <c r="AC58">
        <v>0</v>
      </c>
      <c r="AD58">
        <v>0</v>
      </c>
      <c r="AE58">
        <v>1.135460429204042E-2</v>
      </c>
      <c r="AF58">
        <v>0</v>
      </c>
      <c r="AG58">
        <v>4.5418417168161685E-3</v>
      </c>
      <c r="AH58">
        <v>1.135460429204042E-2</v>
      </c>
      <c r="AI58">
        <v>0</v>
      </c>
      <c r="AJ58">
        <v>0</v>
      </c>
      <c r="AK58">
        <v>0</v>
      </c>
      <c r="AL58">
        <v>6.3585784035426363E-2</v>
      </c>
      <c r="AM58">
        <v>0</v>
      </c>
      <c r="AN58">
        <v>6.9263086181446569E-3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2.2709208584080839E-4</v>
      </c>
      <c r="AU58">
        <v>0</v>
      </c>
      <c r="AV58">
        <v>0</v>
      </c>
      <c r="AW58">
        <v>0</v>
      </c>
      <c r="AX58">
        <v>4.6553877597365727E-3</v>
      </c>
      <c r="AY58">
        <v>0</v>
      </c>
      <c r="AZ58">
        <v>0</v>
      </c>
      <c r="BA58">
        <v>0.39968207107982279</v>
      </c>
      <c r="BB58">
        <v>9.3107755194731454E-3</v>
      </c>
      <c r="BC58">
        <v>0</v>
      </c>
      <c r="BD58">
        <v>0</v>
      </c>
      <c r="BE58">
        <v>3.4177358919041674E-2</v>
      </c>
      <c r="BF58">
        <v>0</v>
      </c>
      <c r="BG58">
        <v>4.5418417168161685E-3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5.9043942318610196E-2</v>
      </c>
      <c r="CB58">
        <v>2.2709208584080843E-3</v>
      </c>
    </row>
    <row r="59" spans="1:80">
      <c r="A59">
        <v>58</v>
      </c>
      <c r="B59" s="4" t="s">
        <v>91</v>
      </c>
      <c r="C59" s="4" t="s">
        <v>173</v>
      </c>
      <c r="D59" s="4" t="s">
        <v>118</v>
      </c>
      <c r="E59" s="5">
        <v>39426</v>
      </c>
      <c r="F59" s="5">
        <v>39426</v>
      </c>
      <c r="G59">
        <v>712</v>
      </c>
      <c r="H59" s="4" t="s">
        <v>107</v>
      </c>
      <c r="I59" s="4" t="s">
        <v>109</v>
      </c>
      <c r="J59" s="4" t="str">
        <f t="shared" si="0"/>
        <v>u_con.c_rem</v>
      </c>
      <c r="K59" s="5">
        <v>2</v>
      </c>
      <c r="L59">
        <v>2.329916123019572E-3</v>
      </c>
      <c r="M59">
        <v>0.12348555452003727</v>
      </c>
      <c r="N59">
        <v>0.10950605778191987</v>
      </c>
      <c r="O59">
        <v>0</v>
      </c>
      <c r="P59">
        <v>0</v>
      </c>
      <c r="Q59">
        <v>1.8639328984156576E-2</v>
      </c>
      <c r="R59">
        <v>0.1071761416589003</v>
      </c>
      <c r="S59">
        <v>2.329916123019572E-3</v>
      </c>
      <c r="T59">
        <v>2.329916123019572E-3</v>
      </c>
      <c r="U59">
        <v>0</v>
      </c>
      <c r="V59">
        <v>0</v>
      </c>
      <c r="W59">
        <v>0</v>
      </c>
      <c r="X59">
        <v>0</v>
      </c>
      <c r="Y59">
        <v>0.13513513513513514</v>
      </c>
      <c r="Z59">
        <v>0</v>
      </c>
      <c r="AA59">
        <v>0</v>
      </c>
      <c r="AB59">
        <v>2.329916123019572E-3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1.3979496738117434E-2</v>
      </c>
      <c r="AM59">
        <v>0</v>
      </c>
      <c r="AN59">
        <v>7.2227399813606747E-3</v>
      </c>
      <c r="AO59">
        <v>0</v>
      </c>
      <c r="AP59">
        <v>0</v>
      </c>
      <c r="AQ59">
        <v>0</v>
      </c>
      <c r="AR59">
        <v>0</v>
      </c>
      <c r="AS59">
        <v>4.659832246039144E-3</v>
      </c>
      <c r="AT59">
        <v>0</v>
      </c>
      <c r="AU59">
        <v>0</v>
      </c>
      <c r="AV59">
        <v>0</v>
      </c>
      <c r="AW59">
        <v>0</v>
      </c>
      <c r="AX59">
        <v>6.9897483690587172E-3</v>
      </c>
      <c r="AY59">
        <v>0</v>
      </c>
      <c r="AZ59">
        <v>0</v>
      </c>
      <c r="BA59">
        <v>0.23776794035414725</v>
      </c>
      <c r="BB59">
        <v>7.106244175209696E-3</v>
      </c>
      <c r="BC59">
        <v>0</v>
      </c>
      <c r="BD59">
        <v>0</v>
      </c>
      <c r="BE59">
        <v>0.13979496738117428</v>
      </c>
      <c r="BF59">
        <v>0</v>
      </c>
      <c r="BG59">
        <v>0</v>
      </c>
      <c r="BH59">
        <v>0</v>
      </c>
      <c r="BI59">
        <v>6.9897483690587172E-3</v>
      </c>
      <c r="BJ59">
        <v>0</v>
      </c>
      <c r="BK59">
        <v>0</v>
      </c>
      <c r="BL59">
        <v>0</v>
      </c>
      <c r="BM59">
        <v>0</v>
      </c>
      <c r="BN59">
        <v>4.659832246039144E-3</v>
      </c>
      <c r="BO59">
        <v>6.9897483690587155E-3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6.0577819198508881E-2</v>
      </c>
      <c r="CB59">
        <v>0</v>
      </c>
    </row>
    <row r="60" spans="1:80">
      <c r="A60">
        <v>59</v>
      </c>
      <c r="B60" s="4" t="s">
        <v>92</v>
      </c>
      <c r="C60" s="4" t="s">
        <v>173</v>
      </c>
      <c r="D60" s="4" t="s">
        <v>118</v>
      </c>
      <c r="E60" s="5">
        <v>39426</v>
      </c>
      <c r="F60" s="5">
        <v>39426</v>
      </c>
      <c r="G60">
        <v>712</v>
      </c>
      <c r="H60" s="4" t="s">
        <v>107</v>
      </c>
      <c r="I60" s="4" t="s">
        <v>108</v>
      </c>
      <c r="J60" s="4" t="str">
        <f t="shared" si="0"/>
        <v>u_con.c_con</v>
      </c>
      <c r="K60" s="5">
        <v>19</v>
      </c>
      <c r="L60">
        <v>0</v>
      </c>
      <c r="M60">
        <v>1.6203703703703703E-2</v>
      </c>
      <c r="N60">
        <v>0.13888888888888881</v>
      </c>
      <c r="O60">
        <v>0</v>
      </c>
      <c r="P60">
        <v>0</v>
      </c>
      <c r="Q60">
        <v>0</v>
      </c>
      <c r="R60">
        <v>1.8518518518518521E-2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0.1643518518518518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2.3148148148148151E-3</v>
      </c>
      <c r="AI60">
        <v>2.3148148148148151E-3</v>
      </c>
      <c r="AJ60">
        <v>0</v>
      </c>
      <c r="AK60">
        <v>0</v>
      </c>
      <c r="AL60">
        <v>2.3148148148148151E-3</v>
      </c>
      <c r="AM60">
        <v>0</v>
      </c>
      <c r="AN60">
        <v>1.6203703703703703E-2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0.4236111111111111</v>
      </c>
      <c r="BB60">
        <v>2.3148148148148151E-3</v>
      </c>
      <c r="BC60">
        <v>0</v>
      </c>
      <c r="BD60">
        <v>0</v>
      </c>
      <c r="BE60">
        <v>0.18518518518518509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2.3148148148148151E-3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2.5462962962962962E-2</v>
      </c>
      <c r="CB60">
        <v>0</v>
      </c>
    </row>
    <row r="61" spans="1:80">
      <c r="A61">
        <v>60</v>
      </c>
      <c r="B61" t="s">
        <v>93</v>
      </c>
      <c r="C61" s="4" t="s">
        <v>173</v>
      </c>
      <c r="D61" s="4" t="s">
        <v>118</v>
      </c>
      <c r="E61" s="5">
        <v>39426</v>
      </c>
      <c r="F61" s="5">
        <v>39426</v>
      </c>
      <c r="G61">
        <v>712</v>
      </c>
      <c r="H61" s="4" t="s">
        <v>107</v>
      </c>
      <c r="I61" s="4" t="s">
        <v>109</v>
      </c>
      <c r="J61" s="4" t="str">
        <f t="shared" si="0"/>
        <v>u_con.c_rem</v>
      </c>
      <c r="K61" s="5">
        <v>2</v>
      </c>
      <c r="L61">
        <v>0</v>
      </c>
      <c r="M61">
        <v>4.1374554648890949E-2</v>
      </c>
      <c r="N61">
        <v>0.15170670037926673</v>
      </c>
      <c r="O61">
        <v>0</v>
      </c>
      <c r="P61">
        <v>0</v>
      </c>
      <c r="Q61">
        <v>1.8388690955062639E-2</v>
      </c>
      <c r="R61">
        <v>5.7464659234570753E-2</v>
      </c>
      <c r="S61">
        <v>0</v>
      </c>
      <c r="T61">
        <v>2.2985863693828303E-3</v>
      </c>
      <c r="U61">
        <v>0</v>
      </c>
      <c r="V61">
        <v>0</v>
      </c>
      <c r="W61">
        <v>0</v>
      </c>
      <c r="X61">
        <v>0</v>
      </c>
      <c r="Y61">
        <v>0.10113780025284451</v>
      </c>
      <c r="Z61">
        <v>2.2985863693828303E-3</v>
      </c>
      <c r="AA61">
        <v>0</v>
      </c>
      <c r="AB61">
        <v>1.1492931846914151E-2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2.2985863693828303E-3</v>
      </c>
      <c r="AJ61">
        <v>0</v>
      </c>
      <c r="AK61">
        <v>0</v>
      </c>
      <c r="AL61">
        <v>1.1492931846914151E-2</v>
      </c>
      <c r="AM61">
        <v>0</v>
      </c>
      <c r="AN61">
        <v>1.8388690955062639E-2</v>
      </c>
      <c r="AO61">
        <v>0</v>
      </c>
      <c r="AP61">
        <v>0</v>
      </c>
      <c r="AQ61">
        <v>0</v>
      </c>
      <c r="AR61">
        <v>0</v>
      </c>
      <c r="AS61">
        <v>6.8957591081484915E-3</v>
      </c>
      <c r="AT61">
        <v>0</v>
      </c>
      <c r="AU61">
        <v>0</v>
      </c>
      <c r="AV61">
        <v>0</v>
      </c>
      <c r="AW61">
        <v>0</v>
      </c>
      <c r="AX61">
        <v>4.5971727387656607E-3</v>
      </c>
      <c r="AY61">
        <v>0</v>
      </c>
      <c r="AZ61">
        <v>0</v>
      </c>
      <c r="BA61">
        <v>0.39995402827261251</v>
      </c>
      <c r="BB61">
        <v>6.8957591081484915E-3</v>
      </c>
      <c r="BC61">
        <v>0</v>
      </c>
      <c r="BD61">
        <v>0</v>
      </c>
      <c r="BE61">
        <v>0.14492587058958736</v>
      </c>
      <c r="BF61">
        <v>0</v>
      </c>
      <c r="BG61">
        <v>2.2985863693828303E-3</v>
      </c>
      <c r="BH61">
        <v>2.2985863693828303E-3</v>
      </c>
      <c r="BI61">
        <v>2.2985863693828303E-3</v>
      </c>
      <c r="BJ61">
        <v>0</v>
      </c>
      <c r="BK61">
        <v>0</v>
      </c>
      <c r="BL61">
        <v>0</v>
      </c>
      <c r="BM61">
        <v>0</v>
      </c>
      <c r="BN61">
        <v>4.5971727387656607E-3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6.8957591081484915E-3</v>
      </c>
      <c r="CB61">
        <v>0</v>
      </c>
    </row>
    <row r="62" spans="1:80">
      <c r="A62">
        <v>61</v>
      </c>
      <c r="B62" s="4" t="s">
        <v>94</v>
      </c>
      <c r="C62" s="4" t="s">
        <v>174</v>
      </c>
      <c r="D62" s="4" t="s">
        <v>118</v>
      </c>
      <c r="E62" s="5">
        <v>39426</v>
      </c>
      <c r="F62" s="5">
        <v>39426</v>
      </c>
      <c r="G62">
        <v>712</v>
      </c>
      <c r="H62" s="4" t="s">
        <v>110</v>
      </c>
      <c r="I62" s="4" t="s">
        <v>108</v>
      </c>
      <c r="J62" s="4" t="str">
        <f t="shared" si="0"/>
        <v>u_rem.c_con</v>
      </c>
      <c r="K62" s="5">
        <v>8</v>
      </c>
      <c r="L62">
        <v>4.329004329004329E-3</v>
      </c>
      <c r="M62">
        <v>6.0606060606060608E-2</v>
      </c>
      <c r="N62">
        <v>0.46753246753246763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0.23593073593073594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1.7316017316017313E-2</v>
      </c>
      <c r="AI62">
        <v>2.1645021645021645E-3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2.1645021645021645E-3</v>
      </c>
      <c r="AU62">
        <v>0</v>
      </c>
      <c r="AV62">
        <v>0</v>
      </c>
      <c r="AW62">
        <v>2.1645021645021645E-3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2.1645021645021645E-3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0.20562770562770558</v>
      </c>
      <c r="CB62">
        <v>0</v>
      </c>
    </row>
    <row r="63" spans="1:80">
      <c r="A63">
        <v>62</v>
      </c>
      <c r="B63" s="4" t="s">
        <v>95</v>
      </c>
      <c r="C63" s="4" t="s">
        <v>174</v>
      </c>
      <c r="D63" s="4" t="s">
        <v>118</v>
      </c>
      <c r="E63" s="5">
        <v>39426</v>
      </c>
      <c r="F63" s="5">
        <v>39426</v>
      </c>
      <c r="G63">
        <v>712</v>
      </c>
      <c r="H63" s="4" t="s">
        <v>110</v>
      </c>
      <c r="I63" s="4" t="s">
        <v>109</v>
      </c>
      <c r="J63" s="4" t="str">
        <f t="shared" si="0"/>
        <v>u_rem.c_rem</v>
      </c>
      <c r="K63" s="5">
        <v>1</v>
      </c>
      <c r="L63">
        <v>2.2714366837024427E-3</v>
      </c>
      <c r="M63">
        <v>0.10902896081771724</v>
      </c>
      <c r="N63">
        <v>0.27030096536059062</v>
      </c>
      <c r="O63">
        <v>0</v>
      </c>
      <c r="P63">
        <v>0</v>
      </c>
      <c r="Q63">
        <v>2.2714366837024427E-3</v>
      </c>
      <c r="R63">
        <v>0</v>
      </c>
      <c r="S63">
        <v>0</v>
      </c>
      <c r="T63">
        <v>2.2714366837024427E-3</v>
      </c>
      <c r="U63">
        <v>0</v>
      </c>
      <c r="V63">
        <v>0</v>
      </c>
      <c r="W63">
        <v>0</v>
      </c>
      <c r="X63">
        <v>0</v>
      </c>
      <c r="Y63">
        <v>0.23168654173764908</v>
      </c>
      <c r="Z63">
        <v>0</v>
      </c>
      <c r="AA63">
        <v>0</v>
      </c>
      <c r="AB63">
        <v>3.634298693923909E-2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5.2243043725156188E-2</v>
      </c>
      <c r="AI63">
        <v>3.1800113571834196E-2</v>
      </c>
      <c r="AJ63">
        <v>0.11357183418512209</v>
      </c>
      <c r="AK63">
        <v>0</v>
      </c>
      <c r="AL63">
        <v>0</v>
      </c>
      <c r="AM63">
        <v>0</v>
      </c>
      <c r="AN63">
        <v>4.5428733674048854E-3</v>
      </c>
      <c r="AO63">
        <v>0</v>
      </c>
      <c r="AP63">
        <v>0</v>
      </c>
      <c r="AQ63">
        <v>0</v>
      </c>
      <c r="AR63">
        <v>0</v>
      </c>
      <c r="AS63">
        <v>2.2714366837024427E-3</v>
      </c>
      <c r="AT63">
        <v>2.8392958546280531E-3</v>
      </c>
      <c r="AU63">
        <v>0</v>
      </c>
      <c r="AV63">
        <v>0</v>
      </c>
      <c r="AW63">
        <v>2.2714366837024427E-3</v>
      </c>
      <c r="AX63">
        <v>2.2714366837024427E-3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0.13174332765474162</v>
      </c>
      <c r="CB63">
        <v>2.2714366837024427E-3</v>
      </c>
    </row>
    <row r="64" spans="1:80">
      <c r="A64">
        <v>63</v>
      </c>
      <c r="B64" s="4" t="s">
        <v>96</v>
      </c>
      <c r="C64" s="4" t="s">
        <v>174</v>
      </c>
      <c r="D64" s="4" t="s">
        <v>118</v>
      </c>
      <c r="E64" s="5">
        <v>39426</v>
      </c>
      <c r="F64" s="5">
        <v>39426</v>
      </c>
      <c r="G64">
        <v>712</v>
      </c>
      <c r="H64" s="4" t="s">
        <v>110</v>
      </c>
      <c r="I64" s="4" t="s">
        <v>109</v>
      </c>
      <c r="J64" s="4" t="str">
        <f t="shared" si="0"/>
        <v>u_rem.c_rem</v>
      </c>
      <c r="K64" s="5">
        <v>1</v>
      </c>
      <c r="L64">
        <v>1.1018983198778092E-2</v>
      </c>
      <c r="M64">
        <v>5.2367444905084021E-2</v>
      </c>
      <c r="N64">
        <v>0.46923412611826298</v>
      </c>
      <c r="O64">
        <v>0</v>
      </c>
      <c r="P64">
        <v>0</v>
      </c>
      <c r="Q64">
        <v>0</v>
      </c>
      <c r="R64">
        <v>0</v>
      </c>
      <c r="S64">
        <v>0</v>
      </c>
      <c r="T64">
        <v>1.3091861226271E-2</v>
      </c>
      <c r="U64">
        <v>0</v>
      </c>
      <c r="V64">
        <v>0</v>
      </c>
      <c r="W64">
        <v>0</v>
      </c>
      <c r="X64">
        <v>0</v>
      </c>
      <c r="Y64">
        <v>5.8913375518219513E-2</v>
      </c>
      <c r="Z64">
        <v>0</v>
      </c>
      <c r="AA64">
        <v>0</v>
      </c>
      <c r="AB64">
        <v>6.5459306131355E-3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4.8003491162993669E-2</v>
      </c>
      <c r="AI64">
        <v>2.6183722452542E-2</v>
      </c>
      <c r="AJ64">
        <v>0.19637791839406499</v>
      </c>
      <c r="AK64">
        <v>0</v>
      </c>
      <c r="AL64">
        <v>0</v>
      </c>
      <c r="AM64">
        <v>0</v>
      </c>
      <c r="AN64">
        <v>1.756491381191359E-2</v>
      </c>
      <c r="AO64">
        <v>0</v>
      </c>
      <c r="AP64">
        <v>0</v>
      </c>
      <c r="AQ64">
        <v>0</v>
      </c>
      <c r="AR64">
        <v>0</v>
      </c>
      <c r="AS64">
        <v>1.5273838097316165E-2</v>
      </c>
      <c r="AT64">
        <v>3.2729653065677501E-4</v>
      </c>
      <c r="AU64">
        <v>0</v>
      </c>
      <c r="AV64">
        <v>0</v>
      </c>
      <c r="AW64">
        <v>8.7279074841806678E-3</v>
      </c>
      <c r="AX64">
        <v>2.181976871045167E-3</v>
      </c>
      <c r="AY64">
        <v>2.181976871045167E-3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4.3639537420903339E-3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6.7641283002400174E-2</v>
      </c>
      <c r="CB64">
        <v>0</v>
      </c>
    </row>
    <row r="65" spans="1:80">
      <c r="A65">
        <v>64</v>
      </c>
      <c r="B65" s="4" t="s">
        <v>97</v>
      </c>
      <c r="C65" s="4" t="s">
        <v>174</v>
      </c>
      <c r="D65" s="4" t="s">
        <v>118</v>
      </c>
      <c r="E65" s="5">
        <v>39426</v>
      </c>
      <c r="F65" s="5">
        <v>39426</v>
      </c>
      <c r="G65">
        <v>712</v>
      </c>
      <c r="H65" s="4" t="s">
        <v>110</v>
      </c>
      <c r="I65" s="4" t="s">
        <v>108</v>
      </c>
      <c r="J65" s="4" t="str">
        <f t="shared" si="0"/>
        <v>u_rem.c_con</v>
      </c>
      <c r="K65" s="5">
        <v>8</v>
      </c>
      <c r="L65">
        <v>0</v>
      </c>
      <c r="M65">
        <v>8.7875549222182645E-2</v>
      </c>
      <c r="N65">
        <v>0.1520009500059375</v>
      </c>
      <c r="O65">
        <v>0</v>
      </c>
      <c r="P65">
        <v>0</v>
      </c>
      <c r="Q65">
        <v>0</v>
      </c>
      <c r="R65">
        <v>0.22800142500890636</v>
      </c>
      <c r="S65">
        <v>0</v>
      </c>
      <c r="T65">
        <v>7.1250445315283236E-3</v>
      </c>
      <c r="U65">
        <v>0</v>
      </c>
      <c r="V65">
        <v>0</v>
      </c>
      <c r="W65">
        <v>0</v>
      </c>
      <c r="X65">
        <v>0</v>
      </c>
      <c r="Y65">
        <v>0.43937774611091324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4.7500296876855485E-3</v>
      </c>
      <c r="AK65">
        <v>0</v>
      </c>
      <c r="AL65">
        <v>0</v>
      </c>
      <c r="AM65">
        <v>0</v>
      </c>
      <c r="AN65">
        <v>2.3750148438427742E-3</v>
      </c>
      <c r="AO65">
        <v>0</v>
      </c>
      <c r="AP65">
        <v>0</v>
      </c>
      <c r="AQ65">
        <v>0</v>
      </c>
      <c r="AR65">
        <v>0</v>
      </c>
      <c r="AS65">
        <v>4.7500296876855485E-3</v>
      </c>
      <c r="AT65">
        <v>1.1875074219213871E-4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2.3750148438427742E-3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7.1250445315283226E-2</v>
      </c>
      <c r="CB65">
        <v>0</v>
      </c>
    </row>
    <row r="66" spans="1:80">
      <c r="A66">
        <v>65</v>
      </c>
      <c r="B66" s="4" t="s">
        <v>98</v>
      </c>
      <c r="C66" s="4" t="s">
        <v>175</v>
      </c>
      <c r="D66" s="4" t="s">
        <v>118</v>
      </c>
      <c r="E66" s="5">
        <v>39426</v>
      </c>
      <c r="F66" s="5">
        <v>39426</v>
      </c>
      <c r="G66">
        <v>712</v>
      </c>
      <c r="H66" s="4" t="s">
        <v>107</v>
      </c>
      <c r="I66" s="4" t="s">
        <v>109</v>
      </c>
      <c r="J66" s="4" t="str">
        <f t="shared" ref="J66:J129" si="1">CONCATENATE(H66,".",I66)</f>
        <v>u_con.c_rem</v>
      </c>
      <c r="K66" s="5">
        <v>2</v>
      </c>
      <c r="L66">
        <v>1.4314684480496243E-2</v>
      </c>
      <c r="M66">
        <v>0.15519503757604669</v>
      </c>
      <c r="N66">
        <v>4.5329834188238105E-2</v>
      </c>
      <c r="O66">
        <v>0</v>
      </c>
      <c r="P66">
        <v>0</v>
      </c>
      <c r="Q66">
        <v>0</v>
      </c>
      <c r="R66">
        <v>0</v>
      </c>
      <c r="S66">
        <v>0</v>
      </c>
      <c r="T66">
        <v>9.5431229869974953E-3</v>
      </c>
      <c r="U66">
        <v>0</v>
      </c>
      <c r="V66">
        <v>0</v>
      </c>
      <c r="W66">
        <v>0</v>
      </c>
      <c r="X66">
        <v>0</v>
      </c>
      <c r="Y66">
        <v>0.23380651318143855</v>
      </c>
      <c r="Z66">
        <v>0</v>
      </c>
      <c r="AA66">
        <v>0</v>
      </c>
      <c r="AB66">
        <v>2.3857807467493738E-3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1.4314684480496245E-2</v>
      </c>
      <c r="AI66">
        <v>2.3857807467493738E-3</v>
      </c>
      <c r="AJ66">
        <v>0</v>
      </c>
      <c r="AK66">
        <v>0</v>
      </c>
      <c r="AL66">
        <v>7.1573422402481213E-2</v>
      </c>
      <c r="AM66">
        <v>0</v>
      </c>
      <c r="AN66">
        <v>9.662412024334965E-3</v>
      </c>
      <c r="AO66">
        <v>0</v>
      </c>
      <c r="AP66">
        <v>0</v>
      </c>
      <c r="AQ66">
        <v>0</v>
      </c>
      <c r="AR66">
        <v>0</v>
      </c>
      <c r="AS66">
        <v>8.5888106882977461E-2</v>
      </c>
      <c r="AT66">
        <v>2.5050697840868427E-3</v>
      </c>
      <c r="AU66">
        <v>0</v>
      </c>
      <c r="AV66">
        <v>0</v>
      </c>
      <c r="AW66">
        <v>2.3857807467493736E-2</v>
      </c>
      <c r="AX66">
        <v>7.1573422402481214E-3</v>
      </c>
      <c r="AY66">
        <v>0</v>
      </c>
      <c r="AZ66">
        <v>0</v>
      </c>
      <c r="BA66">
        <v>4.7715614934987476E-3</v>
      </c>
      <c r="BB66">
        <v>0</v>
      </c>
      <c r="BC66">
        <v>0</v>
      </c>
      <c r="BD66">
        <v>0</v>
      </c>
      <c r="BE66">
        <v>0.25050697840868419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5.9644518668734346E-2</v>
      </c>
      <c r="CB66">
        <v>4.7715614934987476E-3</v>
      </c>
    </row>
    <row r="67" spans="1:80">
      <c r="A67">
        <v>66</v>
      </c>
      <c r="B67" s="4" t="s">
        <v>99</v>
      </c>
      <c r="C67" s="4" t="s">
        <v>175</v>
      </c>
      <c r="D67" s="4" t="s">
        <v>118</v>
      </c>
      <c r="E67" s="5">
        <v>39426</v>
      </c>
      <c r="F67" s="5">
        <v>39426</v>
      </c>
      <c r="G67">
        <v>712</v>
      </c>
      <c r="H67" s="4" t="s">
        <v>107</v>
      </c>
      <c r="I67" s="4" t="s">
        <v>108</v>
      </c>
      <c r="J67" s="4" t="str">
        <f t="shared" si="1"/>
        <v>u_con.c_con</v>
      </c>
      <c r="K67" s="5">
        <v>19</v>
      </c>
      <c r="L67">
        <v>3.0478512648582754E-3</v>
      </c>
      <c r="M67">
        <v>8.8387686680890004E-2</v>
      </c>
      <c r="N67">
        <v>0.26516306004266998</v>
      </c>
      <c r="O67">
        <v>0</v>
      </c>
      <c r="P67">
        <v>0</v>
      </c>
      <c r="Q67">
        <v>0</v>
      </c>
      <c r="R67">
        <v>0</v>
      </c>
      <c r="S67">
        <v>0</v>
      </c>
      <c r="T67">
        <v>0.18591892715635472</v>
      </c>
      <c r="U67">
        <v>0</v>
      </c>
      <c r="V67">
        <v>0</v>
      </c>
      <c r="W67">
        <v>0</v>
      </c>
      <c r="X67">
        <v>0</v>
      </c>
      <c r="Y67">
        <v>1.8287107589149653E-2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5.1813471502590691E-2</v>
      </c>
      <c r="AI67">
        <v>3.0478512648582754E-3</v>
      </c>
      <c r="AJ67">
        <v>6.0957025297165507E-3</v>
      </c>
      <c r="AK67">
        <v>0</v>
      </c>
      <c r="AL67">
        <v>0</v>
      </c>
      <c r="AM67">
        <v>0</v>
      </c>
      <c r="AN67">
        <v>1.8287107589149653E-2</v>
      </c>
      <c r="AO67">
        <v>0</v>
      </c>
      <c r="AP67">
        <v>0</v>
      </c>
      <c r="AQ67">
        <v>0</v>
      </c>
      <c r="AR67">
        <v>0</v>
      </c>
      <c r="AS67">
        <v>9.1435537945748283E-3</v>
      </c>
      <c r="AT67">
        <v>1.5239256324291376E-4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0.2407802499238037</v>
      </c>
      <c r="BB67">
        <v>0</v>
      </c>
      <c r="BC67">
        <v>0</v>
      </c>
      <c r="BD67">
        <v>0</v>
      </c>
      <c r="BE67">
        <v>0.10682718683328256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3.0478512648582754E-3</v>
      </c>
      <c r="CB67">
        <v>0</v>
      </c>
    </row>
    <row r="68" spans="1:80">
      <c r="A68">
        <v>67</v>
      </c>
      <c r="B68" s="4" t="s">
        <v>100</v>
      </c>
      <c r="C68" s="4" t="s">
        <v>175</v>
      </c>
      <c r="D68" s="4" t="s">
        <v>118</v>
      </c>
      <c r="E68" s="5">
        <v>39426</v>
      </c>
      <c r="F68" s="5">
        <v>39426</v>
      </c>
      <c r="G68">
        <v>712</v>
      </c>
      <c r="H68" s="4" t="s">
        <v>107</v>
      </c>
      <c r="I68" s="4" t="s">
        <v>109</v>
      </c>
      <c r="J68" s="4" t="str">
        <f t="shared" si="1"/>
        <v>u_con.c_rem</v>
      </c>
      <c r="K68" s="5">
        <v>2</v>
      </c>
      <c r="L68">
        <v>0</v>
      </c>
      <c r="M68">
        <v>0.38649489115948488</v>
      </c>
      <c r="N68">
        <v>0.16437139049311417</v>
      </c>
      <c r="O68">
        <v>0</v>
      </c>
      <c r="P68">
        <v>0</v>
      </c>
      <c r="Q68">
        <v>0</v>
      </c>
      <c r="R68">
        <v>0</v>
      </c>
      <c r="S68">
        <v>0</v>
      </c>
      <c r="T68">
        <v>4.0093291870279886E-2</v>
      </c>
      <c r="U68">
        <v>0</v>
      </c>
      <c r="V68">
        <v>0</v>
      </c>
      <c r="W68">
        <v>0</v>
      </c>
      <c r="X68">
        <v>0</v>
      </c>
      <c r="Y68">
        <v>0.17769880053309639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4.4424700133274117E-3</v>
      </c>
      <c r="AF68">
        <v>0</v>
      </c>
      <c r="AG68">
        <v>0</v>
      </c>
      <c r="AH68">
        <v>1.1106175033318528E-2</v>
      </c>
      <c r="AI68">
        <v>2.2212350066637058E-3</v>
      </c>
      <c r="AJ68">
        <v>0</v>
      </c>
      <c r="AK68">
        <v>0</v>
      </c>
      <c r="AL68">
        <v>0</v>
      </c>
      <c r="AM68">
        <v>0</v>
      </c>
      <c r="AN68">
        <v>1.1106175033318528E-2</v>
      </c>
      <c r="AO68">
        <v>0</v>
      </c>
      <c r="AP68">
        <v>0</v>
      </c>
      <c r="AQ68">
        <v>0</v>
      </c>
      <c r="AR68">
        <v>0</v>
      </c>
      <c r="AS68">
        <v>6.7747667703243033E-3</v>
      </c>
      <c r="AT68">
        <v>1.1106175033318529E-4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2.2212350066637058E-3</v>
      </c>
      <c r="BB68">
        <v>0</v>
      </c>
      <c r="BC68">
        <v>0</v>
      </c>
      <c r="BD68">
        <v>0</v>
      </c>
      <c r="BE68">
        <v>0.16226121723678363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2.2212350066637058E-3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2.8876055086628175E-2</v>
      </c>
      <c r="CB68">
        <v>0</v>
      </c>
    </row>
    <row r="69" spans="1:80" s="1" customFormat="1">
      <c r="A69">
        <v>68</v>
      </c>
      <c r="B69" s="4" t="s">
        <v>101</v>
      </c>
      <c r="C69" s="4" t="s">
        <v>175</v>
      </c>
      <c r="D69" s="4" t="s">
        <v>118</v>
      </c>
      <c r="E69" s="5">
        <v>39426</v>
      </c>
      <c r="F69" s="5">
        <v>39426</v>
      </c>
      <c r="G69">
        <v>712</v>
      </c>
      <c r="H69" s="4" t="s">
        <v>107</v>
      </c>
      <c r="I69" s="4" t="s">
        <v>108</v>
      </c>
      <c r="J69" s="4" t="str">
        <f t="shared" si="1"/>
        <v>u_con.c_con</v>
      </c>
      <c r="K69" s="5">
        <v>19</v>
      </c>
      <c r="L69">
        <v>1.3603899784604918E-2</v>
      </c>
      <c r="M69">
        <v>0.30608774515361065</v>
      </c>
      <c r="N69">
        <v>9.0692665230699479E-2</v>
      </c>
      <c r="O69">
        <v>0</v>
      </c>
      <c r="P69">
        <v>0</v>
      </c>
      <c r="Q69">
        <v>0</v>
      </c>
      <c r="R69">
        <v>0</v>
      </c>
      <c r="S69">
        <v>0</v>
      </c>
      <c r="T69">
        <v>0.10667724747761022</v>
      </c>
      <c r="U69">
        <v>0</v>
      </c>
      <c r="V69">
        <v>0</v>
      </c>
      <c r="W69">
        <v>0</v>
      </c>
      <c r="X69">
        <v>0</v>
      </c>
      <c r="Y69">
        <v>0.242602879492121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2.9475116199977325E-2</v>
      </c>
      <c r="AI69">
        <v>9.0692665230699462E-3</v>
      </c>
      <c r="AJ69">
        <v>0</v>
      </c>
      <c r="AK69">
        <v>0</v>
      </c>
      <c r="AL69">
        <v>0</v>
      </c>
      <c r="AM69">
        <v>0</v>
      </c>
      <c r="AN69">
        <v>9.0692665230699462E-3</v>
      </c>
      <c r="AO69">
        <v>0</v>
      </c>
      <c r="AP69">
        <v>0</v>
      </c>
      <c r="AQ69">
        <v>0</v>
      </c>
      <c r="AR69">
        <v>0</v>
      </c>
      <c r="AS69">
        <v>2.4940482938442352E-2</v>
      </c>
      <c r="AT69">
        <v>6.8019498923024601E-3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4.5346332615349731E-3</v>
      </c>
      <c r="BB69">
        <v>0</v>
      </c>
      <c r="BC69">
        <v>0</v>
      </c>
      <c r="BD69">
        <v>0</v>
      </c>
      <c r="BE69">
        <v>8.3890715338396996E-2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7.2554132184559569E-2</v>
      </c>
      <c r="CB69">
        <v>0</v>
      </c>
    </row>
    <row r="70" spans="1:80">
      <c r="A70">
        <v>69</v>
      </c>
      <c r="B70" s="4" t="s">
        <v>102</v>
      </c>
      <c r="C70" s="4" t="s">
        <v>176</v>
      </c>
      <c r="D70" s="4" t="s">
        <v>118</v>
      </c>
      <c r="E70" s="5">
        <v>39426</v>
      </c>
      <c r="F70" s="5">
        <v>39426</v>
      </c>
      <c r="G70">
        <v>712</v>
      </c>
      <c r="H70" s="4" t="s">
        <v>110</v>
      </c>
      <c r="I70" s="4" t="s">
        <v>108</v>
      </c>
      <c r="J70" s="4" t="str">
        <f t="shared" si="1"/>
        <v>u_rem.c_con</v>
      </c>
      <c r="K70" s="5">
        <v>8</v>
      </c>
      <c r="L70">
        <v>0</v>
      </c>
      <c r="M70">
        <v>0.14806378132118447</v>
      </c>
      <c r="N70">
        <v>2.2779043280182236E-3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0.3439635535307517</v>
      </c>
      <c r="Z70">
        <v>0</v>
      </c>
      <c r="AA70">
        <v>4.5558086560364471E-3</v>
      </c>
      <c r="AB70">
        <v>2.2779043280182236E-3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0.30751708428246016</v>
      </c>
      <c r="AP70">
        <v>0</v>
      </c>
      <c r="AQ70">
        <v>2.96127562642369E-2</v>
      </c>
      <c r="AR70">
        <v>0</v>
      </c>
      <c r="AS70">
        <v>6.8337129840546698E-3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7.0615034168564919E-2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2.5056947608200458E-2</v>
      </c>
      <c r="CB70">
        <v>0</v>
      </c>
    </row>
    <row r="71" spans="1:80">
      <c r="A71">
        <v>70</v>
      </c>
      <c r="B71" s="4" t="s">
        <v>103</v>
      </c>
      <c r="C71" s="4" t="s">
        <v>176</v>
      </c>
      <c r="D71" s="4" t="s">
        <v>118</v>
      </c>
      <c r="E71" s="5">
        <v>39426</v>
      </c>
      <c r="F71" s="5">
        <v>39426</v>
      </c>
      <c r="G71">
        <v>712</v>
      </c>
      <c r="H71" s="4" t="s">
        <v>110</v>
      </c>
      <c r="I71" s="4" t="s">
        <v>109</v>
      </c>
      <c r="J71" s="4" t="str">
        <f t="shared" si="1"/>
        <v>u_rem.c_rem</v>
      </c>
      <c r="K71" s="5">
        <v>1</v>
      </c>
      <c r="L71">
        <v>1.0302640051513205E-2</v>
      </c>
      <c r="M71">
        <v>0.1262073406310367</v>
      </c>
      <c r="N71">
        <v>0.22150676110753387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7.7269800386349036E-2</v>
      </c>
      <c r="Z71">
        <v>0</v>
      </c>
      <c r="AA71">
        <v>0</v>
      </c>
      <c r="AB71">
        <v>0</v>
      </c>
      <c r="AC71">
        <v>5.1513200257566026E-3</v>
      </c>
      <c r="AD71">
        <v>0</v>
      </c>
      <c r="AE71">
        <v>0</v>
      </c>
      <c r="AF71">
        <v>0</v>
      </c>
      <c r="AG71">
        <v>0</v>
      </c>
      <c r="AH71">
        <v>2.318094011590471E-2</v>
      </c>
      <c r="AI71">
        <v>5.1513200257566026E-3</v>
      </c>
      <c r="AJ71">
        <v>0</v>
      </c>
      <c r="AK71">
        <v>0</v>
      </c>
      <c r="AL71">
        <v>7.7269800386349039E-3</v>
      </c>
      <c r="AM71">
        <v>0</v>
      </c>
      <c r="AN71">
        <v>3.6316806181584053E-2</v>
      </c>
      <c r="AO71">
        <v>7.8557630392788198E-3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2.0605280103026407E-2</v>
      </c>
      <c r="AX71">
        <v>2.5756600128783013E-3</v>
      </c>
      <c r="AY71">
        <v>0</v>
      </c>
      <c r="AZ71">
        <v>0</v>
      </c>
      <c r="BA71">
        <v>5.6922086284610471E-2</v>
      </c>
      <c r="BB71">
        <v>0</v>
      </c>
      <c r="BC71">
        <v>0</v>
      </c>
      <c r="BD71">
        <v>0</v>
      </c>
      <c r="BE71">
        <v>0.12105602060528016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2.5756600128783013E-3</v>
      </c>
      <c r="BO71">
        <v>0</v>
      </c>
      <c r="BP71">
        <v>5.1513200257566026E-3</v>
      </c>
      <c r="BQ71">
        <v>2.5756600128783013E-3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0.16999356084996783</v>
      </c>
      <c r="CA71">
        <v>9.7875080489375446E-2</v>
      </c>
      <c r="CB71">
        <v>0</v>
      </c>
    </row>
    <row r="72" spans="1:80">
      <c r="A72">
        <v>71</v>
      </c>
      <c r="B72" s="4" t="s">
        <v>104</v>
      </c>
      <c r="C72" s="4" t="s">
        <v>176</v>
      </c>
      <c r="D72" s="4" t="s">
        <v>118</v>
      </c>
      <c r="E72" s="5">
        <v>39426</v>
      </c>
      <c r="F72" s="5">
        <v>39426</v>
      </c>
      <c r="G72">
        <v>712</v>
      </c>
      <c r="H72" s="4" t="s">
        <v>110</v>
      </c>
      <c r="I72" s="4" t="s">
        <v>108</v>
      </c>
      <c r="J72" s="4" t="str">
        <f t="shared" si="1"/>
        <v>u_rem.c_con</v>
      </c>
      <c r="K72" s="5">
        <v>8</v>
      </c>
      <c r="L72">
        <v>3.2786885245901641E-2</v>
      </c>
      <c r="M72">
        <v>0.13114754098360654</v>
      </c>
      <c r="N72">
        <v>6.5573770491803296E-2</v>
      </c>
      <c r="O72">
        <v>0</v>
      </c>
      <c r="P72">
        <v>0</v>
      </c>
      <c r="Q72">
        <v>8.1967213114754103E-3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0.18579234972677597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8.196721311475412E-3</v>
      </c>
      <c r="AF72">
        <v>0</v>
      </c>
      <c r="AG72">
        <v>0</v>
      </c>
      <c r="AH72">
        <v>0</v>
      </c>
      <c r="AI72">
        <v>2.7322404371584704E-3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0.32786885245901637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4.9180327868852465E-2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2.7322404371584704E-3</v>
      </c>
      <c r="BM72">
        <v>0</v>
      </c>
      <c r="BN72">
        <v>0</v>
      </c>
      <c r="BO72">
        <v>0</v>
      </c>
      <c r="BP72">
        <v>2.7322404371584704E-3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6.2841530054644809E-2</v>
      </c>
      <c r="CA72">
        <v>2.7322404371584702E-2</v>
      </c>
      <c r="CB72">
        <v>0</v>
      </c>
    </row>
    <row r="73" spans="1:80">
      <c r="A73">
        <v>72</v>
      </c>
      <c r="B73" s="4" t="s">
        <v>105</v>
      </c>
      <c r="C73" s="4" t="s">
        <v>176</v>
      </c>
      <c r="D73" s="4" t="s">
        <v>118</v>
      </c>
      <c r="E73" s="5">
        <v>39426</v>
      </c>
      <c r="F73" s="5">
        <v>39426</v>
      </c>
      <c r="G73">
        <v>712</v>
      </c>
      <c r="H73" s="4" t="s">
        <v>110</v>
      </c>
      <c r="I73" s="4" t="s">
        <v>109</v>
      </c>
      <c r="J73" s="4" t="str">
        <f t="shared" si="1"/>
        <v>u_rem.c_rem</v>
      </c>
      <c r="K73" s="5">
        <v>1</v>
      </c>
      <c r="L73">
        <v>1.6583747927031513E-2</v>
      </c>
      <c r="M73">
        <v>1.4214641080312729E-2</v>
      </c>
      <c r="N73">
        <v>7.3442312248282432E-2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0.23454157782515994</v>
      </c>
      <c r="Z73">
        <v>0</v>
      </c>
      <c r="AA73">
        <v>7.1073205401563627E-3</v>
      </c>
      <c r="AB73">
        <v>0</v>
      </c>
      <c r="AC73">
        <v>2.8429282160625451E-2</v>
      </c>
      <c r="AD73">
        <v>2.3691068467187878E-2</v>
      </c>
      <c r="AE73">
        <v>4.2643923240938172E-2</v>
      </c>
      <c r="AF73">
        <v>0</v>
      </c>
      <c r="AG73">
        <v>0</v>
      </c>
      <c r="AH73">
        <v>0.10187159440890785</v>
      </c>
      <c r="AI73">
        <v>4.7382136934375754E-3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2.1321961620469086E-2</v>
      </c>
      <c r="AP73">
        <v>0</v>
      </c>
      <c r="AQ73">
        <v>0</v>
      </c>
      <c r="AR73">
        <v>0</v>
      </c>
      <c r="AS73">
        <v>2.3691068467187878E-2</v>
      </c>
      <c r="AT73">
        <v>2.4875621890547272E-3</v>
      </c>
      <c r="AU73">
        <v>0</v>
      </c>
      <c r="AV73">
        <v>0</v>
      </c>
      <c r="AW73">
        <v>1.4214641080312725E-2</v>
      </c>
      <c r="AX73">
        <v>2.3691068467187877E-3</v>
      </c>
      <c r="AY73">
        <v>0</v>
      </c>
      <c r="AZ73">
        <v>0</v>
      </c>
      <c r="BA73">
        <v>1.6702203269367454E-2</v>
      </c>
      <c r="BB73">
        <v>0</v>
      </c>
      <c r="BC73">
        <v>0</v>
      </c>
      <c r="BD73">
        <v>0</v>
      </c>
      <c r="BE73">
        <v>0.28429282160625446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1.4214641080312725E-2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2.1321961620469086E-2</v>
      </c>
      <c r="CA73">
        <v>5.2120350627813332E-2</v>
      </c>
      <c r="CB73">
        <v>0</v>
      </c>
    </row>
    <row r="74" spans="1:80">
      <c r="A74">
        <v>73</v>
      </c>
      <c r="B74" t="s">
        <v>35</v>
      </c>
      <c r="C74" s="4" t="s">
        <v>159</v>
      </c>
      <c r="D74" s="4" t="s">
        <v>116</v>
      </c>
      <c r="E74" s="5">
        <v>39536</v>
      </c>
      <c r="F74" s="5">
        <v>39534</v>
      </c>
      <c r="G74">
        <v>803</v>
      </c>
      <c r="H74" s="4" t="s">
        <v>107</v>
      </c>
      <c r="I74" s="4" t="s">
        <v>108</v>
      </c>
      <c r="J74" s="4" t="str">
        <f t="shared" si="1"/>
        <v>u_con.c_con</v>
      </c>
      <c r="K74" s="5">
        <v>19</v>
      </c>
      <c r="L74">
        <v>0</v>
      </c>
      <c r="M74">
        <v>4.8721870220668553E-2</v>
      </c>
      <c r="N74">
        <v>0.24470176971815594</v>
      </c>
      <c r="O74">
        <v>4.3696744592527856E-3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2.2066856019226568E-2</v>
      </c>
      <c r="AA74">
        <v>0</v>
      </c>
      <c r="AB74">
        <v>0</v>
      </c>
      <c r="AC74">
        <v>0</v>
      </c>
      <c r="AD74">
        <v>0</v>
      </c>
      <c r="AE74">
        <v>8.7393489185055712E-3</v>
      </c>
      <c r="AF74">
        <v>0</v>
      </c>
      <c r="AG74">
        <v>0</v>
      </c>
      <c r="AH74">
        <v>4.5881581822154252E-3</v>
      </c>
      <c r="AI74">
        <v>3.9545553856237703E-2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2.6655014201441989E-2</v>
      </c>
      <c r="AT74">
        <v>5.2436093511033432E-3</v>
      </c>
      <c r="AU74">
        <v>0</v>
      </c>
      <c r="AV74">
        <v>0</v>
      </c>
      <c r="AW74">
        <v>1.3109023377758355E-2</v>
      </c>
      <c r="AX74">
        <v>4.3696744592527856E-3</v>
      </c>
      <c r="AY74">
        <v>0</v>
      </c>
      <c r="AZ74">
        <v>0</v>
      </c>
      <c r="BA74">
        <v>7.0788726239895114E-2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0.4544461437622897</v>
      </c>
      <c r="CB74">
        <v>5.2654577233996074E-2</v>
      </c>
    </row>
    <row r="75" spans="1:80">
      <c r="A75">
        <v>74</v>
      </c>
      <c r="B75" t="s">
        <v>36</v>
      </c>
      <c r="C75" s="4" t="s">
        <v>159</v>
      </c>
      <c r="D75" s="4" t="s">
        <v>116</v>
      </c>
      <c r="E75" s="5">
        <v>39536</v>
      </c>
      <c r="F75" s="5">
        <v>39534</v>
      </c>
      <c r="G75">
        <v>803</v>
      </c>
      <c r="H75" s="4" t="s">
        <v>107</v>
      </c>
      <c r="I75" s="4" t="s">
        <v>109</v>
      </c>
      <c r="J75" s="4" t="str">
        <f t="shared" si="1"/>
        <v>u_con.c_rem</v>
      </c>
      <c r="K75" s="5">
        <v>2</v>
      </c>
      <c r="L75">
        <v>1.5710919088766696E-2</v>
      </c>
      <c r="M75">
        <v>7.4626865671641798E-2</v>
      </c>
      <c r="N75">
        <v>0.36658811207122283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0.15789473684210525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1.5710919088766696E-2</v>
      </c>
      <c r="AI75">
        <v>4.2419481539670074E-2</v>
      </c>
      <c r="AJ75">
        <v>0</v>
      </c>
      <c r="AK75">
        <v>0</v>
      </c>
      <c r="AL75">
        <v>0</v>
      </c>
      <c r="AM75">
        <v>0</v>
      </c>
      <c r="AN75">
        <v>1.0473946059177796E-2</v>
      </c>
      <c r="AO75">
        <v>0</v>
      </c>
      <c r="AP75">
        <v>0</v>
      </c>
      <c r="AQ75">
        <v>0</v>
      </c>
      <c r="AR75">
        <v>0</v>
      </c>
      <c r="AS75">
        <v>1.6496465043205032E-2</v>
      </c>
      <c r="AT75">
        <v>1.5972767740246141E-2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4.2419481539670068E-2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3.2207384131971724E-2</v>
      </c>
      <c r="CA75">
        <v>0.20947892118355591</v>
      </c>
      <c r="CB75">
        <v>0</v>
      </c>
    </row>
    <row r="76" spans="1:80">
      <c r="A76">
        <v>75</v>
      </c>
      <c r="B76" t="s">
        <v>37</v>
      </c>
      <c r="C76" s="4" t="s">
        <v>159</v>
      </c>
      <c r="D76" s="4" t="s">
        <v>116</v>
      </c>
      <c r="E76" s="5">
        <v>39536</v>
      </c>
      <c r="F76" s="5">
        <v>39534</v>
      </c>
      <c r="G76">
        <v>803</v>
      </c>
      <c r="H76" s="4" t="s">
        <v>107</v>
      </c>
      <c r="I76" s="4" t="s">
        <v>109</v>
      </c>
      <c r="J76" s="4" t="str">
        <f t="shared" si="1"/>
        <v>u_con.c_rem</v>
      </c>
      <c r="K76" s="5">
        <v>2</v>
      </c>
      <c r="L76">
        <v>5.1033426894615984E-3</v>
      </c>
      <c r="M76">
        <v>0.11839755039550906</v>
      </c>
      <c r="N76">
        <v>0.29114570043378413</v>
      </c>
      <c r="O76">
        <v>0</v>
      </c>
      <c r="P76">
        <v>0</v>
      </c>
      <c r="Q76">
        <v>1.0206685378923197E-2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0.15310028068384793</v>
      </c>
      <c r="AA76">
        <v>0</v>
      </c>
      <c r="AB76">
        <v>0</v>
      </c>
      <c r="AC76">
        <v>5.1033426894615984E-3</v>
      </c>
      <c r="AD76">
        <v>0</v>
      </c>
      <c r="AE76">
        <v>1.6330696606277114E-2</v>
      </c>
      <c r="AF76">
        <v>0</v>
      </c>
      <c r="AG76">
        <v>0</v>
      </c>
      <c r="AH76">
        <v>3.1130390405715747E-2</v>
      </c>
      <c r="AI76">
        <v>5.3585098239346783E-3</v>
      </c>
      <c r="AJ76">
        <v>0</v>
      </c>
      <c r="AK76">
        <v>0</v>
      </c>
      <c r="AL76">
        <v>0</v>
      </c>
      <c r="AM76">
        <v>0</v>
      </c>
      <c r="AN76">
        <v>5.8688440928808382E-3</v>
      </c>
      <c r="AO76">
        <v>0</v>
      </c>
      <c r="AP76">
        <v>0</v>
      </c>
      <c r="AQ76">
        <v>0</v>
      </c>
      <c r="AR76">
        <v>0</v>
      </c>
      <c r="AS76">
        <v>2.6027047716254147E-2</v>
      </c>
      <c r="AT76">
        <v>1.5310028068384796E-2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3.6233733095177342E-2</v>
      </c>
      <c r="CA76">
        <v>0.28068384792038786</v>
      </c>
      <c r="CB76">
        <v>0</v>
      </c>
    </row>
    <row r="77" spans="1:80" s="1" customFormat="1">
      <c r="A77">
        <v>76</v>
      </c>
      <c r="B77" t="s">
        <v>38</v>
      </c>
      <c r="C77" s="4" t="s">
        <v>159</v>
      </c>
      <c r="D77" s="4" t="s">
        <v>116</v>
      </c>
      <c r="E77" s="5">
        <v>39536</v>
      </c>
      <c r="F77" s="5">
        <v>39534</v>
      </c>
      <c r="G77">
        <v>803</v>
      </c>
      <c r="H77" s="4" t="s">
        <v>107</v>
      </c>
      <c r="I77" s="4" t="s">
        <v>108</v>
      </c>
      <c r="J77" s="4" t="str">
        <f t="shared" si="1"/>
        <v>u_con.c_con</v>
      </c>
      <c r="K77" s="5">
        <v>19</v>
      </c>
      <c r="L77">
        <v>0</v>
      </c>
      <c r="M77">
        <v>6.4931846344485733E-2</v>
      </c>
      <c r="N77">
        <v>0.46592317224287466</v>
      </c>
      <c r="O77">
        <v>0</v>
      </c>
      <c r="P77">
        <v>0</v>
      </c>
      <c r="Q77">
        <v>4.9566294919454763E-3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2.5030978934324655E-2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1.9826517967781905E-2</v>
      </c>
      <c r="AI77">
        <v>5.5018587360594791E-2</v>
      </c>
      <c r="AJ77">
        <v>0</v>
      </c>
      <c r="AK77">
        <v>0</v>
      </c>
      <c r="AL77">
        <v>0</v>
      </c>
      <c r="AM77">
        <v>0</v>
      </c>
      <c r="AN77">
        <v>1.0161090458488226E-2</v>
      </c>
      <c r="AO77">
        <v>0</v>
      </c>
      <c r="AP77">
        <v>0</v>
      </c>
      <c r="AQ77">
        <v>0</v>
      </c>
      <c r="AR77">
        <v>0</v>
      </c>
      <c r="AS77">
        <v>4.9566294919454763E-3</v>
      </c>
      <c r="AT77">
        <v>2.5526641883519201E-2</v>
      </c>
      <c r="AU77">
        <v>4.9566294919454763E-3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4.0396530359355629E-2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0.10458488228004956</v>
      </c>
      <c r="CA77">
        <v>0.17372986369268892</v>
      </c>
      <c r="CB77">
        <v>0</v>
      </c>
    </row>
    <row r="78" spans="1:80">
      <c r="A78">
        <v>77</v>
      </c>
      <c r="B78" t="s">
        <v>39</v>
      </c>
      <c r="C78" s="4" t="s">
        <v>160</v>
      </c>
      <c r="D78" s="4" t="s">
        <v>116</v>
      </c>
      <c r="E78" s="5">
        <v>39536</v>
      </c>
      <c r="F78" s="5">
        <v>39534</v>
      </c>
      <c r="G78">
        <v>803</v>
      </c>
      <c r="H78" s="4" t="s">
        <v>110</v>
      </c>
      <c r="I78" s="4" t="s">
        <v>109</v>
      </c>
      <c r="J78" s="4" t="str">
        <f t="shared" si="1"/>
        <v>u_rem.c_rem</v>
      </c>
      <c r="K78" s="5">
        <v>1</v>
      </c>
      <c r="L78">
        <v>0</v>
      </c>
      <c r="M78">
        <v>6.6725978647686824E-4</v>
      </c>
      <c r="N78">
        <v>0.59608540925266895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1.3345195729537365E-2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1.7793594306049824E-2</v>
      </c>
      <c r="AI78">
        <v>4.9599644128113879E-2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4.4483985765124553E-4</v>
      </c>
      <c r="AW78">
        <v>0</v>
      </c>
      <c r="AX78">
        <v>4.4483985765124559E-3</v>
      </c>
      <c r="AY78">
        <v>0</v>
      </c>
      <c r="AZ78">
        <v>0</v>
      </c>
      <c r="BA78">
        <v>4.0702846975088962E-2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5.5604982206405697E-3</v>
      </c>
      <c r="CA78">
        <v>0.26690391459074725</v>
      </c>
      <c r="CB78">
        <v>4.4483985765124559E-3</v>
      </c>
    </row>
    <row r="79" spans="1:80">
      <c r="A79">
        <v>78</v>
      </c>
      <c r="B79" t="s">
        <v>40</v>
      </c>
      <c r="C79" s="4" t="s">
        <v>160</v>
      </c>
      <c r="D79" s="4" t="s">
        <v>116</v>
      </c>
      <c r="E79" s="5">
        <v>39536</v>
      </c>
      <c r="F79" s="5">
        <v>39534</v>
      </c>
      <c r="G79">
        <v>803</v>
      </c>
      <c r="H79" s="4" t="s">
        <v>110</v>
      </c>
      <c r="I79" s="4" t="s">
        <v>108</v>
      </c>
      <c r="J79" s="4" t="str">
        <f t="shared" si="1"/>
        <v>u_rem.c_con</v>
      </c>
      <c r="K79" s="5">
        <v>8</v>
      </c>
      <c r="L79">
        <v>0</v>
      </c>
      <c r="M79">
        <v>3.7656903765690378E-2</v>
      </c>
      <c r="N79">
        <v>0.41841004184100422</v>
      </c>
      <c r="O79">
        <v>4.8814504881450494E-3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1.9060901906090194E-2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1.3947001394700143E-2</v>
      </c>
      <c r="AI79">
        <v>2.3245002324500233E-2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5.113900511390052E-3</v>
      </c>
      <c r="AT79">
        <v>4.6490004649000469E-4</v>
      </c>
      <c r="AU79">
        <v>0</v>
      </c>
      <c r="AV79">
        <v>4.7884704788470477E-2</v>
      </c>
      <c r="AW79">
        <v>0</v>
      </c>
      <c r="AX79">
        <v>0</v>
      </c>
      <c r="AY79">
        <v>0</v>
      </c>
      <c r="AZ79">
        <v>0</v>
      </c>
      <c r="BA79">
        <v>8.4844258484425852E-2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9.7629009762900988E-3</v>
      </c>
      <c r="CA79">
        <v>0.33472803347280333</v>
      </c>
      <c r="CB79">
        <v>0</v>
      </c>
    </row>
    <row r="80" spans="1:80">
      <c r="A80">
        <v>79</v>
      </c>
      <c r="B80" s="1" t="s">
        <v>41</v>
      </c>
      <c r="C80" s="4" t="s">
        <v>160</v>
      </c>
      <c r="D80" s="4" t="s">
        <v>116</v>
      </c>
      <c r="E80" s="5">
        <v>39536</v>
      </c>
      <c r="F80" s="5">
        <v>39534</v>
      </c>
      <c r="G80" s="1">
        <v>803</v>
      </c>
      <c r="H80" s="4" t="s">
        <v>110</v>
      </c>
      <c r="I80" s="4" t="s">
        <v>109</v>
      </c>
      <c r="J80" s="4" t="str">
        <f t="shared" si="1"/>
        <v>u_rem.c_rem</v>
      </c>
      <c r="K80" s="5">
        <v>1</v>
      </c>
      <c r="L80" s="1">
        <v>0</v>
      </c>
      <c r="M80" s="1">
        <v>0</v>
      </c>
      <c r="N80" s="1">
        <v>0.19994873109459113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1.0253781081773904E-2</v>
      </c>
      <c r="AA80" s="1">
        <v>5.1268905408869518E-3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3.6144578313253004E-2</v>
      </c>
      <c r="AI80" s="1">
        <v>5.1268905408869518E-3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5.1268905408869511E-2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5.1268905408869518E-3</v>
      </c>
      <c r="CA80" s="1">
        <v>0</v>
      </c>
      <c r="CB80" s="1">
        <v>0.68700333247885148</v>
      </c>
    </row>
    <row r="81" spans="1:80">
      <c r="A81">
        <v>80</v>
      </c>
      <c r="B81" t="s">
        <v>42</v>
      </c>
      <c r="C81" s="4" t="s">
        <v>160</v>
      </c>
      <c r="D81" s="4" t="s">
        <v>116</v>
      </c>
      <c r="E81" s="5">
        <v>39536</v>
      </c>
      <c r="F81" s="5">
        <v>39534</v>
      </c>
      <c r="G81">
        <v>803</v>
      </c>
      <c r="H81" s="4" t="s">
        <v>110</v>
      </c>
      <c r="I81" s="4" t="s">
        <v>108</v>
      </c>
      <c r="J81" s="4" t="str">
        <f t="shared" si="1"/>
        <v>u_rem.c_con</v>
      </c>
      <c r="K81" s="5">
        <v>8</v>
      </c>
      <c r="L81">
        <v>0</v>
      </c>
      <c r="M81">
        <v>1.5373171336474095E-2</v>
      </c>
      <c r="N81">
        <v>0.28291594346640214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1.0662038184973969E-2</v>
      </c>
      <c r="AI81">
        <v>2.0084304487974217E-2</v>
      </c>
      <c r="AJ81">
        <v>0</v>
      </c>
      <c r="AK81">
        <v>0</v>
      </c>
      <c r="AL81">
        <v>0</v>
      </c>
      <c r="AM81">
        <v>0.49094966526159201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3.0498388296553446E-2</v>
      </c>
      <c r="AT81">
        <v>5.4549962806843561E-3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5.2070419042896127E-3</v>
      </c>
      <c r="CA81">
        <v>0.13885445078105632</v>
      </c>
      <c r="CB81">
        <v>0</v>
      </c>
    </row>
    <row r="82" spans="1:80">
      <c r="A82">
        <v>81</v>
      </c>
      <c r="B82" t="s">
        <v>43</v>
      </c>
      <c r="C82" s="4" t="s">
        <v>161</v>
      </c>
      <c r="D82" s="4" t="s">
        <v>116</v>
      </c>
      <c r="E82" s="5">
        <v>39536</v>
      </c>
      <c r="F82" s="5">
        <v>39534</v>
      </c>
      <c r="G82">
        <v>803</v>
      </c>
      <c r="H82" s="4" t="s">
        <v>107</v>
      </c>
      <c r="I82" s="4" t="s">
        <v>109</v>
      </c>
      <c r="J82" s="4" t="str">
        <f t="shared" si="1"/>
        <v>u_con.c_rem</v>
      </c>
      <c r="K82" s="5">
        <v>2</v>
      </c>
      <c r="L82">
        <v>0</v>
      </c>
      <c r="M82">
        <v>8.4884751773049646E-2</v>
      </c>
      <c r="N82">
        <v>0.31028368794326233</v>
      </c>
      <c r="O82">
        <v>0</v>
      </c>
      <c r="P82">
        <v>0</v>
      </c>
      <c r="Q82">
        <v>8.8652482269503553E-3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5.7624113475177319E-2</v>
      </c>
      <c r="AA82">
        <v>0</v>
      </c>
      <c r="AB82">
        <v>0</v>
      </c>
      <c r="AC82">
        <v>0</v>
      </c>
      <c r="AD82">
        <v>0</v>
      </c>
      <c r="AE82">
        <v>1.1081560283687944E-3</v>
      </c>
      <c r="AF82">
        <v>0</v>
      </c>
      <c r="AG82">
        <v>0</v>
      </c>
      <c r="AH82">
        <v>1.4184397163120571E-2</v>
      </c>
      <c r="AI82">
        <v>2.7482269503546101E-2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2.3271276595744683E-2</v>
      </c>
      <c r="AT82">
        <v>4.4326241134751776E-3</v>
      </c>
      <c r="AU82">
        <v>4.6542553191489368E-3</v>
      </c>
      <c r="AV82">
        <v>1.0195035460992909E-2</v>
      </c>
      <c r="AW82">
        <v>0</v>
      </c>
      <c r="AX82">
        <v>2.2163120567375889E-4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6.6489361702127658E-4</v>
      </c>
      <c r="CA82">
        <v>0.4521276595744681</v>
      </c>
      <c r="CB82">
        <v>0</v>
      </c>
    </row>
    <row r="83" spans="1:80">
      <c r="A83">
        <v>82</v>
      </c>
      <c r="B83" t="s">
        <v>44</v>
      </c>
      <c r="C83" s="4" t="s">
        <v>161</v>
      </c>
      <c r="D83" s="4" t="s">
        <v>116</v>
      </c>
      <c r="E83" s="5">
        <v>39536</v>
      </c>
      <c r="F83" s="5">
        <v>39534</v>
      </c>
      <c r="G83">
        <v>803</v>
      </c>
      <c r="H83" s="4" t="s">
        <v>107</v>
      </c>
      <c r="I83" s="4" t="s">
        <v>109</v>
      </c>
      <c r="J83" s="4" t="str">
        <f t="shared" si="1"/>
        <v>u_con.c_rem</v>
      </c>
      <c r="K83" s="5">
        <v>2</v>
      </c>
      <c r="L83">
        <v>0</v>
      </c>
      <c r="M83">
        <v>6.894031668696711E-2</v>
      </c>
      <c r="N83">
        <v>0.43386114494518896</v>
      </c>
      <c r="O83">
        <v>0</v>
      </c>
      <c r="P83">
        <v>0</v>
      </c>
      <c r="Q83">
        <v>1.4616321559074306E-2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0.15590742996345924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5.6029232643118173E-3</v>
      </c>
      <c r="AJ83">
        <v>0</v>
      </c>
      <c r="AK83">
        <v>0</v>
      </c>
      <c r="AL83">
        <v>0</v>
      </c>
      <c r="AM83">
        <v>0</v>
      </c>
      <c r="AN83">
        <v>4.8721071863581013E-3</v>
      </c>
      <c r="AO83">
        <v>0</v>
      </c>
      <c r="AP83">
        <v>0</v>
      </c>
      <c r="AQ83">
        <v>0</v>
      </c>
      <c r="AR83">
        <v>0</v>
      </c>
      <c r="AS83">
        <v>2.4604141291108411E-2</v>
      </c>
      <c r="AT83">
        <v>6.0901339829476262E-3</v>
      </c>
      <c r="AU83">
        <v>0</v>
      </c>
      <c r="AV83">
        <v>1.7295980511571264E-2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0.26820950060901327</v>
      </c>
      <c r="CB83">
        <v>0</v>
      </c>
    </row>
    <row r="84" spans="1:80">
      <c r="A84">
        <v>83</v>
      </c>
      <c r="B84" t="s">
        <v>45</v>
      </c>
      <c r="C84" s="4" t="s">
        <v>161</v>
      </c>
      <c r="D84" s="4" t="s">
        <v>116</v>
      </c>
      <c r="E84" s="5">
        <v>39536</v>
      </c>
      <c r="F84" s="5">
        <v>39534</v>
      </c>
      <c r="G84">
        <v>803</v>
      </c>
      <c r="H84" s="4" t="s">
        <v>107</v>
      </c>
      <c r="I84" s="4" t="s">
        <v>108</v>
      </c>
      <c r="J84" s="4" t="str">
        <f t="shared" si="1"/>
        <v>u_con.c_con</v>
      </c>
      <c r="K84" s="5">
        <v>19</v>
      </c>
      <c r="L84">
        <v>0</v>
      </c>
      <c r="M84">
        <v>5.1690717208701262E-2</v>
      </c>
      <c r="N84">
        <v>0.19836312728839109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0.237131165194917</v>
      </c>
      <c r="AA84">
        <v>0</v>
      </c>
      <c r="AB84">
        <v>0</v>
      </c>
      <c r="AC84">
        <v>0</v>
      </c>
      <c r="AD84">
        <v>0</v>
      </c>
      <c r="AE84">
        <v>2.2183932802067628E-2</v>
      </c>
      <c r="AF84">
        <v>0</v>
      </c>
      <c r="AG84">
        <v>0</v>
      </c>
      <c r="AH84">
        <v>4.3075597673917724E-3</v>
      </c>
      <c r="AI84">
        <v>9.0458755115227218E-3</v>
      </c>
      <c r="AJ84">
        <v>0</v>
      </c>
      <c r="AK84">
        <v>0</v>
      </c>
      <c r="AL84">
        <v>0</v>
      </c>
      <c r="AM84">
        <v>0</v>
      </c>
      <c r="AN84">
        <v>2.1537798836958861E-4</v>
      </c>
      <c r="AO84">
        <v>0</v>
      </c>
      <c r="AP84">
        <v>0</v>
      </c>
      <c r="AQ84">
        <v>0</v>
      </c>
      <c r="AR84">
        <v>0</v>
      </c>
      <c r="AS84">
        <v>8.2274391557182844E-2</v>
      </c>
      <c r="AT84">
        <v>1.0338143441740255E-2</v>
      </c>
      <c r="AU84">
        <v>3.0583674348481579E-2</v>
      </c>
      <c r="AV84">
        <v>4.3075597673917723E-4</v>
      </c>
      <c r="AW84">
        <v>0</v>
      </c>
      <c r="AX84">
        <v>0</v>
      </c>
      <c r="AY84">
        <v>4.3075597673917724E-3</v>
      </c>
      <c r="AZ84">
        <v>0</v>
      </c>
      <c r="BA84">
        <v>4.5229377557613609E-3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3.0152918371742402E-2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1.2922679302175317E-2</v>
      </c>
      <c r="CA84">
        <v>0.30152918371742393</v>
      </c>
      <c r="CB84">
        <v>0</v>
      </c>
    </row>
    <row r="85" spans="1:80">
      <c r="A85">
        <v>84</v>
      </c>
      <c r="B85" t="s">
        <v>46</v>
      </c>
      <c r="C85" s="4" t="s">
        <v>161</v>
      </c>
      <c r="D85" s="4" t="s">
        <v>116</v>
      </c>
      <c r="E85" s="5">
        <v>39536</v>
      </c>
      <c r="F85" s="5">
        <v>39534</v>
      </c>
      <c r="G85">
        <v>803</v>
      </c>
      <c r="H85" s="4" t="s">
        <v>107</v>
      </c>
      <c r="I85" s="4" t="s">
        <v>108</v>
      </c>
      <c r="J85" s="4" t="str">
        <f t="shared" si="1"/>
        <v>u_con.c_con</v>
      </c>
      <c r="K85" s="5">
        <v>19</v>
      </c>
      <c r="L85">
        <v>0</v>
      </c>
      <c r="M85">
        <v>8.687305015598755E-2</v>
      </c>
      <c r="N85">
        <v>0.47996160307175439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4.7996160307175436E-3</v>
      </c>
      <c r="AF85">
        <v>0</v>
      </c>
      <c r="AG85">
        <v>0</v>
      </c>
      <c r="AH85">
        <v>9.5992320614350871E-3</v>
      </c>
      <c r="AI85">
        <v>4.4396448284137274E-2</v>
      </c>
      <c r="AJ85">
        <v>0</v>
      </c>
      <c r="AK85">
        <v>0</v>
      </c>
      <c r="AL85">
        <v>0</v>
      </c>
      <c r="AM85">
        <v>0</v>
      </c>
      <c r="AN85">
        <v>4.7996160307175436E-3</v>
      </c>
      <c r="AO85">
        <v>0</v>
      </c>
      <c r="AP85">
        <v>0</v>
      </c>
      <c r="AQ85">
        <v>0</v>
      </c>
      <c r="AR85">
        <v>0</v>
      </c>
      <c r="AS85">
        <v>1.5118790496760263E-2</v>
      </c>
      <c r="AT85">
        <v>2.0878329733621314E-2</v>
      </c>
      <c r="AU85">
        <v>4.3196544276457888E-2</v>
      </c>
      <c r="AV85">
        <v>2.0878329733621314E-2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1.0319174466042719E-2</v>
      </c>
      <c r="CA85">
        <v>0.25917926565874727</v>
      </c>
      <c r="CB85">
        <v>0</v>
      </c>
    </row>
    <row r="86" spans="1:80">
      <c r="A86">
        <v>85</v>
      </c>
      <c r="B86" t="s">
        <v>47</v>
      </c>
      <c r="C86" s="4" t="s">
        <v>162</v>
      </c>
      <c r="D86" s="4" t="s">
        <v>116</v>
      </c>
      <c r="E86" s="5">
        <v>39536</v>
      </c>
      <c r="F86" s="5">
        <v>39534</v>
      </c>
      <c r="G86">
        <v>803</v>
      </c>
      <c r="H86" s="4" t="s">
        <v>110</v>
      </c>
      <c r="I86" s="4" t="s">
        <v>108</v>
      </c>
      <c r="J86" s="4" t="str">
        <f t="shared" si="1"/>
        <v>u_rem.c_con</v>
      </c>
      <c r="K86" s="5">
        <v>8</v>
      </c>
      <c r="L86">
        <v>1.9858156028368799E-2</v>
      </c>
      <c r="M86">
        <v>0.11418439716312059</v>
      </c>
      <c r="N86">
        <v>0.11394799054373526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3.3333333333333333E-2</v>
      </c>
      <c r="AA86">
        <v>0</v>
      </c>
      <c r="AB86">
        <v>0</v>
      </c>
      <c r="AC86">
        <v>9.4562647754137131E-3</v>
      </c>
      <c r="AD86">
        <v>0</v>
      </c>
      <c r="AE86">
        <v>0</v>
      </c>
      <c r="AF86">
        <v>0</v>
      </c>
      <c r="AG86">
        <v>0</v>
      </c>
      <c r="AH86">
        <v>9.5035460992907814E-2</v>
      </c>
      <c r="AI86">
        <v>2.3640661938534282E-2</v>
      </c>
      <c r="AJ86">
        <v>0</v>
      </c>
      <c r="AK86">
        <v>0</v>
      </c>
      <c r="AL86">
        <v>0</v>
      </c>
      <c r="AM86">
        <v>0</v>
      </c>
      <c r="AN86">
        <v>6.2174940898345167E-2</v>
      </c>
      <c r="AO86">
        <v>0</v>
      </c>
      <c r="AP86">
        <v>0</v>
      </c>
      <c r="AQ86">
        <v>0</v>
      </c>
      <c r="AR86">
        <v>0</v>
      </c>
      <c r="AS86">
        <v>5.6737588652482268E-2</v>
      </c>
      <c r="AT86">
        <v>5.815602836879432E-2</v>
      </c>
      <c r="AU86">
        <v>1.4184397163120571E-2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7.1867612293144201E-2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6.2647754137115846E-2</v>
      </c>
      <c r="CA86">
        <v>0.26477541371158386</v>
      </c>
      <c r="CB86">
        <v>0</v>
      </c>
    </row>
    <row r="87" spans="1:80">
      <c r="A87">
        <v>86</v>
      </c>
      <c r="B87" t="s">
        <v>48</v>
      </c>
      <c r="C87" s="4" t="s">
        <v>162</v>
      </c>
      <c r="D87" s="4" t="s">
        <v>116</v>
      </c>
      <c r="E87" s="5">
        <v>39536</v>
      </c>
      <c r="F87" s="5">
        <v>39534</v>
      </c>
      <c r="G87">
        <v>803</v>
      </c>
      <c r="H87" s="4" t="s">
        <v>110</v>
      </c>
      <c r="I87" s="4" t="s">
        <v>108</v>
      </c>
      <c r="J87" s="4" t="str">
        <f t="shared" si="1"/>
        <v>u_rem.c_con</v>
      </c>
      <c r="K87" s="5">
        <v>8</v>
      </c>
      <c r="L87">
        <v>3.1369034281873188E-2</v>
      </c>
      <c r="M87">
        <v>0.19740085144521624</v>
      </c>
      <c r="N87">
        <v>0.26462021062065877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0.10306968406901189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3.6522518485323785E-2</v>
      </c>
      <c r="AI87">
        <v>2.7111808200761825E-2</v>
      </c>
      <c r="AJ87">
        <v>0</v>
      </c>
      <c r="AK87">
        <v>0</v>
      </c>
      <c r="AL87">
        <v>1.3443871835088508E-2</v>
      </c>
      <c r="AM87">
        <v>0</v>
      </c>
      <c r="AN87">
        <v>4.9518261259242677E-2</v>
      </c>
      <c r="AO87">
        <v>0</v>
      </c>
      <c r="AP87">
        <v>0</v>
      </c>
      <c r="AQ87">
        <v>0</v>
      </c>
      <c r="AR87">
        <v>0</v>
      </c>
      <c r="AS87">
        <v>9.1866457539771483E-3</v>
      </c>
      <c r="AT87">
        <v>6.3858391216670404E-2</v>
      </c>
      <c r="AU87">
        <v>0</v>
      </c>
      <c r="AV87">
        <v>1.366793636567332E-2</v>
      </c>
      <c r="AW87">
        <v>1.792516244678468E-2</v>
      </c>
      <c r="AX87">
        <v>8.9625812233923401E-3</v>
      </c>
      <c r="AY87">
        <v>0</v>
      </c>
      <c r="AZ87">
        <v>0</v>
      </c>
      <c r="BA87">
        <v>4.6605422361640156E-2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8.9625812233923401E-3</v>
      </c>
      <c r="CA87">
        <v>0.10777503921129289</v>
      </c>
      <c r="CB87">
        <v>0</v>
      </c>
    </row>
    <row r="88" spans="1:80">
      <c r="A88">
        <v>87</v>
      </c>
      <c r="B88" s="1" t="s">
        <v>49</v>
      </c>
      <c r="C88" s="4" t="s">
        <v>162</v>
      </c>
      <c r="D88" s="4" t="s">
        <v>116</v>
      </c>
      <c r="E88" s="5">
        <v>39536</v>
      </c>
      <c r="F88" s="5">
        <v>39534</v>
      </c>
      <c r="G88" s="1">
        <v>803</v>
      </c>
      <c r="H88" s="4" t="s">
        <v>110</v>
      </c>
      <c r="I88" s="4" t="s">
        <v>109</v>
      </c>
      <c r="J88" s="4" t="str">
        <f t="shared" si="1"/>
        <v>u_rem.c_rem</v>
      </c>
      <c r="K88" s="5">
        <v>1</v>
      </c>
      <c r="L88" s="1">
        <v>8.0370942812983015E-2</v>
      </c>
      <c r="M88" s="1">
        <v>0.38979907264296754</v>
      </c>
      <c r="N88" s="1">
        <v>0.17310664605873266</v>
      </c>
      <c r="O88" s="1">
        <v>6.1823802163833092E-3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3.1530139103554872E-2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3.709428129829985E-2</v>
      </c>
      <c r="AI88" s="1">
        <v>1.8547140649149928E-2</v>
      </c>
      <c r="AJ88" s="1">
        <v>0</v>
      </c>
      <c r="AK88" s="1">
        <v>0</v>
      </c>
      <c r="AL88" s="1">
        <v>0</v>
      </c>
      <c r="AM88" s="1">
        <v>0</v>
      </c>
      <c r="AN88" s="1">
        <v>7.5734157650695536E-2</v>
      </c>
      <c r="AO88" s="1">
        <v>0</v>
      </c>
      <c r="AP88" s="1">
        <v>0</v>
      </c>
      <c r="AQ88" s="1">
        <v>0</v>
      </c>
      <c r="AR88" s="1">
        <v>0</v>
      </c>
      <c r="AS88" s="1">
        <v>6.2132921174652245E-2</v>
      </c>
      <c r="AT88" s="1">
        <v>3.122102009273571E-2</v>
      </c>
      <c r="AU88" s="1">
        <v>6.1823802163833092E-3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2.0092735703245757E-2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1.8547140649149925E-2</v>
      </c>
      <c r="CB88" s="1">
        <v>4.9459041731066467E-2</v>
      </c>
    </row>
    <row r="89" spans="1:80">
      <c r="A89">
        <v>88</v>
      </c>
      <c r="B89" s="1" t="s">
        <v>50</v>
      </c>
      <c r="C89" s="4" t="s">
        <v>162</v>
      </c>
      <c r="D89" s="4" t="s">
        <v>116</v>
      </c>
      <c r="E89" s="5">
        <v>39536</v>
      </c>
      <c r="F89" s="5">
        <v>39534</v>
      </c>
      <c r="G89" s="1">
        <v>803</v>
      </c>
      <c r="H89" s="4" t="s">
        <v>110</v>
      </c>
      <c r="I89" s="4" t="s">
        <v>109</v>
      </c>
      <c r="J89" s="4" t="str">
        <f t="shared" si="1"/>
        <v>u_rem.c_rem</v>
      </c>
      <c r="K89" s="5">
        <v>1</v>
      </c>
      <c r="L89" s="1">
        <v>1.1341083073433513E-2</v>
      </c>
      <c r="M89" s="1">
        <v>0.23249220300538698</v>
      </c>
      <c r="N89" s="1">
        <v>0.15310462149135248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9.6399206124184858E-2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5.6705415367167564E-3</v>
      </c>
      <c r="AI89" s="1">
        <v>2.2682166146867026E-2</v>
      </c>
      <c r="AJ89" s="1">
        <v>9.6399206124184872E-2</v>
      </c>
      <c r="AK89" s="1">
        <v>0</v>
      </c>
      <c r="AL89" s="1">
        <v>0</v>
      </c>
      <c r="AM89" s="1">
        <v>0</v>
      </c>
      <c r="AN89" s="1">
        <v>4.0544371987524801E-2</v>
      </c>
      <c r="AO89" s="1">
        <v>0</v>
      </c>
      <c r="AP89" s="1">
        <v>0</v>
      </c>
      <c r="AQ89" s="1">
        <v>0</v>
      </c>
      <c r="AR89" s="1">
        <v>0</v>
      </c>
      <c r="AS89" s="1">
        <v>3.4306776297136375E-2</v>
      </c>
      <c r="AT89" s="1">
        <v>2.2682166146867026E-2</v>
      </c>
      <c r="AU89" s="1">
        <v>9.6399206124184844E-2</v>
      </c>
      <c r="AV89" s="1">
        <v>0</v>
      </c>
      <c r="AW89" s="1">
        <v>0</v>
      </c>
      <c r="AX89" s="1">
        <v>2.8352707683583782E-4</v>
      </c>
      <c r="AY89" s="1">
        <v>0</v>
      </c>
      <c r="AZ89" s="1">
        <v>0</v>
      </c>
      <c r="BA89" s="1">
        <v>4.0260844910688966E-2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2.2682166146867026E-2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0.11908137227105188</v>
      </c>
      <c r="CB89" s="1">
        <v>5.6705415367167564E-3</v>
      </c>
    </row>
    <row r="90" spans="1:80">
      <c r="A90">
        <v>89</v>
      </c>
      <c r="B90" t="s">
        <v>51</v>
      </c>
      <c r="C90" s="4" t="s">
        <v>163</v>
      </c>
      <c r="D90" s="4" t="s">
        <v>116</v>
      </c>
      <c r="E90" s="5">
        <v>39536</v>
      </c>
      <c r="F90" s="5">
        <v>39534</v>
      </c>
      <c r="G90">
        <v>803</v>
      </c>
      <c r="H90" s="4" t="s">
        <v>107</v>
      </c>
      <c r="I90" s="4" t="s">
        <v>109</v>
      </c>
      <c r="J90" s="4" t="str">
        <f t="shared" si="1"/>
        <v>u_con.c_rem</v>
      </c>
      <c r="K90" s="5">
        <v>2</v>
      </c>
      <c r="L90">
        <v>0</v>
      </c>
      <c r="M90">
        <v>4.1860465116279083E-2</v>
      </c>
      <c r="N90">
        <v>5.4263565891472888E-2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6.2015503875969019E-2</v>
      </c>
      <c r="AA90">
        <v>0</v>
      </c>
      <c r="AB90">
        <v>0</v>
      </c>
      <c r="AC90">
        <v>1.3289036544850502E-2</v>
      </c>
      <c r="AD90">
        <v>0</v>
      </c>
      <c r="AE90">
        <v>4.429678848283501E-3</v>
      </c>
      <c r="AF90">
        <v>0</v>
      </c>
      <c r="AG90">
        <v>0</v>
      </c>
      <c r="AH90">
        <v>1.8383167220376532E-2</v>
      </c>
      <c r="AI90">
        <v>3.5880398671096353E-2</v>
      </c>
      <c r="AJ90">
        <v>1.7718715393134004E-2</v>
      </c>
      <c r="AK90">
        <v>0</v>
      </c>
      <c r="AL90">
        <v>0</v>
      </c>
      <c r="AM90">
        <v>0</v>
      </c>
      <c r="AN90">
        <v>1.794019933554818E-2</v>
      </c>
      <c r="AO90">
        <v>0</v>
      </c>
      <c r="AP90">
        <v>0</v>
      </c>
      <c r="AQ90">
        <v>0</v>
      </c>
      <c r="AR90">
        <v>0</v>
      </c>
      <c r="AS90">
        <v>6.2901439645625723E-2</v>
      </c>
      <c r="AT90">
        <v>1.5725359911406434E-2</v>
      </c>
      <c r="AU90">
        <v>7.0874861572536016E-2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0.58471760797342209</v>
      </c>
      <c r="CB90">
        <v>0</v>
      </c>
    </row>
    <row r="91" spans="1:80">
      <c r="A91">
        <v>90</v>
      </c>
      <c r="B91" t="s">
        <v>52</v>
      </c>
      <c r="C91" s="4" t="s">
        <v>163</v>
      </c>
      <c r="D91" s="4" t="s">
        <v>116</v>
      </c>
      <c r="E91" s="5">
        <v>39536</v>
      </c>
      <c r="F91" s="5">
        <v>39534</v>
      </c>
      <c r="G91">
        <v>803</v>
      </c>
      <c r="H91" s="4" t="s">
        <v>107</v>
      </c>
      <c r="I91" s="4" t="s">
        <v>109</v>
      </c>
      <c r="J91" s="4" t="str">
        <f t="shared" si="1"/>
        <v>u_con.c_rem</v>
      </c>
      <c r="K91" s="5">
        <v>2</v>
      </c>
      <c r="L91">
        <v>0</v>
      </c>
      <c r="M91">
        <v>7.8275529865125246E-2</v>
      </c>
      <c r="N91">
        <v>0.15438342967244703</v>
      </c>
      <c r="O91">
        <v>0</v>
      </c>
      <c r="P91">
        <v>0</v>
      </c>
      <c r="Q91">
        <v>4.8169556840077076E-3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0.11584778420038536</v>
      </c>
      <c r="AA91">
        <v>0</v>
      </c>
      <c r="AB91">
        <v>0</v>
      </c>
      <c r="AC91">
        <v>0</v>
      </c>
      <c r="AD91">
        <v>0</v>
      </c>
      <c r="AE91">
        <v>2.4084778420038538E-4</v>
      </c>
      <c r="AF91">
        <v>0</v>
      </c>
      <c r="AG91">
        <v>0</v>
      </c>
      <c r="AH91">
        <v>9.6339113680154152E-3</v>
      </c>
      <c r="AI91">
        <v>6.3342967244701356E-2</v>
      </c>
      <c r="AJ91">
        <v>7.7312138728323723E-2</v>
      </c>
      <c r="AK91">
        <v>0</v>
      </c>
      <c r="AL91">
        <v>0</v>
      </c>
      <c r="AM91">
        <v>0</v>
      </c>
      <c r="AN91">
        <v>4.4797687861271675E-2</v>
      </c>
      <c r="AO91">
        <v>0</v>
      </c>
      <c r="AP91">
        <v>0</v>
      </c>
      <c r="AQ91">
        <v>0</v>
      </c>
      <c r="AR91">
        <v>0</v>
      </c>
      <c r="AS91">
        <v>2.9383429672447017E-2</v>
      </c>
      <c r="AT91">
        <v>6.5028901734104057E-3</v>
      </c>
      <c r="AU91">
        <v>6.3102119460500969E-2</v>
      </c>
      <c r="AV91">
        <v>0</v>
      </c>
      <c r="AW91">
        <v>4.8169556840077076E-3</v>
      </c>
      <c r="AX91">
        <v>4.8169556840077076E-4</v>
      </c>
      <c r="AY91">
        <v>9.6339113680154152E-3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9.874759152215801E-3</v>
      </c>
      <c r="CA91">
        <v>0.32755298651252412</v>
      </c>
      <c r="CB91">
        <v>0</v>
      </c>
    </row>
    <row r="92" spans="1:80">
      <c r="A92">
        <v>91</v>
      </c>
      <c r="B92" t="s">
        <v>53</v>
      </c>
      <c r="C92" s="4" t="s">
        <v>163</v>
      </c>
      <c r="D92" s="4" t="s">
        <v>116</v>
      </c>
      <c r="E92" s="5">
        <v>39536</v>
      </c>
      <c r="F92" s="5">
        <v>39534</v>
      </c>
      <c r="G92">
        <v>803</v>
      </c>
      <c r="H92" s="4" t="s">
        <v>107</v>
      </c>
      <c r="I92" s="4" t="s">
        <v>108</v>
      </c>
      <c r="J92" s="4" t="str">
        <f t="shared" si="1"/>
        <v>u_con.c_con</v>
      </c>
      <c r="K92" s="5">
        <v>19</v>
      </c>
      <c r="L92">
        <v>0</v>
      </c>
      <c r="M92">
        <v>6.4102564102564097E-2</v>
      </c>
      <c r="N92">
        <v>0.10413855150697257</v>
      </c>
      <c r="O92">
        <v>0</v>
      </c>
      <c r="P92">
        <v>0</v>
      </c>
      <c r="Q92">
        <v>2.2492127755285651E-4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0.20715249662618077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5.3981106612685556E-2</v>
      </c>
      <c r="AJ92">
        <v>0</v>
      </c>
      <c r="AK92">
        <v>0</v>
      </c>
      <c r="AL92">
        <v>0</v>
      </c>
      <c r="AM92">
        <v>0</v>
      </c>
      <c r="AN92">
        <v>2.2717049032838506E-2</v>
      </c>
      <c r="AO92">
        <v>0</v>
      </c>
      <c r="AP92">
        <v>0</v>
      </c>
      <c r="AQ92">
        <v>0</v>
      </c>
      <c r="AR92">
        <v>0</v>
      </c>
      <c r="AS92">
        <v>2.7665317139001347E-2</v>
      </c>
      <c r="AT92">
        <v>1.0121457489878544E-2</v>
      </c>
      <c r="AU92">
        <v>4.5659019343229863E-2</v>
      </c>
      <c r="AV92">
        <v>0</v>
      </c>
      <c r="AW92">
        <v>8.9968511021142599E-3</v>
      </c>
      <c r="AX92">
        <v>4.7233468286099868E-3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4.49842555105713E-3</v>
      </c>
      <c r="BO92">
        <v>0</v>
      </c>
      <c r="BP92">
        <v>0</v>
      </c>
      <c r="BQ92">
        <v>4.49842555105713E-3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9.6716149347728306E-3</v>
      </c>
      <c r="CA92">
        <v>0.43184885290148445</v>
      </c>
      <c r="CB92">
        <v>0</v>
      </c>
    </row>
    <row r="93" spans="1:80">
      <c r="A93">
        <v>92</v>
      </c>
      <c r="B93" t="s">
        <v>54</v>
      </c>
      <c r="C93" s="4" t="s">
        <v>163</v>
      </c>
      <c r="D93" s="4" t="s">
        <v>116</v>
      </c>
      <c r="E93" s="5">
        <v>39536</v>
      </c>
      <c r="F93" s="5">
        <v>39534</v>
      </c>
      <c r="G93">
        <v>803</v>
      </c>
      <c r="H93" s="4" t="s">
        <v>107</v>
      </c>
      <c r="I93" s="4" t="s">
        <v>108</v>
      </c>
      <c r="J93" s="4" t="str">
        <f t="shared" si="1"/>
        <v>u_con.c_con</v>
      </c>
      <c r="K93" s="5">
        <v>19</v>
      </c>
      <c r="L93">
        <v>0</v>
      </c>
      <c r="M93">
        <v>5.0387596899224806E-2</v>
      </c>
      <c r="N93">
        <v>0.10123119015047881</v>
      </c>
      <c r="O93">
        <v>4.5599635202918376E-3</v>
      </c>
      <c r="P93">
        <v>0</v>
      </c>
      <c r="Q93">
        <v>1.4363885088919292E-2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2.2799817601459188E-4</v>
      </c>
      <c r="Y93">
        <v>0</v>
      </c>
      <c r="Z93">
        <v>0.30118559051527583</v>
      </c>
      <c r="AA93">
        <v>0</v>
      </c>
      <c r="AB93">
        <v>0</v>
      </c>
      <c r="AC93">
        <v>0</v>
      </c>
      <c r="AD93">
        <v>0</v>
      </c>
      <c r="AE93">
        <v>9.3479252165982688E-3</v>
      </c>
      <c r="AF93">
        <v>0</v>
      </c>
      <c r="AG93">
        <v>0</v>
      </c>
      <c r="AH93">
        <v>5.0159598723210222E-3</v>
      </c>
      <c r="AI93">
        <v>1.8467852257181942E-2</v>
      </c>
      <c r="AJ93">
        <v>2.7587779297765617E-2</v>
      </c>
      <c r="AK93">
        <v>0</v>
      </c>
      <c r="AL93">
        <v>0</v>
      </c>
      <c r="AM93">
        <v>0</v>
      </c>
      <c r="AN93">
        <v>2.3939808481532147E-2</v>
      </c>
      <c r="AO93">
        <v>0</v>
      </c>
      <c r="AP93">
        <v>0</v>
      </c>
      <c r="AQ93">
        <v>0</v>
      </c>
      <c r="AR93">
        <v>0</v>
      </c>
      <c r="AS93">
        <v>9.3479252165982688E-3</v>
      </c>
      <c r="AT93">
        <v>4.7879616963064303E-3</v>
      </c>
      <c r="AU93">
        <v>3.7163702690378483E-2</v>
      </c>
      <c r="AV93">
        <v>0</v>
      </c>
      <c r="AW93">
        <v>0</v>
      </c>
      <c r="AX93">
        <v>4.5599635202918376E-3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4.5599635202918376E-3</v>
      </c>
      <c r="CA93">
        <v>0.37847697218422255</v>
      </c>
      <c r="CB93">
        <v>4.5599635202918376E-3</v>
      </c>
    </row>
    <row r="94" spans="1:80">
      <c r="A94">
        <v>93</v>
      </c>
      <c r="B94" t="s">
        <v>55</v>
      </c>
      <c r="C94" s="4" t="s">
        <v>164</v>
      </c>
      <c r="D94" s="4" t="s">
        <v>116</v>
      </c>
      <c r="E94" s="5">
        <v>39536</v>
      </c>
      <c r="F94" s="5">
        <v>39534</v>
      </c>
      <c r="G94">
        <v>803</v>
      </c>
      <c r="H94" s="4" t="s">
        <v>110</v>
      </c>
      <c r="I94" s="4" t="s">
        <v>108</v>
      </c>
      <c r="J94" s="4" t="str">
        <f t="shared" si="1"/>
        <v>u_rem.c_con</v>
      </c>
      <c r="K94" s="5">
        <v>8</v>
      </c>
      <c r="L94">
        <v>0</v>
      </c>
      <c r="M94">
        <v>1.9616893607200554E-2</v>
      </c>
      <c r="N94">
        <v>3.2310177705977376E-2</v>
      </c>
      <c r="O94">
        <v>1.4308792984075698E-2</v>
      </c>
      <c r="P94">
        <v>0</v>
      </c>
      <c r="Q94">
        <v>9.6930533117932146E-3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2.4463420263097158E-2</v>
      </c>
      <c r="AF94">
        <v>0</v>
      </c>
      <c r="AG94">
        <v>0</v>
      </c>
      <c r="AH94">
        <v>2.3078698361412415E-4</v>
      </c>
      <c r="AI94">
        <v>2.3078698361412415E-4</v>
      </c>
      <c r="AJ94">
        <v>0</v>
      </c>
      <c r="AK94">
        <v>0</v>
      </c>
      <c r="AL94">
        <v>3.2310177705977376E-2</v>
      </c>
      <c r="AM94">
        <v>0</v>
      </c>
      <c r="AN94">
        <v>2.9771520886222015E-2</v>
      </c>
      <c r="AO94">
        <v>0</v>
      </c>
      <c r="AP94">
        <v>0</v>
      </c>
      <c r="AQ94">
        <v>0</v>
      </c>
      <c r="AR94">
        <v>0</v>
      </c>
      <c r="AS94">
        <v>4.7080544657281301E-2</v>
      </c>
      <c r="AT94">
        <v>2.3078698361412415E-4</v>
      </c>
      <c r="AU94">
        <v>1.384721901684745E-2</v>
      </c>
      <c r="AV94">
        <v>0</v>
      </c>
      <c r="AW94">
        <v>4.8465266558966073E-3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2.3078698361412415E-4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4.6157396722824829E-3</v>
      </c>
      <c r="BX94">
        <v>0</v>
      </c>
      <c r="BY94">
        <v>0</v>
      </c>
      <c r="BZ94">
        <v>0</v>
      </c>
      <c r="CA94">
        <v>0.76621278559889217</v>
      </c>
      <c r="CB94">
        <v>0</v>
      </c>
    </row>
    <row r="95" spans="1:80">
      <c r="A95">
        <v>94</v>
      </c>
      <c r="B95" s="1" t="s">
        <v>56</v>
      </c>
      <c r="C95" s="4" t="s">
        <v>164</v>
      </c>
      <c r="D95" s="4" t="s">
        <v>116</v>
      </c>
      <c r="E95" s="5">
        <v>39536</v>
      </c>
      <c r="F95" s="5">
        <v>39534</v>
      </c>
      <c r="G95" s="1">
        <v>803</v>
      </c>
      <c r="H95" s="4" t="s">
        <v>110</v>
      </c>
      <c r="I95" s="4" t="s">
        <v>109</v>
      </c>
      <c r="J95" s="4" t="str">
        <f t="shared" si="1"/>
        <v>u_rem.c_rem</v>
      </c>
      <c r="K95" s="5">
        <v>1</v>
      </c>
      <c r="L95" s="1">
        <v>0</v>
      </c>
      <c r="M95" s="1">
        <v>1.0354646647683149E-2</v>
      </c>
      <c r="N95" s="1">
        <v>0.18638363965829668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5.695055656225731E-2</v>
      </c>
      <c r="AA95" s="1">
        <v>0</v>
      </c>
      <c r="AB95" s="1">
        <v>0</v>
      </c>
      <c r="AC95" s="1">
        <v>0</v>
      </c>
      <c r="AD95" s="1">
        <v>0</v>
      </c>
      <c r="AE95" s="1">
        <v>1.5531969971524727E-2</v>
      </c>
      <c r="AF95" s="1">
        <v>0</v>
      </c>
      <c r="AG95" s="1">
        <v>0</v>
      </c>
      <c r="AH95" s="1">
        <v>0</v>
      </c>
      <c r="AI95" s="1">
        <v>4.6595909914574164E-2</v>
      </c>
      <c r="AJ95" s="1">
        <v>0</v>
      </c>
      <c r="AK95" s="1">
        <v>0</v>
      </c>
      <c r="AL95" s="1">
        <v>0.11390111312451465</v>
      </c>
      <c r="AM95" s="1">
        <v>0</v>
      </c>
      <c r="AN95" s="1">
        <v>2.1485891793942537E-2</v>
      </c>
      <c r="AO95" s="1">
        <v>0</v>
      </c>
      <c r="AP95" s="1">
        <v>0</v>
      </c>
      <c r="AQ95" s="1">
        <v>0</v>
      </c>
      <c r="AR95" s="1">
        <v>0</v>
      </c>
      <c r="AS95" s="1">
        <v>6.2127879886098893E-2</v>
      </c>
      <c r="AT95" s="1">
        <v>1.5531969971524727E-2</v>
      </c>
      <c r="AU95" s="1">
        <v>5.1773233238415744E-3</v>
      </c>
      <c r="AV95" s="1">
        <v>0</v>
      </c>
      <c r="AW95" s="1">
        <v>1.5531969971524727E-2</v>
      </c>
      <c r="AX95" s="1">
        <v>0</v>
      </c>
      <c r="AY95" s="1">
        <v>0</v>
      </c>
      <c r="AZ95" s="1">
        <v>0</v>
      </c>
      <c r="BA95" s="1">
        <v>5.1773233238415744E-3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5.1773233238415744E-3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0.44007248252653391</v>
      </c>
      <c r="CB95" s="1">
        <v>0</v>
      </c>
    </row>
    <row r="96" spans="1:80">
      <c r="A96">
        <v>95</v>
      </c>
      <c r="B96" t="s">
        <v>57</v>
      </c>
      <c r="C96" s="4" t="s">
        <v>164</v>
      </c>
      <c r="D96" s="4" t="s">
        <v>116</v>
      </c>
      <c r="E96" s="5">
        <v>39536</v>
      </c>
      <c r="F96" s="5">
        <v>39534</v>
      </c>
      <c r="G96">
        <v>803</v>
      </c>
      <c r="H96" s="4" t="s">
        <v>110</v>
      </c>
      <c r="I96" s="4" t="s">
        <v>108</v>
      </c>
      <c r="J96" s="4" t="str">
        <f t="shared" si="1"/>
        <v>u_rem.c_con</v>
      </c>
      <c r="K96" s="5">
        <v>8</v>
      </c>
      <c r="L96">
        <v>0</v>
      </c>
      <c r="M96">
        <v>1.5388433854554483E-2</v>
      </c>
      <c r="N96">
        <v>6.502854306279475E-2</v>
      </c>
      <c r="O96">
        <v>2.4820054604120131E-4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3.0280466617026557E-2</v>
      </c>
      <c r="AA96">
        <v>0</v>
      </c>
      <c r="AB96">
        <v>0</v>
      </c>
      <c r="AC96">
        <v>0</v>
      </c>
      <c r="AD96">
        <v>0</v>
      </c>
      <c r="AE96">
        <v>2.482005460412013E-2</v>
      </c>
      <c r="AF96">
        <v>0</v>
      </c>
      <c r="AG96">
        <v>0</v>
      </c>
      <c r="AH96">
        <v>2.0104244229337306E-2</v>
      </c>
      <c r="AI96">
        <v>5.460412012906429E-3</v>
      </c>
      <c r="AJ96">
        <v>0</v>
      </c>
      <c r="AK96">
        <v>0</v>
      </c>
      <c r="AL96">
        <v>9.9528418962521709E-2</v>
      </c>
      <c r="AM96">
        <v>0</v>
      </c>
      <c r="AN96">
        <v>1.5140233308513282E-2</v>
      </c>
      <c r="AO96">
        <v>0</v>
      </c>
      <c r="AP96">
        <v>0</v>
      </c>
      <c r="AQ96">
        <v>0</v>
      </c>
      <c r="AR96">
        <v>0</v>
      </c>
      <c r="AS96">
        <v>2.1345246959543315E-2</v>
      </c>
      <c r="AT96">
        <v>1.7374038222884092E-3</v>
      </c>
      <c r="AU96">
        <v>4.964010920824026E-3</v>
      </c>
      <c r="AV96">
        <v>5.460412012906429E-3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4.964010920824026E-3</v>
      </c>
      <c r="BX96">
        <v>0</v>
      </c>
      <c r="BY96">
        <v>2.4820054604120131E-4</v>
      </c>
      <c r="BZ96">
        <v>0</v>
      </c>
      <c r="CA96">
        <v>0.68503350707371558</v>
      </c>
      <c r="CB96">
        <v>0</v>
      </c>
    </row>
    <row r="97" spans="1:80">
      <c r="A97">
        <v>96</v>
      </c>
      <c r="B97" s="1" t="s">
        <v>58</v>
      </c>
      <c r="C97" s="4" t="s">
        <v>164</v>
      </c>
      <c r="D97" s="4" t="s">
        <v>116</v>
      </c>
      <c r="E97" s="5">
        <v>39536</v>
      </c>
      <c r="F97" s="5">
        <v>39534</v>
      </c>
      <c r="G97" s="1">
        <v>803</v>
      </c>
      <c r="H97" s="4" t="s">
        <v>110</v>
      </c>
      <c r="I97" s="4" t="s">
        <v>109</v>
      </c>
      <c r="J97" s="4" t="str">
        <f t="shared" si="1"/>
        <v>u_rem.c_rem</v>
      </c>
      <c r="K97" s="5">
        <v>1</v>
      </c>
      <c r="L97" s="1">
        <v>0</v>
      </c>
      <c r="M97" s="1">
        <v>2.1470746108427266E-2</v>
      </c>
      <c r="N97" s="1">
        <v>0.18250134192163178</v>
      </c>
      <c r="O97" s="1">
        <v>0</v>
      </c>
      <c r="P97" s="1">
        <v>0</v>
      </c>
      <c r="Q97" s="1">
        <v>2.6838432635534079E-4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9.1250670960815877E-2</v>
      </c>
      <c r="AA97" s="1">
        <v>0</v>
      </c>
      <c r="AB97" s="1">
        <v>0</v>
      </c>
      <c r="AC97" s="1">
        <v>0</v>
      </c>
      <c r="AD97" s="1">
        <v>0</v>
      </c>
      <c r="AE97" s="1">
        <v>1.610305958132045E-2</v>
      </c>
      <c r="AF97" s="1">
        <v>0</v>
      </c>
      <c r="AG97" s="1">
        <v>0</v>
      </c>
      <c r="AH97" s="1">
        <v>0</v>
      </c>
      <c r="AI97" s="1">
        <v>1.610305958132045E-2</v>
      </c>
      <c r="AJ97" s="1">
        <v>0</v>
      </c>
      <c r="AK97" s="1">
        <v>0</v>
      </c>
      <c r="AL97" s="1">
        <v>0.20397208803005901</v>
      </c>
      <c r="AM97" s="1">
        <v>0</v>
      </c>
      <c r="AN97" s="1">
        <v>1.7176596886741814E-2</v>
      </c>
      <c r="AO97" s="1">
        <v>0</v>
      </c>
      <c r="AP97" s="1">
        <v>0</v>
      </c>
      <c r="AQ97" s="1">
        <v>0</v>
      </c>
      <c r="AR97" s="1">
        <v>0</v>
      </c>
      <c r="AS97" s="1">
        <v>4.2941492216854532E-2</v>
      </c>
      <c r="AT97" s="1">
        <v>5.6360708534621577E-3</v>
      </c>
      <c r="AU97" s="1">
        <v>5.3676865271068165E-3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5.3676865271068165E-3</v>
      </c>
      <c r="CA97" s="1">
        <v>0.3918411164787976</v>
      </c>
      <c r="CB97" s="1">
        <v>0</v>
      </c>
    </row>
    <row r="98" spans="1:80">
      <c r="A98">
        <v>97</v>
      </c>
      <c r="B98" t="s">
        <v>59</v>
      </c>
      <c r="C98" s="4" t="s">
        <v>165</v>
      </c>
      <c r="D98" s="4" t="s">
        <v>117</v>
      </c>
      <c r="E98" s="5">
        <v>39534</v>
      </c>
      <c r="F98" s="5">
        <v>39534</v>
      </c>
      <c r="G98">
        <v>803</v>
      </c>
      <c r="H98" s="4" t="s">
        <v>107</v>
      </c>
      <c r="I98" s="4" t="s">
        <v>109</v>
      </c>
      <c r="J98" s="4" t="str">
        <f t="shared" si="1"/>
        <v>u_con.c_rem</v>
      </c>
      <c r="K98" s="5">
        <v>2</v>
      </c>
      <c r="L98">
        <v>5.2157420578473213E-3</v>
      </c>
      <c r="M98">
        <v>9.4831673779042197E-2</v>
      </c>
      <c r="N98">
        <v>1.8966334755808441E-2</v>
      </c>
      <c r="O98">
        <v>4.7415836889521104E-3</v>
      </c>
      <c r="P98">
        <v>0</v>
      </c>
      <c r="Q98">
        <v>1.8966334755808441E-2</v>
      </c>
      <c r="R98">
        <v>0.35561877667140823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9.9573257467994294E-2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4.9786628733997163E-3</v>
      </c>
      <c r="AJ98">
        <v>0.11877667140825038</v>
      </c>
      <c r="AK98">
        <v>0</v>
      </c>
      <c r="AL98">
        <v>0</v>
      </c>
      <c r="AM98">
        <v>0</v>
      </c>
      <c r="AN98">
        <v>7.1123755334281643E-4</v>
      </c>
      <c r="AO98">
        <v>0</v>
      </c>
      <c r="AP98">
        <v>0</v>
      </c>
      <c r="AQ98">
        <v>0</v>
      </c>
      <c r="AR98">
        <v>0</v>
      </c>
      <c r="AS98">
        <v>2.370791844476055E-4</v>
      </c>
      <c r="AT98">
        <v>5.2157420578473213E-3</v>
      </c>
      <c r="AU98">
        <v>1.4461830251303938E-2</v>
      </c>
      <c r="AV98">
        <v>0</v>
      </c>
      <c r="AW98">
        <v>4.9786628733997163E-3</v>
      </c>
      <c r="AX98">
        <v>1.8966334755808441E-2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1.0668563300142249E-2</v>
      </c>
      <c r="CA98">
        <v>0.21337126600284495</v>
      </c>
      <c r="CB98">
        <v>9.7202465623518267E-3</v>
      </c>
    </row>
    <row r="99" spans="1:80">
      <c r="A99">
        <v>98</v>
      </c>
      <c r="B99" t="s">
        <v>60</v>
      </c>
      <c r="C99" s="4" t="s">
        <v>165</v>
      </c>
      <c r="D99" s="4" t="s">
        <v>117</v>
      </c>
      <c r="E99" s="5">
        <v>39534</v>
      </c>
      <c r="F99" s="5">
        <v>39534</v>
      </c>
      <c r="G99">
        <v>803</v>
      </c>
      <c r="H99" s="4" t="s">
        <v>107</v>
      </c>
      <c r="I99" s="4" t="s">
        <v>108</v>
      </c>
      <c r="J99" s="4" t="str">
        <f t="shared" si="1"/>
        <v>u_con.c_con</v>
      </c>
      <c r="K99" s="5">
        <v>19</v>
      </c>
      <c r="L99">
        <v>0</v>
      </c>
      <c r="M99">
        <v>0.30680793507664561</v>
      </c>
      <c r="N99">
        <v>5.8611361587015333E-2</v>
      </c>
      <c r="O99">
        <v>0</v>
      </c>
      <c r="P99">
        <v>0</v>
      </c>
      <c r="Q99">
        <v>3.719567177637511E-2</v>
      </c>
      <c r="R99">
        <v>0.32461677186654647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4.508566275924256E-3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2.2542831379621282E-4</v>
      </c>
      <c r="AH99">
        <v>0</v>
      </c>
      <c r="AI99">
        <v>9.2425608656447264E-3</v>
      </c>
      <c r="AJ99">
        <v>0</v>
      </c>
      <c r="AK99">
        <v>0</v>
      </c>
      <c r="AL99">
        <v>9.017132551848512E-3</v>
      </c>
      <c r="AM99">
        <v>0</v>
      </c>
      <c r="AN99">
        <v>4.7339945897204696E-3</v>
      </c>
      <c r="AO99">
        <v>0</v>
      </c>
      <c r="AP99">
        <v>0</v>
      </c>
      <c r="AQ99">
        <v>4.508566275924256E-3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1.3525698827772768E-2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5.1848512173128958E-3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9.0171325518485128E-4</v>
      </c>
      <c r="CA99">
        <v>0.21641118124436426</v>
      </c>
      <c r="CB99">
        <v>4.508566275924256E-3</v>
      </c>
    </row>
    <row r="100" spans="1:80">
      <c r="A100">
        <v>99</v>
      </c>
      <c r="B100" t="s">
        <v>61</v>
      </c>
      <c r="C100" s="4" t="s">
        <v>165</v>
      </c>
      <c r="D100" s="4" t="s">
        <v>117</v>
      </c>
      <c r="E100" s="5">
        <v>39534</v>
      </c>
      <c r="F100" s="5">
        <v>39534</v>
      </c>
      <c r="G100">
        <v>803</v>
      </c>
      <c r="H100" s="4" t="s">
        <v>107</v>
      </c>
      <c r="I100" s="4" t="s">
        <v>109</v>
      </c>
      <c r="J100" s="4" t="str">
        <f t="shared" si="1"/>
        <v>u_con.c_rem</v>
      </c>
      <c r="K100" s="5">
        <v>2</v>
      </c>
      <c r="L100">
        <v>2.2825838849577722E-4</v>
      </c>
      <c r="M100">
        <v>0.24218215019401959</v>
      </c>
      <c r="N100">
        <v>0.1463136270257932</v>
      </c>
      <c r="O100">
        <v>0</v>
      </c>
      <c r="P100">
        <v>0</v>
      </c>
      <c r="Q100">
        <v>5.0216845469070986E-2</v>
      </c>
      <c r="R100">
        <v>4.5651677699155447E-3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2.7391006619493265E-2</v>
      </c>
      <c r="AB100">
        <v>0</v>
      </c>
      <c r="AC100">
        <v>0</v>
      </c>
      <c r="AD100">
        <v>0</v>
      </c>
      <c r="AE100">
        <v>2.2825838849577722E-2</v>
      </c>
      <c r="AF100">
        <v>0</v>
      </c>
      <c r="AG100">
        <v>0</v>
      </c>
      <c r="AH100">
        <v>0</v>
      </c>
      <c r="AI100">
        <v>9.8151107053184219E-3</v>
      </c>
      <c r="AJ100">
        <v>0.13695503309746634</v>
      </c>
      <c r="AK100">
        <v>0</v>
      </c>
      <c r="AL100">
        <v>0</v>
      </c>
      <c r="AM100">
        <v>0</v>
      </c>
      <c r="AN100">
        <v>9.5868523168226444E-3</v>
      </c>
      <c r="AO100">
        <v>0</v>
      </c>
      <c r="AP100">
        <v>0</v>
      </c>
      <c r="AQ100">
        <v>0</v>
      </c>
      <c r="AR100">
        <v>0</v>
      </c>
      <c r="AS100">
        <v>1.894544624514951E-2</v>
      </c>
      <c r="AT100">
        <v>5.7064597123944304E-3</v>
      </c>
      <c r="AU100">
        <v>0</v>
      </c>
      <c r="AV100">
        <v>2.2825838849577722E-4</v>
      </c>
      <c r="AW100">
        <v>0</v>
      </c>
      <c r="AX100">
        <v>4.7934261584113222E-3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5.0216845469070988E-3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4.5651677699155447E-3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2.2825838849577722E-4</v>
      </c>
      <c r="BZ100">
        <v>0</v>
      </c>
      <c r="CA100">
        <v>0.31043140835425698</v>
      </c>
      <c r="CB100">
        <v>0</v>
      </c>
    </row>
    <row r="101" spans="1:80">
      <c r="A101">
        <v>100</v>
      </c>
      <c r="B101" t="s">
        <v>62</v>
      </c>
      <c r="C101" s="4" t="s">
        <v>165</v>
      </c>
      <c r="D101" s="4" t="s">
        <v>117</v>
      </c>
      <c r="E101" s="5">
        <v>39534</v>
      </c>
      <c r="F101" s="5">
        <v>39534</v>
      </c>
      <c r="G101">
        <v>803</v>
      </c>
      <c r="H101" s="4" t="s">
        <v>107</v>
      </c>
      <c r="I101" s="4" t="s">
        <v>108</v>
      </c>
      <c r="J101" s="4" t="str">
        <f t="shared" si="1"/>
        <v>u_con.c_con</v>
      </c>
      <c r="K101" s="5">
        <v>19</v>
      </c>
      <c r="L101">
        <v>4.9346163335800648E-3</v>
      </c>
      <c r="M101">
        <v>5.0086355785837665E-2</v>
      </c>
      <c r="N101">
        <v>4.4658277818899583E-2</v>
      </c>
      <c r="O101">
        <v>1.5790772267456211E-2</v>
      </c>
      <c r="P101">
        <v>0</v>
      </c>
      <c r="Q101">
        <v>2.4919812484579328E-2</v>
      </c>
      <c r="R101">
        <v>0</v>
      </c>
      <c r="S101">
        <v>0</v>
      </c>
      <c r="T101">
        <v>4.9346163335800648E-3</v>
      </c>
      <c r="U101">
        <v>2.4673081667900325E-4</v>
      </c>
      <c r="V101">
        <v>0</v>
      </c>
      <c r="W101">
        <v>0</v>
      </c>
      <c r="X101">
        <v>4.9346163335800648E-3</v>
      </c>
      <c r="Y101">
        <v>0.33555391068344442</v>
      </c>
      <c r="Z101">
        <v>4.9346163335800648E-3</v>
      </c>
      <c r="AA101">
        <v>0</v>
      </c>
      <c r="AB101">
        <v>0</v>
      </c>
      <c r="AC101">
        <v>0</v>
      </c>
      <c r="AD101">
        <v>0</v>
      </c>
      <c r="AE101">
        <v>5.4280779669380712E-3</v>
      </c>
      <c r="AF101">
        <v>0</v>
      </c>
      <c r="AG101">
        <v>0</v>
      </c>
      <c r="AH101">
        <v>2.4673081667900325E-4</v>
      </c>
      <c r="AI101">
        <v>1.0115963483839134E-2</v>
      </c>
      <c r="AJ101">
        <v>0</v>
      </c>
      <c r="AK101">
        <v>0</v>
      </c>
      <c r="AL101">
        <v>0</v>
      </c>
      <c r="AM101">
        <v>0</v>
      </c>
      <c r="AN101">
        <v>1.1102886750555147E-2</v>
      </c>
      <c r="AO101">
        <v>0</v>
      </c>
      <c r="AP101">
        <v>0</v>
      </c>
      <c r="AQ101">
        <v>0</v>
      </c>
      <c r="AR101">
        <v>0</v>
      </c>
      <c r="AS101">
        <v>4.934616333580065E-4</v>
      </c>
      <c r="AT101">
        <v>4.934616333580065E-4</v>
      </c>
      <c r="AU101">
        <v>0</v>
      </c>
      <c r="AV101">
        <v>0</v>
      </c>
      <c r="AW101">
        <v>0</v>
      </c>
      <c r="AX101">
        <v>1.5050579817419198E-2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0.43918085368862569</v>
      </c>
      <c r="CB101">
        <v>2.6893659018011357E-2</v>
      </c>
    </row>
    <row r="102" spans="1:80">
      <c r="A102">
        <v>101</v>
      </c>
      <c r="B102" t="s">
        <v>106</v>
      </c>
      <c r="C102" s="4" t="s">
        <v>166</v>
      </c>
      <c r="D102" s="4" t="s">
        <v>117</v>
      </c>
      <c r="E102" s="5">
        <v>39534</v>
      </c>
      <c r="F102" s="5">
        <v>39534</v>
      </c>
      <c r="G102">
        <v>803</v>
      </c>
      <c r="H102" s="4" t="s">
        <v>110</v>
      </c>
      <c r="I102" s="4" t="s">
        <v>109</v>
      </c>
      <c r="J102" s="4" t="str">
        <f t="shared" si="1"/>
        <v>u_rem.c_rem</v>
      </c>
      <c r="K102" s="5">
        <v>1</v>
      </c>
      <c r="L102" s="1">
        <v>0</v>
      </c>
      <c r="M102" s="1">
        <v>1.6198704103671708E-2</v>
      </c>
      <c r="N102" s="1">
        <v>8.6393088552915775E-2</v>
      </c>
      <c r="O102" s="1">
        <v>3.7796976241900648E-2</v>
      </c>
      <c r="P102" s="1">
        <v>0</v>
      </c>
      <c r="Q102" s="1">
        <v>2.1598272138228944E-2</v>
      </c>
      <c r="R102" s="1">
        <v>0</v>
      </c>
      <c r="S102" s="1">
        <v>0</v>
      </c>
      <c r="T102" s="1">
        <v>1.6198704103671704E-2</v>
      </c>
      <c r="U102" s="1">
        <v>0</v>
      </c>
      <c r="V102" s="1">
        <v>0</v>
      </c>
      <c r="W102" s="1">
        <v>0</v>
      </c>
      <c r="X102" s="1">
        <v>0</v>
      </c>
      <c r="Y102" s="1">
        <v>5.9395248380129585E-2</v>
      </c>
      <c r="Z102" s="1">
        <v>1.0799136069114472E-2</v>
      </c>
      <c r="AA102" s="1">
        <v>0</v>
      </c>
      <c r="AB102" s="1">
        <v>0</v>
      </c>
      <c r="AC102" s="1">
        <v>0</v>
      </c>
      <c r="AD102" s="1">
        <v>0</v>
      </c>
      <c r="AE102" s="1">
        <v>5.6695464362850976E-3</v>
      </c>
      <c r="AF102" s="1">
        <v>0</v>
      </c>
      <c r="AG102" s="1">
        <v>0</v>
      </c>
      <c r="AH102" s="1">
        <v>0</v>
      </c>
      <c r="AI102" s="1">
        <v>0</v>
      </c>
      <c r="AJ102" s="1">
        <v>0.17278617710583155</v>
      </c>
      <c r="AK102" s="1">
        <v>0</v>
      </c>
      <c r="AL102" s="1">
        <v>5.399568034557236E-3</v>
      </c>
      <c r="AM102" s="1">
        <v>0</v>
      </c>
      <c r="AN102" s="1">
        <v>5.3995680345572358E-4</v>
      </c>
      <c r="AO102" s="1">
        <v>0</v>
      </c>
      <c r="AP102" s="1">
        <v>0</v>
      </c>
      <c r="AQ102" s="1">
        <v>0</v>
      </c>
      <c r="AR102" s="1">
        <v>0</v>
      </c>
      <c r="AS102" s="1">
        <v>5.6695464362850976E-3</v>
      </c>
      <c r="AT102" s="1">
        <v>0</v>
      </c>
      <c r="AU102" s="1">
        <v>0</v>
      </c>
      <c r="AV102" s="1">
        <v>0</v>
      </c>
      <c r="AW102" s="1">
        <v>0</v>
      </c>
      <c r="AX102" s="1">
        <v>1.6198704103671708E-2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0.54535637149028093</v>
      </c>
      <c r="CB102" s="1">
        <v>0</v>
      </c>
    </row>
    <row r="103" spans="1:80">
      <c r="A103">
        <v>102</v>
      </c>
      <c r="B103" t="s">
        <v>63</v>
      </c>
      <c r="C103" s="4" t="s">
        <v>166</v>
      </c>
      <c r="D103" s="4" t="s">
        <v>117</v>
      </c>
      <c r="E103" s="5">
        <v>39534</v>
      </c>
      <c r="F103" s="5">
        <v>39534</v>
      </c>
      <c r="G103">
        <v>803</v>
      </c>
      <c r="H103" s="4" t="s">
        <v>110</v>
      </c>
      <c r="I103" s="4" t="s">
        <v>108</v>
      </c>
      <c r="J103" s="4" t="str">
        <f t="shared" si="1"/>
        <v>u_rem.c_con</v>
      </c>
      <c r="K103" s="5">
        <v>8</v>
      </c>
      <c r="L103">
        <v>2.304147465437788E-4</v>
      </c>
      <c r="M103">
        <v>6.9585253456221199E-2</v>
      </c>
      <c r="N103">
        <v>0.13364055299539174</v>
      </c>
      <c r="O103">
        <v>0</v>
      </c>
      <c r="P103">
        <v>0</v>
      </c>
      <c r="Q103">
        <v>5.0691244239631341E-3</v>
      </c>
      <c r="R103">
        <v>0</v>
      </c>
      <c r="S103">
        <v>0</v>
      </c>
      <c r="T103">
        <v>1.3824884792626727E-2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3.2258064516129031E-2</v>
      </c>
      <c r="AA103">
        <v>0</v>
      </c>
      <c r="AB103">
        <v>0</v>
      </c>
      <c r="AC103">
        <v>0</v>
      </c>
      <c r="AD103">
        <v>0</v>
      </c>
      <c r="AE103">
        <v>2.304147465437788E-4</v>
      </c>
      <c r="AF103">
        <v>0</v>
      </c>
      <c r="AG103">
        <v>0</v>
      </c>
      <c r="AH103">
        <v>0</v>
      </c>
      <c r="AI103">
        <v>2.304147465437788E-4</v>
      </c>
      <c r="AJ103">
        <v>0.28571428571428559</v>
      </c>
      <c r="AK103">
        <v>0</v>
      </c>
      <c r="AL103">
        <v>1.8894009216589864E-2</v>
      </c>
      <c r="AM103">
        <v>0</v>
      </c>
      <c r="AN103">
        <v>4.8387096774193551E-3</v>
      </c>
      <c r="AO103">
        <v>0</v>
      </c>
      <c r="AP103">
        <v>0</v>
      </c>
      <c r="AQ103">
        <v>0</v>
      </c>
      <c r="AR103">
        <v>0</v>
      </c>
      <c r="AS103">
        <v>9.6774193548387101E-3</v>
      </c>
      <c r="AT103">
        <v>4.608294930875576E-4</v>
      </c>
      <c r="AU103">
        <v>0</v>
      </c>
      <c r="AV103">
        <v>0</v>
      </c>
      <c r="AW103">
        <v>0</v>
      </c>
      <c r="AX103">
        <v>9.447004608294932E-3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4.8387096774193551E-3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4.608294930875576E-3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4.608294930875576E-3</v>
      </c>
      <c r="BZ103">
        <v>4.608294930875576E-4</v>
      </c>
      <c r="CA103">
        <v>0.39631336405529943</v>
      </c>
      <c r="CB103">
        <v>4.8387096774193551E-3</v>
      </c>
    </row>
    <row r="104" spans="1:80">
      <c r="A104">
        <v>103</v>
      </c>
      <c r="B104" s="1" t="s">
        <v>64</v>
      </c>
      <c r="C104" s="4" t="s">
        <v>166</v>
      </c>
      <c r="D104" s="4" t="s">
        <v>117</v>
      </c>
      <c r="E104" s="5">
        <v>39534</v>
      </c>
      <c r="F104" s="5">
        <v>39534</v>
      </c>
      <c r="G104" s="1">
        <v>803</v>
      </c>
      <c r="H104" s="4" t="s">
        <v>110</v>
      </c>
      <c r="I104" s="4" t="s">
        <v>109</v>
      </c>
      <c r="J104" s="4" t="str">
        <f t="shared" si="1"/>
        <v>u_rem.c_rem</v>
      </c>
      <c r="K104" s="5">
        <v>1</v>
      </c>
      <c r="L104" s="1">
        <v>5.4333061668024995E-3</v>
      </c>
      <c r="M104" s="1">
        <v>5.4333061668024984E-2</v>
      </c>
      <c r="N104" s="1">
        <v>0.38576473784297738</v>
      </c>
      <c r="O104" s="1">
        <v>2.1733224667209998E-2</v>
      </c>
      <c r="P104" s="1">
        <v>0</v>
      </c>
      <c r="Q104" s="1">
        <v>5.4333061668024995E-3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5.4333061668024995E-3</v>
      </c>
      <c r="AF104" s="1">
        <v>0</v>
      </c>
      <c r="AG104" s="1">
        <v>0</v>
      </c>
      <c r="AH104" s="1">
        <v>0</v>
      </c>
      <c r="AI104" s="1">
        <v>0</v>
      </c>
      <c r="AJ104" s="1">
        <v>0.21189894050529745</v>
      </c>
      <c r="AK104" s="1">
        <v>0</v>
      </c>
      <c r="AL104" s="1">
        <v>0</v>
      </c>
      <c r="AM104" s="1">
        <v>0</v>
      </c>
      <c r="AN104" s="1">
        <v>2.7166530834012495E-4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0.30969845150774239</v>
      </c>
      <c r="CB104" s="1">
        <v>0</v>
      </c>
    </row>
    <row r="105" spans="1:80">
      <c r="A105">
        <v>104</v>
      </c>
      <c r="B105" t="s">
        <v>65</v>
      </c>
      <c r="C105" s="4" t="s">
        <v>166</v>
      </c>
      <c r="D105" s="4" t="s">
        <v>117</v>
      </c>
      <c r="E105" s="5">
        <v>39534</v>
      </c>
      <c r="F105" s="5">
        <v>39534</v>
      </c>
      <c r="G105">
        <v>803</v>
      </c>
      <c r="H105" s="4" t="s">
        <v>110</v>
      </c>
      <c r="I105" s="4" t="s">
        <v>108</v>
      </c>
      <c r="J105" s="4" t="str">
        <f t="shared" si="1"/>
        <v>u_rem.c_con</v>
      </c>
      <c r="K105" s="5">
        <v>8</v>
      </c>
      <c r="L105">
        <v>3.5182387222102311E-2</v>
      </c>
      <c r="M105">
        <v>0.11353334772285775</v>
      </c>
      <c r="N105">
        <v>6.9717245845024853E-2</v>
      </c>
      <c r="O105">
        <v>0</v>
      </c>
      <c r="P105">
        <v>0</v>
      </c>
      <c r="Q105">
        <v>2.1584286639326575E-2</v>
      </c>
      <c r="R105">
        <v>0</v>
      </c>
      <c r="S105">
        <v>0</v>
      </c>
      <c r="T105">
        <v>2.1584286639326575E-2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1.7699115044247791E-2</v>
      </c>
      <c r="AE105">
        <v>1.381394344916901E-2</v>
      </c>
      <c r="AF105">
        <v>0</v>
      </c>
      <c r="AG105">
        <v>0</v>
      </c>
      <c r="AH105">
        <v>0</v>
      </c>
      <c r="AI105">
        <v>8.63371465573063E-4</v>
      </c>
      <c r="AJ105">
        <v>0.23764299589898555</v>
      </c>
      <c r="AK105">
        <v>0</v>
      </c>
      <c r="AL105">
        <v>0</v>
      </c>
      <c r="AM105">
        <v>0</v>
      </c>
      <c r="AN105">
        <v>9.7129289876969598E-3</v>
      </c>
      <c r="AO105">
        <v>0</v>
      </c>
      <c r="AP105">
        <v>0</v>
      </c>
      <c r="AQ105">
        <v>0</v>
      </c>
      <c r="AR105">
        <v>0</v>
      </c>
      <c r="AS105">
        <v>2.1584286639326575E-4</v>
      </c>
      <c r="AT105">
        <v>6.4752859917979722E-4</v>
      </c>
      <c r="AU105">
        <v>0</v>
      </c>
      <c r="AV105">
        <v>0</v>
      </c>
      <c r="AW105">
        <v>0</v>
      </c>
      <c r="AX105">
        <v>4.3168573278653151E-3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2.1584286639326575E-4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0.44895316209799274</v>
      </c>
      <c r="CB105">
        <v>4.3168573278653151E-3</v>
      </c>
    </row>
    <row r="106" spans="1:80">
      <c r="A106">
        <v>105</v>
      </c>
      <c r="B106" t="s">
        <v>66</v>
      </c>
      <c r="C106" s="4" t="s">
        <v>167</v>
      </c>
      <c r="D106" s="4" t="s">
        <v>117</v>
      </c>
      <c r="E106" s="5">
        <v>39534</v>
      </c>
      <c r="F106" s="5">
        <v>39534</v>
      </c>
      <c r="G106">
        <v>803</v>
      </c>
      <c r="H106" s="4" t="s">
        <v>107</v>
      </c>
      <c r="I106" s="4" t="s">
        <v>108</v>
      </c>
      <c r="J106" s="4" t="str">
        <f t="shared" si="1"/>
        <v>u_con.c_con</v>
      </c>
      <c r="K106" s="5">
        <v>19</v>
      </c>
      <c r="L106">
        <v>4.524886877828055E-4</v>
      </c>
      <c r="M106">
        <v>0.41199095022624432</v>
      </c>
      <c r="N106">
        <v>0.15520361990950227</v>
      </c>
      <c r="O106">
        <v>0</v>
      </c>
      <c r="P106">
        <v>0</v>
      </c>
      <c r="Q106">
        <v>3.6199095022624438E-2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1.3574660633484167E-2</v>
      </c>
      <c r="AF106">
        <v>0</v>
      </c>
      <c r="AG106">
        <v>0</v>
      </c>
      <c r="AH106">
        <v>0</v>
      </c>
      <c r="AI106">
        <v>4.9773755656108611E-3</v>
      </c>
      <c r="AJ106">
        <v>6.7873303167420823E-2</v>
      </c>
      <c r="AK106">
        <v>0</v>
      </c>
      <c r="AL106">
        <v>0</v>
      </c>
      <c r="AM106">
        <v>0</v>
      </c>
      <c r="AN106">
        <v>5.6561085972850686E-3</v>
      </c>
      <c r="AO106">
        <v>0</v>
      </c>
      <c r="AP106">
        <v>0</v>
      </c>
      <c r="AQ106">
        <v>0</v>
      </c>
      <c r="AR106">
        <v>0</v>
      </c>
      <c r="AS106">
        <v>2.2624434389140275E-4</v>
      </c>
      <c r="AT106">
        <v>2.2624434389140275E-4</v>
      </c>
      <c r="AU106">
        <v>0</v>
      </c>
      <c r="AV106">
        <v>0</v>
      </c>
      <c r="AW106">
        <v>0</v>
      </c>
      <c r="AX106">
        <v>2.2624434389140275E-4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4.5248868778280547E-3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2.2624434389140275E-4</v>
      </c>
      <c r="BZ106">
        <v>0</v>
      </c>
      <c r="CA106">
        <v>0.29864253393665152</v>
      </c>
      <c r="CB106">
        <v>0</v>
      </c>
    </row>
    <row r="107" spans="1:80">
      <c r="A107">
        <v>106</v>
      </c>
      <c r="B107" t="s">
        <v>67</v>
      </c>
      <c r="C107" s="4" t="s">
        <v>167</v>
      </c>
      <c r="D107" s="4" t="s">
        <v>117</v>
      </c>
      <c r="E107" s="5">
        <v>39534</v>
      </c>
      <c r="F107" s="5">
        <v>39534</v>
      </c>
      <c r="G107">
        <v>803</v>
      </c>
      <c r="H107" s="4" t="s">
        <v>107</v>
      </c>
      <c r="I107" s="4" t="s">
        <v>109</v>
      </c>
      <c r="J107" s="4" t="str">
        <f t="shared" si="1"/>
        <v>u_con.c_rem</v>
      </c>
      <c r="K107" s="5">
        <v>2</v>
      </c>
      <c r="L107">
        <v>2.7886609817930397E-2</v>
      </c>
      <c r="M107">
        <v>0.14888223092878541</v>
      </c>
      <c r="N107">
        <v>0.56234155335330727</v>
      </c>
      <c r="O107">
        <v>0</v>
      </c>
      <c r="P107">
        <v>0</v>
      </c>
      <c r="Q107">
        <v>9.2187139893984797E-3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4.6093569946992399E-3</v>
      </c>
      <c r="AF107">
        <v>0</v>
      </c>
      <c r="AG107">
        <v>0</v>
      </c>
      <c r="AH107">
        <v>0</v>
      </c>
      <c r="AI107">
        <v>5.5312283936390884E-3</v>
      </c>
      <c r="AJ107">
        <v>0</v>
      </c>
      <c r="AK107">
        <v>0</v>
      </c>
      <c r="AL107">
        <v>0</v>
      </c>
      <c r="AM107">
        <v>0</v>
      </c>
      <c r="AN107">
        <v>9.2187139893984797E-3</v>
      </c>
      <c r="AO107">
        <v>0</v>
      </c>
      <c r="AP107">
        <v>0</v>
      </c>
      <c r="AQ107">
        <v>0</v>
      </c>
      <c r="AR107">
        <v>0</v>
      </c>
      <c r="AS107">
        <v>9.2187139893984797E-3</v>
      </c>
      <c r="AT107">
        <v>2.3046784973496199E-4</v>
      </c>
      <c r="AU107">
        <v>0</v>
      </c>
      <c r="AV107">
        <v>0</v>
      </c>
      <c r="AW107">
        <v>0</v>
      </c>
      <c r="AX107">
        <v>5.3007605439041264E-3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6.9140354920488594E-4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0.21687024660059914</v>
      </c>
      <c r="CB107">
        <v>0</v>
      </c>
    </row>
    <row r="108" spans="1:80">
      <c r="A108">
        <v>107</v>
      </c>
      <c r="B108" t="s">
        <v>68</v>
      </c>
      <c r="C108" s="4" t="s">
        <v>167</v>
      </c>
      <c r="D108" s="4" t="s">
        <v>117</v>
      </c>
      <c r="E108" s="5">
        <v>39534</v>
      </c>
      <c r="F108" s="5">
        <v>39534</v>
      </c>
      <c r="G108">
        <v>803</v>
      </c>
      <c r="H108" s="4" t="s">
        <v>107</v>
      </c>
      <c r="I108" s="4" t="s">
        <v>108</v>
      </c>
      <c r="J108" s="4" t="str">
        <f t="shared" si="1"/>
        <v>u_con.c_con</v>
      </c>
      <c r="K108" s="5">
        <v>19</v>
      </c>
      <c r="L108">
        <v>6.8540095956134332E-4</v>
      </c>
      <c r="M108">
        <v>0.1329677861549006</v>
      </c>
      <c r="N108">
        <v>0.19671007539410554</v>
      </c>
      <c r="O108">
        <v>0</v>
      </c>
      <c r="P108">
        <v>0</v>
      </c>
      <c r="Q108">
        <v>3.6783184829792093E-2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5.5289010737948362E-2</v>
      </c>
      <c r="AF108">
        <v>0</v>
      </c>
      <c r="AG108">
        <v>0</v>
      </c>
      <c r="AH108">
        <v>0</v>
      </c>
      <c r="AI108">
        <v>1.4393420150788212E-2</v>
      </c>
      <c r="AJ108">
        <v>0.18734292894676721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1.4164953164267765E-2</v>
      </c>
      <c r="AT108">
        <v>0</v>
      </c>
      <c r="AU108">
        <v>0</v>
      </c>
      <c r="AV108">
        <v>0</v>
      </c>
      <c r="AW108">
        <v>0</v>
      </c>
      <c r="AX108">
        <v>1.370801919122687E-2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2.2846698652044777E-4</v>
      </c>
      <c r="BF108">
        <v>1.3936486177747317E-2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4.5693397304089559E-3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0.3289924605894447</v>
      </c>
      <c r="CB108">
        <v>0</v>
      </c>
    </row>
    <row r="109" spans="1:80">
      <c r="A109">
        <v>108</v>
      </c>
      <c r="B109" s="2" t="s">
        <v>69</v>
      </c>
      <c r="C109" s="4" t="s">
        <v>167</v>
      </c>
      <c r="D109" s="4" t="s">
        <v>117</v>
      </c>
      <c r="E109" s="5">
        <v>39534</v>
      </c>
      <c r="F109" s="5">
        <v>39534</v>
      </c>
      <c r="G109">
        <v>803</v>
      </c>
      <c r="H109" s="4" t="s">
        <v>107</v>
      </c>
      <c r="I109" s="4" t="s">
        <v>109</v>
      </c>
      <c r="J109" s="4" t="str">
        <f t="shared" si="1"/>
        <v>u_con.c_rem</v>
      </c>
      <c r="K109" s="5">
        <v>2</v>
      </c>
      <c r="L109">
        <v>0</v>
      </c>
      <c r="M109">
        <v>9.0848659428318185E-2</v>
      </c>
      <c r="N109">
        <v>0.11566585419898075</v>
      </c>
      <c r="O109">
        <v>3.9884777309993354E-2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2.2158209616662973E-4</v>
      </c>
      <c r="AB109">
        <v>0</v>
      </c>
      <c r="AC109">
        <v>0</v>
      </c>
      <c r="AD109">
        <v>0</v>
      </c>
      <c r="AE109">
        <v>5.8276091291823623E-2</v>
      </c>
      <c r="AF109">
        <v>0</v>
      </c>
      <c r="AG109">
        <v>0</v>
      </c>
      <c r="AH109">
        <v>0</v>
      </c>
      <c r="AI109">
        <v>2.2158209616662973E-4</v>
      </c>
      <c r="AJ109">
        <v>0.20474185685796584</v>
      </c>
      <c r="AK109">
        <v>0</v>
      </c>
      <c r="AL109">
        <v>4.0106359406159982E-2</v>
      </c>
      <c r="AM109">
        <v>0</v>
      </c>
      <c r="AN109">
        <v>9.5280301351650786E-3</v>
      </c>
      <c r="AO109">
        <v>0</v>
      </c>
      <c r="AP109">
        <v>0</v>
      </c>
      <c r="AQ109">
        <v>0</v>
      </c>
      <c r="AR109">
        <v>0</v>
      </c>
      <c r="AS109">
        <v>2.2158209616662973E-4</v>
      </c>
      <c r="AT109">
        <v>2.2158209616662973E-4</v>
      </c>
      <c r="AU109">
        <v>0</v>
      </c>
      <c r="AV109">
        <v>0</v>
      </c>
      <c r="AW109">
        <v>0</v>
      </c>
      <c r="AX109">
        <v>4.4316419233325945E-3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1.8612896077996897E-2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0.41657434079326389</v>
      </c>
      <c r="CB109">
        <v>4.4316419233325947E-4</v>
      </c>
    </row>
    <row r="110" spans="1:80">
      <c r="A110">
        <v>109</v>
      </c>
      <c r="B110" t="s">
        <v>71</v>
      </c>
      <c r="C110" s="4" t="s">
        <v>168</v>
      </c>
      <c r="D110" s="4" t="s">
        <v>117</v>
      </c>
      <c r="E110" s="5">
        <v>39534</v>
      </c>
      <c r="F110" s="5">
        <v>39534</v>
      </c>
      <c r="G110">
        <v>803</v>
      </c>
      <c r="H110" s="4" t="s">
        <v>110</v>
      </c>
      <c r="I110" s="4" t="s">
        <v>108</v>
      </c>
      <c r="J110" s="4" t="str">
        <f t="shared" si="1"/>
        <v>u_rem.c_con</v>
      </c>
      <c r="K110" s="5">
        <v>8</v>
      </c>
      <c r="L110">
        <v>3.5511713933415547E-2</v>
      </c>
      <c r="M110">
        <v>0.39457459926017263</v>
      </c>
      <c r="N110">
        <v>0.34056720098643661</v>
      </c>
      <c r="O110">
        <v>0</v>
      </c>
      <c r="P110">
        <v>0</v>
      </c>
      <c r="Q110">
        <v>2.4660912453760796E-2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5.4254007398273759E-3</v>
      </c>
      <c r="AF110">
        <v>0</v>
      </c>
      <c r="AG110">
        <v>0</v>
      </c>
      <c r="AH110">
        <v>4.9321824907521596E-3</v>
      </c>
      <c r="AI110">
        <v>9.8643649815043175E-4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9.8643649815043193E-3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4.9321824907521596E-3</v>
      </c>
      <c r="AY110">
        <v>0</v>
      </c>
      <c r="AZ110">
        <v>0</v>
      </c>
      <c r="BA110">
        <v>9.4204685573366254E-2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8.4340320591861945E-2</v>
      </c>
      <c r="CB110">
        <v>0</v>
      </c>
    </row>
    <row r="111" spans="1:80">
      <c r="A111">
        <v>110</v>
      </c>
      <c r="B111" s="1" t="s">
        <v>70</v>
      </c>
      <c r="C111" s="4" t="s">
        <v>168</v>
      </c>
      <c r="D111" s="4" t="s">
        <v>117</v>
      </c>
      <c r="E111" s="5">
        <v>39534</v>
      </c>
      <c r="F111" s="5">
        <v>39534</v>
      </c>
      <c r="G111" s="1">
        <v>803</v>
      </c>
      <c r="H111" s="4" t="s">
        <v>110</v>
      </c>
      <c r="I111" s="4" t="s">
        <v>109</v>
      </c>
      <c r="J111" s="4" t="str">
        <f t="shared" si="1"/>
        <v>u_rem.c_rem</v>
      </c>
      <c r="K111" s="5">
        <v>1</v>
      </c>
      <c r="L111" s="1">
        <v>2.0196919969704619E-2</v>
      </c>
      <c r="M111" s="1">
        <v>9.6187831355718262E-2</v>
      </c>
      <c r="N111" s="1">
        <v>0.74728603887907075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0.13127997980308004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5.0492299924261548E-3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</row>
    <row r="112" spans="1:80">
      <c r="A112">
        <v>111</v>
      </c>
      <c r="B112" t="s">
        <v>72</v>
      </c>
      <c r="C112" s="4" t="s">
        <v>168</v>
      </c>
      <c r="D112" s="4" t="s">
        <v>117</v>
      </c>
      <c r="E112" s="5">
        <v>39534</v>
      </c>
      <c r="F112" s="5">
        <v>39534</v>
      </c>
      <c r="G112">
        <v>803</v>
      </c>
      <c r="H112" s="4" t="s">
        <v>110</v>
      </c>
      <c r="I112" s="4" t="s">
        <v>108</v>
      </c>
      <c r="J112" s="4" t="str">
        <f t="shared" si="1"/>
        <v>u_rem.c_con</v>
      </c>
      <c r="K112" s="5">
        <v>8</v>
      </c>
      <c r="L112">
        <v>0</v>
      </c>
      <c r="M112">
        <v>0.16150911403136919</v>
      </c>
      <c r="N112">
        <v>0.25010597710894439</v>
      </c>
      <c r="O112">
        <v>0</v>
      </c>
      <c r="P112">
        <v>0</v>
      </c>
      <c r="Q112">
        <v>3.8363713437897407E-2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2.5434506146672316E-2</v>
      </c>
      <c r="AF112">
        <v>0</v>
      </c>
      <c r="AG112">
        <v>0</v>
      </c>
      <c r="AH112">
        <v>0</v>
      </c>
      <c r="AI112">
        <v>4.6629927935565915E-3</v>
      </c>
      <c r="AJ112">
        <v>0</v>
      </c>
      <c r="AK112">
        <v>0</v>
      </c>
      <c r="AL112">
        <v>0</v>
      </c>
      <c r="AM112">
        <v>0</v>
      </c>
      <c r="AN112">
        <v>1.8016108520559557E-2</v>
      </c>
      <c r="AO112">
        <v>0</v>
      </c>
      <c r="AP112">
        <v>0</v>
      </c>
      <c r="AQ112">
        <v>2.1195421788893596E-4</v>
      </c>
      <c r="AR112">
        <v>0</v>
      </c>
      <c r="AS112">
        <v>0</v>
      </c>
      <c r="AT112">
        <v>4.2390843577787193E-4</v>
      </c>
      <c r="AU112">
        <v>0</v>
      </c>
      <c r="AV112">
        <v>0</v>
      </c>
      <c r="AW112">
        <v>0</v>
      </c>
      <c r="AX112">
        <v>4.2390843577787196E-3</v>
      </c>
      <c r="AY112">
        <v>0</v>
      </c>
      <c r="AZ112">
        <v>0</v>
      </c>
      <c r="BA112">
        <v>0.21619330224671465</v>
      </c>
      <c r="BB112">
        <v>0</v>
      </c>
      <c r="BC112">
        <v>0</v>
      </c>
      <c r="BD112">
        <v>0</v>
      </c>
      <c r="BE112">
        <v>8.9020771513353119E-3</v>
      </c>
      <c r="BF112">
        <v>6.3586265366680781E-4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0.27130139889783794</v>
      </c>
      <c r="CB112">
        <v>0</v>
      </c>
    </row>
    <row r="113" spans="1:80">
      <c r="A113">
        <v>112</v>
      </c>
      <c r="B113" s="1" t="s">
        <v>73</v>
      </c>
      <c r="C113" s="4" t="s">
        <v>168</v>
      </c>
      <c r="D113" s="4" t="s">
        <v>117</v>
      </c>
      <c r="E113" s="5">
        <v>39534</v>
      </c>
      <c r="F113" s="5">
        <v>39534</v>
      </c>
      <c r="G113" s="1">
        <v>803</v>
      </c>
      <c r="H113" s="4" t="s">
        <v>110</v>
      </c>
      <c r="I113" s="4" t="s">
        <v>109</v>
      </c>
      <c r="J113" s="4" t="str">
        <f t="shared" si="1"/>
        <v>u_rem.c_rem</v>
      </c>
      <c r="K113" s="5">
        <v>1</v>
      </c>
      <c r="L113" s="1">
        <v>4.8089767566123424E-2</v>
      </c>
      <c r="M113" s="1">
        <v>0.40609137055837569</v>
      </c>
      <c r="N113" s="1">
        <v>0.40609137055837552</v>
      </c>
      <c r="O113" s="1">
        <v>5.3433075073470483E-3</v>
      </c>
      <c r="P113" s="1">
        <v>0</v>
      </c>
      <c r="Q113" s="1">
        <v>1.0686615014694097E-2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2.1373230029388193E-2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1.0686615014694097E-2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8.09511087363078E-2</v>
      </c>
      <c r="BB113" s="1">
        <v>0</v>
      </c>
      <c r="BC113" s="1">
        <v>0</v>
      </c>
      <c r="BD113" s="1">
        <v>0</v>
      </c>
      <c r="BE113" s="1">
        <v>5.3433075073470483E-3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5.3433075073470483E-3</v>
      </c>
      <c r="CB113" s="1">
        <v>0</v>
      </c>
    </row>
    <row r="114" spans="1:80" s="1" customFormat="1">
      <c r="A114">
        <v>113</v>
      </c>
      <c r="B114" t="s">
        <v>74</v>
      </c>
      <c r="C114" s="4" t="s">
        <v>169</v>
      </c>
      <c r="D114" s="4" t="s">
        <v>117</v>
      </c>
      <c r="E114" s="5">
        <v>39534</v>
      </c>
      <c r="F114" s="5">
        <v>39534</v>
      </c>
      <c r="G114">
        <v>803</v>
      </c>
      <c r="H114" s="4" t="s">
        <v>110</v>
      </c>
      <c r="I114" s="4" t="s">
        <v>108</v>
      </c>
      <c r="J114" s="4" t="str">
        <f t="shared" si="1"/>
        <v>u_rem.c_con</v>
      </c>
      <c r="K114" s="5">
        <v>8</v>
      </c>
      <c r="L114">
        <v>2.6857654431512983E-2</v>
      </c>
      <c r="M114">
        <v>0.1886750223813787</v>
      </c>
      <c r="N114">
        <v>0.24171888988361681</v>
      </c>
      <c r="O114">
        <v>0</v>
      </c>
      <c r="P114">
        <v>0</v>
      </c>
      <c r="Q114">
        <v>8.952551477170995E-3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2.238137869292749E-4</v>
      </c>
      <c r="AA114">
        <v>6.7144136078782458E-4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1.3428827215756495E-2</v>
      </c>
      <c r="AI114">
        <v>0.30013428827215749</v>
      </c>
      <c r="AJ114">
        <v>9.17636526410027E-3</v>
      </c>
      <c r="AK114">
        <v>0</v>
      </c>
      <c r="AL114">
        <v>0</v>
      </c>
      <c r="AM114">
        <v>0</v>
      </c>
      <c r="AN114">
        <v>1.9024171888988368E-2</v>
      </c>
      <c r="AO114">
        <v>0</v>
      </c>
      <c r="AP114">
        <v>0</v>
      </c>
      <c r="AQ114">
        <v>0</v>
      </c>
      <c r="AR114">
        <v>0</v>
      </c>
      <c r="AS114">
        <v>4.7000895255147734E-3</v>
      </c>
      <c r="AT114">
        <v>1.1190689346463744E-3</v>
      </c>
      <c r="AU114">
        <v>0</v>
      </c>
      <c r="AV114">
        <v>0</v>
      </c>
      <c r="AW114">
        <v>0</v>
      </c>
      <c r="AX114">
        <v>4.4762757385854975E-3</v>
      </c>
      <c r="AY114">
        <v>0</v>
      </c>
      <c r="AZ114">
        <v>0</v>
      </c>
      <c r="BA114">
        <v>2.7529095792300808E-2</v>
      </c>
      <c r="BB114">
        <v>0</v>
      </c>
      <c r="BC114">
        <v>0</v>
      </c>
      <c r="BD114">
        <v>0</v>
      </c>
      <c r="BE114">
        <v>2.238137869292749E-4</v>
      </c>
      <c r="BF114">
        <v>2.238137869292749E-4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4.4762757385854975E-3</v>
      </c>
      <c r="BY114">
        <v>1.3876454789615045E-2</v>
      </c>
      <c r="BZ114">
        <v>2.238137869292749E-4</v>
      </c>
      <c r="CA114">
        <v>0.13428827215756492</v>
      </c>
      <c r="CB114">
        <v>0</v>
      </c>
    </row>
    <row r="115" spans="1:80" s="1" customFormat="1">
      <c r="A115">
        <v>114</v>
      </c>
      <c r="B115" t="s">
        <v>75</v>
      </c>
      <c r="C115" s="4" t="s">
        <v>169</v>
      </c>
      <c r="D115" s="4" t="s">
        <v>117</v>
      </c>
      <c r="E115" s="5">
        <v>39534</v>
      </c>
      <c r="F115" s="5">
        <v>39534</v>
      </c>
      <c r="G115">
        <v>803</v>
      </c>
      <c r="H115" s="4" t="s">
        <v>110</v>
      </c>
      <c r="I115" s="4" t="s">
        <v>108</v>
      </c>
      <c r="J115" s="4" t="str">
        <f t="shared" si="1"/>
        <v>u_rem.c_con</v>
      </c>
      <c r="K115" s="5">
        <v>8</v>
      </c>
      <c r="L115">
        <v>4.0322580645161296E-4</v>
      </c>
      <c r="M115">
        <v>0.27419354838709675</v>
      </c>
      <c r="N115">
        <v>0.15766129032258064</v>
      </c>
      <c r="O115">
        <v>8.0645161290322596E-3</v>
      </c>
      <c r="P115">
        <v>0</v>
      </c>
      <c r="Q115">
        <v>5.262096774193549E-2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2.0362903225806455E-2</v>
      </c>
      <c r="AF115">
        <v>0</v>
      </c>
      <c r="AG115">
        <v>0</v>
      </c>
      <c r="AH115">
        <v>2.0161290322580648E-4</v>
      </c>
      <c r="AI115">
        <v>2.8427419354838713E-2</v>
      </c>
      <c r="AJ115">
        <v>4.0322580645161298E-3</v>
      </c>
      <c r="AK115">
        <v>0</v>
      </c>
      <c r="AL115">
        <v>4.2338709677419368E-3</v>
      </c>
      <c r="AM115">
        <v>0</v>
      </c>
      <c r="AN115">
        <v>2.1169354838709679E-2</v>
      </c>
      <c r="AO115">
        <v>0</v>
      </c>
      <c r="AP115">
        <v>0</v>
      </c>
      <c r="AQ115">
        <v>0</v>
      </c>
      <c r="AR115">
        <v>0</v>
      </c>
      <c r="AS115">
        <v>2.0161290322580648E-4</v>
      </c>
      <c r="AT115">
        <v>2.0161290322580648E-4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0.2661290322580645</v>
      </c>
      <c r="BB115">
        <v>0</v>
      </c>
      <c r="BC115">
        <v>0</v>
      </c>
      <c r="BD115">
        <v>0</v>
      </c>
      <c r="BE115">
        <v>1.2701612903225809E-2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4.0322580645161298E-3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4.2338709677419368E-3</v>
      </c>
      <c r="BY115">
        <v>0</v>
      </c>
      <c r="BZ115">
        <v>0</v>
      </c>
      <c r="CA115">
        <v>0.14112903225806456</v>
      </c>
      <c r="CB115">
        <v>0</v>
      </c>
    </row>
    <row r="116" spans="1:80">
      <c r="A116">
        <v>115</v>
      </c>
      <c r="B116" s="1" t="s">
        <v>76</v>
      </c>
      <c r="C116" s="4" t="s">
        <v>169</v>
      </c>
      <c r="D116" s="4" t="s">
        <v>117</v>
      </c>
      <c r="E116" s="5">
        <v>39534</v>
      </c>
      <c r="F116" s="5">
        <v>39534</v>
      </c>
      <c r="G116" s="1">
        <v>803</v>
      </c>
      <c r="H116" s="4" t="s">
        <v>110</v>
      </c>
      <c r="I116" s="4" t="s">
        <v>109</v>
      </c>
      <c r="J116" s="4" t="str">
        <f t="shared" si="1"/>
        <v>u_rem.c_rem</v>
      </c>
      <c r="K116" s="5">
        <v>1</v>
      </c>
      <c r="L116" s="1">
        <v>0.11764705882352941</v>
      </c>
      <c r="M116" s="1">
        <v>0.68235294117647038</v>
      </c>
      <c r="N116" s="1">
        <v>0.12352941176470586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7.647058823529411E-2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</row>
    <row r="117" spans="1:80">
      <c r="A117">
        <v>116</v>
      </c>
      <c r="B117" s="1" t="s">
        <v>77</v>
      </c>
      <c r="C117" s="4" t="s">
        <v>169</v>
      </c>
      <c r="D117" s="4" t="s">
        <v>117</v>
      </c>
      <c r="E117" s="5">
        <v>39534</v>
      </c>
      <c r="F117" s="5">
        <v>39534</v>
      </c>
      <c r="G117" s="1">
        <v>803</v>
      </c>
      <c r="H117" s="4" t="s">
        <v>110</v>
      </c>
      <c r="I117" s="4" t="s">
        <v>109</v>
      </c>
      <c r="J117" s="4" t="str">
        <f t="shared" si="1"/>
        <v>u_rem.c_rem</v>
      </c>
      <c r="K117" s="5">
        <v>1</v>
      </c>
      <c r="L117" s="1">
        <v>1.5527950310559008E-2</v>
      </c>
      <c r="M117" s="1">
        <v>0.22774327122153201</v>
      </c>
      <c r="N117" s="1">
        <v>0.18633540372670809</v>
      </c>
      <c r="O117" s="1">
        <v>2.0703933747412008E-2</v>
      </c>
      <c r="P117" s="1">
        <v>0</v>
      </c>
      <c r="Q117" s="1">
        <v>0</v>
      </c>
      <c r="R117" s="1">
        <v>0</v>
      </c>
      <c r="S117" s="1">
        <v>0</v>
      </c>
      <c r="T117" s="1">
        <v>5.175983436853002E-3</v>
      </c>
      <c r="U117" s="1">
        <v>0</v>
      </c>
      <c r="V117" s="1">
        <v>0</v>
      </c>
      <c r="W117" s="1">
        <v>0</v>
      </c>
      <c r="X117" s="1">
        <v>0</v>
      </c>
      <c r="Y117" s="1">
        <v>3.1055900621118012E-2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4.1407867494824009E-2</v>
      </c>
      <c r="AI117" s="1">
        <v>2.5879917184265008E-2</v>
      </c>
      <c r="AJ117" s="1">
        <v>0</v>
      </c>
      <c r="AK117" s="1">
        <v>0</v>
      </c>
      <c r="AL117" s="1">
        <v>2.5879917184265008E-2</v>
      </c>
      <c r="AM117" s="1">
        <v>0</v>
      </c>
      <c r="AN117" s="1">
        <v>1.6045548654244308E-2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5.1759834368530024E-4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0.31573498964803304</v>
      </c>
      <c r="BB117" s="1">
        <v>0</v>
      </c>
      <c r="BC117" s="1">
        <v>0</v>
      </c>
      <c r="BD117" s="1">
        <v>0</v>
      </c>
      <c r="BE117" s="1">
        <v>5.175983436853002E-3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5.175983436853002E-3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7.7639751552795039E-2</v>
      </c>
      <c r="CB117" s="1">
        <v>0</v>
      </c>
    </row>
    <row r="118" spans="1:80">
      <c r="A118">
        <v>117</v>
      </c>
      <c r="B118" t="s">
        <v>78</v>
      </c>
      <c r="C118" s="4" t="s">
        <v>170</v>
      </c>
      <c r="D118" s="4" t="s">
        <v>117</v>
      </c>
      <c r="E118" s="5">
        <v>39534</v>
      </c>
      <c r="F118" s="5">
        <v>39534</v>
      </c>
      <c r="G118">
        <v>803</v>
      </c>
      <c r="H118" s="4" t="s">
        <v>107</v>
      </c>
      <c r="I118" s="4" t="s">
        <v>109</v>
      </c>
      <c r="J118" s="4" t="str">
        <f t="shared" si="1"/>
        <v>u_con.c_rem</v>
      </c>
      <c r="K118" s="5">
        <v>2</v>
      </c>
      <c r="L118">
        <v>2.169197396963124E-2</v>
      </c>
      <c r="M118">
        <v>0.24750542299349232</v>
      </c>
      <c r="N118">
        <v>0.19088937093275488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0.18655097613882868</v>
      </c>
      <c r="AJ118">
        <v>6.9414316702819973E-2</v>
      </c>
      <c r="AK118">
        <v>0</v>
      </c>
      <c r="AL118">
        <v>0</v>
      </c>
      <c r="AM118">
        <v>0</v>
      </c>
      <c r="AN118">
        <v>4.9891540130151861E-3</v>
      </c>
      <c r="AO118">
        <v>0</v>
      </c>
      <c r="AP118">
        <v>0</v>
      </c>
      <c r="AQ118">
        <v>0</v>
      </c>
      <c r="AR118">
        <v>0</v>
      </c>
      <c r="AS118">
        <v>9.1106290672451212E-3</v>
      </c>
      <c r="AT118">
        <v>4.7722342733188729E-3</v>
      </c>
      <c r="AU118">
        <v>0</v>
      </c>
      <c r="AV118">
        <v>0</v>
      </c>
      <c r="AW118">
        <v>2.1691973969631241E-4</v>
      </c>
      <c r="AX118">
        <v>4.5553145336225606E-3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0.26030368763557477</v>
      </c>
      <c r="CB118">
        <v>0</v>
      </c>
    </row>
    <row r="119" spans="1:80" s="1" customFormat="1">
      <c r="A119">
        <v>118</v>
      </c>
      <c r="B119" t="s">
        <v>79</v>
      </c>
      <c r="C119" s="4" t="s">
        <v>170</v>
      </c>
      <c r="D119" s="4" t="s">
        <v>117</v>
      </c>
      <c r="E119" s="5">
        <v>39534</v>
      </c>
      <c r="F119" s="5">
        <v>39534</v>
      </c>
      <c r="G119">
        <v>803</v>
      </c>
      <c r="H119" s="4" t="s">
        <v>107</v>
      </c>
      <c r="I119" s="4" t="s">
        <v>108</v>
      </c>
      <c r="J119" s="4" t="str">
        <f t="shared" si="1"/>
        <v>u_con.c_con</v>
      </c>
      <c r="K119" s="5">
        <v>19</v>
      </c>
      <c r="L119">
        <v>1.325222680860309E-2</v>
      </c>
      <c r="M119">
        <v>0.10493156636975887</v>
      </c>
      <c r="N119">
        <v>0.14360199869650231</v>
      </c>
      <c r="O119">
        <v>0</v>
      </c>
      <c r="P119">
        <v>0</v>
      </c>
      <c r="Q119">
        <v>4.3449923962633075E-3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1.325222680860309E-2</v>
      </c>
      <c r="AF119">
        <v>0</v>
      </c>
      <c r="AG119">
        <v>0</v>
      </c>
      <c r="AH119">
        <v>0</v>
      </c>
      <c r="AI119">
        <v>0.14338474907668913</v>
      </c>
      <c r="AJ119">
        <v>0.22181186182924181</v>
      </c>
      <c r="AK119">
        <v>0</v>
      </c>
      <c r="AL119">
        <v>0</v>
      </c>
      <c r="AM119">
        <v>0</v>
      </c>
      <c r="AN119">
        <v>5.2139908755159696E-3</v>
      </c>
      <c r="AO119">
        <v>0</v>
      </c>
      <c r="AP119">
        <v>0</v>
      </c>
      <c r="AQ119">
        <v>0</v>
      </c>
      <c r="AR119">
        <v>0</v>
      </c>
      <c r="AS119">
        <v>1.368672604822942E-2</v>
      </c>
      <c r="AT119">
        <v>1.0210732131218774E-2</v>
      </c>
      <c r="AU119">
        <v>0</v>
      </c>
      <c r="AV119">
        <v>0</v>
      </c>
      <c r="AW119">
        <v>0</v>
      </c>
      <c r="AX119">
        <v>4.3449923962633074E-4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0.32587442971974806</v>
      </c>
      <c r="CB119">
        <v>0</v>
      </c>
    </row>
    <row r="120" spans="1:80">
      <c r="A120">
        <v>119</v>
      </c>
      <c r="B120" t="s">
        <v>80</v>
      </c>
      <c r="C120" s="4" t="s">
        <v>170</v>
      </c>
      <c r="D120" s="4" t="s">
        <v>117</v>
      </c>
      <c r="E120" s="5">
        <v>39534</v>
      </c>
      <c r="F120" s="5">
        <v>39534</v>
      </c>
      <c r="G120">
        <v>803</v>
      </c>
      <c r="H120" s="4" t="s">
        <v>107</v>
      </c>
      <c r="I120" s="4" t="s">
        <v>109</v>
      </c>
      <c r="J120" s="4" t="str">
        <f t="shared" si="1"/>
        <v>u_con.c_rem</v>
      </c>
      <c r="K120" s="5">
        <v>2</v>
      </c>
      <c r="L120">
        <v>9.3002657218777696E-3</v>
      </c>
      <c r="M120">
        <v>0.15987599645704165</v>
      </c>
      <c r="N120">
        <v>0.3412311780336581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0.10628875110717452</v>
      </c>
      <c r="AJ120">
        <v>0.26151461470327725</v>
      </c>
      <c r="AK120">
        <v>0</v>
      </c>
      <c r="AL120">
        <v>0</v>
      </c>
      <c r="AM120">
        <v>0</v>
      </c>
      <c r="AN120">
        <v>4.4286979627989378E-4</v>
      </c>
      <c r="AO120">
        <v>0</v>
      </c>
      <c r="AP120">
        <v>0</v>
      </c>
      <c r="AQ120">
        <v>0</v>
      </c>
      <c r="AR120">
        <v>0</v>
      </c>
      <c r="AS120">
        <v>4.8715677590788322E-3</v>
      </c>
      <c r="AT120">
        <v>1.0186005314437557E-2</v>
      </c>
      <c r="AU120">
        <v>0</v>
      </c>
      <c r="AV120">
        <v>0</v>
      </c>
      <c r="AW120">
        <v>0</v>
      </c>
      <c r="AX120">
        <v>4.4286979627989375E-3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0.10186005314437557</v>
      </c>
      <c r="CB120">
        <v>0</v>
      </c>
    </row>
    <row r="121" spans="1:80">
      <c r="A121">
        <v>120</v>
      </c>
      <c r="B121" t="s">
        <v>81</v>
      </c>
      <c r="C121" s="4" t="s">
        <v>170</v>
      </c>
      <c r="D121" s="4" t="s">
        <v>117</v>
      </c>
      <c r="E121" s="5">
        <v>39534</v>
      </c>
      <c r="F121" s="5">
        <v>39534</v>
      </c>
      <c r="G121">
        <v>803</v>
      </c>
      <c r="H121" s="4" t="s">
        <v>107</v>
      </c>
      <c r="I121" s="4" t="s">
        <v>108</v>
      </c>
      <c r="J121" s="4" t="str">
        <f t="shared" si="1"/>
        <v>u_con.c_con</v>
      </c>
      <c r="K121" s="5">
        <v>19</v>
      </c>
      <c r="L121">
        <v>2.0383204239706482E-2</v>
      </c>
      <c r="M121">
        <v>2.1402364451691806E-2</v>
      </c>
      <c r="N121">
        <v>0.17977986139421112</v>
      </c>
      <c r="O121">
        <v>0</v>
      </c>
      <c r="P121">
        <v>0</v>
      </c>
      <c r="Q121">
        <v>2.0383204239706482E-4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2.0587036282103545E-2</v>
      </c>
      <c r="AF121">
        <v>0</v>
      </c>
      <c r="AG121">
        <v>0</v>
      </c>
      <c r="AH121">
        <v>0</v>
      </c>
      <c r="AI121">
        <v>9.417040358744394E-2</v>
      </c>
      <c r="AJ121">
        <v>0.3059518956379943</v>
      </c>
      <c r="AK121">
        <v>0</v>
      </c>
      <c r="AL121">
        <v>0</v>
      </c>
      <c r="AM121">
        <v>0</v>
      </c>
      <c r="AN121">
        <v>6.1149612719119443E-4</v>
      </c>
      <c r="AO121">
        <v>0</v>
      </c>
      <c r="AP121">
        <v>0</v>
      </c>
      <c r="AQ121">
        <v>0</v>
      </c>
      <c r="AR121">
        <v>0</v>
      </c>
      <c r="AS121">
        <v>8.7647778230737876E-3</v>
      </c>
      <c r="AT121">
        <v>9.3762739502649822E-3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4.0766408479412964E-4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0.32613126783530366</v>
      </c>
      <c r="CB121">
        <v>1.2229922543823891E-2</v>
      </c>
    </row>
    <row r="122" spans="1:80" s="1" customFormat="1">
      <c r="A122">
        <v>121</v>
      </c>
      <c r="B122" t="s">
        <v>82</v>
      </c>
      <c r="C122" s="4" t="s">
        <v>171</v>
      </c>
      <c r="D122" s="4" t="s">
        <v>118</v>
      </c>
      <c r="E122" s="5">
        <v>39534</v>
      </c>
      <c r="F122" s="5">
        <v>39534</v>
      </c>
      <c r="G122">
        <v>803</v>
      </c>
      <c r="H122" s="4" t="s">
        <v>110</v>
      </c>
      <c r="I122" s="4" t="s">
        <v>109</v>
      </c>
      <c r="J122" s="4" t="str">
        <f t="shared" si="1"/>
        <v>u_rem.c_rem</v>
      </c>
      <c r="K122" s="5">
        <v>1</v>
      </c>
      <c r="L122" s="1">
        <v>1.0615711252653929E-2</v>
      </c>
      <c r="M122" s="1">
        <v>0.20169851380042464</v>
      </c>
      <c r="N122" s="1">
        <v>4.7770700636942671E-2</v>
      </c>
      <c r="O122" s="1">
        <v>6.3694267515923567E-2</v>
      </c>
      <c r="P122" s="1">
        <v>0</v>
      </c>
      <c r="Q122" s="1">
        <v>0</v>
      </c>
      <c r="R122" s="1">
        <v>0</v>
      </c>
      <c r="S122" s="1">
        <v>0</v>
      </c>
      <c r="T122" s="1">
        <v>3.7154989384288746E-2</v>
      </c>
      <c r="U122" s="1">
        <v>0</v>
      </c>
      <c r="V122" s="1">
        <v>0</v>
      </c>
      <c r="W122" s="1">
        <v>0</v>
      </c>
      <c r="X122" s="1">
        <v>0</v>
      </c>
      <c r="Y122" s="1">
        <v>4.7770700636942678E-2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1.0615711252653929E-2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3.3174097664543524E-2</v>
      </c>
      <c r="AO122" s="1">
        <v>0</v>
      </c>
      <c r="AP122" s="1">
        <v>0</v>
      </c>
      <c r="AQ122" s="1">
        <v>2.1231422505307858E-2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5.3078556263269645E-3</v>
      </c>
      <c r="AY122" s="1">
        <v>0</v>
      </c>
      <c r="AZ122" s="1">
        <v>0</v>
      </c>
      <c r="BA122" s="1">
        <v>0.11703821656050958</v>
      </c>
      <c r="BB122" s="1">
        <v>0.31847133757961776</v>
      </c>
      <c r="BC122" s="1">
        <v>0</v>
      </c>
      <c r="BD122" s="1">
        <v>0</v>
      </c>
      <c r="BE122" s="1">
        <v>5.3609341825902337E-2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3.184713375796179E-2</v>
      </c>
      <c r="CB122" s="1">
        <v>0</v>
      </c>
    </row>
    <row r="123" spans="1:80" s="1" customFormat="1">
      <c r="A123">
        <v>122</v>
      </c>
      <c r="B123" t="s">
        <v>83</v>
      </c>
      <c r="C123" s="4" t="s">
        <v>171</v>
      </c>
      <c r="D123" s="4" t="s">
        <v>118</v>
      </c>
      <c r="E123" s="5">
        <v>39534</v>
      </c>
      <c r="F123" s="5">
        <v>39534</v>
      </c>
      <c r="G123">
        <v>803</v>
      </c>
      <c r="H123" s="4" t="s">
        <v>110</v>
      </c>
      <c r="I123" s="4" t="s">
        <v>108</v>
      </c>
      <c r="J123" s="4" t="str">
        <f t="shared" si="1"/>
        <v>u_rem.c_con</v>
      </c>
      <c r="K123" s="5">
        <v>8</v>
      </c>
      <c r="L123">
        <v>0</v>
      </c>
      <c r="M123">
        <v>0.21334723670490086</v>
      </c>
      <c r="N123">
        <v>4.5881126173096975E-2</v>
      </c>
      <c r="O123">
        <v>0</v>
      </c>
      <c r="P123">
        <v>0</v>
      </c>
      <c r="Q123">
        <v>6.2565172054223142E-2</v>
      </c>
      <c r="R123">
        <v>4.1918665276329516E-2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4.3795620437956208E-3</v>
      </c>
      <c r="AJ123">
        <v>0</v>
      </c>
      <c r="AK123">
        <v>0</v>
      </c>
      <c r="AL123">
        <v>8.3420229405630868E-3</v>
      </c>
      <c r="AM123">
        <v>0</v>
      </c>
      <c r="AN123">
        <v>8.5505735140771633E-3</v>
      </c>
      <c r="AO123">
        <v>0</v>
      </c>
      <c r="AP123">
        <v>0</v>
      </c>
      <c r="AQ123">
        <v>2.9197080291970798E-2</v>
      </c>
      <c r="AR123">
        <v>0</v>
      </c>
      <c r="AS123">
        <v>4.3795620437956208E-3</v>
      </c>
      <c r="AT123">
        <v>0</v>
      </c>
      <c r="AU123">
        <v>0</v>
      </c>
      <c r="AV123">
        <v>0</v>
      </c>
      <c r="AW123">
        <v>0</v>
      </c>
      <c r="AX123">
        <v>8.3420229405630868E-3</v>
      </c>
      <c r="AY123">
        <v>0</v>
      </c>
      <c r="AZ123">
        <v>0</v>
      </c>
      <c r="BA123">
        <v>8.3837330552659045E-2</v>
      </c>
      <c r="BB123">
        <v>0.37122002085505729</v>
      </c>
      <c r="BC123">
        <v>0</v>
      </c>
      <c r="BD123">
        <v>0</v>
      </c>
      <c r="BE123">
        <v>5.0052137643378522E-3</v>
      </c>
      <c r="BF123">
        <v>4.1710114702815434E-3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4.1710114702815432E-4</v>
      </c>
      <c r="BO123">
        <v>0</v>
      </c>
      <c r="BP123">
        <v>4.1710114702815434E-3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0.10427528675703859</v>
      </c>
      <c r="CB123">
        <v>0</v>
      </c>
    </row>
    <row r="124" spans="1:80">
      <c r="A124">
        <v>123</v>
      </c>
      <c r="B124" t="s">
        <v>84</v>
      </c>
      <c r="C124" s="4" t="s">
        <v>171</v>
      </c>
      <c r="D124" s="4" t="s">
        <v>118</v>
      </c>
      <c r="E124" s="5">
        <v>39534</v>
      </c>
      <c r="F124" s="5">
        <v>39534</v>
      </c>
      <c r="G124">
        <v>803</v>
      </c>
      <c r="H124" s="4" t="s">
        <v>110</v>
      </c>
      <c r="I124" s="4" t="s">
        <v>109</v>
      </c>
      <c r="J124" s="4" t="str">
        <f t="shared" si="1"/>
        <v>u_rem.c_rem</v>
      </c>
      <c r="K124" s="5">
        <v>1</v>
      </c>
      <c r="L124" s="1">
        <v>4.8019207683073243E-3</v>
      </c>
      <c r="M124" s="1">
        <v>0.13949579831932776</v>
      </c>
      <c r="N124" s="1">
        <v>8.1632653061224525E-2</v>
      </c>
      <c r="O124" s="1">
        <v>5.282112845138056E-2</v>
      </c>
      <c r="P124" s="1">
        <v>0</v>
      </c>
      <c r="Q124" s="1">
        <v>9.6038415366146487E-3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0.1200480192076831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9.6038415366146487E-3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4.8019207683073243E-3</v>
      </c>
      <c r="AM124" s="1">
        <v>0</v>
      </c>
      <c r="AN124" s="1">
        <v>1.5366146458583439E-2</v>
      </c>
      <c r="AO124" s="1">
        <v>0</v>
      </c>
      <c r="AP124" s="1">
        <v>0</v>
      </c>
      <c r="AQ124" s="1">
        <v>2.4009603841536619E-2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9.6038415366146487E-3</v>
      </c>
      <c r="AY124" s="1">
        <v>0</v>
      </c>
      <c r="AZ124" s="1">
        <v>0</v>
      </c>
      <c r="BA124" s="1">
        <v>0.13445378151260509</v>
      </c>
      <c r="BB124" s="1">
        <v>0.1968787515006003</v>
      </c>
      <c r="BC124" s="1">
        <v>0</v>
      </c>
      <c r="BD124" s="1">
        <v>0</v>
      </c>
      <c r="BE124" s="1">
        <v>0.13445378151260509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4.8019207683073243E-3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5.7623049219687895E-2</v>
      </c>
      <c r="CB124" s="1">
        <v>0</v>
      </c>
    </row>
    <row r="125" spans="1:80">
      <c r="A125">
        <v>124</v>
      </c>
      <c r="B125" t="s">
        <v>85</v>
      </c>
      <c r="C125" s="4" t="s">
        <v>171</v>
      </c>
      <c r="D125" s="4" t="s">
        <v>118</v>
      </c>
      <c r="E125" s="5">
        <v>39534</v>
      </c>
      <c r="F125" s="5">
        <v>39534</v>
      </c>
      <c r="G125">
        <v>803</v>
      </c>
      <c r="H125" s="4" t="s">
        <v>110</v>
      </c>
      <c r="I125" s="4" t="s">
        <v>108</v>
      </c>
      <c r="J125" s="4" t="str">
        <f t="shared" si="1"/>
        <v>u_rem.c_con</v>
      </c>
      <c r="K125" s="5">
        <v>8</v>
      </c>
      <c r="L125">
        <v>5.132782860968535E-3</v>
      </c>
      <c r="M125">
        <v>0.19660790002231643</v>
      </c>
      <c r="N125">
        <v>3.5706315554563717E-2</v>
      </c>
      <c r="O125">
        <v>0</v>
      </c>
      <c r="P125">
        <v>0</v>
      </c>
      <c r="Q125">
        <v>0.13858513724615043</v>
      </c>
      <c r="R125">
        <v>0</v>
      </c>
      <c r="S125">
        <v>0</v>
      </c>
      <c r="T125">
        <v>1.3389868332961396E-2</v>
      </c>
      <c r="U125">
        <v>0</v>
      </c>
      <c r="V125">
        <v>0</v>
      </c>
      <c r="W125">
        <v>0</v>
      </c>
      <c r="X125">
        <v>2.2316447221602324E-4</v>
      </c>
      <c r="Y125">
        <v>0</v>
      </c>
      <c r="Z125">
        <v>4.4632894443204646E-3</v>
      </c>
      <c r="AA125">
        <v>0</v>
      </c>
      <c r="AB125">
        <v>0</v>
      </c>
      <c r="AC125">
        <v>0</v>
      </c>
      <c r="AD125">
        <v>0</v>
      </c>
      <c r="AE125">
        <v>1.8745815666145953E-2</v>
      </c>
      <c r="AF125">
        <v>0</v>
      </c>
      <c r="AG125">
        <v>0</v>
      </c>
      <c r="AH125">
        <v>0</v>
      </c>
      <c r="AI125">
        <v>4.6864539165364883E-3</v>
      </c>
      <c r="AJ125">
        <v>0</v>
      </c>
      <c r="AK125">
        <v>0</v>
      </c>
      <c r="AL125">
        <v>0</v>
      </c>
      <c r="AM125">
        <v>0</v>
      </c>
      <c r="AN125">
        <v>4.6864539165364883E-3</v>
      </c>
      <c r="AO125">
        <v>0</v>
      </c>
      <c r="AP125">
        <v>0</v>
      </c>
      <c r="AQ125">
        <v>3.5706315554563717E-2</v>
      </c>
      <c r="AR125">
        <v>0</v>
      </c>
      <c r="AS125">
        <v>9.5960723052889996E-3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9.8192367775050242E-3</v>
      </c>
      <c r="BB125">
        <v>0</v>
      </c>
      <c r="BC125">
        <v>0</v>
      </c>
      <c r="BD125">
        <v>0</v>
      </c>
      <c r="BE125">
        <v>1.8076322249497883E-2</v>
      </c>
      <c r="BF125">
        <v>4.4632894443204646E-3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8.9265788886409292E-3</v>
      </c>
      <c r="BX125">
        <v>0</v>
      </c>
      <c r="BY125">
        <v>0</v>
      </c>
      <c r="BZ125">
        <v>0</v>
      </c>
      <c r="CA125">
        <v>0.47310868109796916</v>
      </c>
      <c r="CB125">
        <v>1.8076322249497883E-2</v>
      </c>
    </row>
    <row r="126" spans="1:80">
      <c r="A126">
        <v>125</v>
      </c>
      <c r="B126" t="s">
        <v>86</v>
      </c>
      <c r="C126" s="4" t="s">
        <v>172</v>
      </c>
      <c r="D126" s="4" t="s">
        <v>118</v>
      </c>
      <c r="E126" s="5">
        <v>39534</v>
      </c>
      <c r="F126" s="5">
        <v>39534</v>
      </c>
      <c r="G126">
        <v>803</v>
      </c>
      <c r="H126" s="4" t="s">
        <v>107</v>
      </c>
      <c r="I126" s="4" t="s">
        <v>108</v>
      </c>
      <c r="J126" s="4" t="str">
        <f t="shared" si="1"/>
        <v>u_con.c_con</v>
      </c>
      <c r="K126" s="5">
        <v>19</v>
      </c>
      <c r="L126">
        <v>0</v>
      </c>
      <c r="M126">
        <v>7.8417924096936459E-2</v>
      </c>
      <c r="N126">
        <v>2.3776863283036121E-2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2.2862368541380886E-4</v>
      </c>
      <c r="Y126">
        <v>4.5724737082761771E-2</v>
      </c>
      <c r="Z126">
        <v>0</v>
      </c>
      <c r="AA126">
        <v>0</v>
      </c>
      <c r="AB126">
        <v>0</v>
      </c>
      <c r="AC126">
        <v>9.1449474165523556E-3</v>
      </c>
      <c r="AD126">
        <v>0</v>
      </c>
      <c r="AE126">
        <v>1.4174668495656151E-2</v>
      </c>
      <c r="AF126">
        <v>0</v>
      </c>
      <c r="AG126">
        <v>0</v>
      </c>
      <c r="AH126">
        <v>6.8587105624142656E-4</v>
      </c>
      <c r="AI126">
        <v>0</v>
      </c>
      <c r="AJ126">
        <v>2.2862368541380886E-4</v>
      </c>
      <c r="AK126">
        <v>0</v>
      </c>
      <c r="AL126">
        <v>0</v>
      </c>
      <c r="AM126">
        <v>0</v>
      </c>
      <c r="AN126">
        <v>5.2583447645176045E-3</v>
      </c>
      <c r="AO126">
        <v>0</v>
      </c>
      <c r="AP126">
        <v>0</v>
      </c>
      <c r="AQ126">
        <v>0</v>
      </c>
      <c r="AR126">
        <v>0</v>
      </c>
      <c r="AS126">
        <v>4.1838134430727016E-2</v>
      </c>
      <c r="AT126">
        <v>6.8587105624142656E-4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0.15112025605852769</v>
      </c>
      <c r="BB126">
        <v>6.4471879286694109E-2</v>
      </c>
      <c r="BC126">
        <v>0</v>
      </c>
      <c r="BD126">
        <v>0</v>
      </c>
      <c r="BE126">
        <v>0.11934156378600824</v>
      </c>
      <c r="BF126">
        <v>6.8587105624142656E-4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5.0297210791037956E-3</v>
      </c>
      <c r="BO126">
        <v>0</v>
      </c>
      <c r="BP126">
        <v>2.2862368541380886E-4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0.43895747599451301</v>
      </c>
      <c r="CB126">
        <v>0</v>
      </c>
    </row>
    <row r="127" spans="1:80" s="1" customFormat="1">
      <c r="A127">
        <v>126</v>
      </c>
      <c r="B127" t="s">
        <v>87</v>
      </c>
      <c r="C127" s="4" t="s">
        <v>172</v>
      </c>
      <c r="D127" s="4" t="s">
        <v>118</v>
      </c>
      <c r="E127" s="5">
        <v>39534</v>
      </c>
      <c r="F127" s="5">
        <v>39534</v>
      </c>
      <c r="G127">
        <v>803</v>
      </c>
      <c r="H127" s="4" t="s">
        <v>107</v>
      </c>
      <c r="I127" s="4" t="s">
        <v>109</v>
      </c>
      <c r="J127" s="4" t="str">
        <f t="shared" si="1"/>
        <v>u_con.c_rem</v>
      </c>
      <c r="K127" s="5">
        <v>2</v>
      </c>
      <c r="L127">
        <v>1.0101010101010102E-2</v>
      </c>
      <c r="M127">
        <v>5.1767676767676761E-2</v>
      </c>
      <c r="N127">
        <v>0.1217171717171717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1.515151515151515E-2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0.14141414141414141</v>
      </c>
      <c r="AF127">
        <v>0</v>
      </c>
      <c r="AG127">
        <v>0</v>
      </c>
      <c r="AH127">
        <v>0</v>
      </c>
      <c r="AI127">
        <v>2.0202020202020204E-2</v>
      </c>
      <c r="AJ127">
        <v>0</v>
      </c>
      <c r="AK127">
        <v>0</v>
      </c>
      <c r="AL127">
        <v>0</v>
      </c>
      <c r="AM127">
        <v>0.11161616161616161</v>
      </c>
      <c r="AN127">
        <v>1.5151515151515154E-2</v>
      </c>
      <c r="AO127">
        <v>0</v>
      </c>
      <c r="AP127">
        <v>0</v>
      </c>
      <c r="AQ127">
        <v>0</v>
      </c>
      <c r="AR127">
        <v>0</v>
      </c>
      <c r="AS127">
        <v>3.1060606060606059E-2</v>
      </c>
      <c r="AT127">
        <v>0</v>
      </c>
      <c r="AU127">
        <v>5.0505050505050509E-3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0.21237373737373738</v>
      </c>
      <c r="BB127">
        <v>5.0505050505050497E-2</v>
      </c>
      <c r="BC127">
        <v>0</v>
      </c>
      <c r="BD127">
        <v>0</v>
      </c>
      <c r="BE127">
        <v>1.565656565656566E-2</v>
      </c>
      <c r="BF127">
        <v>2.5757575757575757E-2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1.565656565656566E-2</v>
      </c>
      <c r="BO127">
        <v>1.0353535353535354E-2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0.14646464646464646</v>
      </c>
      <c r="CB127">
        <v>0</v>
      </c>
    </row>
    <row r="128" spans="1:80">
      <c r="A128">
        <v>127</v>
      </c>
      <c r="B128" t="s">
        <v>88</v>
      </c>
      <c r="C128" s="4" t="s">
        <v>172</v>
      </c>
      <c r="D128" s="4" t="s">
        <v>118</v>
      </c>
      <c r="E128" s="5">
        <v>39534</v>
      </c>
      <c r="F128" s="5">
        <v>39534</v>
      </c>
      <c r="G128">
        <v>803</v>
      </c>
      <c r="H128" s="4" t="s">
        <v>107</v>
      </c>
      <c r="I128" s="4" t="s">
        <v>109</v>
      </c>
      <c r="J128" s="4" t="str">
        <f t="shared" si="1"/>
        <v>u_con.c_rem</v>
      </c>
      <c r="K128" s="5">
        <v>2</v>
      </c>
      <c r="L128">
        <v>0</v>
      </c>
      <c r="M128">
        <v>3.9139888862043982E-2</v>
      </c>
      <c r="N128">
        <v>6.7649190625755015E-2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0.10630587098332933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4.3971973906740763E-2</v>
      </c>
      <c r="AF128">
        <v>0</v>
      </c>
      <c r="AG128">
        <v>0</v>
      </c>
      <c r="AH128">
        <v>0</v>
      </c>
      <c r="AI128">
        <v>2.4402029475718776E-2</v>
      </c>
      <c r="AJ128">
        <v>0</v>
      </c>
      <c r="AK128">
        <v>0</v>
      </c>
      <c r="AL128">
        <v>0</v>
      </c>
      <c r="AM128">
        <v>9.2051220101473832E-2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1.4979463638560044E-2</v>
      </c>
      <c r="AT128">
        <v>2.4160425223483938E-4</v>
      </c>
      <c r="AU128">
        <v>9.6641700893935756E-3</v>
      </c>
      <c r="AV128">
        <v>2.4160425223483938E-4</v>
      </c>
      <c r="AW128">
        <v>0</v>
      </c>
      <c r="AX128">
        <v>0</v>
      </c>
      <c r="AY128">
        <v>0</v>
      </c>
      <c r="AZ128">
        <v>0</v>
      </c>
      <c r="BA128">
        <v>0.26189900942256583</v>
      </c>
      <c r="BB128">
        <v>0.10630587098332933</v>
      </c>
      <c r="BC128">
        <v>0</v>
      </c>
      <c r="BD128">
        <v>0</v>
      </c>
      <c r="BE128">
        <v>5.3636143996134346E-2</v>
      </c>
      <c r="BF128">
        <v>1.4979463638560044E-2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1.4737859386325203E-2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0.14979463638560042</v>
      </c>
      <c r="CB128">
        <v>0</v>
      </c>
    </row>
    <row r="129" spans="1:80">
      <c r="A129">
        <v>128</v>
      </c>
      <c r="B129" t="s">
        <v>89</v>
      </c>
      <c r="C129" s="4" t="s">
        <v>172</v>
      </c>
      <c r="D129" s="4" t="s">
        <v>118</v>
      </c>
      <c r="E129" s="5">
        <v>39534</v>
      </c>
      <c r="F129" s="5">
        <v>39534</v>
      </c>
      <c r="G129">
        <v>803</v>
      </c>
      <c r="H129" s="4" t="s">
        <v>107</v>
      </c>
      <c r="I129" s="4" t="s">
        <v>108</v>
      </c>
      <c r="J129" s="4" t="str">
        <f t="shared" si="1"/>
        <v>u_con.c_con</v>
      </c>
      <c r="K129" s="5">
        <v>19</v>
      </c>
      <c r="L129">
        <v>0</v>
      </c>
      <c r="M129">
        <v>9.4079853143643876E-3</v>
      </c>
      <c r="N129">
        <v>2.409362092703075E-2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6.4249655805415321E-2</v>
      </c>
      <c r="AF129">
        <v>0</v>
      </c>
      <c r="AG129">
        <v>0</v>
      </c>
      <c r="AH129">
        <v>0</v>
      </c>
      <c r="AI129">
        <v>2.3175768701239101E-2</v>
      </c>
      <c r="AJ129">
        <v>0</v>
      </c>
      <c r="AK129">
        <v>0</v>
      </c>
      <c r="AL129">
        <v>1.8357044515832952E-2</v>
      </c>
      <c r="AM129">
        <v>9.2244148692060587E-2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2.7535566773749427E-2</v>
      </c>
      <c r="AT129">
        <v>0</v>
      </c>
      <c r="AU129">
        <v>0</v>
      </c>
      <c r="AV129">
        <v>0</v>
      </c>
      <c r="AW129">
        <v>4.589261128958238E-3</v>
      </c>
      <c r="AX129">
        <v>4.589261128958238E-3</v>
      </c>
      <c r="AY129">
        <v>0</v>
      </c>
      <c r="AZ129">
        <v>0</v>
      </c>
      <c r="BA129">
        <v>0.25263882514915093</v>
      </c>
      <c r="BB129">
        <v>6.4708581918311164E-2</v>
      </c>
      <c r="BC129">
        <v>0</v>
      </c>
      <c r="BD129">
        <v>0</v>
      </c>
      <c r="BE129">
        <v>0.13354749885268474</v>
      </c>
      <c r="BF129">
        <v>9.8669114272602124E-3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0.2709958696649839</v>
      </c>
      <c r="CB129">
        <v>0</v>
      </c>
    </row>
    <row r="130" spans="1:80">
      <c r="A130">
        <v>129</v>
      </c>
      <c r="B130" t="s">
        <v>90</v>
      </c>
      <c r="C130" s="4" t="s">
        <v>173</v>
      </c>
      <c r="D130" s="4" t="s">
        <v>118</v>
      </c>
      <c r="E130" s="5">
        <v>39534</v>
      </c>
      <c r="F130" s="5">
        <v>39534</v>
      </c>
      <c r="G130">
        <v>803</v>
      </c>
      <c r="H130" s="4" t="s">
        <v>107</v>
      </c>
      <c r="I130" s="4" t="s">
        <v>108</v>
      </c>
      <c r="J130" s="4" t="str">
        <f t="shared" ref="J130:J193" si="2">CONCATENATE(H130,".",I130)</f>
        <v>u_con.c_con</v>
      </c>
      <c r="K130" s="5">
        <v>19</v>
      </c>
      <c r="L130">
        <v>0</v>
      </c>
      <c r="M130">
        <v>3.1256830601092897E-2</v>
      </c>
      <c r="N130">
        <v>0.21005464480874314</v>
      </c>
      <c r="O130">
        <v>2.6229508196721315E-2</v>
      </c>
      <c r="P130">
        <v>0</v>
      </c>
      <c r="Q130">
        <v>3.0601092896174867E-2</v>
      </c>
      <c r="R130">
        <v>2.1857923497267763E-2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3.9562841530054647E-2</v>
      </c>
      <c r="AF130">
        <v>0</v>
      </c>
      <c r="AG130">
        <v>0</v>
      </c>
      <c r="AH130">
        <v>0</v>
      </c>
      <c r="AI130">
        <v>1.3333333333333338E-2</v>
      </c>
      <c r="AJ130">
        <v>0</v>
      </c>
      <c r="AK130">
        <v>0</v>
      </c>
      <c r="AL130">
        <v>0</v>
      </c>
      <c r="AM130">
        <v>0</v>
      </c>
      <c r="AN130">
        <v>4.3715846994535528E-3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4.3715846994535528E-3</v>
      </c>
      <c r="AU130">
        <v>0</v>
      </c>
      <c r="AV130">
        <v>0</v>
      </c>
      <c r="AW130">
        <v>0</v>
      </c>
      <c r="AX130">
        <v>9.1803278688524607E-3</v>
      </c>
      <c r="AY130">
        <v>0</v>
      </c>
      <c r="AZ130">
        <v>0</v>
      </c>
      <c r="BA130">
        <v>0.20568306010928961</v>
      </c>
      <c r="BB130">
        <v>0.13989071038251372</v>
      </c>
      <c r="BC130">
        <v>0</v>
      </c>
      <c r="BD130">
        <v>0</v>
      </c>
      <c r="BE130">
        <v>2.2513661202185797E-2</v>
      </c>
      <c r="BF130">
        <v>4.3715846994535525E-4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2.1857923497267762E-4</v>
      </c>
      <c r="BO130">
        <v>4.3715846994535528E-3</v>
      </c>
      <c r="BP130">
        <v>8.7431693989071056E-3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0.22732240437158466</v>
      </c>
      <c r="CB130">
        <v>0</v>
      </c>
    </row>
    <row r="131" spans="1:80">
      <c r="A131">
        <v>130</v>
      </c>
      <c r="B131" t="s">
        <v>91</v>
      </c>
      <c r="C131" s="4" t="s">
        <v>173</v>
      </c>
      <c r="D131" s="4" t="s">
        <v>118</v>
      </c>
      <c r="E131" s="5">
        <v>39534</v>
      </c>
      <c r="F131" s="5">
        <v>39534</v>
      </c>
      <c r="G131">
        <v>803</v>
      </c>
      <c r="H131" s="4" t="s">
        <v>107</v>
      </c>
      <c r="I131" s="4" t="s">
        <v>109</v>
      </c>
      <c r="J131" s="4" t="str">
        <f t="shared" si="2"/>
        <v>u_con.c_rem</v>
      </c>
      <c r="K131" s="5">
        <v>2</v>
      </c>
      <c r="L131">
        <v>2.1853146853146856E-4</v>
      </c>
      <c r="M131">
        <v>0.14903846153846154</v>
      </c>
      <c r="N131">
        <v>8.7849650349650366E-2</v>
      </c>
      <c r="O131">
        <v>0</v>
      </c>
      <c r="P131">
        <v>0</v>
      </c>
      <c r="Q131">
        <v>3.9335664335664336E-2</v>
      </c>
      <c r="R131">
        <v>0.1048951048951049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4.370629370629371E-3</v>
      </c>
      <c r="AJ131">
        <v>0</v>
      </c>
      <c r="AK131">
        <v>0</v>
      </c>
      <c r="AL131">
        <v>0</v>
      </c>
      <c r="AM131">
        <v>0</v>
      </c>
      <c r="AN131">
        <v>4.807692307692308E-3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4.370629370629371E-3</v>
      </c>
      <c r="AU131">
        <v>0</v>
      </c>
      <c r="AV131">
        <v>0</v>
      </c>
      <c r="AW131">
        <v>0</v>
      </c>
      <c r="AX131">
        <v>4.370629370629371E-3</v>
      </c>
      <c r="AY131">
        <v>0</v>
      </c>
      <c r="AZ131">
        <v>0</v>
      </c>
      <c r="BA131">
        <v>7.4737762237762254E-2</v>
      </c>
      <c r="BB131">
        <v>6.5559440559440574E-2</v>
      </c>
      <c r="BC131">
        <v>0</v>
      </c>
      <c r="BD131">
        <v>0</v>
      </c>
      <c r="BE131">
        <v>7.0148601398601407E-2</v>
      </c>
      <c r="BF131">
        <v>2.2290209790209792E-2</v>
      </c>
      <c r="BG131">
        <v>0</v>
      </c>
      <c r="BH131">
        <v>0</v>
      </c>
      <c r="BI131">
        <v>0</v>
      </c>
      <c r="BJ131">
        <v>0</v>
      </c>
      <c r="BK131">
        <v>8.7412587412587419E-3</v>
      </c>
      <c r="BL131">
        <v>0</v>
      </c>
      <c r="BM131">
        <v>0</v>
      </c>
      <c r="BN131">
        <v>1.3767482517482521E-2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4.370629370629371E-3</v>
      </c>
      <c r="CA131">
        <v>0.34090909090909088</v>
      </c>
      <c r="CB131">
        <v>0</v>
      </c>
    </row>
    <row r="132" spans="1:80">
      <c r="A132">
        <v>131</v>
      </c>
      <c r="B132" t="s">
        <v>92</v>
      </c>
      <c r="C132" s="4" t="s">
        <v>173</v>
      </c>
      <c r="D132" s="4" t="s">
        <v>118</v>
      </c>
      <c r="E132" s="5">
        <v>39534</v>
      </c>
      <c r="F132" s="5">
        <v>39534</v>
      </c>
      <c r="G132">
        <v>803</v>
      </c>
      <c r="H132" s="4" t="s">
        <v>107</v>
      </c>
      <c r="I132" s="4" t="s">
        <v>108</v>
      </c>
      <c r="J132" s="4" t="str">
        <f t="shared" si="2"/>
        <v>u_con.c_con</v>
      </c>
      <c r="K132" s="5">
        <v>19</v>
      </c>
      <c r="L132">
        <v>4.8030739673390974E-3</v>
      </c>
      <c r="M132">
        <v>3.5302593659942365E-2</v>
      </c>
      <c r="N132">
        <v>0.18251681075888571</v>
      </c>
      <c r="O132">
        <v>0</v>
      </c>
      <c r="P132">
        <v>0</v>
      </c>
      <c r="Q132">
        <v>2.425552353506244E-2</v>
      </c>
      <c r="R132">
        <v>4.8030739673390971E-2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2.4015369836695484E-4</v>
      </c>
      <c r="AF132">
        <v>0</v>
      </c>
      <c r="AG132">
        <v>0</v>
      </c>
      <c r="AH132">
        <v>0</v>
      </c>
      <c r="AI132">
        <v>1.9452449567723344E-2</v>
      </c>
      <c r="AJ132">
        <v>0</v>
      </c>
      <c r="AK132">
        <v>0</v>
      </c>
      <c r="AL132">
        <v>0</v>
      </c>
      <c r="AM132">
        <v>0</v>
      </c>
      <c r="AN132">
        <v>5.5235350624399616E-3</v>
      </c>
      <c r="AO132">
        <v>0</v>
      </c>
      <c r="AP132">
        <v>0</v>
      </c>
      <c r="AQ132">
        <v>0</v>
      </c>
      <c r="AR132">
        <v>0</v>
      </c>
      <c r="AS132">
        <v>9.6061479346781949E-3</v>
      </c>
      <c r="AT132">
        <v>5.0432276657060519E-3</v>
      </c>
      <c r="AU132">
        <v>0</v>
      </c>
      <c r="AV132">
        <v>0</v>
      </c>
      <c r="AW132">
        <v>0</v>
      </c>
      <c r="AX132">
        <v>9.6061479346781949E-3</v>
      </c>
      <c r="AY132">
        <v>0</v>
      </c>
      <c r="AZ132">
        <v>5.0432276657060519E-3</v>
      </c>
      <c r="BA132">
        <v>0.22094140249759844</v>
      </c>
      <c r="BB132">
        <v>4.3948126801152732E-2</v>
      </c>
      <c r="BC132">
        <v>0</v>
      </c>
      <c r="BD132">
        <v>0</v>
      </c>
      <c r="BE132">
        <v>8.6695485110470719E-2</v>
      </c>
      <c r="BF132">
        <v>5.7636887608069169E-3</v>
      </c>
      <c r="BG132">
        <v>0</v>
      </c>
      <c r="BH132">
        <v>0</v>
      </c>
      <c r="BI132">
        <v>0</v>
      </c>
      <c r="BJ132">
        <v>0</v>
      </c>
      <c r="BK132">
        <v>2.425552353506244E-2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0.26897214217098941</v>
      </c>
      <c r="CB132">
        <v>0</v>
      </c>
    </row>
    <row r="133" spans="1:80" s="1" customFormat="1">
      <c r="A133">
        <v>132</v>
      </c>
      <c r="B133" t="s">
        <v>93</v>
      </c>
      <c r="C133" s="4" t="s">
        <v>173</v>
      </c>
      <c r="D133" s="4" t="s">
        <v>118</v>
      </c>
      <c r="E133" s="5">
        <v>39534</v>
      </c>
      <c r="F133" s="5">
        <v>39534</v>
      </c>
      <c r="G133">
        <v>803</v>
      </c>
      <c r="H133" s="4" t="s">
        <v>107</v>
      </c>
      <c r="I133" s="4" t="s">
        <v>109</v>
      </c>
      <c r="J133" s="4" t="str">
        <f t="shared" si="2"/>
        <v>u_con.c_rem</v>
      </c>
      <c r="K133" s="5">
        <v>2</v>
      </c>
      <c r="L133">
        <v>4.4454323182929537E-3</v>
      </c>
      <c r="M133">
        <v>3.1340297843965324E-2</v>
      </c>
      <c r="N133">
        <v>0.12913980884641033</v>
      </c>
      <c r="O133">
        <v>0</v>
      </c>
      <c r="P133">
        <v>0</v>
      </c>
      <c r="Q133">
        <v>2.2227161591464768E-2</v>
      </c>
      <c r="R133">
        <v>6.6681484774394312E-2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2.2227161591464769E-4</v>
      </c>
      <c r="AA133">
        <v>0</v>
      </c>
      <c r="AB133">
        <v>0</v>
      </c>
      <c r="AC133">
        <v>0</v>
      </c>
      <c r="AD133">
        <v>0</v>
      </c>
      <c r="AE133">
        <v>4.4454323182929537E-3</v>
      </c>
      <c r="AF133">
        <v>0</v>
      </c>
      <c r="AG133">
        <v>0</v>
      </c>
      <c r="AH133">
        <v>2.2227161591464769E-4</v>
      </c>
      <c r="AI133">
        <v>4.6677039342076015E-3</v>
      </c>
      <c r="AJ133">
        <v>0</v>
      </c>
      <c r="AK133">
        <v>0</v>
      </c>
      <c r="AL133">
        <v>4.4454323182929537E-3</v>
      </c>
      <c r="AM133">
        <v>0</v>
      </c>
      <c r="AN133">
        <v>1.3558568570793511E-2</v>
      </c>
      <c r="AO133">
        <v>0</v>
      </c>
      <c r="AP133">
        <v>0</v>
      </c>
      <c r="AQ133">
        <v>0</v>
      </c>
      <c r="AR133">
        <v>0</v>
      </c>
      <c r="AS133">
        <v>1.8004000889086463E-2</v>
      </c>
      <c r="AT133">
        <v>2.2227161591464769E-4</v>
      </c>
      <c r="AU133">
        <v>0</v>
      </c>
      <c r="AV133">
        <v>0</v>
      </c>
      <c r="AW133">
        <v>4.4454323182929537E-3</v>
      </c>
      <c r="AX133">
        <v>4.4454323182929537E-3</v>
      </c>
      <c r="AY133">
        <v>0</v>
      </c>
      <c r="AZ133">
        <v>0</v>
      </c>
      <c r="BA133">
        <v>0.24472104912202702</v>
      </c>
      <c r="BB133">
        <v>9.846632585018894E-2</v>
      </c>
      <c r="BC133">
        <v>0</v>
      </c>
      <c r="BD133">
        <v>0</v>
      </c>
      <c r="BE133">
        <v>0.10713491887086021</v>
      </c>
      <c r="BF133">
        <v>5.1122471660368981E-3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4.8899755501222494E-3</v>
      </c>
      <c r="BO133">
        <v>4.4454323182929537E-3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0.22671704823294059</v>
      </c>
      <c r="CB133">
        <v>0</v>
      </c>
    </row>
    <row r="134" spans="1:80">
      <c r="A134">
        <v>133</v>
      </c>
      <c r="B134" t="s">
        <v>94</v>
      </c>
      <c r="C134" s="4" t="s">
        <v>174</v>
      </c>
      <c r="D134" s="4" t="s">
        <v>118</v>
      </c>
      <c r="E134" s="5">
        <v>39534</v>
      </c>
      <c r="F134" s="5">
        <v>39534</v>
      </c>
      <c r="G134">
        <v>803</v>
      </c>
      <c r="H134" s="4" t="s">
        <v>110</v>
      </c>
      <c r="I134" s="4" t="s">
        <v>108</v>
      </c>
      <c r="J134" s="4" t="str">
        <f t="shared" si="2"/>
        <v>u_rem.c_con</v>
      </c>
      <c r="K134" s="5">
        <v>8</v>
      </c>
      <c r="L134">
        <v>0</v>
      </c>
      <c r="M134">
        <v>6.3268499888218199E-2</v>
      </c>
      <c r="N134">
        <v>0.51866756092108213</v>
      </c>
      <c r="O134">
        <v>0</v>
      </c>
      <c r="P134">
        <v>0</v>
      </c>
      <c r="Q134">
        <v>1.7885088307623517E-2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5.3655264922870564E-3</v>
      </c>
      <c r="AI134">
        <v>1.3860943438408229E-2</v>
      </c>
      <c r="AJ134">
        <v>8.9425441538117587E-3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9.6132349653476421E-3</v>
      </c>
      <c r="AU134">
        <v>0</v>
      </c>
      <c r="AV134">
        <v>0</v>
      </c>
      <c r="AW134">
        <v>9.1661077576570531E-3</v>
      </c>
      <c r="AX134">
        <v>0</v>
      </c>
      <c r="AY134">
        <v>0</v>
      </c>
      <c r="AZ134">
        <v>4.4712720769058793E-3</v>
      </c>
      <c r="BA134">
        <v>0</v>
      </c>
      <c r="BB134">
        <v>0</v>
      </c>
      <c r="BC134">
        <v>0</v>
      </c>
      <c r="BD134">
        <v>0</v>
      </c>
      <c r="BE134">
        <v>4.4712720769058793E-3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0.33981667784484682</v>
      </c>
      <c r="CB134">
        <v>4.4712720769058793E-3</v>
      </c>
    </row>
    <row r="135" spans="1:80">
      <c r="A135">
        <v>134</v>
      </c>
      <c r="B135" t="s">
        <v>95</v>
      </c>
      <c r="C135" s="4" t="s">
        <v>174</v>
      </c>
      <c r="D135" s="4" t="s">
        <v>118</v>
      </c>
      <c r="E135" s="5">
        <v>39534</v>
      </c>
      <c r="F135" s="5">
        <v>39534</v>
      </c>
      <c r="G135">
        <v>803</v>
      </c>
      <c r="H135" s="4" t="s">
        <v>110</v>
      </c>
      <c r="I135" s="4" t="s">
        <v>109</v>
      </c>
      <c r="J135" s="4" t="str">
        <f t="shared" si="2"/>
        <v>u_rem.c_rem</v>
      </c>
      <c r="K135" s="5">
        <v>1</v>
      </c>
      <c r="L135" s="1">
        <v>3.8209606986899569E-2</v>
      </c>
      <c r="M135" s="1">
        <v>6.5502183406113537E-2</v>
      </c>
      <c r="N135" s="1">
        <v>0.17467248908296945</v>
      </c>
      <c r="O135" s="1">
        <v>1.0917030567685591E-2</v>
      </c>
      <c r="P135" s="1">
        <v>0</v>
      </c>
      <c r="Q135" s="1">
        <v>4.9126637554585149E-2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7.0960698689956331E-2</v>
      </c>
      <c r="Z135" s="1">
        <v>6.5502183406113537E-2</v>
      </c>
      <c r="AA135" s="1">
        <v>0</v>
      </c>
      <c r="AB135" s="1">
        <v>0</v>
      </c>
      <c r="AC135" s="1">
        <v>0</v>
      </c>
      <c r="AD135" s="1">
        <v>0</v>
      </c>
      <c r="AE135" s="1">
        <v>5.4585152838427953E-3</v>
      </c>
      <c r="AF135" s="1">
        <v>0</v>
      </c>
      <c r="AG135" s="1">
        <v>0</v>
      </c>
      <c r="AH135" s="1">
        <v>1.6375545851528388E-2</v>
      </c>
      <c r="AI135" s="1">
        <v>3.8209606986899562E-2</v>
      </c>
      <c r="AJ135" s="1">
        <v>0.18013100436681223</v>
      </c>
      <c r="AK135" s="1">
        <v>0</v>
      </c>
      <c r="AL135" s="1">
        <v>0</v>
      </c>
      <c r="AM135" s="1">
        <v>0</v>
      </c>
      <c r="AN135" s="1">
        <v>5.4585152838427945E-4</v>
      </c>
      <c r="AO135" s="1">
        <v>0</v>
      </c>
      <c r="AP135" s="1">
        <v>0</v>
      </c>
      <c r="AQ135" s="1">
        <v>0</v>
      </c>
      <c r="AR135" s="1">
        <v>0</v>
      </c>
      <c r="AS135" s="1">
        <v>2.2106986899563318E-2</v>
      </c>
      <c r="AT135" s="1">
        <v>2.7292576419213972E-4</v>
      </c>
      <c r="AU135" s="1">
        <v>0</v>
      </c>
      <c r="AV135" s="1">
        <v>0</v>
      </c>
      <c r="AW135" s="1">
        <v>1.6375545851528384E-2</v>
      </c>
      <c r="AX135" s="1">
        <v>5.4585152838427953E-3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0.24017467248908289</v>
      </c>
      <c r="CB135" s="1">
        <v>0</v>
      </c>
    </row>
    <row r="136" spans="1:80">
      <c r="A136">
        <v>135</v>
      </c>
      <c r="B136" t="s">
        <v>96</v>
      </c>
      <c r="C136" s="4" t="s">
        <v>174</v>
      </c>
      <c r="D136" s="4" t="s">
        <v>118</v>
      </c>
      <c r="E136" s="5">
        <v>39534</v>
      </c>
      <c r="F136" s="5">
        <v>39534</v>
      </c>
      <c r="G136">
        <v>803</v>
      </c>
      <c r="H136" s="4" t="s">
        <v>110</v>
      </c>
      <c r="I136" s="4" t="s">
        <v>109</v>
      </c>
      <c r="J136" s="4" t="str">
        <f t="shared" si="2"/>
        <v>u_rem.c_rem</v>
      </c>
      <c r="K136" s="5">
        <v>1</v>
      </c>
      <c r="L136" s="1">
        <v>5.0890585241730284E-3</v>
      </c>
      <c r="M136" s="1">
        <v>4.5801526717557252E-2</v>
      </c>
      <c r="N136" s="1">
        <v>0.47837150127226458</v>
      </c>
      <c r="O136" s="1">
        <v>5.0890585241730284E-3</v>
      </c>
      <c r="P136" s="1">
        <v>0</v>
      </c>
      <c r="Q136" s="1">
        <v>0</v>
      </c>
      <c r="R136" s="1">
        <v>0</v>
      </c>
      <c r="S136" s="1">
        <v>0</v>
      </c>
      <c r="T136" s="1">
        <v>2.0356234096692113E-2</v>
      </c>
      <c r="U136" s="1">
        <v>0</v>
      </c>
      <c r="V136" s="1">
        <v>0</v>
      </c>
      <c r="W136" s="1">
        <v>0</v>
      </c>
      <c r="X136" s="1">
        <v>0</v>
      </c>
      <c r="Y136" s="1">
        <v>2.5445292620865142E-2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1.0178117048346057E-2</v>
      </c>
      <c r="AF136" s="1">
        <v>0</v>
      </c>
      <c r="AG136" s="1">
        <v>0</v>
      </c>
      <c r="AH136" s="1">
        <v>1.5267175572519087E-2</v>
      </c>
      <c r="AI136" s="1">
        <v>3.053435114503817E-2</v>
      </c>
      <c r="AJ136" s="1">
        <v>0.23918575063613229</v>
      </c>
      <c r="AK136" s="1">
        <v>0</v>
      </c>
      <c r="AL136" s="1">
        <v>0</v>
      </c>
      <c r="AM136" s="1">
        <v>0</v>
      </c>
      <c r="AN136" s="1">
        <v>1.1450381679389315E-2</v>
      </c>
      <c r="AO136" s="1">
        <v>0</v>
      </c>
      <c r="AP136" s="1">
        <v>0</v>
      </c>
      <c r="AQ136" s="1">
        <v>0</v>
      </c>
      <c r="AR136" s="1">
        <v>0</v>
      </c>
      <c r="AS136" s="1">
        <v>3.078880407124682E-2</v>
      </c>
      <c r="AT136" s="1">
        <v>1.0941475826972013E-2</v>
      </c>
      <c r="AU136" s="1">
        <v>0</v>
      </c>
      <c r="AV136" s="1">
        <v>0</v>
      </c>
      <c r="AW136" s="1">
        <v>1.5267175572519087E-2</v>
      </c>
      <c r="AX136" s="1">
        <v>1.0432569974554709E-2</v>
      </c>
      <c r="AY136" s="1">
        <v>5.0890585241730284E-3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4.071246819338422E-2</v>
      </c>
      <c r="CB136" s="1">
        <v>0</v>
      </c>
    </row>
    <row r="137" spans="1:80">
      <c r="A137">
        <v>136</v>
      </c>
      <c r="B137" t="s">
        <v>97</v>
      </c>
      <c r="C137" s="4" t="s">
        <v>174</v>
      </c>
      <c r="D137" s="4" t="s">
        <v>118</v>
      </c>
      <c r="E137" s="5">
        <v>39534</v>
      </c>
      <c r="F137" s="5">
        <v>39534</v>
      </c>
      <c r="G137">
        <v>803</v>
      </c>
      <c r="H137" s="4" t="s">
        <v>110</v>
      </c>
      <c r="I137" s="4" t="s">
        <v>108</v>
      </c>
      <c r="J137" s="4" t="str">
        <f t="shared" si="2"/>
        <v>u_rem.c_con</v>
      </c>
      <c r="K137" s="5">
        <v>8</v>
      </c>
      <c r="L137">
        <v>0</v>
      </c>
      <c r="M137">
        <v>9.8322361435548941E-2</v>
      </c>
      <c r="N137">
        <v>0.19112338076024624</v>
      </c>
      <c r="O137">
        <v>8.4943724782331701E-3</v>
      </c>
      <c r="P137">
        <v>0</v>
      </c>
      <c r="Q137">
        <v>6.3707793586748773E-2</v>
      </c>
      <c r="R137">
        <v>0</v>
      </c>
      <c r="S137">
        <v>0</v>
      </c>
      <c r="T137">
        <v>4.4595455510724148E-3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3.4189849224888505E-2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1.2953918029305586E-2</v>
      </c>
      <c r="AT137">
        <v>6.3707793586748767E-4</v>
      </c>
      <c r="AU137">
        <v>0</v>
      </c>
      <c r="AV137">
        <v>0</v>
      </c>
      <c r="AW137">
        <v>0</v>
      </c>
      <c r="AX137">
        <v>4.2471862391165851E-3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4.2471862391165851E-3</v>
      </c>
      <c r="BY137">
        <v>0</v>
      </c>
      <c r="BZ137">
        <v>0</v>
      </c>
      <c r="CA137">
        <v>0.57761732851985537</v>
      </c>
      <c r="CB137">
        <v>0</v>
      </c>
    </row>
    <row r="138" spans="1:80">
      <c r="A138">
        <v>137</v>
      </c>
      <c r="B138" t="s">
        <v>98</v>
      </c>
      <c r="C138" s="4" t="s">
        <v>175</v>
      </c>
      <c r="D138" s="4" t="s">
        <v>118</v>
      </c>
      <c r="E138" s="5">
        <v>39534</v>
      </c>
      <c r="F138" s="5">
        <v>39534</v>
      </c>
      <c r="G138">
        <v>803</v>
      </c>
      <c r="H138" s="4" t="s">
        <v>107</v>
      </c>
      <c r="I138" s="4" t="s">
        <v>109</v>
      </c>
      <c r="J138" s="4" t="str">
        <f t="shared" si="2"/>
        <v>u_con.c_rem</v>
      </c>
      <c r="K138" s="5">
        <v>2</v>
      </c>
      <c r="L138">
        <v>0</v>
      </c>
      <c r="M138">
        <v>0.14066271669958305</v>
      </c>
      <c r="N138">
        <v>5.2666227781435156E-2</v>
      </c>
      <c r="O138">
        <v>0</v>
      </c>
      <c r="P138">
        <v>0</v>
      </c>
      <c r="Q138">
        <v>1.3166556945358791E-2</v>
      </c>
      <c r="R138">
        <v>0</v>
      </c>
      <c r="S138">
        <v>0</v>
      </c>
      <c r="T138">
        <v>1.7555409260478386E-2</v>
      </c>
      <c r="U138">
        <v>0</v>
      </c>
      <c r="V138">
        <v>0</v>
      </c>
      <c r="W138">
        <v>0</v>
      </c>
      <c r="X138">
        <v>4.3888523151195966E-3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8.7777046302391932E-3</v>
      </c>
      <c r="AF138">
        <v>0</v>
      </c>
      <c r="AG138">
        <v>4.3888523151195966E-3</v>
      </c>
      <c r="AH138">
        <v>2.1944261575597982E-4</v>
      </c>
      <c r="AI138">
        <v>2.6771999122229537E-2</v>
      </c>
      <c r="AJ138">
        <v>2.6333113890717578E-2</v>
      </c>
      <c r="AK138">
        <v>0</v>
      </c>
      <c r="AL138">
        <v>0</v>
      </c>
      <c r="AM138">
        <v>0</v>
      </c>
      <c r="AN138">
        <v>5.4860653938994955E-3</v>
      </c>
      <c r="AO138">
        <v>0</v>
      </c>
      <c r="AP138">
        <v>0</v>
      </c>
      <c r="AQ138">
        <v>0</v>
      </c>
      <c r="AR138">
        <v>0</v>
      </c>
      <c r="AS138">
        <v>6.1663375027430328E-2</v>
      </c>
      <c r="AT138">
        <v>8.7777046302391928E-4</v>
      </c>
      <c r="AU138">
        <v>0</v>
      </c>
      <c r="AV138">
        <v>0</v>
      </c>
      <c r="AW138">
        <v>2.6333113890717578E-2</v>
      </c>
      <c r="AX138">
        <v>1.7555409260478386E-2</v>
      </c>
      <c r="AY138">
        <v>0</v>
      </c>
      <c r="AZ138">
        <v>0</v>
      </c>
      <c r="BA138">
        <v>2.1944261575597982E-4</v>
      </c>
      <c r="BB138">
        <v>0</v>
      </c>
      <c r="BC138">
        <v>0</v>
      </c>
      <c r="BD138">
        <v>0</v>
      </c>
      <c r="BE138">
        <v>0.17116524028966423</v>
      </c>
      <c r="BF138">
        <v>2.1944261575597982E-4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2.1944261575597982E-4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0.412552117621242</v>
      </c>
      <c r="CB138">
        <v>8.7777046302391932E-3</v>
      </c>
    </row>
    <row r="139" spans="1:80">
      <c r="A139">
        <v>138</v>
      </c>
      <c r="B139" t="s">
        <v>99</v>
      </c>
      <c r="C139" s="4" t="s">
        <v>175</v>
      </c>
      <c r="D139" s="4" t="s">
        <v>118</v>
      </c>
      <c r="E139" s="5">
        <v>39534</v>
      </c>
      <c r="F139" s="5">
        <v>39534</v>
      </c>
      <c r="G139">
        <v>803</v>
      </c>
      <c r="H139" s="4" t="s">
        <v>107</v>
      </c>
      <c r="I139" s="4" t="s">
        <v>108</v>
      </c>
      <c r="J139" s="4" t="str">
        <f t="shared" si="2"/>
        <v>u_con.c_con</v>
      </c>
      <c r="K139" s="5">
        <v>19</v>
      </c>
      <c r="L139">
        <v>4.3677658877484173E-3</v>
      </c>
      <c r="M139">
        <v>9.6964402708014874E-2</v>
      </c>
      <c r="N139">
        <v>0.21402052849967246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0.157239571958943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6.9884254203974705E-2</v>
      </c>
      <c r="AJ139">
        <v>7.4470408386110534E-2</v>
      </c>
      <c r="AK139">
        <v>0</v>
      </c>
      <c r="AL139">
        <v>0</v>
      </c>
      <c r="AM139">
        <v>0</v>
      </c>
      <c r="AN139">
        <v>1.3976850840794938E-2</v>
      </c>
      <c r="AO139">
        <v>0</v>
      </c>
      <c r="AP139">
        <v>0</v>
      </c>
      <c r="AQ139">
        <v>0</v>
      </c>
      <c r="AR139">
        <v>0</v>
      </c>
      <c r="AS139">
        <v>1.8126228434155935E-2</v>
      </c>
      <c r="AT139">
        <v>1.3540074252020097E-2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7.4907184974885369E-2</v>
      </c>
      <c r="BB139">
        <v>0</v>
      </c>
      <c r="BC139">
        <v>0</v>
      </c>
      <c r="BD139">
        <v>0</v>
      </c>
      <c r="BE139">
        <v>7.447040838611052E-2</v>
      </c>
      <c r="BF139">
        <v>4.3677658877484173E-3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0.18366455557982092</v>
      </c>
      <c r="CB139">
        <v>0</v>
      </c>
    </row>
    <row r="140" spans="1:80">
      <c r="A140">
        <v>139</v>
      </c>
      <c r="B140" t="s">
        <v>100</v>
      </c>
      <c r="C140" s="4" t="s">
        <v>175</v>
      </c>
      <c r="D140" s="4" t="s">
        <v>118</v>
      </c>
      <c r="E140" s="5">
        <v>39534</v>
      </c>
      <c r="F140" s="5">
        <v>39534</v>
      </c>
      <c r="G140">
        <v>803</v>
      </c>
      <c r="H140" s="4" t="s">
        <v>107</v>
      </c>
      <c r="I140" s="4" t="s">
        <v>109</v>
      </c>
      <c r="J140" s="4" t="str">
        <f t="shared" si="2"/>
        <v>u_con.c_rem</v>
      </c>
      <c r="K140" s="5">
        <v>2</v>
      </c>
      <c r="L140">
        <v>4.2936882782310011E-3</v>
      </c>
      <c r="M140">
        <v>0.28381279519106906</v>
      </c>
      <c r="N140">
        <v>0.10326320309145562</v>
      </c>
      <c r="O140">
        <v>0</v>
      </c>
      <c r="P140">
        <v>0</v>
      </c>
      <c r="Q140">
        <v>4.2936882782310011E-3</v>
      </c>
      <c r="R140">
        <v>0</v>
      </c>
      <c r="S140">
        <v>0</v>
      </c>
      <c r="T140">
        <v>3.0485186775440102E-2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4.2936882782310011E-3</v>
      </c>
      <c r="AF140">
        <v>0</v>
      </c>
      <c r="AG140">
        <v>0</v>
      </c>
      <c r="AH140">
        <v>0</v>
      </c>
      <c r="AI140">
        <v>3.0699871189351653E-2</v>
      </c>
      <c r="AJ140">
        <v>1.2881064834693003E-2</v>
      </c>
      <c r="AK140">
        <v>0</v>
      </c>
      <c r="AL140">
        <v>0</v>
      </c>
      <c r="AM140">
        <v>0</v>
      </c>
      <c r="AN140">
        <v>9.4461142121082028E-3</v>
      </c>
      <c r="AO140">
        <v>0</v>
      </c>
      <c r="AP140">
        <v>0</v>
      </c>
      <c r="AQ140">
        <v>0</v>
      </c>
      <c r="AR140">
        <v>0</v>
      </c>
      <c r="AS140">
        <v>2.6191498497209104E-2</v>
      </c>
      <c r="AT140">
        <v>2.1468441391155003E-4</v>
      </c>
      <c r="AU140">
        <v>0</v>
      </c>
      <c r="AV140">
        <v>0</v>
      </c>
      <c r="AW140">
        <v>0</v>
      </c>
      <c r="AX140">
        <v>4.2936882782310011E-3</v>
      </c>
      <c r="AY140">
        <v>0</v>
      </c>
      <c r="AZ140">
        <v>0</v>
      </c>
      <c r="BA140">
        <v>2.1468441391155003E-4</v>
      </c>
      <c r="BB140">
        <v>0</v>
      </c>
      <c r="BC140">
        <v>0</v>
      </c>
      <c r="BD140">
        <v>0</v>
      </c>
      <c r="BE140">
        <v>7.7715757835981114E-2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4.2936882782310011E-3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0.40360669815371408</v>
      </c>
      <c r="CB140">
        <v>0</v>
      </c>
    </row>
    <row r="141" spans="1:80" s="1" customFormat="1">
      <c r="A141">
        <v>140</v>
      </c>
      <c r="B141" t="s">
        <v>101</v>
      </c>
      <c r="C141" s="4" t="s">
        <v>175</v>
      </c>
      <c r="D141" s="4" t="s">
        <v>118</v>
      </c>
      <c r="E141" s="5">
        <v>39534</v>
      </c>
      <c r="F141" s="5">
        <v>39534</v>
      </c>
      <c r="G141">
        <v>803</v>
      </c>
      <c r="H141" s="4" t="s">
        <v>107</v>
      </c>
      <c r="I141" s="4" t="s">
        <v>108</v>
      </c>
      <c r="J141" s="4" t="str">
        <f t="shared" si="2"/>
        <v>u_con.c_con</v>
      </c>
      <c r="K141" s="5">
        <v>19</v>
      </c>
      <c r="L141">
        <v>0</v>
      </c>
      <c r="M141">
        <v>0.1644646924829157</v>
      </c>
      <c r="N141">
        <v>0.10045558086560367</v>
      </c>
      <c r="O141">
        <v>0</v>
      </c>
      <c r="P141">
        <v>0</v>
      </c>
      <c r="Q141">
        <v>2.2779043280182233E-4</v>
      </c>
      <c r="R141">
        <v>0</v>
      </c>
      <c r="S141">
        <v>0</v>
      </c>
      <c r="T141">
        <v>8.2004555808656038E-2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4.5558086560364471E-3</v>
      </c>
      <c r="AF141">
        <v>0</v>
      </c>
      <c r="AG141">
        <v>0</v>
      </c>
      <c r="AH141">
        <v>4.5558086560364471E-3</v>
      </c>
      <c r="AI141">
        <v>3.2118451025056949E-2</v>
      </c>
      <c r="AJ141">
        <v>6.3781321184510256E-2</v>
      </c>
      <c r="AK141">
        <v>0</v>
      </c>
      <c r="AL141">
        <v>0</v>
      </c>
      <c r="AM141">
        <v>0</v>
      </c>
      <c r="AN141">
        <v>9.5671981776765391E-3</v>
      </c>
      <c r="AO141">
        <v>0</v>
      </c>
      <c r="AP141">
        <v>0</v>
      </c>
      <c r="AQ141">
        <v>0</v>
      </c>
      <c r="AR141">
        <v>0</v>
      </c>
      <c r="AS141">
        <v>4.5558086560364461E-2</v>
      </c>
      <c r="AT141">
        <v>1.8678815489749433E-2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2.3006833712984055E-2</v>
      </c>
      <c r="BF141">
        <v>4.5558086560364471E-3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0.4464692482915717</v>
      </c>
      <c r="CB141">
        <v>0</v>
      </c>
    </row>
    <row r="142" spans="1:80" s="3" customFormat="1">
      <c r="A142">
        <v>141</v>
      </c>
      <c r="B142" t="s">
        <v>102</v>
      </c>
      <c r="C142" s="4" t="s">
        <v>176</v>
      </c>
      <c r="D142" s="4" t="s">
        <v>118</v>
      </c>
      <c r="E142" s="5">
        <v>39534</v>
      </c>
      <c r="F142" s="5">
        <v>39534</v>
      </c>
      <c r="G142">
        <v>803</v>
      </c>
      <c r="H142" s="4" t="s">
        <v>110</v>
      </c>
      <c r="I142" s="4" t="s">
        <v>108</v>
      </c>
      <c r="J142" s="4" t="str">
        <f t="shared" si="2"/>
        <v>u_rem.c_con</v>
      </c>
      <c r="K142" s="5">
        <v>8</v>
      </c>
      <c r="L142">
        <v>0</v>
      </c>
      <c r="M142">
        <v>5.6273764258555126E-2</v>
      </c>
      <c r="N142">
        <v>7.6045627376425853E-2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5.0697084917617234E-3</v>
      </c>
      <c r="AA142">
        <v>0</v>
      </c>
      <c r="AB142">
        <v>0</v>
      </c>
      <c r="AC142">
        <v>0</v>
      </c>
      <c r="AD142">
        <v>0</v>
      </c>
      <c r="AE142">
        <v>5.0697084917617234E-3</v>
      </c>
      <c r="AF142">
        <v>0</v>
      </c>
      <c r="AG142">
        <v>0</v>
      </c>
      <c r="AH142">
        <v>0</v>
      </c>
      <c r="AI142">
        <v>5.0697084917617234E-3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0.40557667934093788</v>
      </c>
      <c r="AP142">
        <v>0</v>
      </c>
      <c r="AQ142">
        <v>5.0697084917617234E-3</v>
      </c>
      <c r="AR142">
        <v>0</v>
      </c>
      <c r="AS142">
        <v>1.0139416983523447E-2</v>
      </c>
      <c r="AT142">
        <v>0</v>
      </c>
      <c r="AU142">
        <v>5.0697084917617234E-3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2.6108998732572875E-2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0.17743979721166031</v>
      </c>
      <c r="CB142">
        <v>0</v>
      </c>
    </row>
    <row r="143" spans="1:80">
      <c r="A143">
        <v>142</v>
      </c>
      <c r="B143" t="s">
        <v>103</v>
      </c>
      <c r="C143" s="4" t="s">
        <v>176</v>
      </c>
      <c r="D143" s="4" t="s">
        <v>118</v>
      </c>
      <c r="E143" s="5">
        <v>39534</v>
      </c>
      <c r="F143" s="5">
        <v>39534</v>
      </c>
      <c r="G143">
        <v>803</v>
      </c>
      <c r="H143" s="4" t="s">
        <v>110</v>
      </c>
      <c r="I143" s="4" t="s">
        <v>109</v>
      </c>
      <c r="J143" s="4" t="str">
        <f t="shared" si="2"/>
        <v>u_rem.c_rem</v>
      </c>
      <c r="K143" s="5">
        <v>1</v>
      </c>
      <c r="L143" s="1">
        <v>0</v>
      </c>
      <c r="M143" s="1">
        <v>7.0518036343911059E-2</v>
      </c>
      <c r="N143" s="1">
        <v>0.16273393002441014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0.13561160835367511</v>
      </c>
      <c r="Z143" s="1">
        <v>0</v>
      </c>
      <c r="AA143" s="1">
        <v>0</v>
      </c>
      <c r="AB143" s="1">
        <v>0</v>
      </c>
      <c r="AC143" s="1">
        <v>5.4244643341470047E-3</v>
      </c>
      <c r="AD143" s="1">
        <v>0</v>
      </c>
      <c r="AE143" s="1">
        <v>0</v>
      </c>
      <c r="AF143" s="1">
        <v>0</v>
      </c>
      <c r="AG143" s="1">
        <v>0</v>
      </c>
      <c r="AH143" s="1">
        <v>5.4244643341470047E-3</v>
      </c>
      <c r="AI143" s="1">
        <v>3.2546786004882026E-2</v>
      </c>
      <c r="AJ143" s="1">
        <v>0</v>
      </c>
      <c r="AK143" s="1">
        <v>0</v>
      </c>
      <c r="AL143" s="1">
        <v>0</v>
      </c>
      <c r="AM143" s="1">
        <v>0</v>
      </c>
      <c r="AN143" s="1">
        <v>4.420938432329808E-2</v>
      </c>
      <c r="AO143" s="1">
        <v>2.196908055329537E-2</v>
      </c>
      <c r="AP143" s="1">
        <v>0</v>
      </c>
      <c r="AQ143" s="1">
        <v>0</v>
      </c>
      <c r="AR143" s="1">
        <v>0</v>
      </c>
      <c r="AS143" s="1">
        <v>1.0848928668294009E-2</v>
      </c>
      <c r="AT143" s="1">
        <v>5.4244643341470047E-3</v>
      </c>
      <c r="AU143" s="1">
        <v>1.6273393002441013E-2</v>
      </c>
      <c r="AV143" s="1">
        <v>5.966910767561704E-2</v>
      </c>
      <c r="AW143" s="1">
        <v>1.6273393002441017E-2</v>
      </c>
      <c r="AX143" s="1">
        <v>5.4244643341470047E-3</v>
      </c>
      <c r="AY143" s="1">
        <v>0</v>
      </c>
      <c r="AZ143" s="1">
        <v>0</v>
      </c>
      <c r="BA143" s="1">
        <v>9.76403580146461E-2</v>
      </c>
      <c r="BB143" s="1">
        <v>8.1638188228912417E-2</v>
      </c>
      <c r="BC143" s="1">
        <v>0</v>
      </c>
      <c r="BD143" s="1">
        <v>0</v>
      </c>
      <c r="BE143" s="1">
        <v>8.7062652563059423E-2</v>
      </c>
      <c r="BF143" s="1">
        <v>0</v>
      </c>
      <c r="BG143" s="1">
        <v>0</v>
      </c>
      <c r="BH143" s="1">
        <v>0</v>
      </c>
      <c r="BI143" s="1">
        <v>2.1697857336588019E-2</v>
      </c>
      <c r="BJ143" s="1">
        <v>0</v>
      </c>
      <c r="BK143" s="1">
        <v>0</v>
      </c>
      <c r="BL143" s="1">
        <v>0</v>
      </c>
      <c r="BM143" s="1">
        <v>0</v>
      </c>
      <c r="BN143" s="1">
        <v>5.6956875508543548E-3</v>
      </c>
      <c r="BO143" s="1">
        <v>0</v>
      </c>
      <c r="BP143" s="1">
        <v>4.8820179007323036E-2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1.0848928668294009E-2</v>
      </c>
      <c r="CA143" s="1">
        <v>5.4244643341470042E-2</v>
      </c>
      <c r="CB143" s="1">
        <v>0</v>
      </c>
    </row>
    <row r="144" spans="1:80">
      <c r="A144">
        <v>143</v>
      </c>
      <c r="B144" t="s">
        <v>104</v>
      </c>
      <c r="C144" s="4" t="s">
        <v>176</v>
      </c>
      <c r="D144" s="4" t="s">
        <v>118</v>
      </c>
      <c r="E144" s="5">
        <v>39534</v>
      </c>
      <c r="F144" s="5">
        <v>39534</v>
      </c>
      <c r="G144">
        <v>803</v>
      </c>
      <c r="H144" s="4" t="s">
        <v>110</v>
      </c>
      <c r="I144" s="4" t="s">
        <v>108</v>
      </c>
      <c r="J144" s="4" t="str">
        <f t="shared" si="2"/>
        <v>u_rem.c_con</v>
      </c>
      <c r="K144" s="5">
        <v>8</v>
      </c>
      <c r="L144">
        <v>1.7003188097768331E-2</v>
      </c>
      <c r="M144">
        <v>0.1447396386822529</v>
      </c>
      <c r="N144">
        <v>8.9479277364505852E-2</v>
      </c>
      <c r="O144">
        <v>0</v>
      </c>
      <c r="P144">
        <v>1.2752391073326246E-2</v>
      </c>
      <c r="Q144">
        <v>2.1253985122210411E-2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4.2507970244420826E-3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4.463336875664187E-3</v>
      </c>
      <c r="AI144">
        <v>3.4218916046758759E-2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0.2167906482465462</v>
      </c>
      <c r="AP144">
        <v>0</v>
      </c>
      <c r="AQ144">
        <v>3.4006376195536654E-2</v>
      </c>
      <c r="AR144">
        <v>0</v>
      </c>
      <c r="AS144">
        <v>4.2507970244420826E-3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1.2964930924548351E-2</v>
      </c>
      <c r="BC144">
        <v>0</v>
      </c>
      <c r="BD144">
        <v>0</v>
      </c>
      <c r="BE144">
        <v>4.2507970244420826E-3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1.7003188097768331E-2</v>
      </c>
      <c r="BM144">
        <v>0</v>
      </c>
      <c r="BN144">
        <v>0</v>
      </c>
      <c r="BO144">
        <v>0</v>
      </c>
      <c r="BP144">
        <v>0</v>
      </c>
      <c r="BQ144">
        <v>4.2507970244420826E-3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6.8012752391073322E-2</v>
      </c>
      <c r="CA144">
        <v>0.24654622741764073</v>
      </c>
      <c r="CB144">
        <v>0</v>
      </c>
    </row>
    <row r="145" spans="1:80">
      <c r="A145">
        <v>144</v>
      </c>
      <c r="B145" t="s">
        <v>105</v>
      </c>
      <c r="C145" s="4" t="s">
        <v>176</v>
      </c>
      <c r="D145" s="4" t="s">
        <v>118</v>
      </c>
      <c r="E145" s="5">
        <v>39534</v>
      </c>
      <c r="F145" s="5">
        <v>39534</v>
      </c>
      <c r="G145">
        <v>803</v>
      </c>
      <c r="H145" s="4" t="s">
        <v>110</v>
      </c>
      <c r="I145" s="4" t="s">
        <v>109</v>
      </c>
      <c r="J145" s="4" t="str">
        <f t="shared" si="2"/>
        <v>u_rem.c_rem</v>
      </c>
      <c r="K145" s="5">
        <v>1</v>
      </c>
      <c r="L145" s="1">
        <v>1.5856236786469347E-2</v>
      </c>
      <c r="M145" s="1">
        <v>5.2854122621564491E-3</v>
      </c>
      <c r="N145" s="1">
        <v>5.2854122621564484E-2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0.23255813953488366</v>
      </c>
      <c r="Z145" s="1">
        <v>0</v>
      </c>
      <c r="AA145" s="1">
        <v>1.5856236786469347E-2</v>
      </c>
      <c r="AB145" s="1">
        <v>0</v>
      </c>
      <c r="AC145" s="1">
        <v>5.2854122621564491E-3</v>
      </c>
      <c r="AD145" s="1">
        <v>4.2283298097251586E-2</v>
      </c>
      <c r="AE145" s="1">
        <v>6.8710359408033841E-2</v>
      </c>
      <c r="AF145" s="1">
        <v>0</v>
      </c>
      <c r="AG145" s="1">
        <v>0</v>
      </c>
      <c r="AH145" s="1">
        <v>2.6427061310782242E-2</v>
      </c>
      <c r="AI145" s="1">
        <v>5.2854122621564484E-2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4.2811839323467236E-2</v>
      </c>
      <c r="AP145" s="1">
        <v>0</v>
      </c>
      <c r="AQ145" s="1">
        <v>0</v>
      </c>
      <c r="AR145" s="1">
        <v>0</v>
      </c>
      <c r="AS145" s="1">
        <v>1.0570824524312898E-2</v>
      </c>
      <c r="AT145" s="1">
        <v>5.5496828752642719E-3</v>
      </c>
      <c r="AU145" s="1">
        <v>1.5856236786469347E-2</v>
      </c>
      <c r="AV145" s="1">
        <v>0</v>
      </c>
      <c r="AW145" s="1">
        <v>3.1712473572938694E-2</v>
      </c>
      <c r="AX145" s="1">
        <v>5.2854122621564491E-3</v>
      </c>
      <c r="AY145" s="1">
        <v>0</v>
      </c>
      <c r="AZ145" s="1">
        <v>0</v>
      </c>
      <c r="BA145" s="1">
        <v>2.6427061310782242E-2</v>
      </c>
      <c r="BB145" s="1">
        <v>0</v>
      </c>
      <c r="BC145" s="1">
        <v>0</v>
      </c>
      <c r="BD145" s="1">
        <v>0</v>
      </c>
      <c r="BE145" s="1">
        <v>0.21670190274841442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1.0570824524312898E-2</v>
      </c>
      <c r="BM145" s="1">
        <v>0</v>
      </c>
      <c r="BN145" s="1">
        <v>2.6427061310782242E-4</v>
      </c>
      <c r="BO145" s="1">
        <v>0</v>
      </c>
      <c r="BP145" s="1">
        <v>5.2854122621564491E-3</v>
      </c>
      <c r="BQ145" s="1">
        <v>5.2854122621564491E-3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0.10570824524312897</v>
      </c>
      <c r="CB145" s="1">
        <v>0</v>
      </c>
    </row>
    <row r="146" spans="1:80">
      <c r="A146">
        <v>145</v>
      </c>
      <c r="B146" s="4" t="s">
        <v>35</v>
      </c>
      <c r="C146" s="4" t="s">
        <v>159</v>
      </c>
      <c r="D146" s="4" t="s">
        <v>116</v>
      </c>
      <c r="E146" s="5">
        <v>39655</v>
      </c>
      <c r="F146" s="5">
        <v>39656</v>
      </c>
      <c r="G146">
        <v>807</v>
      </c>
      <c r="H146" s="4" t="s">
        <v>107</v>
      </c>
      <c r="I146" s="4" t="s">
        <v>108</v>
      </c>
      <c r="J146" s="4" t="str">
        <f t="shared" si="2"/>
        <v>u_con.c_con</v>
      </c>
      <c r="K146" s="5">
        <v>19</v>
      </c>
      <c r="L146">
        <v>6.8720650555491912E-3</v>
      </c>
      <c r="M146">
        <v>2.9893482991638982E-2</v>
      </c>
      <c r="N146">
        <v>0.10537166418508757</v>
      </c>
      <c r="O146">
        <v>1.1453441759248652E-2</v>
      </c>
      <c r="P146">
        <v>0</v>
      </c>
      <c r="Q146">
        <v>0.3619287595922574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0.19012713320352759</v>
      </c>
      <c r="Z146">
        <v>2.2906883518497307E-3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1.8783644485167787E-2</v>
      </c>
      <c r="AI146">
        <v>2.7488260222196768E-2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1.3858664528690869E-2</v>
      </c>
      <c r="AT146">
        <v>2.5197571870347038E-3</v>
      </c>
      <c r="AU146">
        <v>0</v>
      </c>
      <c r="AV146">
        <v>0</v>
      </c>
      <c r="AW146">
        <v>0</v>
      </c>
      <c r="AX146">
        <v>2.2906883518497307E-3</v>
      </c>
      <c r="AY146">
        <v>0</v>
      </c>
      <c r="AZ146">
        <v>0</v>
      </c>
      <c r="BA146">
        <v>0.22254037338220126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4.5813767036994614E-3</v>
      </c>
      <c r="CB146">
        <v>0</v>
      </c>
    </row>
    <row r="147" spans="1:80">
      <c r="A147">
        <v>146</v>
      </c>
      <c r="B147" s="4" t="s">
        <v>36</v>
      </c>
      <c r="C147" s="4" t="s">
        <v>159</v>
      </c>
      <c r="D147" s="4" t="s">
        <v>116</v>
      </c>
      <c r="E147" s="5">
        <v>39655</v>
      </c>
      <c r="F147" s="5">
        <v>39656</v>
      </c>
      <c r="G147">
        <v>807</v>
      </c>
      <c r="H147" s="4" t="s">
        <v>107</v>
      </c>
      <c r="I147" s="4" t="s">
        <v>109</v>
      </c>
      <c r="J147" s="4" t="str">
        <f t="shared" si="2"/>
        <v>u_con.c_rem</v>
      </c>
      <c r="K147" s="5">
        <v>2</v>
      </c>
      <c r="L147">
        <v>1.5230635335073973E-2</v>
      </c>
      <c r="M147">
        <v>1.1096605744125325E-2</v>
      </c>
      <c r="N147">
        <v>0.20245865970409052</v>
      </c>
      <c r="O147">
        <v>0</v>
      </c>
      <c r="P147">
        <v>0</v>
      </c>
      <c r="Q147">
        <v>0.27197563098346378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0.18276762402088767</v>
      </c>
      <c r="Z147">
        <v>0.165361183637946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4.3516100957354219E-3</v>
      </c>
      <c r="AI147">
        <v>1.5230635335073973E-2</v>
      </c>
      <c r="AJ147">
        <v>0</v>
      </c>
      <c r="AK147">
        <v>0</v>
      </c>
      <c r="AL147">
        <v>0</v>
      </c>
      <c r="AM147">
        <v>0</v>
      </c>
      <c r="AN147">
        <v>2.2845953002610963E-3</v>
      </c>
      <c r="AO147">
        <v>0</v>
      </c>
      <c r="AP147">
        <v>0</v>
      </c>
      <c r="AQ147">
        <v>0</v>
      </c>
      <c r="AR147">
        <v>0</v>
      </c>
      <c r="AS147">
        <v>8.7032201914708437E-3</v>
      </c>
      <c r="AT147">
        <v>2.1758050478677107E-4</v>
      </c>
      <c r="AU147">
        <v>0</v>
      </c>
      <c r="AV147">
        <v>1.0879025239338554E-4</v>
      </c>
      <c r="AW147">
        <v>0</v>
      </c>
      <c r="AX147">
        <v>0</v>
      </c>
      <c r="AY147">
        <v>0</v>
      </c>
      <c r="AZ147">
        <v>0</v>
      </c>
      <c r="BA147">
        <v>0.11368581375108786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2.1758050478677109E-3</v>
      </c>
      <c r="BO147">
        <v>0</v>
      </c>
      <c r="BP147">
        <v>2.1758050478677109E-3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2.1758050478677109E-3</v>
      </c>
      <c r="CA147">
        <v>0</v>
      </c>
      <c r="CB147">
        <v>0</v>
      </c>
    </row>
    <row r="148" spans="1:80">
      <c r="A148">
        <v>147</v>
      </c>
      <c r="B148" s="4" t="s">
        <v>37</v>
      </c>
      <c r="C148" s="4" t="s">
        <v>159</v>
      </c>
      <c r="D148" s="4" t="s">
        <v>116</v>
      </c>
      <c r="E148" s="5">
        <v>39655</v>
      </c>
      <c r="F148" s="5">
        <v>39656</v>
      </c>
      <c r="G148">
        <v>807</v>
      </c>
      <c r="H148" s="4" t="s">
        <v>107</v>
      </c>
      <c r="I148" s="4" t="s">
        <v>109</v>
      </c>
      <c r="J148" s="4" t="str">
        <f t="shared" si="2"/>
        <v>u_con.c_rem</v>
      </c>
      <c r="K148" s="5">
        <v>2</v>
      </c>
      <c r="L148">
        <v>2.1925016443762333E-3</v>
      </c>
      <c r="M148">
        <v>6.1499671124753345E-2</v>
      </c>
      <c r="N148">
        <v>6.1390046042534528E-2</v>
      </c>
      <c r="O148">
        <v>0</v>
      </c>
      <c r="P148">
        <v>0</v>
      </c>
      <c r="Q148">
        <v>0.48892786669589999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0.18417013812760352</v>
      </c>
      <c r="Z148">
        <v>0.13155009866257397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4.3850032887524669E-2</v>
      </c>
      <c r="AI148">
        <v>1.0962508221881167E-2</v>
      </c>
      <c r="AJ148">
        <v>0</v>
      </c>
      <c r="AK148">
        <v>0</v>
      </c>
      <c r="AL148">
        <v>2.1925016443762333E-3</v>
      </c>
      <c r="AM148">
        <v>0</v>
      </c>
      <c r="AN148">
        <v>2.3021267265950452E-3</v>
      </c>
      <c r="AO148">
        <v>0</v>
      </c>
      <c r="AP148">
        <v>0</v>
      </c>
      <c r="AQ148">
        <v>0</v>
      </c>
      <c r="AR148">
        <v>0</v>
      </c>
      <c r="AS148">
        <v>8.7700065775049331E-3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2.1925016443762333E-3</v>
      </c>
      <c r="CB148">
        <v>0</v>
      </c>
    </row>
    <row r="149" spans="1:80" s="1" customFormat="1">
      <c r="A149">
        <v>148</v>
      </c>
      <c r="B149" s="4" t="s">
        <v>38</v>
      </c>
      <c r="C149" s="4" t="s">
        <v>159</v>
      </c>
      <c r="D149" s="4" t="s">
        <v>116</v>
      </c>
      <c r="E149" s="5">
        <v>39655</v>
      </c>
      <c r="F149" s="5">
        <v>39656</v>
      </c>
      <c r="G149">
        <v>807</v>
      </c>
      <c r="H149" s="4" t="s">
        <v>107</v>
      </c>
      <c r="I149" s="4" t="s">
        <v>108</v>
      </c>
      <c r="J149" s="4" t="str">
        <f t="shared" si="2"/>
        <v>u_con.c_con</v>
      </c>
      <c r="K149" s="5">
        <v>19</v>
      </c>
      <c r="L149">
        <v>0</v>
      </c>
      <c r="M149">
        <v>1.4280818005255344E-2</v>
      </c>
      <c r="N149">
        <v>0.22860733462812752</v>
      </c>
      <c r="O149">
        <v>2.5134239689249407E-2</v>
      </c>
      <c r="P149">
        <v>0</v>
      </c>
      <c r="Q149">
        <v>0.14623557637381471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0.28104649834342516</v>
      </c>
      <c r="Z149">
        <v>2.0564377927567695E-2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6.8547926425225642E-2</v>
      </c>
      <c r="AI149">
        <v>2.0678624471609737E-2</v>
      </c>
      <c r="AJ149">
        <v>0</v>
      </c>
      <c r="AK149">
        <v>0</v>
      </c>
      <c r="AL149">
        <v>0</v>
      </c>
      <c r="AM149">
        <v>0</v>
      </c>
      <c r="AN149">
        <v>1.1424654404204275E-2</v>
      </c>
      <c r="AO149">
        <v>0</v>
      </c>
      <c r="AP149">
        <v>0</v>
      </c>
      <c r="AQ149">
        <v>0</v>
      </c>
      <c r="AR149">
        <v>0</v>
      </c>
      <c r="AS149">
        <v>4.5698617616817105E-3</v>
      </c>
      <c r="AT149">
        <v>3.4273963212612824E-4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0.17159830915114813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6.9690391865646082E-3</v>
      </c>
      <c r="CA149">
        <v>0</v>
      </c>
      <c r="CB149">
        <v>0</v>
      </c>
    </row>
    <row r="150" spans="1:80">
      <c r="A150">
        <v>149</v>
      </c>
      <c r="B150" s="4" t="s">
        <v>39</v>
      </c>
      <c r="C150" s="4" t="s">
        <v>160</v>
      </c>
      <c r="D150" s="4" t="s">
        <v>116</v>
      </c>
      <c r="E150" s="5">
        <v>39655</v>
      </c>
      <c r="F150" s="5">
        <v>39656</v>
      </c>
      <c r="G150">
        <v>807</v>
      </c>
      <c r="H150" s="4" t="s">
        <v>110</v>
      </c>
      <c r="I150" s="4" t="s">
        <v>109</v>
      </c>
      <c r="J150" s="4" t="str">
        <f t="shared" si="2"/>
        <v>u_rem.c_rem</v>
      </c>
      <c r="K150" s="5">
        <v>1</v>
      </c>
      <c r="L150">
        <v>2.1598272138228943E-3</v>
      </c>
      <c r="M150">
        <v>3.2397408207343408E-4</v>
      </c>
      <c r="N150">
        <v>0.72786177105831507</v>
      </c>
      <c r="O150">
        <v>0</v>
      </c>
      <c r="P150">
        <v>0</v>
      </c>
      <c r="Q150">
        <v>1.5118790496760256E-2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0.10367170626349891</v>
      </c>
      <c r="Z150">
        <v>1.7386609071274296E-2</v>
      </c>
      <c r="AA150">
        <v>6.4794816414686816E-3</v>
      </c>
      <c r="AB150">
        <v>2.1598272138228943E-3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7.5593952483801297E-2</v>
      </c>
      <c r="AI150">
        <v>1.3066954643628509E-2</v>
      </c>
      <c r="AJ150">
        <v>2.1598272138228943E-3</v>
      </c>
      <c r="AK150">
        <v>0</v>
      </c>
      <c r="AL150">
        <v>0</v>
      </c>
      <c r="AM150">
        <v>0</v>
      </c>
      <c r="AN150">
        <v>1.0799136069114471E-4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3.2397408207343408E-4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1.1879049676025918E-2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2.1706263498920082E-2</v>
      </c>
      <c r="CB150">
        <v>0</v>
      </c>
    </row>
    <row r="151" spans="1:80">
      <c r="A151">
        <v>150</v>
      </c>
      <c r="B151" s="4" t="s">
        <v>40</v>
      </c>
      <c r="C151" s="4" t="s">
        <v>160</v>
      </c>
      <c r="D151" s="4" t="s">
        <v>116</v>
      </c>
      <c r="E151" s="5">
        <v>39655</v>
      </c>
      <c r="F151" s="5">
        <v>39656</v>
      </c>
      <c r="G151">
        <v>807</v>
      </c>
      <c r="H151" s="4" t="s">
        <v>110</v>
      </c>
      <c r="I151" s="4" t="s">
        <v>108</v>
      </c>
      <c r="J151" s="4" t="str">
        <f t="shared" si="2"/>
        <v>u_rem.c_con</v>
      </c>
      <c r="K151" s="5">
        <v>8</v>
      </c>
      <c r="L151">
        <v>0</v>
      </c>
      <c r="M151">
        <v>9.1064314171883896E-3</v>
      </c>
      <c r="N151">
        <v>4.7808764940239043E-2</v>
      </c>
      <c r="O151">
        <v>5.4638588503130338E-2</v>
      </c>
      <c r="P151">
        <v>0</v>
      </c>
      <c r="Q151">
        <v>0.36425725668753556</v>
      </c>
      <c r="R151">
        <v>1.8212862834376779E-2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0.30506545247581096</v>
      </c>
      <c r="Z151">
        <v>9.1064314171883896E-3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2.2766078542970974E-3</v>
      </c>
      <c r="AI151">
        <v>2.0603301081388727E-2</v>
      </c>
      <c r="AJ151">
        <v>0</v>
      </c>
      <c r="AK151">
        <v>0</v>
      </c>
      <c r="AL151">
        <v>6.8298235628912914E-3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0.15071143995446776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1.1383039271485486E-2</v>
      </c>
      <c r="CB151">
        <v>0</v>
      </c>
    </row>
    <row r="152" spans="1:80">
      <c r="A152">
        <v>151</v>
      </c>
      <c r="B152" s="4" t="s">
        <v>41</v>
      </c>
      <c r="C152" s="4" t="s">
        <v>160</v>
      </c>
      <c r="D152" s="4" t="s">
        <v>116</v>
      </c>
      <c r="E152" s="5">
        <v>39655</v>
      </c>
      <c r="F152" s="5">
        <v>39656</v>
      </c>
      <c r="G152">
        <v>807</v>
      </c>
      <c r="H152" s="4" t="s">
        <v>110</v>
      </c>
      <c r="I152" s="4" t="s">
        <v>109</v>
      </c>
      <c r="J152" s="4" t="str">
        <f t="shared" si="2"/>
        <v>u_rem.c_rem</v>
      </c>
      <c r="K152" s="5">
        <v>1</v>
      </c>
      <c r="L152">
        <v>0</v>
      </c>
      <c r="M152">
        <v>1.0926573426573428E-4</v>
      </c>
      <c r="N152">
        <v>9.6153846153846159E-2</v>
      </c>
      <c r="O152">
        <v>1.9667832167832168E-2</v>
      </c>
      <c r="P152">
        <v>0</v>
      </c>
      <c r="Q152">
        <v>0.32124125874125881</v>
      </c>
      <c r="R152">
        <v>0</v>
      </c>
      <c r="S152">
        <v>6.555944055944056E-3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0.41958041958041958</v>
      </c>
      <c r="Z152">
        <v>3.277972027972028E-2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1.354895104895105E-2</v>
      </c>
      <c r="AI152">
        <v>1.5297202797202796E-2</v>
      </c>
      <c r="AJ152">
        <v>0</v>
      </c>
      <c r="AK152">
        <v>0</v>
      </c>
      <c r="AL152">
        <v>4.381555944055944E-2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3.125E-2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</row>
    <row r="153" spans="1:80">
      <c r="A153">
        <v>152</v>
      </c>
      <c r="B153" s="4" t="s">
        <v>42</v>
      </c>
      <c r="C153" s="4" t="s">
        <v>160</v>
      </c>
      <c r="D153" s="4" t="s">
        <v>116</v>
      </c>
      <c r="E153" s="5">
        <v>39655</v>
      </c>
      <c r="F153" s="5">
        <v>39656</v>
      </c>
      <c r="G153">
        <v>807</v>
      </c>
      <c r="H153" s="4" t="s">
        <v>110</v>
      </c>
      <c r="I153" s="4" t="s">
        <v>108</v>
      </c>
      <c r="J153" s="4" t="str">
        <f t="shared" si="2"/>
        <v>u_rem.c_con</v>
      </c>
      <c r="K153" s="5">
        <v>8</v>
      </c>
      <c r="L153">
        <v>1.3504388926401083E-2</v>
      </c>
      <c r="M153">
        <v>4.5014629754670287E-3</v>
      </c>
      <c r="N153">
        <v>0.47940580688723866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3.376097231600271E-2</v>
      </c>
      <c r="Z153">
        <v>0</v>
      </c>
      <c r="AA153">
        <v>0</v>
      </c>
      <c r="AB153">
        <v>1.3504388926401083E-2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9.0029259509340574E-3</v>
      </c>
      <c r="AI153">
        <v>1.361692550078776E-2</v>
      </c>
      <c r="AJ153">
        <v>0</v>
      </c>
      <c r="AK153">
        <v>0</v>
      </c>
      <c r="AL153">
        <v>0</v>
      </c>
      <c r="AM153">
        <v>0.39860454647760546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4.5014629754670287E-3</v>
      </c>
      <c r="AT153">
        <v>3.3760972316002709E-4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2.2507314877335143E-2</v>
      </c>
      <c r="CA153">
        <v>6.7521944632005417E-3</v>
      </c>
      <c r="CB153">
        <v>0</v>
      </c>
    </row>
    <row r="154" spans="1:80">
      <c r="A154">
        <v>153</v>
      </c>
      <c r="B154" s="4" t="s">
        <v>43</v>
      </c>
      <c r="C154" s="4" t="s">
        <v>161</v>
      </c>
      <c r="D154" s="4" t="s">
        <v>116</v>
      </c>
      <c r="E154" s="5">
        <v>39655</v>
      </c>
      <c r="F154" s="5">
        <v>39656</v>
      </c>
      <c r="G154">
        <v>807</v>
      </c>
      <c r="H154" s="4" t="s">
        <v>107</v>
      </c>
      <c r="I154" s="4" t="s">
        <v>109</v>
      </c>
      <c r="J154" s="4" t="str">
        <f t="shared" si="2"/>
        <v>u_con.c_rem</v>
      </c>
      <c r="K154" s="5">
        <v>2</v>
      </c>
      <c r="L154">
        <v>6.5466448445171844E-3</v>
      </c>
      <c r="M154">
        <v>9.4053464266230208E-2</v>
      </c>
      <c r="N154">
        <v>0.34915439170758317</v>
      </c>
      <c r="O154">
        <v>8.7288597926895792E-3</v>
      </c>
      <c r="P154">
        <v>0</v>
      </c>
      <c r="Q154">
        <v>0.13966175668303327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1.7457719585379158E-2</v>
      </c>
      <c r="Z154">
        <v>7.4304418985270043E-2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1.3311511183851609E-2</v>
      </c>
      <c r="AI154">
        <v>4.3644298963447896E-3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2.1822149481723948E-3</v>
      </c>
      <c r="AR154">
        <v>0</v>
      </c>
      <c r="AS154">
        <v>1.7457719585379158E-2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0.27277686852154942</v>
      </c>
      <c r="CB154">
        <v>0</v>
      </c>
    </row>
    <row r="155" spans="1:80">
      <c r="A155">
        <v>154</v>
      </c>
      <c r="B155" s="4" t="s">
        <v>44</v>
      </c>
      <c r="C155" s="4" t="s">
        <v>161</v>
      </c>
      <c r="D155" s="4" t="s">
        <v>116</v>
      </c>
      <c r="E155" s="5">
        <v>39655</v>
      </c>
      <c r="F155" s="5">
        <v>39656</v>
      </c>
      <c r="G155">
        <v>807</v>
      </c>
      <c r="H155" s="4" t="s">
        <v>107</v>
      </c>
      <c r="I155" s="4" t="s">
        <v>109</v>
      </c>
      <c r="J155" s="4" t="str">
        <f t="shared" si="2"/>
        <v>u_con.c_rem</v>
      </c>
      <c r="K155" s="5">
        <v>2</v>
      </c>
      <c r="L155">
        <v>0</v>
      </c>
      <c r="M155">
        <v>3.5797665369649803E-2</v>
      </c>
      <c r="N155">
        <v>0.56931628682601432</v>
      </c>
      <c r="O155">
        <v>0</v>
      </c>
      <c r="P155">
        <v>0</v>
      </c>
      <c r="Q155">
        <v>2.6681489716509174E-2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1.3340744858254585E-2</v>
      </c>
      <c r="Z155">
        <v>0.15586436909394108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3.1128404669260701E-2</v>
      </c>
      <c r="AI155">
        <v>4.4469149527515284E-3</v>
      </c>
      <c r="AJ155">
        <v>0</v>
      </c>
      <c r="AK155">
        <v>0</v>
      </c>
      <c r="AL155">
        <v>0</v>
      </c>
      <c r="AM155">
        <v>0</v>
      </c>
      <c r="AN155">
        <v>2.3346303501945525E-3</v>
      </c>
      <c r="AO155">
        <v>0</v>
      </c>
      <c r="AP155">
        <v>0</v>
      </c>
      <c r="AQ155">
        <v>0</v>
      </c>
      <c r="AR155">
        <v>0</v>
      </c>
      <c r="AS155">
        <v>8.8938299055030569E-3</v>
      </c>
      <c r="AT155">
        <v>2.8904947192884937E-3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0.14930516953863252</v>
      </c>
      <c r="CB155">
        <v>0</v>
      </c>
    </row>
    <row r="156" spans="1:80">
      <c r="A156">
        <v>155</v>
      </c>
      <c r="B156" s="4" t="s">
        <v>45</v>
      </c>
      <c r="C156" s="4" t="s">
        <v>161</v>
      </c>
      <c r="D156" s="4" t="s">
        <v>116</v>
      </c>
      <c r="E156" s="5">
        <v>39655</v>
      </c>
      <c r="F156" s="5">
        <v>39656</v>
      </c>
      <c r="G156">
        <v>807</v>
      </c>
      <c r="H156" s="4" t="s">
        <v>107</v>
      </c>
      <c r="I156" s="4" t="s">
        <v>108</v>
      </c>
      <c r="J156" s="4" t="str">
        <f t="shared" si="2"/>
        <v>u_con.c_con</v>
      </c>
      <c r="K156" s="5">
        <v>19</v>
      </c>
      <c r="L156">
        <v>0</v>
      </c>
      <c r="M156">
        <v>3.4404451004882493E-2</v>
      </c>
      <c r="N156">
        <v>0.24753037356648128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8.1753150902691057E-2</v>
      </c>
      <c r="Z156">
        <v>0.3247416827523561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1.3625525150448509E-2</v>
      </c>
      <c r="AI156">
        <v>0</v>
      </c>
      <c r="AJ156">
        <v>0</v>
      </c>
      <c r="AK156">
        <v>0</v>
      </c>
      <c r="AL156">
        <v>4.5418417168161702E-3</v>
      </c>
      <c r="AM156">
        <v>0</v>
      </c>
      <c r="AN156">
        <v>2.2709208584080851E-3</v>
      </c>
      <c r="AO156">
        <v>0</v>
      </c>
      <c r="AP156">
        <v>0</v>
      </c>
      <c r="AQ156">
        <v>0</v>
      </c>
      <c r="AR156">
        <v>0</v>
      </c>
      <c r="AS156">
        <v>5.4615646644714459E-2</v>
      </c>
      <c r="AT156">
        <v>3.4063812876121272E-4</v>
      </c>
      <c r="AU156">
        <v>4.5418417168161702E-3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6.8127625752242545E-3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0.22482116498240035</v>
      </c>
      <c r="CB156">
        <v>0</v>
      </c>
    </row>
    <row r="157" spans="1:80" s="1" customFormat="1">
      <c r="A157">
        <v>156</v>
      </c>
      <c r="B157" s="4" t="s">
        <v>46</v>
      </c>
      <c r="C157" s="4" t="s">
        <v>161</v>
      </c>
      <c r="D157" s="4" t="s">
        <v>116</v>
      </c>
      <c r="E157" s="5">
        <v>39655</v>
      </c>
      <c r="F157" s="5">
        <v>39656</v>
      </c>
      <c r="G157">
        <v>807</v>
      </c>
      <c r="H157" s="4" t="s">
        <v>107</v>
      </c>
      <c r="I157" s="4" t="s">
        <v>108</v>
      </c>
      <c r="J157" s="4" t="str">
        <f t="shared" si="2"/>
        <v>u_con.c_con</v>
      </c>
      <c r="K157" s="5">
        <v>19</v>
      </c>
      <c r="L157">
        <v>1.6045845272206302E-2</v>
      </c>
      <c r="M157">
        <v>8.0573065902578817E-2</v>
      </c>
      <c r="N157">
        <v>0.65787965616045818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5.5014326647564477E-2</v>
      </c>
      <c r="Z157">
        <v>4.584527220630373E-3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4.5959885386819492E-2</v>
      </c>
      <c r="AI157">
        <v>4.584527220630373E-3</v>
      </c>
      <c r="AJ157">
        <v>0</v>
      </c>
      <c r="AK157">
        <v>0</v>
      </c>
      <c r="AL157">
        <v>0</v>
      </c>
      <c r="AM157">
        <v>0</v>
      </c>
      <c r="AN157">
        <v>2.2922636103151865E-3</v>
      </c>
      <c r="AO157">
        <v>0</v>
      </c>
      <c r="AP157">
        <v>0</v>
      </c>
      <c r="AQ157">
        <v>0</v>
      </c>
      <c r="AR157">
        <v>0</v>
      </c>
      <c r="AS157">
        <v>3.4383954154727801E-2</v>
      </c>
      <c r="AT157">
        <v>2.4068767908309459E-3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2.2922636103151865E-3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9.3982808022922623E-2</v>
      </c>
      <c r="CB157">
        <v>0</v>
      </c>
    </row>
    <row r="158" spans="1:80">
      <c r="A158">
        <v>157</v>
      </c>
      <c r="B158" s="4" t="s">
        <v>47</v>
      </c>
      <c r="C158" s="4" t="s">
        <v>162</v>
      </c>
      <c r="D158" s="4" t="s">
        <v>116</v>
      </c>
      <c r="E158" s="5">
        <v>39655</v>
      </c>
      <c r="F158" s="5">
        <v>39656</v>
      </c>
      <c r="G158">
        <v>807</v>
      </c>
      <c r="H158" s="4" t="s">
        <v>110</v>
      </c>
      <c r="I158" s="4" t="s">
        <v>108</v>
      </c>
      <c r="J158" s="4" t="str">
        <f t="shared" si="2"/>
        <v>u_rem.c_con</v>
      </c>
      <c r="K158" s="5">
        <v>8</v>
      </c>
      <c r="L158">
        <v>5.9464816650148654E-2</v>
      </c>
      <c r="M158">
        <v>0.10824799030943728</v>
      </c>
      <c r="N158">
        <v>0.23785926660059462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2.2024006166721727E-3</v>
      </c>
      <c r="U158">
        <v>0</v>
      </c>
      <c r="V158">
        <v>0</v>
      </c>
      <c r="W158">
        <v>0</v>
      </c>
      <c r="X158">
        <v>0</v>
      </c>
      <c r="Y158">
        <v>2.2024006166721725E-2</v>
      </c>
      <c r="Z158">
        <v>4.625041295011563E-2</v>
      </c>
      <c r="AA158">
        <v>0</v>
      </c>
      <c r="AB158">
        <v>0</v>
      </c>
      <c r="AC158">
        <v>2.8631208016738244E-2</v>
      </c>
      <c r="AD158">
        <v>0</v>
      </c>
      <c r="AE158">
        <v>0</v>
      </c>
      <c r="AF158">
        <v>0</v>
      </c>
      <c r="AG158">
        <v>0</v>
      </c>
      <c r="AH158">
        <v>0.16738244686708506</v>
      </c>
      <c r="AI158">
        <v>3.0943728664244021E-2</v>
      </c>
      <c r="AJ158">
        <v>0</v>
      </c>
      <c r="AK158">
        <v>0</v>
      </c>
      <c r="AL158">
        <v>0</v>
      </c>
      <c r="AM158">
        <v>0</v>
      </c>
      <c r="AN158">
        <v>5.0985574275960802E-2</v>
      </c>
      <c r="AO158">
        <v>0</v>
      </c>
      <c r="AP158">
        <v>0</v>
      </c>
      <c r="AQ158">
        <v>0</v>
      </c>
      <c r="AR158">
        <v>0</v>
      </c>
      <c r="AS158">
        <v>4.6470653011782846E-2</v>
      </c>
      <c r="AT158">
        <v>1.1562603237528907E-2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0.14833168153287077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2.2024006166721727E-3</v>
      </c>
      <c r="CA158">
        <v>3.7440810483426935E-2</v>
      </c>
      <c r="CB158">
        <v>0</v>
      </c>
    </row>
    <row r="159" spans="1:80">
      <c r="A159">
        <v>158</v>
      </c>
      <c r="B159" s="4" t="s">
        <v>48</v>
      </c>
      <c r="C159" s="4" t="s">
        <v>162</v>
      </c>
      <c r="D159" s="4" t="s">
        <v>116</v>
      </c>
      <c r="E159" s="5">
        <v>39655</v>
      </c>
      <c r="F159" s="5">
        <v>39656</v>
      </c>
      <c r="G159">
        <v>807</v>
      </c>
      <c r="H159" s="4" t="s">
        <v>110</v>
      </c>
      <c r="I159" s="4" t="s">
        <v>108</v>
      </c>
      <c r="J159" s="4" t="str">
        <f t="shared" si="2"/>
        <v>u_rem.c_con</v>
      </c>
      <c r="K159" s="5">
        <v>8</v>
      </c>
      <c r="L159">
        <v>8.9706212155191742E-2</v>
      </c>
      <c r="M159">
        <v>0.12368244000897057</v>
      </c>
      <c r="N159">
        <v>0.25117739403453676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2.6911863646557527E-2</v>
      </c>
      <c r="Z159">
        <v>0.16147118187934514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9.4415788293339284E-2</v>
      </c>
      <c r="AI159">
        <v>1.5698587127158554E-2</v>
      </c>
      <c r="AJ159">
        <v>1.345593182327876E-2</v>
      </c>
      <c r="AK159">
        <v>0</v>
      </c>
      <c r="AL159">
        <v>8.9706212155191752E-3</v>
      </c>
      <c r="AM159">
        <v>0</v>
      </c>
      <c r="AN159">
        <v>4.2610450773716092E-2</v>
      </c>
      <c r="AO159">
        <v>0</v>
      </c>
      <c r="AP159">
        <v>0</v>
      </c>
      <c r="AQ159">
        <v>0</v>
      </c>
      <c r="AR159">
        <v>0</v>
      </c>
      <c r="AS159">
        <v>1.5698587127158554E-2</v>
      </c>
      <c r="AT159">
        <v>1.0091948867459075E-2</v>
      </c>
      <c r="AU159">
        <v>0</v>
      </c>
      <c r="AV159">
        <v>0</v>
      </c>
      <c r="AW159">
        <v>1.5698587127158554E-2</v>
      </c>
      <c r="AX159">
        <v>2.2426553038797938E-3</v>
      </c>
      <c r="AY159">
        <v>0</v>
      </c>
      <c r="AZ159">
        <v>0</v>
      </c>
      <c r="BA159">
        <v>0.11919712940121098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2.2426553038797938E-3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6.7279659116393801E-3</v>
      </c>
      <c r="CB159">
        <v>0</v>
      </c>
    </row>
    <row r="160" spans="1:80">
      <c r="A160">
        <v>159</v>
      </c>
      <c r="B160" s="4" t="s">
        <v>49</v>
      </c>
      <c r="C160" s="4" t="s">
        <v>162</v>
      </c>
      <c r="D160" s="4" t="s">
        <v>116</v>
      </c>
      <c r="E160" s="5">
        <v>39655</v>
      </c>
      <c r="F160" s="5">
        <v>39656</v>
      </c>
      <c r="G160">
        <v>807</v>
      </c>
      <c r="H160" s="4" t="s">
        <v>110</v>
      </c>
      <c r="I160" s="4" t="s">
        <v>109</v>
      </c>
      <c r="J160" s="4" t="str">
        <f t="shared" si="2"/>
        <v>u_rem.c_rem</v>
      </c>
      <c r="K160" s="5">
        <v>1</v>
      </c>
      <c r="L160">
        <v>7.396278747255286E-2</v>
      </c>
      <c r="M160">
        <v>0.29157517623945439</v>
      </c>
      <c r="N160">
        <v>0.13440425286027954</v>
      </c>
      <c r="O160">
        <v>9.2453484340691058E-3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2.5424708193690044E-2</v>
      </c>
      <c r="Z160">
        <v>7.858546168958741E-2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0.14122269733040549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5.1427250664509414E-2</v>
      </c>
      <c r="AO160">
        <v>0</v>
      </c>
      <c r="AP160">
        <v>0</v>
      </c>
      <c r="AQ160">
        <v>0</v>
      </c>
      <c r="AR160">
        <v>0</v>
      </c>
      <c r="AS160">
        <v>4.3915405061828262E-2</v>
      </c>
      <c r="AT160">
        <v>8.4363804460880609E-3</v>
      </c>
      <c r="AU160">
        <v>0</v>
      </c>
      <c r="AV160">
        <v>0</v>
      </c>
      <c r="AW160">
        <v>0</v>
      </c>
      <c r="AX160">
        <v>1.1556685542586382E-4</v>
      </c>
      <c r="AY160">
        <v>0</v>
      </c>
      <c r="AZ160">
        <v>0</v>
      </c>
      <c r="BA160">
        <v>0.13706229053507443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2.3113371085172764E-3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2.3113371085172764E-3</v>
      </c>
      <c r="CB160">
        <v>0</v>
      </c>
    </row>
    <row r="161" spans="1:80">
      <c r="A161">
        <v>160</v>
      </c>
      <c r="B161" s="4" t="s">
        <v>50</v>
      </c>
      <c r="C161" s="4" t="s">
        <v>162</v>
      </c>
      <c r="D161" s="4" t="s">
        <v>116</v>
      </c>
      <c r="E161" s="5">
        <v>39655</v>
      </c>
      <c r="F161" s="5">
        <v>39656</v>
      </c>
      <c r="G161">
        <v>807</v>
      </c>
      <c r="H161" s="4" t="s">
        <v>110</v>
      </c>
      <c r="I161" s="4" t="s">
        <v>109</v>
      </c>
      <c r="J161" s="4" t="str">
        <f t="shared" si="2"/>
        <v>u_rem.c_rem</v>
      </c>
      <c r="K161" s="5">
        <v>1</v>
      </c>
      <c r="L161">
        <v>1.8486424032351241E-2</v>
      </c>
      <c r="M161">
        <v>9.7284806470248411E-2</v>
      </c>
      <c r="N161">
        <v>0.13645291738879259</v>
      </c>
      <c r="O161">
        <v>2.0797227036395145E-2</v>
      </c>
      <c r="P161">
        <v>0</v>
      </c>
      <c r="Q161">
        <v>3.235124205661468E-2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5.7770075101097634E-2</v>
      </c>
      <c r="Z161">
        <v>9.5089543616406688E-2</v>
      </c>
      <c r="AA161">
        <v>0</v>
      </c>
      <c r="AB161">
        <v>0</v>
      </c>
      <c r="AC161">
        <v>6.9324090121317154E-3</v>
      </c>
      <c r="AD161">
        <v>0</v>
      </c>
      <c r="AE161">
        <v>4.6216060080878111E-3</v>
      </c>
      <c r="AF161">
        <v>0</v>
      </c>
      <c r="AG161">
        <v>0</v>
      </c>
      <c r="AH161">
        <v>3.2582322357019071E-2</v>
      </c>
      <c r="AI161">
        <v>0</v>
      </c>
      <c r="AJ161">
        <v>0.19641825534373192</v>
      </c>
      <c r="AK161">
        <v>2.5418833044482961E-2</v>
      </c>
      <c r="AL161">
        <v>0</v>
      </c>
      <c r="AM161">
        <v>0</v>
      </c>
      <c r="AN161">
        <v>1.6753321779318313E-2</v>
      </c>
      <c r="AO161">
        <v>0</v>
      </c>
      <c r="AP161">
        <v>0</v>
      </c>
      <c r="AQ161">
        <v>0</v>
      </c>
      <c r="AR161">
        <v>0</v>
      </c>
      <c r="AS161">
        <v>7.0479491623339123E-3</v>
      </c>
      <c r="AT161">
        <v>4.2749855574812264E-3</v>
      </c>
      <c r="AU161">
        <v>8.7810514153668404E-2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5.811669555170422E-2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2.0912767186597344E-2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8.0878105141536691E-2</v>
      </c>
      <c r="CB161">
        <v>0</v>
      </c>
    </row>
    <row r="162" spans="1:80">
      <c r="A162">
        <v>161</v>
      </c>
      <c r="B162" s="4" t="s">
        <v>51</v>
      </c>
      <c r="C162" s="4" t="s">
        <v>163</v>
      </c>
      <c r="D162" s="4" t="s">
        <v>116</v>
      </c>
      <c r="E162" s="5">
        <v>39655</v>
      </c>
      <c r="F162" s="5">
        <v>39656</v>
      </c>
      <c r="G162">
        <v>807</v>
      </c>
      <c r="H162" s="4" t="s">
        <v>107</v>
      </c>
      <c r="I162" s="4" t="s">
        <v>109</v>
      </c>
      <c r="J162" s="4" t="str">
        <f t="shared" si="2"/>
        <v>u_con.c_rem</v>
      </c>
      <c r="K162" s="5">
        <v>2</v>
      </c>
      <c r="L162">
        <v>0</v>
      </c>
      <c r="M162">
        <v>2.3449407902450464E-2</v>
      </c>
      <c r="N162">
        <v>0.10083245398053702</v>
      </c>
      <c r="O162">
        <v>1.4069644741470278E-2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0.19931996717082895</v>
      </c>
      <c r="Z162">
        <v>5.1588697385391021E-2</v>
      </c>
      <c r="AA162">
        <v>0</v>
      </c>
      <c r="AB162">
        <v>0</v>
      </c>
      <c r="AC162">
        <v>1.6414585531715323E-2</v>
      </c>
      <c r="AD162">
        <v>0</v>
      </c>
      <c r="AE162">
        <v>0</v>
      </c>
      <c r="AF162">
        <v>0</v>
      </c>
      <c r="AG162">
        <v>0</v>
      </c>
      <c r="AH162">
        <v>0.18302262867862576</v>
      </c>
      <c r="AI162">
        <v>1.4069644741470278E-2</v>
      </c>
      <c r="AJ162">
        <v>2.5794348692695514E-2</v>
      </c>
      <c r="AK162">
        <v>0</v>
      </c>
      <c r="AL162">
        <v>0</v>
      </c>
      <c r="AM162">
        <v>0</v>
      </c>
      <c r="AN162">
        <v>1.6531832571227575E-2</v>
      </c>
      <c r="AO162">
        <v>0</v>
      </c>
      <c r="AP162">
        <v>0</v>
      </c>
      <c r="AQ162">
        <v>0</v>
      </c>
      <c r="AR162">
        <v>0</v>
      </c>
      <c r="AS162">
        <v>0.1453863289951928</v>
      </c>
      <c r="AT162">
        <v>8.2072927658576641E-4</v>
      </c>
      <c r="AU162">
        <v>5.1588697385391027E-2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2.3449407902450467E-3</v>
      </c>
      <c r="BO162">
        <v>0</v>
      </c>
      <c r="BP162">
        <v>0</v>
      </c>
      <c r="BQ162">
        <v>2.3449407902450467E-3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0.15242115136592799</v>
      </c>
      <c r="CB162">
        <v>0</v>
      </c>
    </row>
    <row r="163" spans="1:80">
      <c r="A163">
        <v>162</v>
      </c>
      <c r="B163" s="4" t="s">
        <v>52</v>
      </c>
      <c r="C163" s="4" t="s">
        <v>163</v>
      </c>
      <c r="D163" s="4" t="s">
        <v>116</v>
      </c>
      <c r="E163" s="5">
        <v>39655</v>
      </c>
      <c r="F163" s="5">
        <v>39656</v>
      </c>
      <c r="G163">
        <v>807</v>
      </c>
      <c r="H163" s="4" t="s">
        <v>107</v>
      </c>
      <c r="I163" s="4" t="s">
        <v>109</v>
      </c>
      <c r="J163" s="4" t="str">
        <f t="shared" si="2"/>
        <v>u_con.c_rem</v>
      </c>
      <c r="K163" s="5">
        <v>2</v>
      </c>
      <c r="L163">
        <v>3.5539760106619286E-2</v>
      </c>
      <c r="M163">
        <v>4.8978231896934697E-2</v>
      </c>
      <c r="N163">
        <v>0.11772545535317637</v>
      </c>
      <c r="O163">
        <v>7.9964460239893384E-2</v>
      </c>
      <c r="P163">
        <v>0</v>
      </c>
      <c r="Q163">
        <v>2.4433585073300755E-2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0.21545979564637935</v>
      </c>
      <c r="Z163">
        <v>0.12883163038649487</v>
      </c>
      <c r="AA163">
        <v>0</v>
      </c>
      <c r="AB163">
        <v>0</v>
      </c>
      <c r="AC163">
        <v>2.221235006663705E-3</v>
      </c>
      <c r="AD163">
        <v>0</v>
      </c>
      <c r="AE163">
        <v>0</v>
      </c>
      <c r="AF163">
        <v>0</v>
      </c>
      <c r="AG163">
        <v>0</v>
      </c>
      <c r="AH163">
        <v>9.7734340293202979E-2</v>
      </c>
      <c r="AI163">
        <v>0</v>
      </c>
      <c r="AJ163">
        <v>5.9973345179920035E-2</v>
      </c>
      <c r="AK163">
        <v>0</v>
      </c>
      <c r="AL163">
        <v>0</v>
      </c>
      <c r="AM163">
        <v>0</v>
      </c>
      <c r="AN163">
        <v>6.4526876943580655E-2</v>
      </c>
      <c r="AO163">
        <v>0</v>
      </c>
      <c r="AP163">
        <v>0</v>
      </c>
      <c r="AQ163">
        <v>0</v>
      </c>
      <c r="AR163">
        <v>0</v>
      </c>
      <c r="AS163">
        <v>4.2203465126610398E-2</v>
      </c>
      <c r="AT163">
        <v>1.1106175033318525E-4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8.2185695246557069E-2</v>
      </c>
      <c r="CB163">
        <v>0</v>
      </c>
    </row>
    <row r="164" spans="1:80">
      <c r="A164">
        <v>163</v>
      </c>
      <c r="B164" s="4" t="s">
        <v>53</v>
      </c>
      <c r="C164" s="4" t="s">
        <v>163</v>
      </c>
      <c r="D164" s="4" t="s">
        <v>116</v>
      </c>
      <c r="E164" s="5">
        <v>39655</v>
      </c>
      <c r="F164" s="5">
        <v>39656</v>
      </c>
      <c r="G164">
        <v>807</v>
      </c>
      <c r="H164" s="4" t="s">
        <v>107</v>
      </c>
      <c r="I164" s="4" t="s">
        <v>108</v>
      </c>
      <c r="J164" s="4" t="str">
        <f t="shared" si="2"/>
        <v>u_con.c_con</v>
      </c>
      <c r="K164" s="5">
        <v>19</v>
      </c>
      <c r="L164">
        <v>8.6937622256031324E-3</v>
      </c>
      <c r="M164">
        <v>5.2162573353618798E-2</v>
      </c>
      <c r="N164">
        <v>9.9978265594435983E-2</v>
      </c>
      <c r="O164">
        <v>4.7815692240817227E-2</v>
      </c>
      <c r="P164">
        <v>0</v>
      </c>
      <c r="Q164">
        <v>8.6937622256031324E-3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0.19343620951966969</v>
      </c>
      <c r="Z164">
        <v>0.20430341230167359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8.6937622256031313E-2</v>
      </c>
      <c r="AI164">
        <v>0</v>
      </c>
      <c r="AJ164">
        <v>4.3468811128015662E-3</v>
      </c>
      <c r="AK164">
        <v>0</v>
      </c>
      <c r="AL164">
        <v>5.4336013910019569E-2</v>
      </c>
      <c r="AM164">
        <v>0</v>
      </c>
      <c r="AN164">
        <v>1.5214083894805479E-2</v>
      </c>
      <c r="AO164">
        <v>0</v>
      </c>
      <c r="AP164">
        <v>0</v>
      </c>
      <c r="AQ164">
        <v>0</v>
      </c>
      <c r="AR164">
        <v>0</v>
      </c>
      <c r="AS164">
        <v>4.5642251684416463E-2</v>
      </c>
      <c r="AT164">
        <v>2.173440556400783E-4</v>
      </c>
      <c r="AU164">
        <v>8.6937622256031324E-3</v>
      </c>
      <c r="AV164">
        <v>0</v>
      </c>
      <c r="AW164">
        <v>2.1734405564007831E-3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2.1734405564007831E-3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0.16518148228645949</v>
      </c>
      <c r="CB164">
        <v>0</v>
      </c>
    </row>
    <row r="165" spans="1:80">
      <c r="A165">
        <v>164</v>
      </c>
      <c r="B165" s="4" t="s">
        <v>54</v>
      </c>
      <c r="C165" s="4" t="s">
        <v>163</v>
      </c>
      <c r="D165" s="4" t="s">
        <v>116</v>
      </c>
      <c r="E165" s="5">
        <v>39655</v>
      </c>
      <c r="F165" s="5">
        <v>39656</v>
      </c>
      <c r="G165">
        <v>807</v>
      </c>
      <c r="H165" s="4" t="s">
        <v>107</v>
      </c>
      <c r="I165" s="4" t="s">
        <v>108</v>
      </c>
      <c r="J165" s="4" t="str">
        <f t="shared" si="2"/>
        <v>u_con.c_con</v>
      </c>
      <c r="K165" s="5">
        <v>19</v>
      </c>
      <c r="L165">
        <v>0</v>
      </c>
      <c r="M165">
        <v>1.9015423621381783E-2</v>
      </c>
      <c r="N165">
        <v>9.2964293260088732E-2</v>
      </c>
      <c r="O165">
        <v>7.1836044791886738E-2</v>
      </c>
      <c r="P165">
        <v>0</v>
      </c>
      <c r="Q165">
        <v>4.8594971476864555E-2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0.27889287978026617</v>
      </c>
      <c r="Z165">
        <v>0.31269807732938931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1.267694908092119E-2</v>
      </c>
      <c r="AI165">
        <v>0</v>
      </c>
      <c r="AJ165">
        <v>2.5353898161842383E-2</v>
      </c>
      <c r="AK165">
        <v>0</v>
      </c>
      <c r="AL165">
        <v>0</v>
      </c>
      <c r="AM165">
        <v>0</v>
      </c>
      <c r="AN165">
        <v>2.3452355799704203E-2</v>
      </c>
      <c r="AO165">
        <v>0</v>
      </c>
      <c r="AP165">
        <v>0</v>
      </c>
      <c r="AQ165">
        <v>0</v>
      </c>
      <c r="AR165">
        <v>0</v>
      </c>
      <c r="AS165">
        <v>3.8242129727445597E-2</v>
      </c>
      <c r="AT165">
        <v>1.0564124234100992E-4</v>
      </c>
      <c r="AU165">
        <v>6.3384745404605949E-3</v>
      </c>
      <c r="AV165">
        <v>0</v>
      </c>
      <c r="AW165">
        <v>0</v>
      </c>
      <c r="AX165">
        <v>2.2184660891612085E-3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2.1128248468201983E-3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6.5497570251426149E-2</v>
      </c>
      <c r="CB165">
        <v>0</v>
      </c>
    </row>
    <row r="166" spans="1:80">
      <c r="A166">
        <v>165</v>
      </c>
      <c r="B166" s="4" t="s">
        <v>55</v>
      </c>
      <c r="C166" s="4" t="s">
        <v>164</v>
      </c>
      <c r="D166" s="4" t="s">
        <v>116</v>
      </c>
      <c r="E166" s="5">
        <v>39655</v>
      </c>
      <c r="F166" s="5">
        <v>39656</v>
      </c>
      <c r="G166">
        <v>807</v>
      </c>
      <c r="H166" s="4" t="s">
        <v>110</v>
      </c>
      <c r="I166" s="4" t="s">
        <v>108</v>
      </c>
      <c r="J166" s="4" t="str">
        <f t="shared" si="2"/>
        <v>u_rem.c_con</v>
      </c>
      <c r="K166" s="5">
        <v>8</v>
      </c>
      <c r="L166">
        <v>0</v>
      </c>
      <c r="M166">
        <v>1.0522992739135009E-2</v>
      </c>
      <c r="N166">
        <v>2.1045985478270017E-3</v>
      </c>
      <c r="O166">
        <v>9.6811533200042044E-2</v>
      </c>
      <c r="P166">
        <v>0</v>
      </c>
      <c r="Q166">
        <v>5.4719562243502044E-2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0.66084394401767832</v>
      </c>
      <c r="Z166">
        <v>0</v>
      </c>
      <c r="AA166">
        <v>1.0522992739135009E-2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0.11154372303483108</v>
      </c>
      <c r="AM166">
        <v>0</v>
      </c>
      <c r="AN166">
        <v>2.3255813953488368E-2</v>
      </c>
      <c r="AO166">
        <v>0</v>
      </c>
      <c r="AP166">
        <v>0</v>
      </c>
      <c r="AQ166">
        <v>0</v>
      </c>
      <c r="AR166">
        <v>0</v>
      </c>
      <c r="AS166">
        <v>2.7359781121751022E-2</v>
      </c>
      <c r="AT166">
        <v>0</v>
      </c>
      <c r="AU166">
        <v>0</v>
      </c>
      <c r="AV166">
        <v>2.1045985478270017E-3</v>
      </c>
      <c r="AW166">
        <v>0</v>
      </c>
      <c r="AX166">
        <v>0</v>
      </c>
      <c r="AY166">
        <v>0</v>
      </c>
      <c r="AZ166">
        <v>0</v>
      </c>
      <c r="BA166">
        <v>2.1045985478270016E-4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0.01</v>
      </c>
      <c r="CB166">
        <v>0</v>
      </c>
    </row>
    <row r="167" spans="1:80">
      <c r="A167">
        <v>166</v>
      </c>
      <c r="B167" s="4" t="s">
        <v>56</v>
      </c>
      <c r="C167" s="4" t="s">
        <v>164</v>
      </c>
      <c r="D167" s="4" t="s">
        <v>116</v>
      </c>
      <c r="E167" s="5">
        <v>39655</v>
      </c>
      <c r="F167" s="5">
        <v>39656</v>
      </c>
      <c r="G167">
        <v>807</v>
      </c>
      <c r="H167" s="4" t="s">
        <v>110</v>
      </c>
      <c r="I167" s="4" t="s">
        <v>109</v>
      </c>
      <c r="J167" s="4" t="str">
        <f t="shared" si="2"/>
        <v>u_rem.c_rem</v>
      </c>
      <c r="K167" s="5">
        <v>1</v>
      </c>
      <c r="L167">
        <v>0</v>
      </c>
      <c r="M167">
        <v>2.1680216802168022E-3</v>
      </c>
      <c r="N167">
        <v>0.15826558265582652</v>
      </c>
      <c r="O167">
        <v>2.3848238482384827E-2</v>
      </c>
      <c r="P167">
        <v>0</v>
      </c>
      <c r="Q167">
        <v>2.6016260162601629E-2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0.36422764227642279</v>
      </c>
      <c r="Z167">
        <v>9.5392953929539309E-2</v>
      </c>
      <c r="AA167">
        <v>1.0840108401084011E-2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1.5284552845528454E-2</v>
      </c>
      <c r="AI167">
        <v>4.5528455284552849E-2</v>
      </c>
      <c r="AJ167">
        <v>0</v>
      </c>
      <c r="AK167">
        <v>0</v>
      </c>
      <c r="AL167">
        <v>0.20813008130081304</v>
      </c>
      <c r="AM167">
        <v>0</v>
      </c>
      <c r="AN167">
        <v>1.3333333333333332E-2</v>
      </c>
      <c r="AO167">
        <v>0</v>
      </c>
      <c r="AP167">
        <v>0</v>
      </c>
      <c r="AQ167">
        <v>0</v>
      </c>
      <c r="AR167">
        <v>0</v>
      </c>
      <c r="AS167">
        <v>1.5176151761517613E-2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1.962059620596206E-2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2.1680216802168022E-3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0.01</v>
      </c>
      <c r="CB167">
        <v>0</v>
      </c>
    </row>
    <row r="168" spans="1:80">
      <c r="A168">
        <v>167</v>
      </c>
      <c r="B168" s="4" t="s">
        <v>57</v>
      </c>
      <c r="C168" s="4" t="s">
        <v>164</v>
      </c>
      <c r="D168" s="4" t="s">
        <v>116</v>
      </c>
      <c r="E168" s="5">
        <v>39655</v>
      </c>
      <c r="F168" s="5">
        <v>39656</v>
      </c>
      <c r="G168">
        <v>807</v>
      </c>
      <c r="H168" s="4" t="s">
        <v>110</v>
      </c>
      <c r="I168" s="4" t="s">
        <v>108</v>
      </c>
      <c r="J168" s="4" t="str">
        <f t="shared" si="2"/>
        <v>u_rem.c_con</v>
      </c>
      <c r="K168" s="5">
        <v>8</v>
      </c>
      <c r="L168">
        <v>2.1673168617251846E-3</v>
      </c>
      <c r="M168">
        <v>8.6692674469007382E-3</v>
      </c>
      <c r="N168">
        <v>3.2509752925877766E-2</v>
      </c>
      <c r="O168">
        <v>2.1673168617251843E-2</v>
      </c>
      <c r="P168">
        <v>0</v>
      </c>
      <c r="Q168">
        <v>1.0836584308625923E-2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0.62852188990030333</v>
      </c>
      <c r="Z168">
        <v>7.8023407022106639E-2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1.0836584308625923E-2</v>
      </c>
      <c r="AI168">
        <v>0</v>
      </c>
      <c r="AJ168">
        <v>0</v>
      </c>
      <c r="AK168">
        <v>0</v>
      </c>
      <c r="AL168">
        <v>0.17121803207628958</v>
      </c>
      <c r="AM168">
        <v>0</v>
      </c>
      <c r="AN168">
        <v>1.0944950151712181E-2</v>
      </c>
      <c r="AO168">
        <v>0</v>
      </c>
      <c r="AP168">
        <v>0</v>
      </c>
      <c r="AQ168">
        <v>0</v>
      </c>
      <c r="AR168">
        <v>0</v>
      </c>
      <c r="AS168">
        <v>1.7555266579973992E-2</v>
      </c>
      <c r="AT168">
        <v>3.2509752925877764E-4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2.3840485478977035E-3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4.3346337234503691E-3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</row>
    <row r="169" spans="1:80">
      <c r="A169">
        <v>168</v>
      </c>
      <c r="B169" s="4" t="s">
        <v>58</v>
      </c>
      <c r="C169" s="4" t="s">
        <v>164</v>
      </c>
      <c r="D169" s="4" t="s">
        <v>116</v>
      </c>
      <c r="E169" s="5">
        <v>39655</v>
      </c>
      <c r="F169" s="5">
        <v>39656</v>
      </c>
      <c r="G169">
        <v>807</v>
      </c>
      <c r="H169" s="4" t="s">
        <v>110</v>
      </c>
      <c r="I169" s="4" t="s">
        <v>109</v>
      </c>
      <c r="J169" s="4" t="str">
        <f t="shared" si="2"/>
        <v>u_rem.c_rem</v>
      </c>
      <c r="K169" s="5">
        <v>1</v>
      </c>
      <c r="L169">
        <v>4.3787629994526548E-3</v>
      </c>
      <c r="M169">
        <v>1.1056376573617951E-2</v>
      </c>
      <c r="N169">
        <v>0.10519978106185003</v>
      </c>
      <c r="O169">
        <v>2.189381499726327E-2</v>
      </c>
      <c r="P169">
        <v>0</v>
      </c>
      <c r="Q169">
        <v>0.10727969348659004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0.39627805145046524</v>
      </c>
      <c r="Z169">
        <v>0.15774493705528186</v>
      </c>
      <c r="AA169">
        <v>2.200328407224959E-2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1.9813902572523259E-2</v>
      </c>
      <c r="AI169">
        <v>2.1893814997263274E-3</v>
      </c>
      <c r="AJ169">
        <v>0</v>
      </c>
      <c r="AK169">
        <v>0</v>
      </c>
      <c r="AL169">
        <v>0.10727969348659001</v>
      </c>
      <c r="AM169">
        <v>0</v>
      </c>
      <c r="AN169">
        <v>1.1275314723590585E-2</v>
      </c>
      <c r="AO169">
        <v>0</v>
      </c>
      <c r="AP169">
        <v>0</v>
      </c>
      <c r="AQ169">
        <v>0</v>
      </c>
      <c r="AR169">
        <v>0</v>
      </c>
      <c r="AS169">
        <v>2.87903667214012E-2</v>
      </c>
      <c r="AT169">
        <v>4.3787629994526542E-4</v>
      </c>
      <c r="AU169">
        <v>2.1893814997263274E-3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2.1893814997263274E-3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</row>
    <row r="170" spans="1:80" s="1" customFormat="1">
      <c r="A170">
        <v>169</v>
      </c>
      <c r="B170" s="4" t="s">
        <v>59</v>
      </c>
      <c r="C170" s="4" t="s">
        <v>165</v>
      </c>
      <c r="D170" s="4" t="s">
        <v>117</v>
      </c>
      <c r="E170" s="5">
        <v>39656</v>
      </c>
      <c r="F170" s="5">
        <v>39656</v>
      </c>
      <c r="G170">
        <v>807</v>
      </c>
      <c r="H170" s="4" t="s">
        <v>107</v>
      </c>
      <c r="I170" s="4" t="s">
        <v>109</v>
      </c>
      <c r="J170" s="4" t="str">
        <f t="shared" si="2"/>
        <v>u_con.c_rem</v>
      </c>
      <c r="K170" s="5">
        <v>2</v>
      </c>
      <c r="L170">
        <v>6.4343163538873984E-3</v>
      </c>
      <c r="M170">
        <v>6.6487935656836444E-2</v>
      </c>
      <c r="N170">
        <v>1.0723860589812331E-2</v>
      </c>
      <c r="O170">
        <v>3.431635388739946E-2</v>
      </c>
      <c r="P170">
        <v>8.1501340482573709E-2</v>
      </c>
      <c r="Q170">
        <v>3.6782841823056293E-2</v>
      </c>
      <c r="R170">
        <v>0.33029490616621981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2.3592493297587131E-2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8.1501340482573709E-2</v>
      </c>
      <c r="AK170">
        <v>0</v>
      </c>
      <c r="AL170">
        <v>0.24450402144772115</v>
      </c>
      <c r="AM170">
        <v>0</v>
      </c>
      <c r="AN170">
        <v>4.2895442359249325E-3</v>
      </c>
      <c r="AO170">
        <v>0</v>
      </c>
      <c r="AP170">
        <v>0</v>
      </c>
      <c r="AQ170">
        <v>0</v>
      </c>
      <c r="AR170">
        <v>0</v>
      </c>
      <c r="AS170">
        <v>1.0723860589812331E-4</v>
      </c>
      <c r="AT170">
        <v>0</v>
      </c>
      <c r="AU170">
        <v>0</v>
      </c>
      <c r="AV170">
        <v>0</v>
      </c>
      <c r="AW170">
        <v>2.1447721179624663E-3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1.0723860589812331E-4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7.721179624664877E-2</v>
      </c>
      <c r="CB170">
        <v>0</v>
      </c>
    </row>
    <row r="171" spans="1:80" s="1" customFormat="1">
      <c r="A171">
        <v>170</v>
      </c>
      <c r="B171" s="4" t="s">
        <v>60</v>
      </c>
      <c r="C171" s="4" t="s">
        <v>165</v>
      </c>
      <c r="D171" s="4" t="s">
        <v>117</v>
      </c>
      <c r="E171" s="5">
        <v>39656</v>
      </c>
      <c r="F171" s="5">
        <v>39656</v>
      </c>
      <c r="G171">
        <v>807</v>
      </c>
      <c r="H171" s="4" t="s">
        <v>107</v>
      </c>
      <c r="I171" s="4" t="s">
        <v>108</v>
      </c>
      <c r="J171" s="4" t="str">
        <f t="shared" si="2"/>
        <v>u_con.c_con</v>
      </c>
      <c r="K171" s="5">
        <v>19</v>
      </c>
      <c r="L171">
        <v>2.4630541871921191E-3</v>
      </c>
      <c r="M171">
        <v>0.37192118226601001</v>
      </c>
      <c r="N171">
        <v>2.9556650246305431E-2</v>
      </c>
      <c r="O171">
        <v>1.4778325123152714E-2</v>
      </c>
      <c r="P171">
        <v>0</v>
      </c>
      <c r="Q171">
        <v>9.8522167487684765E-3</v>
      </c>
      <c r="R171">
        <v>0.2216748768472907</v>
      </c>
      <c r="S171">
        <v>0</v>
      </c>
      <c r="T171">
        <v>1.4778325123152714E-2</v>
      </c>
      <c r="U171">
        <v>0</v>
      </c>
      <c r="V171">
        <v>0</v>
      </c>
      <c r="W171">
        <v>0</v>
      </c>
      <c r="X171">
        <v>0</v>
      </c>
      <c r="Y171">
        <v>0.14285714285714288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7.3891625615763569E-3</v>
      </c>
      <c r="AK171">
        <v>0</v>
      </c>
      <c r="AL171">
        <v>0.14532019704433502</v>
      </c>
      <c r="AM171">
        <v>0</v>
      </c>
      <c r="AN171">
        <v>4.9261083743842382E-3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7.3891625615763578E-3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1.9704433497536953E-2</v>
      </c>
      <c r="CB171">
        <v>0</v>
      </c>
    </row>
    <row r="172" spans="1:80">
      <c r="A172">
        <v>171</v>
      </c>
      <c r="B172" s="4" t="s">
        <v>61</v>
      </c>
      <c r="C172" s="4" t="s">
        <v>165</v>
      </c>
      <c r="D172" s="4" t="s">
        <v>117</v>
      </c>
      <c r="E172" s="5">
        <v>39656</v>
      </c>
      <c r="F172" s="5">
        <v>39656</v>
      </c>
      <c r="G172">
        <v>807</v>
      </c>
      <c r="H172" s="4" t="s">
        <v>107</v>
      </c>
      <c r="I172" s="4" t="s">
        <v>109</v>
      </c>
      <c r="J172" s="4" t="str">
        <f t="shared" si="2"/>
        <v>u_con.c_rem</v>
      </c>
      <c r="K172" s="5">
        <v>2</v>
      </c>
      <c r="L172">
        <v>0</v>
      </c>
      <c r="M172">
        <v>0.22147651006711408</v>
      </c>
      <c r="N172">
        <v>2.6845637583892624E-2</v>
      </c>
      <c r="O172">
        <v>3.3557046979865786E-2</v>
      </c>
      <c r="P172">
        <v>0</v>
      </c>
      <c r="Q172">
        <v>0.12304250559284118</v>
      </c>
      <c r="R172">
        <v>0.1319910514541387</v>
      </c>
      <c r="S172">
        <v>4.0268456375838937E-2</v>
      </c>
      <c r="T172">
        <v>4.4742729306487703E-3</v>
      </c>
      <c r="U172">
        <v>0</v>
      </c>
      <c r="V172">
        <v>0</v>
      </c>
      <c r="W172">
        <v>0</v>
      </c>
      <c r="X172">
        <v>0</v>
      </c>
      <c r="Y172">
        <v>0.01</v>
      </c>
      <c r="Z172">
        <v>0</v>
      </c>
      <c r="AA172">
        <v>0</v>
      </c>
      <c r="AB172">
        <v>0</v>
      </c>
      <c r="AC172">
        <v>8.9485458612975407E-3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8.9485458612975407E-3</v>
      </c>
      <c r="AJ172">
        <v>0.16331096196868006</v>
      </c>
      <c r="AK172">
        <v>0</v>
      </c>
      <c r="AL172">
        <v>0</v>
      </c>
      <c r="AM172">
        <v>0</v>
      </c>
      <c r="AN172">
        <v>4.4742729306487703E-3</v>
      </c>
      <c r="AO172">
        <v>0</v>
      </c>
      <c r="AP172">
        <v>0</v>
      </c>
      <c r="AQ172">
        <v>0</v>
      </c>
      <c r="AR172">
        <v>0</v>
      </c>
      <c r="AS172">
        <v>2.2371364653243852E-3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2.2371364653243852E-3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0.22818791946308722</v>
      </c>
      <c r="CB172">
        <v>0</v>
      </c>
    </row>
    <row r="173" spans="1:80">
      <c r="A173">
        <v>172</v>
      </c>
      <c r="B173" s="4" t="s">
        <v>62</v>
      </c>
      <c r="C173" s="4" t="s">
        <v>165</v>
      </c>
      <c r="D173" s="4" t="s">
        <v>117</v>
      </c>
      <c r="E173" s="5">
        <v>39656</v>
      </c>
      <c r="F173" s="5">
        <v>39656</v>
      </c>
      <c r="G173">
        <v>807</v>
      </c>
      <c r="H173" s="4" t="s">
        <v>107</v>
      </c>
      <c r="I173" s="4" t="s">
        <v>108</v>
      </c>
      <c r="J173" s="4" t="str">
        <f t="shared" si="2"/>
        <v>u_con.c_con</v>
      </c>
      <c r="K173" s="5">
        <v>19</v>
      </c>
      <c r="L173">
        <v>0</v>
      </c>
      <c r="M173">
        <v>5.1696284329563823E-2</v>
      </c>
      <c r="N173">
        <v>8.6160473882606371E-3</v>
      </c>
      <c r="O173">
        <v>4.5341949380721613E-2</v>
      </c>
      <c r="P173">
        <v>0</v>
      </c>
      <c r="Q173">
        <v>3.231017770597739E-2</v>
      </c>
      <c r="R173">
        <v>0</v>
      </c>
      <c r="S173">
        <v>2.1540118470651593E-3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0.23047926763597207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6.4620355411954778E-3</v>
      </c>
      <c r="AJ173">
        <v>2.1540118470651593E-3</v>
      </c>
      <c r="AK173">
        <v>0</v>
      </c>
      <c r="AL173">
        <v>0.55142703284868078</v>
      </c>
      <c r="AM173">
        <v>0</v>
      </c>
      <c r="AN173">
        <v>1.3031771674744213E-2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2.1540118470651593E-3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2.1540118470651594E-4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5.3850296176628981E-2</v>
      </c>
      <c r="CB173">
        <v>0</v>
      </c>
    </row>
    <row r="174" spans="1:80">
      <c r="A174">
        <v>173</v>
      </c>
      <c r="B174" s="4" t="s">
        <v>106</v>
      </c>
      <c r="C174" s="4" t="s">
        <v>166</v>
      </c>
      <c r="D174" s="4" t="s">
        <v>117</v>
      </c>
      <c r="E174" s="5">
        <v>39656</v>
      </c>
      <c r="F174" s="5">
        <v>39656</v>
      </c>
      <c r="G174">
        <v>807</v>
      </c>
      <c r="H174" s="4" t="s">
        <v>110</v>
      </c>
      <c r="I174" s="4" t="s">
        <v>109</v>
      </c>
      <c r="J174" s="4" t="str">
        <f t="shared" si="2"/>
        <v>u_rem.c_rem</v>
      </c>
      <c r="K174" s="5">
        <v>1</v>
      </c>
      <c r="L174">
        <v>0</v>
      </c>
      <c r="M174">
        <v>6.4728353140916821E-3</v>
      </c>
      <c r="N174">
        <v>4.2444821731748732E-2</v>
      </c>
      <c r="O174">
        <v>0.30560271646859083</v>
      </c>
      <c r="P174">
        <v>0</v>
      </c>
      <c r="Q174">
        <v>0.13157894736842107</v>
      </c>
      <c r="R174">
        <v>0</v>
      </c>
      <c r="S174">
        <v>2.2283531409168084E-3</v>
      </c>
      <c r="T174">
        <v>2.7589134125636676E-2</v>
      </c>
      <c r="U174">
        <v>0</v>
      </c>
      <c r="V174">
        <v>0</v>
      </c>
      <c r="W174">
        <v>0</v>
      </c>
      <c r="X174">
        <v>0</v>
      </c>
      <c r="Y174">
        <v>9.5500848896434634E-2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7.4384550084889658E-2</v>
      </c>
      <c r="AK174">
        <v>0</v>
      </c>
      <c r="AL174">
        <v>2.1222410865874364E-3</v>
      </c>
      <c r="AM174">
        <v>0</v>
      </c>
      <c r="AN174">
        <v>4.2444821731748728E-3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4.2444821731748728E-3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2.1222410865874364E-3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0.29074702886247877</v>
      </c>
      <c r="CB174">
        <v>0</v>
      </c>
    </row>
    <row r="175" spans="1:80" s="1" customFormat="1">
      <c r="A175">
        <v>174</v>
      </c>
      <c r="B175" s="4" t="s">
        <v>63</v>
      </c>
      <c r="C175" s="4" t="s">
        <v>166</v>
      </c>
      <c r="D175" s="4" t="s">
        <v>117</v>
      </c>
      <c r="E175" s="5">
        <v>39656</v>
      </c>
      <c r="F175" s="5">
        <v>39656</v>
      </c>
      <c r="G175">
        <v>807</v>
      </c>
      <c r="H175" s="4" t="s">
        <v>110</v>
      </c>
      <c r="I175" s="4" t="s">
        <v>108</v>
      </c>
      <c r="J175" s="4" t="str">
        <f t="shared" si="2"/>
        <v>u_rem.c_con</v>
      </c>
      <c r="K175" s="5">
        <v>8</v>
      </c>
      <c r="L175">
        <v>0</v>
      </c>
      <c r="M175">
        <v>2.6653395266533958E-2</v>
      </c>
      <c r="N175">
        <v>3.981420039814202E-2</v>
      </c>
      <c r="O175">
        <v>7.9628400796284027E-2</v>
      </c>
      <c r="P175">
        <v>0</v>
      </c>
      <c r="Q175">
        <v>6.6357000663570032E-2</v>
      </c>
      <c r="R175">
        <v>0</v>
      </c>
      <c r="S175">
        <v>0</v>
      </c>
      <c r="T175">
        <v>1.1170095111700952E-2</v>
      </c>
      <c r="U175">
        <v>0</v>
      </c>
      <c r="V175">
        <v>0</v>
      </c>
      <c r="W175">
        <v>0</v>
      </c>
      <c r="X175">
        <v>0</v>
      </c>
      <c r="Y175">
        <v>0.30303030303030309</v>
      </c>
      <c r="Z175">
        <v>0</v>
      </c>
      <c r="AA175">
        <v>0</v>
      </c>
      <c r="AB175">
        <v>4.4238000442380016E-3</v>
      </c>
      <c r="AC175">
        <v>0</v>
      </c>
      <c r="AD175">
        <v>1.7695200176952006E-2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0.20570670205706698</v>
      </c>
      <c r="AK175">
        <v>2.2119000221190008E-3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4.4238000442380016E-3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0.23888520238885211</v>
      </c>
      <c r="CB175">
        <v>0</v>
      </c>
    </row>
    <row r="176" spans="1:80">
      <c r="A176">
        <v>175</v>
      </c>
      <c r="B176" s="4" t="s">
        <v>64</v>
      </c>
      <c r="C176" s="4" t="s">
        <v>166</v>
      </c>
      <c r="D176" s="4" t="s">
        <v>117</v>
      </c>
      <c r="E176" s="5">
        <v>39656</v>
      </c>
      <c r="F176" s="5">
        <v>39656</v>
      </c>
      <c r="G176">
        <v>807</v>
      </c>
      <c r="H176" s="4" t="s">
        <v>110</v>
      </c>
      <c r="I176" s="4" t="s">
        <v>109</v>
      </c>
      <c r="J176" s="4" t="str">
        <f t="shared" si="2"/>
        <v>u_rem.c_rem</v>
      </c>
      <c r="K176" s="5">
        <v>1</v>
      </c>
      <c r="L176">
        <v>0</v>
      </c>
      <c r="M176">
        <v>2.0174848688634835E-2</v>
      </c>
      <c r="N176">
        <v>0.17036538892624972</v>
      </c>
      <c r="O176">
        <v>0.36763057610401256</v>
      </c>
      <c r="P176">
        <v>0</v>
      </c>
      <c r="Q176">
        <v>9.6390943734588674E-2</v>
      </c>
      <c r="R176">
        <v>2.9141448105805878E-2</v>
      </c>
      <c r="S176">
        <v>2.9141448105805878E-2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3.5866397668684158E-2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9.4149293880295915E-2</v>
      </c>
      <c r="AK176">
        <v>0</v>
      </c>
      <c r="AL176">
        <v>0</v>
      </c>
      <c r="AM176">
        <v>0</v>
      </c>
      <c r="AN176">
        <v>1.12082492714638E-4</v>
      </c>
      <c r="AO176">
        <v>0</v>
      </c>
      <c r="AP176">
        <v>0</v>
      </c>
      <c r="AQ176">
        <v>2.3537323470073979E-3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0.15019054023761488</v>
      </c>
      <c r="CB176">
        <v>0</v>
      </c>
    </row>
    <row r="177" spans="1:80">
      <c r="A177">
        <v>176</v>
      </c>
      <c r="B177" s="4" t="s">
        <v>65</v>
      </c>
      <c r="C177" s="4" t="s">
        <v>166</v>
      </c>
      <c r="D177" s="4" t="s">
        <v>117</v>
      </c>
      <c r="E177" s="5">
        <v>39656</v>
      </c>
      <c r="F177" s="5">
        <v>39656</v>
      </c>
      <c r="G177">
        <v>807</v>
      </c>
      <c r="H177" s="4" t="s">
        <v>110</v>
      </c>
      <c r="I177" s="4" t="s">
        <v>108</v>
      </c>
      <c r="J177" s="4" t="str">
        <f t="shared" si="2"/>
        <v>u_rem.c_con</v>
      </c>
      <c r="K177" s="5">
        <v>8</v>
      </c>
      <c r="L177">
        <v>8.7700065775049348E-3</v>
      </c>
      <c r="M177">
        <v>5.7005042753782077E-2</v>
      </c>
      <c r="N177">
        <v>4.6042534531900915E-2</v>
      </c>
      <c r="O177">
        <v>7.2352554264415711E-2</v>
      </c>
      <c r="P177">
        <v>0</v>
      </c>
      <c r="Q177">
        <v>0.16882262661696992</v>
      </c>
      <c r="R177">
        <v>0</v>
      </c>
      <c r="S177">
        <v>0</v>
      </c>
      <c r="T177">
        <v>4.8454286340714775E-2</v>
      </c>
      <c r="U177">
        <v>0</v>
      </c>
      <c r="V177">
        <v>0</v>
      </c>
      <c r="W177">
        <v>0</v>
      </c>
      <c r="X177">
        <v>0</v>
      </c>
      <c r="Y177">
        <v>9.4277570708178049E-2</v>
      </c>
      <c r="Z177">
        <v>0</v>
      </c>
      <c r="AA177">
        <v>0</v>
      </c>
      <c r="AB177">
        <v>8.7700065775049348E-3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0.20390265292698967</v>
      </c>
      <c r="AK177">
        <v>0</v>
      </c>
      <c r="AL177">
        <v>0</v>
      </c>
      <c r="AM177">
        <v>0</v>
      </c>
      <c r="AN177">
        <v>1.5347511510633634E-2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2.1925016443762337E-3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0.27187020390265293</v>
      </c>
      <c r="CB177">
        <v>0</v>
      </c>
    </row>
    <row r="178" spans="1:80">
      <c r="A178">
        <v>177</v>
      </c>
      <c r="B178" s="4" t="s">
        <v>66</v>
      </c>
      <c r="C178" s="4" t="s">
        <v>167</v>
      </c>
      <c r="D178" s="4" t="s">
        <v>117</v>
      </c>
      <c r="E178" s="5">
        <v>39656</v>
      </c>
      <c r="F178" s="5">
        <v>39656</v>
      </c>
      <c r="G178">
        <v>807</v>
      </c>
      <c r="H178" s="4" t="s">
        <v>107</v>
      </c>
      <c r="I178" s="4" t="s">
        <v>108</v>
      </c>
      <c r="J178" s="4" t="str">
        <f t="shared" si="2"/>
        <v>u_con.c_con</v>
      </c>
      <c r="K178" s="5">
        <v>19</v>
      </c>
      <c r="L178">
        <v>2.135155332550443E-3</v>
      </c>
      <c r="M178">
        <v>0.26070246610440911</v>
      </c>
      <c r="N178">
        <v>0</v>
      </c>
      <c r="O178">
        <v>0.29465143589196119</v>
      </c>
      <c r="P178">
        <v>0</v>
      </c>
      <c r="Q178">
        <v>0.39286858118928158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8.5406213302017722E-3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2.135155332550443E-3</v>
      </c>
      <c r="AF178">
        <v>0</v>
      </c>
      <c r="AG178">
        <v>0</v>
      </c>
      <c r="AH178">
        <v>0</v>
      </c>
      <c r="AI178">
        <v>0</v>
      </c>
      <c r="AJ178">
        <v>1.2810931995302657E-2</v>
      </c>
      <c r="AK178">
        <v>0</v>
      </c>
      <c r="AL178">
        <v>2.135155332550443E-3</v>
      </c>
      <c r="AM178">
        <v>0</v>
      </c>
      <c r="AN178">
        <v>1.0782534429379736E-2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1.0889292196007259E-2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</row>
    <row r="179" spans="1:80">
      <c r="A179">
        <v>178</v>
      </c>
      <c r="B179" s="4" t="s">
        <v>67</v>
      </c>
      <c r="C179" s="4" t="s">
        <v>167</v>
      </c>
      <c r="D179" s="4" t="s">
        <v>117</v>
      </c>
      <c r="E179" s="5">
        <v>39656</v>
      </c>
      <c r="F179" s="5">
        <v>39656</v>
      </c>
      <c r="G179">
        <v>807</v>
      </c>
      <c r="H179" s="4" t="s">
        <v>107</v>
      </c>
      <c r="I179" s="4" t="s">
        <v>109</v>
      </c>
      <c r="J179" s="4" t="str">
        <f t="shared" si="2"/>
        <v>u_con.c_rem</v>
      </c>
      <c r="K179" s="5">
        <v>2</v>
      </c>
      <c r="L179">
        <v>2.2058012573067166E-3</v>
      </c>
      <c r="M179">
        <v>8.1835226646079187E-2</v>
      </c>
      <c r="N179">
        <v>0.41910223888827625</v>
      </c>
      <c r="O179">
        <v>0.17425829932723055</v>
      </c>
      <c r="P179">
        <v>0</v>
      </c>
      <c r="Q179">
        <v>0.15881769052608355</v>
      </c>
      <c r="R179">
        <v>0</v>
      </c>
      <c r="S179">
        <v>2.2058012573067166E-3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7.2791441491121642E-2</v>
      </c>
      <c r="Z179">
        <v>0</v>
      </c>
      <c r="AA179">
        <v>0</v>
      </c>
      <c r="AB179">
        <v>0</v>
      </c>
      <c r="AC179">
        <v>2.2058012573067168E-4</v>
      </c>
      <c r="AD179">
        <v>0</v>
      </c>
      <c r="AE179">
        <v>0</v>
      </c>
      <c r="AF179">
        <v>0</v>
      </c>
      <c r="AG179">
        <v>0</v>
      </c>
      <c r="AH179">
        <v>2.2058012573067166E-3</v>
      </c>
      <c r="AI179">
        <v>2.2058012573067166E-3</v>
      </c>
      <c r="AJ179">
        <v>2.2058012573067166E-3</v>
      </c>
      <c r="AK179">
        <v>0</v>
      </c>
      <c r="AL179">
        <v>2.2058012573067166E-3</v>
      </c>
      <c r="AM179">
        <v>0</v>
      </c>
      <c r="AN179">
        <v>4.4116025146134332E-3</v>
      </c>
      <c r="AO179">
        <v>0</v>
      </c>
      <c r="AP179">
        <v>0</v>
      </c>
      <c r="AQ179">
        <v>2.2058012573067166E-3</v>
      </c>
      <c r="AR179">
        <v>0</v>
      </c>
      <c r="AS179">
        <v>1.1029006286533584E-4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2.4263813830373887E-3</v>
      </c>
      <c r="BF179">
        <v>1.3234807543840299E-2</v>
      </c>
      <c r="BG179">
        <v>0</v>
      </c>
      <c r="BH179">
        <v>0</v>
      </c>
      <c r="BI179">
        <v>0</v>
      </c>
      <c r="BJ179">
        <v>0</v>
      </c>
      <c r="BK179">
        <v>2.2058012573067166E-3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5.2939230175361195E-2</v>
      </c>
      <c r="CB179">
        <v>0</v>
      </c>
    </row>
    <row r="180" spans="1:80">
      <c r="A180">
        <v>179</v>
      </c>
      <c r="B180" s="4" t="s">
        <v>68</v>
      </c>
      <c r="C180" s="4" t="s">
        <v>167</v>
      </c>
      <c r="D180" s="4" t="s">
        <v>117</v>
      </c>
      <c r="E180" s="5">
        <v>39656</v>
      </c>
      <c r="F180" s="5">
        <v>39656</v>
      </c>
      <c r="G180">
        <v>807</v>
      </c>
      <c r="H180" s="4" t="s">
        <v>107</v>
      </c>
      <c r="I180" s="4" t="s">
        <v>108</v>
      </c>
      <c r="J180" s="4" t="str">
        <f t="shared" si="2"/>
        <v>u_con.c_con</v>
      </c>
      <c r="K180" s="5">
        <v>19</v>
      </c>
      <c r="L180">
        <v>4.3459365493263803E-3</v>
      </c>
      <c r="M180">
        <v>3.4876140808344211E-2</v>
      </c>
      <c r="N180">
        <v>1.5210777922642331E-2</v>
      </c>
      <c r="O180">
        <v>0.26292916123424598</v>
      </c>
      <c r="P180">
        <v>0</v>
      </c>
      <c r="Q180">
        <v>0.49543676662320735</v>
      </c>
      <c r="R180">
        <v>0</v>
      </c>
      <c r="S180">
        <v>8.6918730986527606E-3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2.607561929595828E-2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6.5189048239895709E-3</v>
      </c>
      <c r="AI180">
        <v>0</v>
      </c>
      <c r="AJ180">
        <v>4.3459365493263805E-2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2.17296827466319E-4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1.303780964797914E-2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2.1729682746631901E-3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7.822685788787484E-2</v>
      </c>
      <c r="CB180">
        <v>0</v>
      </c>
    </row>
    <row r="181" spans="1:80">
      <c r="A181">
        <v>180</v>
      </c>
      <c r="B181" s="4" t="s">
        <v>69</v>
      </c>
      <c r="C181" s="4" t="s">
        <v>167</v>
      </c>
      <c r="D181" s="4" t="s">
        <v>117</v>
      </c>
      <c r="E181" s="5">
        <v>39656</v>
      </c>
      <c r="F181" s="5">
        <v>39656</v>
      </c>
      <c r="G181">
        <v>807</v>
      </c>
      <c r="H181" s="4" t="s">
        <v>107</v>
      </c>
      <c r="I181" s="4" t="s">
        <v>109</v>
      </c>
      <c r="J181" s="4" t="str">
        <f t="shared" si="2"/>
        <v>u_con.c_rem</v>
      </c>
      <c r="K181" s="5">
        <v>2</v>
      </c>
      <c r="L181">
        <v>0</v>
      </c>
      <c r="M181">
        <v>3.867225265871737E-2</v>
      </c>
      <c r="N181">
        <v>3.4375335696637664E-2</v>
      </c>
      <c r="O181">
        <v>4.9414545063916626E-2</v>
      </c>
      <c r="P181">
        <v>0</v>
      </c>
      <c r="Q181">
        <v>0.24492426683854335</v>
      </c>
      <c r="R181">
        <v>0</v>
      </c>
      <c r="S181">
        <v>0</v>
      </c>
      <c r="T181">
        <v>0</v>
      </c>
      <c r="U181">
        <v>0</v>
      </c>
      <c r="V181">
        <v>2.1484584810398536E-3</v>
      </c>
      <c r="W181">
        <v>0</v>
      </c>
      <c r="X181">
        <v>0</v>
      </c>
      <c r="Y181">
        <v>0.19550972177462669</v>
      </c>
      <c r="Z181">
        <v>8.5938339241594143E-3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2.6533462240842194E-2</v>
      </c>
      <c r="AG181">
        <v>0</v>
      </c>
      <c r="AH181">
        <v>0</v>
      </c>
      <c r="AI181">
        <v>8.5938339241594143E-3</v>
      </c>
      <c r="AJ181">
        <v>0.10957138253303249</v>
      </c>
      <c r="AK181">
        <v>0</v>
      </c>
      <c r="AL181">
        <v>7.0899129874315167E-2</v>
      </c>
      <c r="AM181">
        <v>0</v>
      </c>
      <c r="AN181">
        <v>8.5938339241594143E-3</v>
      </c>
      <c r="AO181">
        <v>0</v>
      </c>
      <c r="AP181">
        <v>0</v>
      </c>
      <c r="AQ181">
        <v>0</v>
      </c>
      <c r="AR181">
        <v>0</v>
      </c>
      <c r="AS181">
        <v>1.0742292405199268E-4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2.1484584810398536E-3</v>
      </c>
      <c r="BF181">
        <v>1.7295090772370819E-2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0.17832205392630784</v>
      </c>
      <c r="CB181">
        <v>0</v>
      </c>
    </row>
    <row r="182" spans="1:80">
      <c r="A182">
        <v>181</v>
      </c>
      <c r="B182" s="4" t="s">
        <v>71</v>
      </c>
      <c r="C182" s="4" t="s">
        <v>168</v>
      </c>
      <c r="D182" s="4" t="s">
        <v>117</v>
      </c>
      <c r="E182" s="5">
        <v>39656</v>
      </c>
      <c r="F182" s="5">
        <v>39656</v>
      </c>
      <c r="G182">
        <v>807</v>
      </c>
      <c r="H182" s="4" t="s">
        <v>110</v>
      </c>
      <c r="I182" s="4" t="s">
        <v>108</v>
      </c>
      <c r="J182" s="4" t="str">
        <f t="shared" si="2"/>
        <v>u_rem.c_con</v>
      </c>
      <c r="K182" s="5">
        <v>8</v>
      </c>
      <c r="L182">
        <v>0</v>
      </c>
      <c r="M182">
        <v>0.23935234072509676</v>
      </c>
      <c r="N182">
        <v>0.14079549454417456</v>
      </c>
      <c r="O182">
        <v>0.12671594508975711</v>
      </c>
      <c r="P182">
        <v>0</v>
      </c>
      <c r="Q182">
        <v>2.1119324181626188E-2</v>
      </c>
      <c r="R182">
        <v>0</v>
      </c>
      <c r="S182">
        <v>8.2130705150768521E-2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1.1732957878681217E-2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7.1571043059955432E-3</v>
      </c>
      <c r="AI182">
        <v>0</v>
      </c>
      <c r="AJ182">
        <v>2.3465915757362437E-3</v>
      </c>
      <c r="AK182">
        <v>0</v>
      </c>
      <c r="AL182">
        <v>2.5812507333098679E-2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1.1732957878681217E-4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0.28863076381555797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5.4088935820720406E-2</v>
      </c>
      <c r="CB182">
        <v>0</v>
      </c>
    </row>
    <row r="183" spans="1:80">
      <c r="A183">
        <v>182</v>
      </c>
      <c r="B183" s="4" t="s">
        <v>70</v>
      </c>
      <c r="C183" s="4" t="s">
        <v>168</v>
      </c>
      <c r="D183" s="4" t="s">
        <v>117</v>
      </c>
      <c r="E183" s="5">
        <v>39656</v>
      </c>
      <c r="F183" s="5">
        <v>39656</v>
      </c>
      <c r="G183">
        <v>807</v>
      </c>
      <c r="H183" s="4" t="s">
        <v>110</v>
      </c>
      <c r="I183" s="4" t="s">
        <v>109</v>
      </c>
      <c r="J183" s="4" t="str">
        <f t="shared" si="2"/>
        <v>u_rem.c_rem</v>
      </c>
      <c r="K183" s="5">
        <v>1</v>
      </c>
      <c r="L183">
        <v>4.3332250027082655E-3</v>
      </c>
      <c r="M183">
        <v>6.2398440038999012E-2</v>
      </c>
      <c r="N183">
        <v>0.78431372549019573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1.5166287509478927E-2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0.11808038132380017</v>
      </c>
      <c r="BB183">
        <v>0</v>
      </c>
      <c r="BC183">
        <v>0</v>
      </c>
      <c r="BD183">
        <v>0</v>
      </c>
      <c r="BE183">
        <v>2.2749431264218393E-3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2.1666125013541327E-3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1.1266385007041489E-2</v>
      </c>
      <c r="CB183">
        <v>0</v>
      </c>
    </row>
    <row r="184" spans="1:80">
      <c r="A184">
        <v>183</v>
      </c>
      <c r="B184" s="4" t="s">
        <v>72</v>
      </c>
      <c r="C184" s="4" t="s">
        <v>168</v>
      </c>
      <c r="D184" s="4" t="s">
        <v>117</v>
      </c>
      <c r="E184" s="5">
        <v>39656</v>
      </c>
      <c r="F184" s="5">
        <v>39656</v>
      </c>
      <c r="G184">
        <v>807</v>
      </c>
      <c r="H184" s="4" t="s">
        <v>110</v>
      </c>
      <c r="I184" s="4" t="s">
        <v>108</v>
      </c>
      <c r="J184" s="4" t="str">
        <f t="shared" si="2"/>
        <v>u_rem.c_con</v>
      </c>
      <c r="K184" s="5">
        <v>8</v>
      </c>
      <c r="L184">
        <v>1.0761945759793372E-4</v>
      </c>
      <c r="M184">
        <v>9.7072750753336198E-2</v>
      </c>
      <c r="N184">
        <v>5.5962117950925538E-2</v>
      </c>
      <c r="O184">
        <v>0.14205768402927241</v>
      </c>
      <c r="P184">
        <v>0</v>
      </c>
      <c r="Q184">
        <v>3.8743004735256138E-2</v>
      </c>
      <c r="R184">
        <v>0</v>
      </c>
      <c r="S184">
        <v>4.7352561343090842E-2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2.7981058975462773E-2</v>
      </c>
      <c r="Z184">
        <v>0</v>
      </c>
      <c r="AA184">
        <v>6.4571674558760233E-3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8.6095566078346984E-3</v>
      </c>
      <c r="AI184">
        <v>0</v>
      </c>
      <c r="AJ184">
        <v>0</v>
      </c>
      <c r="AK184">
        <v>0</v>
      </c>
      <c r="AL184">
        <v>6.4571674558760233E-3</v>
      </c>
      <c r="AM184">
        <v>0</v>
      </c>
      <c r="AN184">
        <v>1.5174343521308654E-2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1.0761945759793372E-4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0.52518295307791651</v>
      </c>
      <c r="BB184">
        <v>0</v>
      </c>
      <c r="BC184">
        <v>0</v>
      </c>
      <c r="BD184">
        <v>0</v>
      </c>
      <c r="BE184">
        <v>2.6904864399483431E-3</v>
      </c>
      <c r="BF184">
        <v>2.367628067154542E-3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2.1523891519586746E-3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2.1523891519586745E-2</v>
      </c>
      <c r="CB184">
        <v>0</v>
      </c>
    </row>
    <row r="185" spans="1:80">
      <c r="A185">
        <v>184</v>
      </c>
      <c r="B185" s="4" t="s">
        <v>73</v>
      </c>
      <c r="C185" s="4" t="s">
        <v>168</v>
      </c>
      <c r="D185" s="4" t="s">
        <v>117</v>
      </c>
      <c r="E185" s="5">
        <v>39656</v>
      </c>
      <c r="F185" s="5">
        <v>39656</v>
      </c>
      <c r="G185">
        <v>807</v>
      </c>
      <c r="H185" s="4" t="s">
        <v>110</v>
      </c>
      <c r="I185" s="4" t="s">
        <v>109</v>
      </c>
      <c r="J185" s="4" t="str">
        <f t="shared" si="2"/>
        <v>u_rem.c_rem</v>
      </c>
      <c r="K185" s="5">
        <v>1</v>
      </c>
      <c r="L185">
        <v>0</v>
      </c>
      <c r="M185">
        <v>0.1486615172997566</v>
      </c>
      <c r="N185">
        <v>0.20315310549148236</v>
      </c>
      <c r="O185">
        <v>8.2530949105914714E-2</v>
      </c>
      <c r="P185">
        <v>0</v>
      </c>
      <c r="Q185">
        <v>0.12284414347688072</v>
      </c>
      <c r="R185">
        <v>0</v>
      </c>
      <c r="S185">
        <v>0.14813247275420591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1.4813247275420589E-2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2.3277960004232358E-2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0.19722780658131406</v>
      </c>
      <c r="BB185">
        <v>0</v>
      </c>
      <c r="BC185">
        <v>0</v>
      </c>
      <c r="BD185">
        <v>0</v>
      </c>
      <c r="BE185">
        <v>2.2219870913130885E-3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5.7136810919479419E-2</v>
      </c>
      <c r="CB185">
        <v>0</v>
      </c>
    </row>
    <row r="186" spans="1:80" s="1" customFormat="1">
      <c r="A186">
        <v>185</v>
      </c>
      <c r="B186" s="4" t="s">
        <v>74</v>
      </c>
      <c r="C186" s="4" t="s">
        <v>169</v>
      </c>
      <c r="D186" s="4" t="s">
        <v>117</v>
      </c>
      <c r="E186" s="5">
        <v>39656</v>
      </c>
      <c r="F186" s="5">
        <v>39656</v>
      </c>
      <c r="G186">
        <v>807</v>
      </c>
      <c r="H186" s="4" t="s">
        <v>110</v>
      </c>
      <c r="I186" s="4" t="s">
        <v>108</v>
      </c>
      <c r="J186" s="4" t="str">
        <f t="shared" si="2"/>
        <v>u_rem.c_con</v>
      </c>
      <c r="K186" s="5">
        <v>8</v>
      </c>
      <c r="L186">
        <v>4.4593088071348949E-3</v>
      </c>
      <c r="M186">
        <v>0.10033444816053513</v>
      </c>
      <c r="N186">
        <v>9.3645484949832811E-2</v>
      </c>
      <c r="O186">
        <v>7.3578595317725759E-2</v>
      </c>
      <c r="P186">
        <v>0</v>
      </c>
      <c r="Q186">
        <v>0.11371237458193978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0.36566332218506148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9.8327759197324394E-2</v>
      </c>
      <c r="AI186">
        <v>0</v>
      </c>
      <c r="AJ186">
        <v>1.7837235228539576E-2</v>
      </c>
      <c r="AK186">
        <v>0</v>
      </c>
      <c r="AL186">
        <v>5.1282051282051294E-2</v>
      </c>
      <c r="AM186">
        <v>0</v>
      </c>
      <c r="AN186">
        <v>1.1371237458193982E-2</v>
      </c>
      <c r="AO186">
        <v>0</v>
      </c>
      <c r="AP186">
        <v>0</v>
      </c>
      <c r="AQ186">
        <v>0</v>
      </c>
      <c r="AR186">
        <v>0</v>
      </c>
      <c r="AS186">
        <v>2.2296544035674474E-3</v>
      </c>
      <c r="AT186">
        <v>0</v>
      </c>
      <c r="AU186">
        <v>0</v>
      </c>
      <c r="AV186">
        <v>0</v>
      </c>
      <c r="AW186">
        <v>0</v>
      </c>
      <c r="AX186">
        <v>2.2296544035674474E-3</v>
      </c>
      <c r="AY186">
        <v>0</v>
      </c>
      <c r="AZ186">
        <v>0</v>
      </c>
      <c r="BA186">
        <v>4.0468227424749176E-2</v>
      </c>
      <c r="BB186">
        <v>0</v>
      </c>
      <c r="BC186">
        <v>0</v>
      </c>
      <c r="BD186">
        <v>0</v>
      </c>
      <c r="BE186">
        <v>4.5707915273132671E-3</v>
      </c>
      <c r="BF186">
        <v>4.4593088071348949E-3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2.2296544035674474E-3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1.3377926421404684E-2</v>
      </c>
      <c r="CB186">
        <v>0</v>
      </c>
    </row>
    <row r="187" spans="1:80" s="1" customFormat="1">
      <c r="A187">
        <v>186</v>
      </c>
      <c r="B187" s="4" t="s">
        <v>75</v>
      </c>
      <c r="C187" s="4" t="s">
        <v>169</v>
      </c>
      <c r="D187" s="4" t="s">
        <v>117</v>
      </c>
      <c r="E187" s="5">
        <v>39656</v>
      </c>
      <c r="F187" s="5">
        <v>39656</v>
      </c>
      <c r="G187">
        <v>807</v>
      </c>
      <c r="H187" s="4" t="s">
        <v>110</v>
      </c>
      <c r="I187" s="4" t="s">
        <v>108</v>
      </c>
      <c r="J187" s="4" t="str">
        <f t="shared" si="2"/>
        <v>u_rem.c_con</v>
      </c>
      <c r="K187" s="5">
        <v>8</v>
      </c>
      <c r="L187">
        <v>6.2042310821806331E-3</v>
      </c>
      <c r="M187">
        <v>0.15073230268510973</v>
      </c>
      <c r="N187">
        <v>0.13018714401952802</v>
      </c>
      <c r="O187">
        <v>5.8991049633848637E-2</v>
      </c>
      <c r="P187">
        <v>0</v>
      </c>
      <c r="Q187">
        <v>8.9503661513425481E-2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6.1025223759153769E-3</v>
      </c>
      <c r="Z187">
        <v>0</v>
      </c>
      <c r="AA187">
        <v>8.1366965012205014E-3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2.2579332790886895E-2</v>
      </c>
      <c r="AI187">
        <v>0</v>
      </c>
      <c r="AJ187">
        <v>1.0170870626525628E-4</v>
      </c>
      <c r="AK187">
        <v>2.0341741253051254E-3</v>
      </c>
      <c r="AL187">
        <v>6.3161106590724145E-2</v>
      </c>
      <c r="AM187">
        <v>0</v>
      </c>
      <c r="AN187">
        <v>2.4511798209926761E-2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2.0341741253051254E-3</v>
      </c>
      <c r="AY187">
        <v>0</v>
      </c>
      <c r="AZ187">
        <v>0</v>
      </c>
      <c r="BA187">
        <v>0.42534580960130169</v>
      </c>
      <c r="BB187">
        <v>0</v>
      </c>
      <c r="BC187">
        <v>0</v>
      </c>
      <c r="BD187">
        <v>0</v>
      </c>
      <c r="BE187">
        <v>2.135882831570382E-3</v>
      </c>
      <c r="BF187">
        <v>2.135882831570382E-3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6.1025223759153761E-3</v>
      </c>
      <c r="CB187">
        <v>0</v>
      </c>
    </row>
    <row r="188" spans="1:80">
      <c r="A188">
        <v>187</v>
      </c>
      <c r="B188" s="4" t="s">
        <v>76</v>
      </c>
      <c r="C188" s="4" t="s">
        <v>169</v>
      </c>
      <c r="D188" s="4" t="s">
        <v>117</v>
      </c>
      <c r="E188" s="5">
        <v>39656</v>
      </c>
      <c r="F188" s="5">
        <v>39656</v>
      </c>
      <c r="G188">
        <v>807</v>
      </c>
      <c r="H188" s="4" t="s">
        <v>110</v>
      </c>
      <c r="I188" s="4" t="s">
        <v>109</v>
      </c>
      <c r="J188" s="4" t="str">
        <f t="shared" si="2"/>
        <v>u_rem.c_rem</v>
      </c>
      <c r="K188" s="5">
        <v>1</v>
      </c>
      <c r="L188">
        <v>4.4294452647120855E-2</v>
      </c>
      <c r="M188">
        <v>0.60957603881037714</v>
      </c>
      <c r="N188">
        <v>0.26998523518245088</v>
      </c>
      <c r="O188">
        <v>4.2185192997257958E-3</v>
      </c>
      <c r="P188">
        <v>0</v>
      </c>
      <c r="Q188">
        <v>2.1092596498628977E-2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2.1092596498628977E-2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2.7631301413203961E-2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2.3054755043227667E-3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2.1092596498628979E-3</v>
      </c>
      <c r="CB188">
        <v>0</v>
      </c>
    </row>
    <row r="189" spans="1:80">
      <c r="A189">
        <v>188</v>
      </c>
      <c r="B189" s="4" t="s">
        <v>77</v>
      </c>
      <c r="C189" s="4" t="s">
        <v>169</v>
      </c>
      <c r="D189" s="4" t="s">
        <v>117</v>
      </c>
      <c r="E189" s="5">
        <v>39656</v>
      </c>
      <c r="F189" s="5">
        <v>39656</v>
      </c>
      <c r="G189">
        <v>807</v>
      </c>
      <c r="H189" s="4" t="s">
        <v>110</v>
      </c>
      <c r="I189" s="4" t="s">
        <v>109</v>
      </c>
      <c r="J189" s="4" t="str">
        <f t="shared" si="2"/>
        <v>u_rem.c_rem</v>
      </c>
      <c r="K189" s="5">
        <v>1</v>
      </c>
      <c r="L189">
        <v>8.1276033729553998E-3</v>
      </c>
      <c r="M189">
        <v>9.3569033831149021E-2</v>
      </c>
      <c r="N189">
        <v>6.0957025297165492E-2</v>
      </c>
      <c r="O189">
        <v>5.2829421924210106E-2</v>
      </c>
      <c r="P189">
        <v>0</v>
      </c>
      <c r="Q189">
        <v>5.4861322767448949E-2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6.9084628670120898E-2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2.0319008432388496E-2</v>
      </c>
      <c r="AI189">
        <v>0</v>
      </c>
      <c r="AJ189">
        <v>0</v>
      </c>
      <c r="AK189">
        <v>0</v>
      </c>
      <c r="AL189">
        <v>0.15036066239967488</v>
      </c>
      <c r="AM189">
        <v>0</v>
      </c>
      <c r="AN189">
        <v>6.0957025297165507E-3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0.47140099563141336</v>
      </c>
      <c r="BB189">
        <v>0</v>
      </c>
      <c r="BC189">
        <v>0</v>
      </c>
      <c r="BD189">
        <v>0</v>
      </c>
      <c r="BE189">
        <v>2.0319008432388499E-4</v>
      </c>
      <c r="BF189">
        <v>4.0638016864776999E-3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8.1276033729553998E-3</v>
      </c>
      <c r="CB189">
        <v>0</v>
      </c>
    </row>
    <row r="190" spans="1:80">
      <c r="A190">
        <v>189</v>
      </c>
      <c r="B190" s="4" t="s">
        <v>78</v>
      </c>
      <c r="C190" s="4" t="s">
        <v>170</v>
      </c>
      <c r="D190" s="4" t="s">
        <v>117</v>
      </c>
      <c r="E190" s="5">
        <v>39656</v>
      </c>
      <c r="F190" s="5">
        <v>39656</v>
      </c>
      <c r="G190">
        <v>807</v>
      </c>
      <c r="H190" s="4" t="s">
        <v>107</v>
      </c>
      <c r="I190" s="4" t="s">
        <v>109</v>
      </c>
      <c r="J190" s="4" t="str">
        <f t="shared" si="2"/>
        <v>u_con.c_rem</v>
      </c>
      <c r="K190" s="5">
        <v>2</v>
      </c>
      <c r="L190">
        <v>4.3549265106151338E-3</v>
      </c>
      <c r="M190">
        <v>0.22003266194882967</v>
      </c>
      <c r="N190">
        <v>0.16984213391399014</v>
      </c>
      <c r="O190">
        <v>1.5242242787152967E-2</v>
      </c>
      <c r="P190">
        <v>0</v>
      </c>
      <c r="Q190">
        <v>0.1241154055525313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0.24169842133913993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8.274360370168754E-2</v>
      </c>
      <c r="AI190">
        <v>0</v>
      </c>
      <c r="AJ190">
        <v>0.10244964616222102</v>
      </c>
      <c r="AK190">
        <v>0</v>
      </c>
      <c r="AL190">
        <v>0</v>
      </c>
      <c r="AM190">
        <v>0</v>
      </c>
      <c r="AN190">
        <v>8.8187261839956458E-3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1.0887316276537834E-4</v>
      </c>
      <c r="AU190">
        <v>0</v>
      </c>
      <c r="AV190">
        <v>0</v>
      </c>
      <c r="AW190">
        <v>2.1774632553075669E-3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2.2863364180729455E-3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2.6129559063690799E-2</v>
      </c>
      <c r="CB190">
        <v>0</v>
      </c>
    </row>
    <row r="191" spans="1:80" s="1" customFormat="1">
      <c r="A191">
        <v>190</v>
      </c>
      <c r="B191" s="4" t="s">
        <v>79</v>
      </c>
      <c r="C191" s="4" t="s">
        <v>170</v>
      </c>
      <c r="D191" s="4" t="s">
        <v>117</v>
      </c>
      <c r="E191" s="5">
        <v>39656</v>
      </c>
      <c r="F191" s="5">
        <v>39656</v>
      </c>
      <c r="G191">
        <v>807</v>
      </c>
      <c r="H191" s="4" t="s">
        <v>107</v>
      </c>
      <c r="I191" s="4" t="s">
        <v>108</v>
      </c>
      <c r="J191" s="4" t="str">
        <f t="shared" si="2"/>
        <v>u_con.c_con</v>
      </c>
      <c r="K191" s="5">
        <v>19</v>
      </c>
      <c r="L191">
        <v>3.5149384885764502E-2</v>
      </c>
      <c r="M191">
        <v>0.10555799648506149</v>
      </c>
      <c r="N191">
        <v>0.11654217926186289</v>
      </c>
      <c r="O191">
        <v>2.4165202108963092E-2</v>
      </c>
      <c r="P191">
        <v>0</v>
      </c>
      <c r="Q191">
        <v>0.13620386643233742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9.0070298769771531E-2</v>
      </c>
      <c r="Z191">
        <v>0</v>
      </c>
      <c r="AA191">
        <v>1.0984182776801407E-2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3.9652899824253081E-2</v>
      </c>
      <c r="AI191">
        <v>6.3708260105448167E-2</v>
      </c>
      <c r="AJ191">
        <v>0.31634446397188054</v>
      </c>
      <c r="AK191">
        <v>0</v>
      </c>
      <c r="AL191">
        <v>2.1968365553602814E-3</v>
      </c>
      <c r="AM191">
        <v>0</v>
      </c>
      <c r="AN191">
        <v>1.5377855887521968E-2</v>
      </c>
      <c r="AO191">
        <v>0</v>
      </c>
      <c r="AP191">
        <v>0</v>
      </c>
      <c r="AQ191">
        <v>0</v>
      </c>
      <c r="AR191">
        <v>0</v>
      </c>
      <c r="AS191">
        <v>8.8971880492091406E-3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2.1968365553602814E-3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3.2952548330404223E-2</v>
      </c>
      <c r="CB191">
        <v>0</v>
      </c>
    </row>
    <row r="192" spans="1:80">
      <c r="A192">
        <v>191</v>
      </c>
      <c r="B192" s="4" t="s">
        <v>80</v>
      </c>
      <c r="C192" s="4" t="s">
        <v>170</v>
      </c>
      <c r="D192" s="4" t="s">
        <v>117</v>
      </c>
      <c r="E192" s="5">
        <v>39656</v>
      </c>
      <c r="F192" s="5">
        <v>39656</v>
      </c>
      <c r="G192">
        <v>807</v>
      </c>
      <c r="H192" s="4" t="s">
        <v>107</v>
      </c>
      <c r="I192" s="4" t="s">
        <v>109</v>
      </c>
      <c r="J192" s="4" t="str">
        <f t="shared" si="2"/>
        <v>u_con.c_rem</v>
      </c>
      <c r="K192" s="5">
        <v>2</v>
      </c>
      <c r="L192">
        <v>2.5662959794696325E-2</v>
      </c>
      <c r="M192">
        <v>0.12842172797262613</v>
      </c>
      <c r="N192">
        <v>0.4085757057313944</v>
      </c>
      <c r="O192">
        <v>1.4970059880239521E-2</v>
      </c>
      <c r="P192">
        <v>0</v>
      </c>
      <c r="Q192">
        <v>1.7108639863130881E-2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1.9247219846022241E-2</v>
      </c>
      <c r="Z192">
        <v>0</v>
      </c>
      <c r="AA192">
        <v>1.0692899914456802E-4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3.4217279726261769E-2</v>
      </c>
      <c r="AI192">
        <v>2.1385799828913601E-3</v>
      </c>
      <c r="AJ192">
        <v>0.30795551753635581</v>
      </c>
      <c r="AK192">
        <v>0</v>
      </c>
      <c r="AL192">
        <v>0</v>
      </c>
      <c r="AM192">
        <v>0</v>
      </c>
      <c r="AN192">
        <v>4.3840889649272886E-3</v>
      </c>
      <c r="AO192">
        <v>0</v>
      </c>
      <c r="AP192">
        <v>0</v>
      </c>
      <c r="AQ192">
        <v>0</v>
      </c>
      <c r="AR192">
        <v>0</v>
      </c>
      <c r="AS192">
        <v>8.7681779298545773E-3</v>
      </c>
      <c r="AT192">
        <v>2.1385799828913603E-4</v>
      </c>
      <c r="AU192">
        <v>0</v>
      </c>
      <c r="AV192">
        <v>1.0692899914456802E-4</v>
      </c>
      <c r="AW192">
        <v>0</v>
      </c>
      <c r="AX192">
        <v>0</v>
      </c>
      <c r="AY192">
        <v>0</v>
      </c>
      <c r="AZ192">
        <v>2.1385799828913601E-3</v>
      </c>
      <c r="BA192">
        <v>1.0692899914456802E-4</v>
      </c>
      <c r="BB192">
        <v>0</v>
      </c>
      <c r="BC192">
        <v>0</v>
      </c>
      <c r="BD192">
        <v>0</v>
      </c>
      <c r="BE192">
        <v>4.2771599657827203E-3</v>
      </c>
      <c r="BF192">
        <v>4.2771599657827203E-3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2.1385799828913601E-3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1.4970059880239521E-2</v>
      </c>
      <c r="CB192">
        <v>0</v>
      </c>
    </row>
    <row r="193" spans="1:80">
      <c r="A193">
        <v>192</v>
      </c>
      <c r="B193" s="4" t="s">
        <v>81</v>
      </c>
      <c r="C193" s="4" t="s">
        <v>170</v>
      </c>
      <c r="D193" s="4" t="s">
        <v>117</v>
      </c>
      <c r="E193" s="5">
        <v>39656</v>
      </c>
      <c r="F193" s="5">
        <v>39656</v>
      </c>
      <c r="G193">
        <v>807</v>
      </c>
      <c r="H193" s="4" t="s">
        <v>107</v>
      </c>
      <c r="I193" s="4" t="s">
        <v>108</v>
      </c>
      <c r="J193" s="4" t="str">
        <f t="shared" si="2"/>
        <v>u_con.c_con</v>
      </c>
      <c r="K193" s="5">
        <v>19</v>
      </c>
      <c r="L193">
        <v>3.9007476432982989E-2</v>
      </c>
      <c r="M193">
        <v>4.9951240654458773E-2</v>
      </c>
      <c r="N193">
        <v>0.14302741358760424</v>
      </c>
      <c r="O193">
        <v>0</v>
      </c>
      <c r="P193">
        <v>0</v>
      </c>
      <c r="Q193">
        <v>1.5169574168382272E-2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8.4516198938129797E-2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6.9346624769747553E-2</v>
      </c>
      <c r="AI193">
        <v>7.5847870841911358E-2</v>
      </c>
      <c r="AJ193">
        <v>0.47892512731606884</v>
      </c>
      <c r="AK193">
        <v>0</v>
      </c>
      <c r="AL193">
        <v>0</v>
      </c>
      <c r="AM193">
        <v>0</v>
      </c>
      <c r="AN193">
        <v>6.5012460721638318E-3</v>
      </c>
      <c r="AO193">
        <v>0</v>
      </c>
      <c r="AP193">
        <v>0</v>
      </c>
      <c r="AQ193">
        <v>0</v>
      </c>
      <c r="AR193">
        <v>0</v>
      </c>
      <c r="AS193">
        <v>8.7766821974211724E-3</v>
      </c>
      <c r="AT193">
        <v>7.5847870841911367E-4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4.3341640481092212E-3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2.3837902264600714E-2</v>
      </c>
      <c r="CB193">
        <v>0</v>
      </c>
    </row>
    <row r="194" spans="1:80">
      <c r="A194">
        <v>193</v>
      </c>
      <c r="B194" s="4" t="s">
        <v>82</v>
      </c>
      <c r="C194" s="4" t="s">
        <v>171</v>
      </c>
      <c r="D194" s="4" t="s">
        <v>118</v>
      </c>
      <c r="E194" s="5">
        <v>39659</v>
      </c>
      <c r="F194" s="5">
        <v>39656</v>
      </c>
      <c r="G194">
        <v>807</v>
      </c>
      <c r="H194" s="4" t="s">
        <v>110</v>
      </c>
      <c r="I194" s="4" t="s">
        <v>109</v>
      </c>
      <c r="J194" s="4" t="str">
        <f t="shared" ref="J194:J257" si="3">CONCATENATE(H194,".",I194)</f>
        <v>u_rem.c_rem</v>
      </c>
      <c r="K194" s="5">
        <v>1</v>
      </c>
      <c r="L194">
        <v>0</v>
      </c>
      <c r="M194">
        <v>9.0566037735849036E-2</v>
      </c>
      <c r="N194">
        <v>1.2938005390835575E-2</v>
      </c>
      <c r="O194">
        <v>3.8814016172506731E-2</v>
      </c>
      <c r="P194">
        <v>0</v>
      </c>
      <c r="Q194">
        <v>0.11245283018867917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0.02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2.1563342318059293E-3</v>
      </c>
      <c r="AJ194">
        <v>0</v>
      </c>
      <c r="AK194">
        <v>0</v>
      </c>
      <c r="AL194">
        <v>0</v>
      </c>
      <c r="AM194">
        <v>0</v>
      </c>
      <c r="AN194">
        <v>2.8140161725067381E-2</v>
      </c>
      <c r="AO194">
        <v>0</v>
      </c>
      <c r="AP194">
        <v>0</v>
      </c>
      <c r="AQ194">
        <v>9.0566037735849043E-3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0.13185983827493253</v>
      </c>
      <c r="BB194">
        <v>0.39040431266846359</v>
      </c>
      <c r="BC194">
        <v>0</v>
      </c>
      <c r="BD194">
        <v>0</v>
      </c>
      <c r="BE194">
        <v>0.12517520215633421</v>
      </c>
      <c r="BF194">
        <v>2.2641509433962261E-3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2.1563342318059293E-3</v>
      </c>
      <c r="BO194">
        <v>0</v>
      </c>
      <c r="BP194">
        <v>6.4690026954177891E-3</v>
      </c>
      <c r="BQ194">
        <v>0</v>
      </c>
      <c r="BR194">
        <v>0</v>
      </c>
      <c r="BS194">
        <v>0</v>
      </c>
      <c r="BT194">
        <v>0</v>
      </c>
      <c r="BU194">
        <v>2.1563342318059293E-3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4.5283018867924518E-2</v>
      </c>
      <c r="CB194">
        <v>0</v>
      </c>
    </row>
    <row r="195" spans="1:80">
      <c r="A195">
        <v>194</v>
      </c>
      <c r="B195" s="4" t="s">
        <v>83</v>
      </c>
      <c r="C195" s="4" t="s">
        <v>171</v>
      </c>
      <c r="D195" s="4" t="s">
        <v>118</v>
      </c>
      <c r="E195" s="5">
        <v>39659</v>
      </c>
      <c r="F195" s="5">
        <v>39656</v>
      </c>
      <c r="G195">
        <v>807</v>
      </c>
      <c r="H195" s="4" t="s">
        <v>110</v>
      </c>
      <c r="I195" s="4" t="s">
        <v>108</v>
      </c>
      <c r="J195" s="4" t="str">
        <f t="shared" si="3"/>
        <v>u_rem.c_con</v>
      </c>
      <c r="K195" s="5">
        <v>8</v>
      </c>
      <c r="L195">
        <v>0</v>
      </c>
      <c r="M195">
        <v>0.15983388350548386</v>
      </c>
      <c r="N195">
        <v>4.3658822276647843E-3</v>
      </c>
      <c r="O195">
        <v>0.14481950803961233</v>
      </c>
      <c r="P195">
        <v>0</v>
      </c>
      <c r="Q195">
        <v>9.1790011713342529E-2</v>
      </c>
      <c r="R195">
        <v>6.3890959429240739E-3</v>
      </c>
      <c r="S195">
        <v>1.9167287828772223E-2</v>
      </c>
      <c r="T195">
        <v>2.1296986476413583E-3</v>
      </c>
      <c r="U195">
        <v>0</v>
      </c>
      <c r="V195">
        <v>0</v>
      </c>
      <c r="W195">
        <v>0</v>
      </c>
      <c r="X195">
        <v>0</v>
      </c>
      <c r="Y195">
        <v>3.4075178362261739E-2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2.1296986476413583E-3</v>
      </c>
      <c r="AL195">
        <v>4.2593972952827165E-3</v>
      </c>
      <c r="AM195">
        <v>0</v>
      </c>
      <c r="AN195">
        <v>6.4955808753061435E-3</v>
      </c>
      <c r="AO195">
        <v>0</v>
      </c>
      <c r="AP195">
        <v>0</v>
      </c>
      <c r="AQ195">
        <v>1.3097646682994353E-2</v>
      </c>
      <c r="AR195">
        <v>0</v>
      </c>
      <c r="AS195">
        <v>2.1296986476413583E-3</v>
      </c>
      <c r="AT195">
        <v>1.0648493238206791E-4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5.1325737408156734E-2</v>
      </c>
      <c r="BB195">
        <v>0.39399424981365117</v>
      </c>
      <c r="BC195">
        <v>1.2778191885848151E-2</v>
      </c>
      <c r="BD195">
        <v>0</v>
      </c>
      <c r="BE195">
        <v>1.4907890533489506E-2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2.1296986476413583E-3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3.1945479714620376E-2</v>
      </c>
      <c r="CB195">
        <v>0</v>
      </c>
    </row>
    <row r="196" spans="1:80">
      <c r="A196">
        <v>195</v>
      </c>
      <c r="B196" s="4" t="s">
        <v>84</v>
      </c>
      <c r="C196" s="4" t="s">
        <v>171</v>
      </c>
      <c r="D196" s="4" t="s">
        <v>118</v>
      </c>
      <c r="E196" s="5">
        <v>39659</v>
      </c>
      <c r="F196" s="5">
        <v>39656</v>
      </c>
      <c r="G196">
        <v>807</v>
      </c>
      <c r="H196" s="4" t="s">
        <v>110</v>
      </c>
      <c r="I196" s="4" t="s">
        <v>109</v>
      </c>
      <c r="J196" s="4" t="str">
        <f t="shared" si="3"/>
        <v>u_rem.c_rem</v>
      </c>
      <c r="K196" s="5">
        <v>1</v>
      </c>
      <c r="L196">
        <v>0</v>
      </c>
      <c r="M196">
        <v>7.7628032345013462E-2</v>
      </c>
      <c r="N196">
        <v>3.6657681940700806E-2</v>
      </c>
      <c r="O196">
        <v>0.11428571428571424</v>
      </c>
      <c r="P196">
        <v>0</v>
      </c>
      <c r="Q196">
        <v>9.9191374663072748E-2</v>
      </c>
      <c r="R196">
        <v>0</v>
      </c>
      <c r="S196">
        <v>6.4690026954177882E-3</v>
      </c>
      <c r="T196">
        <v>4.5283018867924522E-3</v>
      </c>
      <c r="U196">
        <v>0</v>
      </c>
      <c r="V196">
        <v>0</v>
      </c>
      <c r="W196">
        <v>0</v>
      </c>
      <c r="X196">
        <v>0</v>
      </c>
      <c r="Y196">
        <v>1.2938005390835576E-2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8.733153638814016E-3</v>
      </c>
      <c r="AO196">
        <v>0</v>
      </c>
      <c r="AP196">
        <v>0</v>
      </c>
      <c r="AQ196">
        <v>5.3908355795148242E-4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7.3530997304582207E-2</v>
      </c>
      <c r="BB196">
        <v>0.17714285714285705</v>
      </c>
      <c r="BC196">
        <v>0</v>
      </c>
      <c r="BD196">
        <v>6.4690026954177899E-3</v>
      </c>
      <c r="BE196">
        <v>0.23946091644204848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0.13584905660377353</v>
      </c>
      <c r="CB196">
        <v>0</v>
      </c>
    </row>
    <row r="197" spans="1:80" s="3" customFormat="1">
      <c r="A197">
        <v>196</v>
      </c>
      <c r="B197" s="4" t="s">
        <v>85</v>
      </c>
      <c r="C197" s="4" t="s">
        <v>171</v>
      </c>
      <c r="D197" s="4" t="s">
        <v>118</v>
      </c>
      <c r="E197" s="5">
        <v>39659</v>
      </c>
      <c r="F197" s="5">
        <v>39656</v>
      </c>
      <c r="G197">
        <v>807</v>
      </c>
      <c r="H197" s="4" t="s">
        <v>110</v>
      </c>
      <c r="I197" s="4" t="s">
        <v>108</v>
      </c>
      <c r="J197" s="4" t="str">
        <f t="shared" si="3"/>
        <v>u_rem.c_con</v>
      </c>
      <c r="K197" s="5">
        <v>8</v>
      </c>
      <c r="L197">
        <v>0</v>
      </c>
      <c r="M197">
        <v>7.0278503046127053E-2</v>
      </c>
      <c r="N197">
        <v>4.3516100957354219E-3</v>
      </c>
      <c r="O197">
        <v>0.20670147954743254</v>
      </c>
      <c r="P197">
        <v>0</v>
      </c>
      <c r="Q197">
        <v>0.14588772845952999</v>
      </c>
      <c r="R197">
        <v>0</v>
      </c>
      <c r="S197">
        <v>0</v>
      </c>
      <c r="T197">
        <v>6.6362053959965186E-3</v>
      </c>
      <c r="U197">
        <v>0</v>
      </c>
      <c r="V197">
        <v>0</v>
      </c>
      <c r="W197">
        <v>0</v>
      </c>
      <c r="X197">
        <v>0</v>
      </c>
      <c r="Y197">
        <v>0.12402088772845953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0.13065709312445603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4.3516100957354219E-3</v>
      </c>
      <c r="BC197">
        <v>0</v>
      </c>
      <c r="BD197">
        <v>0</v>
      </c>
      <c r="BE197">
        <v>1.9691035683202782E-2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2.1758050478677109E-3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0.28513925152306357</v>
      </c>
      <c r="CB197">
        <v>0</v>
      </c>
    </row>
    <row r="198" spans="1:80" s="3" customFormat="1">
      <c r="A198">
        <v>197</v>
      </c>
      <c r="B198" s="4" t="s">
        <v>86</v>
      </c>
      <c r="C198" s="4" t="s">
        <v>172</v>
      </c>
      <c r="D198" s="4" t="s">
        <v>118</v>
      </c>
      <c r="E198" s="5">
        <v>39659</v>
      </c>
      <c r="F198" s="5">
        <v>39656</v>
      </c>
      <c r="G198">
        <v>807</v>
      </c>
      <c r="H198" s="4" t="s">
        <v>107</v>
      </c>
      <c r="I198" s="4" t="s">
        <v>108</v>
      </c>
      <c r="J198" s="4" t="str">
        <f t="shared" si="3"/>
        <v>u_con.c_con</v>
      </c>
      <c r="K198" s="5">
        <v>19</v>
      </c>
      <c r="L198">
        <v>0</v>
      </c>
      <c r="M198">
        <v>1.1049723756906075E-2</v>
      </c>
      <c r="N198">
        <v>4.4198895027624304E-3</v>
      </c>
      <c r="O198">
        <v>2.2099447513812152E-3</v>
      </c>
      <c r="P198">
        <v>0</v>
      </c>
      <c r="Q198">
        <v>2.430939226519337E-2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0.11491712707182317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1.5580110497237567E-2</v>
      </c>
      <c r="AF198">
        <v>0</v>
      </c>
      <c r="AG198">
        <v>0.10386740331491709</v>
      </c>
      <c r="AH198">
        <v>2.2099447513812152E-3</v>
      </c>
      <c r="AI198">
        <v>0</v>
      </c>
      <c r="AJ198">
        <v>0</v>
      </c>
      <c r="AK198">
        <v>0</v>
      </c>
      <c r="AL198">
        <v>0.16795580110497232</v>
      </c>
      <c r="AM198">
        <v>2.2099447513812152E-3</v>
      </c>
      <c r="AN198">
        <v>1.1049723756906075E-2</v>
      </c>
      <c r="AO198">
        <v>0</v>
      </c>
      <c r="AP198">
        <v>0</v>
      </c>
      <c r="AQ198">
        <v>0</v>
      </c>
      <c r="AR198">
        <v>0</v>
      </c>
      <c r="AS198">
        <v>6.6298342541436465E-3</v>
      </c>
      <c r="AT198">
        <v>1.1049723756906076E-4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0.14839779005524859</v>
      </c>
      <c r="BB198">
        <v>0.12187845303867395</v>
      </c>
      <c r="BC198">
        <v>6.6298342541436447E-2</v>
      </c>
      <c r="BD198">
        <v>0</v>
      </c>
      <c r="BE198">
        <v>0.13933701657458553</v>
      </c>
      <c r="BF198">
        <v>1.7679558011049718E-2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8.8397790055248608E-3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3.0939226519337011E-2</v>
      </c>
      <c r="CB198">
        <v>0</v>
      </c>
    </row>
    <row r="199" spans="1:80">
      <c r="A199">
        <v>198</v>
      </c>
      <c r="B199" s="4" t="s">
        <v>87</v>
      </c>
      <c r="C199" s="4" t="s">
        <v>172</v>
      </c>
      <c r="D199" s="4" t="s">
        <v>118</v>
      </c>
      <c r="E199" s="5">
        <v>39659</v>
      </c>
      <c r="F199" s="5">
        <v>39656</v>
      </c>
      <c r="G199">
        <v>807</v>
      </c>
      <c r="H199" s="4" t="s">
        <v>107</v>
      </c>
      <c r="I199" s="4" t="s">
        <v>109</v>
      </c>
      <c r="J199" s="4" t="str">
        <f t="shared" si="3"/>
        <v>u_con.c_rem</v>
      </c>
      <c r="K199" s="5">
        <v>2</v>
      </c>
      <c r="L199">
        <v>0</v>
      </c>
      <c r="M199">
        <v>1.2354651162790702E-2</v>
      </c>
      <c r="N199">
        <v>8.0062984496124062E-2</v>
      </c>
      <c r="O199">
        <v>1.2112403100775198E-2</v>
      </c>
      <c r="P199">
        <v>0</v>
      </c>
      <c r="Q199">
        <v>2.5436046511627917E-3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0.13565891472868219</v>
      </c>
      <c r="Z199">
        <v>0</v>
      </c>
      <c r="AA199">
        <v>4.8812984496124048E-2</v>
      </c>
      <c r="AB199">
        <v>0</v>
      </c>
      <c r="AC199">
        <v>0</v>
      </c>
      <c r="AD199">
        <v>0</v>
      </c>
      <c r="AE199">
        <v>1.9379844961240317E-2</v>
      </c>
      <c r="AF199">
        <v>0</v>
      </c>
      <c r="AG199">
        <v>2.4224806201550396E-3</v>
      </c>
      <c r="AH199">
        <v>2.4224806201550396E-3</v>
      </c>
      <c r="AI199">
        <v>7.2674418604651196E-3</v>
      </c>
      <c r="AJ199">
        <v>0</v>
      </c>
      <c r="AK199">
        <v>0</v>
      </c>
      <c r="AL199">
        <v>2.4224806201550396E-2</v>
      </c>
      <c r="AM199">
        <v>6.0804263565891498E-2</v>
      </c>
      <c r="AN199">
        <v>7.2674418604651196E-3</v>
      </c>
      <c r="AO199">
        <v>0</v>
      </c>
      <c r="AP199">
        <v>0</v>
      </c>
      <c r="AQ199">
        <v>0</v>
      </c>
      <c r="AR199">
        <v>0</v>
      </c>
      <c r="AS199">
        <v>4.8449612403100792E-3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0.35404554263565902</v>
      </c>
      <c r="BB199">
        <v>0.15758236434108525</v>
      </c>
      <c r="BC199">
        <v>0</v>
      </c>
      <c r="BD199">
        <v>0</v>
      </c>
      <c r="BE199">
        <v>3.6579457364341102E-2</v>
      </c>
      <c r="BF199">
        <v>1.4656007751937988E-2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9.6899224806201584E-3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4.8449612403100792E-3</v>
      </c>
      <c r="CB199">
        <v>0</v>
      </c>
    </row>
    <row r="200" spans="1:80">
      <c r="A200">
        <v>199</v>
      </c>
      <c r="B200" s="19" t="s">
        <v>88</v>
      </c>
      <c r="C200" s="4" t="s">
        <v>172</v>
      </c>
      <c r="D200" s="4" t="s">
        <v>118</v>
      </c>
      <c r="E200" s="5">
        <v>39659</v>
      </c>
      <c r="F200" s="5">
        <v>39656</v>
      </c>
      <c r="G200">
        <v>807</v>
      </c>
      <c r="H200" s="4" t="s">
        <v>107</v>
      </c>
      <c r="I200" s="4" t="s">
        <v>109</v>
      </c>
      <c r="J200" s="4" t="str">
        <f t="shared" si="3"/>
        <v>u_con.c_rem</v>
      </c>
      <c r="K200" s="5">
        <v>2</v>
      </c>
      <c r="L200">
        <v>4.8284970374525664E-3</v>
      </c>
      <c r="M200">
        <v>2.4095234084681366E-2</v>
      </c>
      <c r="N200">
        <v>0.10639939153317823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8.3470937598270151E-2</v>
      </c>
      <c r="Z200">
        <v>0</v>
      </c>
      <c r="AA200">
        <v>0</v>
      </c>
      <c r="AB200">
        <v>2.5578274537761493E-2</v>
      </c>
      <c r="AC200">
        <v>4.8284970374525664E-3</v>
      </c>
      <c r="AD200">
        <v>2.4142485187262832E-3</v>
      </c>
      <c r="AE200">
        <v>1.7120472586057568E-2</v>
      </c>
      <c r="AF200">
        <v>0</v>
      </c>
      <c r="AG200">
        <v>1.3664649524198337E-2</v>
      </c>
      <c r="AH200">
        <v>0</v>
      </c>
      <c r="AI200">
        <v>4.7181305599657726E-3</v>
      </c>
      <c r="AJ200">
        <v>0</v>
      </c>
      <c r="AK200">
        <v>0</v>
      </c>
      <c r="AL200">
        <v>0.21037072056164699</v>
      </c>
      <c r="AM200">
        <v>9.7218325627988877E-2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3.2537171764061429E-2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0.21473012371718603</v>
      </c>
      <c r="BB200">
        <v>6.3869633081047303E-2</v>
      </c>
      <c r="BC200">
        <v>0</v>
      </c>
      <c r="BD200">
        <v>0</v>
      </c>
      <c r="BE200">
        <v>6.897163249992927E-2</v>
      </c>
      <c r="BF200">
        <v>1.0477835663064494E-2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4.6077640824789779E-3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1.0098459984852311E-2</v>
      </c>
      <c r="CB200">
        <v>0</v>
      </c>
    </row>
    <row r="201" spans="1:80">
      <c r="A201">
        <v>200</v>
      </c>
      <c r="B201" s="4" t="s">
        <v>89</v>
      </c>
      <c r="C201" s="4" t="s">
        <v>172</v>
      </c>
      <c r="D201" s="4" t="s">
        <v>118</v>
      </c>
      <c r="E201" s="5">
        <v>39659</v>
      </c>
      <c r="F201" s="5">
        <v>39656</v>
      </c>
      <c r="G201">
        <v>807</v>
      </c>
      <c r="H201" s="4" t="s">
        <v>107</v>
      </c>
      <c r="I201" s="4" t="s">
        <v>108</v>
      </c>
      <c r="J201" s="4" t="str">
        <f t="shared" si="3"/>
        <v>u_con.c_con</v>
      </c>
      <c r="K201" s="5">
        <v>19</v>
      </c>
      <c r="L201">
        <v>0</v>
      </c>
      <c r="M201">
        <v>0</v>
      </c>
      <c r="N201">
        <v>1.6623376623376623E-2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7.0649350649350642E-2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3.5324675324675328E-2</v>
      </c>
      <c r="AF201">
        <v>0</v>
      </c>
      <c r="AG201">
        <v>2.9090909090909094E-2</v>
      </c>
      <c r="AH201">
        <v>0</v>
      </c>
      <c r="AI201">
        <v>2.0779220779220779E-3</v>
      </c>
      <c r="AJ201">
        <v>0</v>
      </c>
      <c r="AK201">
        <v>0</v>
      </c>
      <c r="AL201">
        <v>0.26805194805194804</v>
      </c>
      <c r="AM201">
        <v>4.779220779220781E-2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8.4155844155844161E-3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0.27023376623376627</v>
      </c>
      <c r="BB201">
        <v>9.9844155844155832E-2</v>
      </c>
      <c r="BC201">
        <v>0</v>
      </c>
      <c r="BD201">
        <v>0</v>
      </c>
      <c r="BE201">
        <v>0.11033766233766233</v>
      </c>
      <c r="BF201">
        <v>3.740259740259741E-2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4.1558441558441558E-3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</row>
    <row r="202" spans="1:80">
      <c r="A202">
        <v>201</v>
      </c>
      <c r="B202" s="4" t="s">
        <v>90</v>
      </c>
      <c r="C202" s="4" t="s">
        <v>173</v>
      </c>
      <c r="D202" s="4" t="s">
        <v>118</v>
      </c>
      <c r="E202" s="5">
        <v>39659</v>
      </c>
      <c r="F202" s="5">
        <v>39656</v>
      </c>
      <c r="G202">
        <v>807</v>
      </c>
      <c r="H202" s="4" t="s">
        <v>107</v>
      </c>
      <c r="I202" s="4" t="s">
        <v>108</v>
      </c>
      <c r="J202" s="4" t="str">
        <f t="shared" si="3"/>
        <v>u_con.c_con</v>
      </c>
      <c r="K202" s="5">
        <v>19</v>
      </c>
      <c r="L202">
        <v>0</v>
      </c>
      <c r="M202">
        <v>1.827735892163582E-2</v>
      </c>
      <c r="N202">
        <v>5.266164039296322E-2</v>
      </c>
      <c r="O202">
        <v>2.0562028786840297E-2</v>
      </c>
      <c r="P202">
        <v>0</v>
      </c>
      <c r="Q202">
        <v>0.13479552204706413</v>
      </c>
      <c r="R202">
        <v>1.1423349326022389E-2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5.9515649988576648E-2</v>
      </c>
      <c r="Z202">
        <v>1.1423349326022389E-2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1.382225268448709E-2</v>
      </c>
      <c r="AG202">
        <v>5.9401416495316425E-2</v>
      </c>
      <c r="AH202">
        <v>0</v>
      </c>
      <c r="AI202">
        <v>0</v>
      </c>
      <c r="AJ202">
        <v>0</v>
      </c>
      <c r="AK202">
        <v>0</v>
      </c>
      <c r="AL202">
        <v>5.4832076764907464E-2</v>
      </c>
      <c r="AM202">
        <v>0</v>
      </c>
      <c r="AN202">
        <v>4.5693397304089559E-3</v>
      </c>
      <c r="AO202">
        <v>0</v>
      </c>
      <c r="AP202">
        <v>0</v>
      </c>
      <c r="AQ202">
        <v>0</v>
      </c>
      <c r="AR202">
        <v>0</v>
      </c>
      <c r="AS202">
        <v>2.284669865204478E-3</v>
      </c>
      <c r="AT202">
        <v>0</v>
      </c>
      <c r="AU202">
        <v>0</v>
      </c>
      <c r="AV202">
        <v>0</v>
      </c>
      <c r="AW202">
        <v>0</v>
      </c>
      <c r="AX202">
        <v>2.284669865204478E-3</v>
      </c>
      <c r="AY202">
        <v>0</v>
      </c>
      <c r="AZ202">
        <v>0</v>
      </c>
      <c r="BA202">
        <v>0.22686771761480459</v>
      </c>
      <c r="BB202">
        <v>0.26307973497829557</v>
      </c>
      <c r="BC202">
        <v>0</v>
      </c>
      <c r="BD202">
        <v>0</v>
      </c>
      <c r="BE202">
        <v>1.1423349326022389E-2</v>
      </c>
      <c r="BF202">
        <v>9.2529129540781362E-3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1.3708019191226866E-2</v>
      </c>
      <c r="BO202">
        <v>0</v>
      </c>
      <c r="BP202">
        <v>4.5693397304089559E-3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6.854009595613433E-3</v>
      </c>
      <c r="CB202">
        <v>0</v>
      </c>
    </row>
    <row r="203" spans="1:80">
      <c r="A203">
        <v>202</v>
      </c>
      <c r="B203" s="4" t="s">
        <v>91</v>
      </c>
      <c r="C203" s="4" t="s">
        <v>173</v>
      </c>
      <c r="D203" s="4" t="s">
        <v>118</v>
      </c>
      <c r="E203" s="5">
        <v>39659</v>
      </c>
      <c r="F203" s="5">
        <v>39656</v>
      </c>
      <c r="G203">
        <v>807</v>
      </c>
      <c r="H203" s="4" t="s">
        <v>107</v>
      </c>
      <c r="I203" s="4" t="s">
        <v>109</v>
      </c>
      <c r="J203" s="4" t="str">
        <f t="shared" si="3"/>
        <v>u_con.c_rem</v>
      </c>
      <c r="K203" s="5">
        <v>2</v>
      </c>
      <c r="L203">
        <v>0</v>
      </c>
      <c r="M203">
        <v>6.8241758241758266E-2</v>
      </c>
      <c r="N203">
        <v>3.7472527472527474E-2</v>
      </c>
      <c r="O203">
        <v>2.1978021978021978E-3</v>
      </c>
      <c r="P203">
        <v>0</v>
      </c>
      <c r="Q203">
        <v>7.2527472527472533E-2</v>
      </c>
      <c r="R203">
        <v>0.12527472527472527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9.8901098901098897E-2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8.7912087912087912E-3</v>
      </c>
      <c r="AH203">
        <v>0</v>
      </c>
      <c r="AI203">
        <v>0</v>
      </c>
      <c r="AJ203">
        <v>0</v>
      </c>
      <c r="AK203">
        <v>0</v>
      </c>
      <c r="AL203">
        <v>3.7362637362637369E-2</v>
      </c>
      <c r="AM203">
        <v>0</v>
      </c>
      <c r="AN203">
        <v>6.5934065934065943E-3</v>
      </c>
      <c r="AO203">
        <v>0</v>
      </c>
      <c r="AP203">
        <v>0</v>
      </c>
      <c r="AQ203">
        <v>0</v>
      </c>
      <c r="AR203">
        <v>0</v>
      </c>
      <c r="AS203">
        <v>2.1978021978021978E-3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0.12153846153846148</v>
      </c>
      <c r="BB203">
        <v>0.1254945054945055</v>
      </c>
      <c r="BC203">
        <v>0</v>
      </c>
      <c r="BD203">
        <v>0</v>
      </c>
      <c r="BE203">
        <v>0.1715384615384615</v>
      </c>
      <c r="BF203">
        <v>5.0989010989010992E-2</v>
      </c>
      <c r="BG203">
        <v>0</v>
      </c>
      <c r="BH203">
        <v>0</v>
      </c>
      <c r="BI203">
        <v>1.5934065934065933E-2</v>
      </c>
      <c r="BJ203">
        <v>0</v>
      </c>
      <c r="BK203">
        <v>0</v>
      </c>
      <c r="BL203">
        <v>0</v>
      </c>
      <c r="BM203">
        <v>0</v>
      </c>
      <c r="BN203">
        <v>1.098901098901099E-2</v>
      </c>
      <c r="BO203">
        <v>2.1978021978021978E-3</v>
      </c>
      <c r="BP203">
        <v>0</v>
      </c>
      <c r="BQ203">
        <v>0</v>
      </c>
      <c r="BR203">
        <v>0</v>
      </c>
      <c r="BS203">
        <v>4.3956043956043956E-3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3.7362637362637369E-2</v>
      </c>
      <c r="CB203">
        <v>0</v>
      </c>
    </row>
    <row r="204" spans="1:80">
      <c r="A204">
        <v>203</v>
      </c>
      <c r="B204" s="4" t="s">
        <v>92</v>
      </c>
      <c r="C204" s="4" t="s">
        <v>173</v>
      </c>
      <c r="D204" s="4" t="s">
        <v>118</v>
      </c>
      <c r="E204" s="5">
        <v>39659</v>
      </c>
      <c r="F204" s="5">
        <v>39656</v>
      </c>
      <c r="G204">
        <v>807</v>
      </c>
      <c r="H204" s="4" t="s">
        <v>107</v>
      </c>
      <c r="I204" s="4" t="s">
        <v>108</v>
      </c>
      <c r="J204" s="4" t="str">
        <f t="shared" si="3"/>
        <v>u_con.c_con</v>
      </c>
      <c r="K204" s="5">
        <v>19</v>
      </c>
      <c r="L204">
        <v>0</v>
      </c>
      <c r="M204">
        <v>2.1817388458601501E-2</v>
      </c>
      <c r="N204">
        <v>2.8362604996181952E-2</v>
      </c>
      <c r="O204">
        <v>4.5816515763063163E-2</v>
      </c>
      <c r="P204">
        <v>0</v>
      </c>
      <c r="Q204">
        <v>0.12435911421402854</v>
      </c>
      <c r="R204">
        <v>7.8542598450965395E-2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0.11563215883058793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2.8362604996181949E-2</v>
      </c>
      <c r="AH204">
        <v>6.545216537580451E-3</v>
      </c>
      <c r="AI204">
        <v>2.1817388458601505E-3</v>
      </c>
      <c r="AJ204">
        <v>0</v>
      </c>
      <c r="AK204">
        <v>0</v>
      </c>
      <c r="AL204">
        <v>0.1483582415184902</v>
      </c>
      <c r="AM204">
        <v>0</v>
      </c>
      <c r="AN204">
        <v>8.726955383440602E-3</v>
      </c>
      <c r="AO204">
        <v>0</v>
      </c>
      <c r="AP204">
        <v>0</v>
      </c>
      <c r="AQ204">
        <v>0</v>
      </c>
      <c r="AR204">
        <v>0</v>
      </c>
      <c r="AS204">
        <v>2.1817388458601505E-3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0.12457728809861454</v>
      </c>
      <c r="BB204">
        <v>0.11792298461874108</v>
      </c>
      <c r="BC204">
        <v>0</v>
      </c>
      <c r="BD204">
        <v>0</v>
      </c>
      <c r="BE204">
        <v>8.5305988873131899E-2</v>
      </c>
      <c r="BF204">
        <v>3.7307734264208574E-2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6.5452165375804502E-3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1.74539107668812E-2</v>
      </c>
      <c r="CB204">
        <v>0</v>
      </c>
    </row>
    <row r="205" spans="1:80">
      <c r="A205">
        <v>204</v>
      </c>
      <c r="B205" t="s">
        <v>93</v>
      </c>
      <c r="C205" s="4" t="s">
        <v>173</v>
      </c>
      <c r="D205" s="4" t="s">
        <v>118</v>
      </c>
      <c r="E205" s="5">
        <v>39659</v>
      </c>
      <c r="F205" s="5">
        <v>39656</v>
      </c>
      <c r="G205">
        <v>807</v>
      </c>
      <c r="H205" s="4" t="s">
        <v>107</v>
      </c>
      <c r="I205" s="4" t="s">
        <v>109</v>
      </c>
      <c r="J205" s="4" t="str">
        <f t="shared" si="3"/>
        <v>u_con.c_rem</v>
      </c>
      <c r="K205" s="5">
        <v>2</v>
      </c>
      <c r="L205">
        <v>0</v>
      </c>
      <c r="M205">
        <v>2.050011263798153E-2</v>
      </c>
      <c r="N205">
        <v>9.1236765037170549E-3</v>
      </c>
      <c r="O205">
        <v>1.8022077044379366E-2</v>
      </c>
      <c r="P205">
        <v>0</v>
      </c>
      <c r="Q205">
        <v>8.7857625591349436E-2</v>
      </c>
      <c r="R205">
        <v>0.13291281820229783</v>
      </c>
      <c r="S205">
        <v>0</v>
      </c>
      <c r="T205">
        <v>2.2527596305474211E-3</v>
      </c>
      <c r="U205">
        <v>0</v>
      </c>
      <c r="V205">
        <v>0</v>
      </c>
      <c r="W205">
        <v>0</v>
      </c>
      <c r="X205">
        <v>0</v>
      </c>
      <c r="Y205">
        <v>0.11714350078846587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2.2527596305474211E-3</v>
      </c>
      <c r="AF205">
        <v>0</v>
      </c>
      <c r="AG205">
        <v>2.0274836674926789E-2</v>
      </c>
      <c r="AH205">
        <v>0</v>
      </c>
      <c r="AI205">
        <v>2.2527596305474211E-3</v>
      </c>
      <c r="AJ205">
        <v>0</v>
      </c>
      <c r="AK205">
        <v>0</v>
      </c>
      <c r="AL205">
        <v>7.434106780806489E-2</v>
      </c>
      <c r="AM205">
        <v>0</v>
      </c>
      <c r="AN205">
        <v>7.0961928362243774E-3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2.3653976120747923E-3</v>
      </c>
      <c r="AY205">
        <v>0</v>
      </c>
      <c r="AZ205">
        <v>0</v>
      </c>
      <c r="BA205">
        <v>0.24127055643162865</v>
      </c>
      <c r="BB205">
        <v>7.5242171660283852E-2</v>
      </c>
      <c r="BC205">
        <v>1.5769317413831946E-2</v>
      </c>
      <c r="BD205">
        <v>0</v>
      </c>
      <c r="BE205">
        <v>0.1397837350754674</v>
      </c>
      <c r="BF205">
        <v>2.2527596305474205E-2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4.5055192610948423E-3</v>
      </c>
      <c r="BO205">
        <v>0</v>
      </c>
      <c r="BP205">
        <v>2.2527596305474211E-3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2.2527596305474211E-3</v>
      </c>
      <c r="CB205">
        <v>0</v>
      </c>
    </row>
    <row r="206" spans="1:80">
      <c r="A206">
        <v>205</v>
      </c>
      <c r="B206" s="4" t="s">
        <v>94</v>
      </c>
      <c r="C206" s="4" t="s">
        <v>174</v>
      </c>
      <c r="D206" s="4" t="s">
        <v>118</v>
      </c>
      <c r="E206" s="5">
        <v>39659</v>
      </c>
      <c r="F206" s="5">
        <v>39656</v>
      </c>
      <c r="G206">
        <v>807</v>
      </c>
      <c r="H206" s="4" t="s">
        <v>110</v>
      </c>
      <c r="I206" s="4" t="s">
        <v>108</v>
      </c>
      <c r="J206" s="4" t="str">
        <f t="shared" si="3"/>
        <v>u_rem.c_con</v>
      </c>
      <c r="K206" s="5">
        <v>8</v>
      </c>
      <c r="L206">
        <v>4.4043162299053085E-3</v>
      </c>
      <c r="M206">
        <v>4.1841004184100437E-2</v>
      </c>
      <c r="N206">
        <v>0.44263378110548335</v>
      </c>
      <c r="O206">
        <v>1.3212948689715924E-2</v>
      </c>
      <c r="P206">
        <v>0</v>
      </c>
      <c r="Q206">
        <v>4.6245320414005739E-2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0.35234529839242462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4.1841004184100437E-2</v>
      </c>
      <c r="AI206">
        <v>0</v>
      </c>
      <c r="AJ206">
        <v>2.6536005285179479E-2</v>
      </c>
      <c r="AK206">
        <v>0</v>
      </c>
      <c r="AL206">
        <v>0</v>
      </c>
      <c r="AM206">
        <v>0</v>
      </c>
      <c r="AN206">
        <v>2.2021581149526542E-3</v>
      </c>
      <c r="AO206">
        <v>0</v>
      </c>
      <c r="AP206">
        <v>0</v>
      </c>
      <c r="AQ206">
        <v>0</v>
      </c>
      <c r="AR206">
        <v>0</v>
      </c>
      <c r="AS206">
        <v>1.1010790574763271E-4</v>
      </c>
      <c r="AT206">
        <v>0</v>
      </c>
      <c r="AU206">
        <v>0</v>
      </c>
      <c r="AV206">
        <v>0</v>
      </c>
      <c r="AW206">
        <v>2.2021581149526542E-3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2.2021581149526542E-3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2.4223739264479197E-2</v>
      </c>
      <c r="CB206">
        <v>0</v>
      </c>
    </row>
    <row r="207" spans="1:80">
      <c r="A207">
        <v>206</v>
      </c>
      <c r="B207" s="4" t="s">
        <v>95</v>
      </c>
      <c r="C207" s="4" t="s">
        <v>174</v>
      </c>
      <c r="D207" s="4" t="s">
        <v>118</v>
      </c>
      <c r="E207" s="5">
        <v>39659</v>
      </c>
      <c r="F207" s="5">
        <v>39656</v>
      </c>
      <c r="G207">
        <v>807</v>
      </c>
      <c r="H207" s="4" t="s">
        <v>110</v>
      </c>
      <c r="I207" s="4" t="s">
        <v>109</v>
      </c>
      <c r="J207" s="4" t="str">
        <f t="shared" si="3"/>
        <v>u_rem.c_rem</v>
      </c>
      <c r="K207" s="5">
        <v>1</v>
      </c>
      <c r="L207">
        <v>0</v>
      </c>
      <c r="M207">
        <v>5.6167153448663222E-2</v>
      </c>
      <c r="N207">
        <v>6.5153898000449351E-2</v>
      </c>
      <c r="O207">
        <v>3.8193664345091007E-2</v>
      </c>
      <c r="P207">
        <v>0</v>
      </c>
      <c r="Q207">
        <v>0.2808357672433161</v>
      </c>
      <c r="R207">
        <v>0</v>
      </c>
      <c r="S207">
        <v>2.2466861379465291E-3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0.36396315434733778</v>
      </c>
      <c r="Z207">
        <v>2.6960233655358351E-2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4.7292743203774447E-2</v>
      </c>
      <c r="AI207">
        <v>0</v>
      </c>
      <c r="AJ207">
        <v>0.10121321051449114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2.2466861379465291E-3</v>
      </c>
      <c r="AX207">
        <v>2.2466861379465291E-3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1.3480116827679174E-2</v>
      </c>
      <c r="CB207">
        <v>0</v>
      </c>
    </row>
    <row r="208" spans="1:80">
      <c r="A208">
        <v>207</v>
      </c>
      <c r="B208" s="4" t="s">
        <v>96</v>
      </c>
      <c r="C208" s="4" t="s">
        <v>174</v>
      </c>
      <c r="D208" s="4" t="s">
        <v>118</v>
      </c>
      <c r="E208" s="5">
        <v>39659</v>
      </c>
      <c r="F208" s="5">
        <v>39656</v>
      </c>
      <c r="G208">
        <v>807</v>
      </c>
      <c r="H208" s="4" t="s">
        <v>110</v>
      </c>
      <c r="I208" s="4" t="s">
        <v>109</v>
      </c>
      <c r="J208" s="4" t="str">
        <f t="shared" si="3"/>
        <v>u_rem.c_rem</v>
      </c>
      <c r="K208" s="5">
        <v>1</v>
      </c>
      <c r="L208">
        <v>1.5082956259426846E-2</v>
      </c>
      <c r="M208">
        <v>2.3701788407670756E-2</v>
      </c>
      <c r="N208">
        <v>0.4050851109674638</v>
      </c>
      <c r="O208">
        <v>3.8784744667097609E-2</v>
      </c>
      <c r="P208">
        <v>0</v>
      </c>
      <c r="Q208">
        <v>2.1547080370609784E-3</v>
      </c>
      <c r="R208">
        <v>0</v>
      </c>
      <c r="S208">
        <v>0</v>
      </c>
      <c r="T208">
        <v>8.6188321482439136E-3</v>
      </c>
      <c r="U208">
        <v>0</v>
      </c>
      <c r="V208">
        <v>0</v>
      </c>
      <c r="W208">
        <v>0</v>
      </c>
      <c r="X208">
        <v>0</v>
      </c>
      <c r="Y208">
        <v>0.12712777418659768</v>
      </c>
      <c r="Z208">
        <v>2.1547080370609784E-3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2.8011204481792715E-2</v>
      </c>
      <c r="AI208">
        <v>8.6188321482439136E-3</v>
      </c>
      <c r="AJ208">
        <v>0.3081232492997199</v>
      </c>
      <c r="AK208">
        <v>0</v>
      </c>
      <c r="AL208">
        <v>0</v>
      </c>
      <c r="AM208">
        <v>0</v>
      </c>
      <c r="AN208">
        <v>1.2928248222365869E-2</v>
      </c>
      <c r="AO208">
        <v>0</v>
      </c>
      <c r="AP208">
        <v>0</v>
      </c>
      <c r="AQ208">
        <v>0</v>
      </c>
      <c r="AR208">
        <v>0</v>
      </c>
      <c r="AS208">
        <v>1.5082956259426846E-2</v>
      </c>
      <c r="AT208">
        <v>2.1547080370609782E-4</v>
      </c>
      <c r="AU208">
        <v>0</v>
      </c>
      <c r="AV208">
        <v>0</v>
      </c>
      <c r="AW208">
        <v>2.1547080370609784E-3</v>
      </c>
      <c r="AX208">
        <v>2.1547080370609784E-3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0.01</v>
      </c>
      <c r="CB208">
        <v>0</v>
      </c>
    </row>
    <row r="209" spans="1:80">
      <c r="A209">
        <v>208</v>
      </c>
      <c r="B209" s="4" t="s">
        <v>97</v>
      </c>
      <c r="C209" s="4" t="s">
        <v>174</v>
      </c>
      <c r="D209" s="4" t="s">
        <v>118</v>
      </c>
      <c r="E209" s="5">
        <v>39659</v>
      </c>
      <c r="F209" s="5">
        <v>39656</v>
      </c>
      <c r="G209">
        <v>807</v>
      </c>
      <c r="H209" s="4" t="s">
        <v>110</v>
      </c>
      <c r="I209" s="4" t="s">
        <v>108</v>
      </c>
      <c r="J209" s="4" t="str">
        <f t="shared" si="3"/>
        <v>u_rem.c_con</v>
      </c>
      <c r="K209" s="5">
        <v>8</v>
      </c>
      <c r="L209">
        <v>6.7385444743935322E-3</v>
      </c>
      <c r="M209">
        <v>3.3805031446540894E-2</v>
      </c>
      <c r="N209">
        <v>4.7169811320754741E-2</v>
      </c>
      <c r="O209">
        <v>0.19317160826594792</v>
      </c>
      <c r="P209">
        <v>0</v>
      </c>
      <c r="Q209">
        <v>8.9847259658580439E-2</v>
      </c>
      <c r="R209">
        <v>2.9200359389038644E-2</v>
      </c>
      <c r="S209">
        <v>1.3477088948787064E-2</v>
      </c>
      <c r="T209">
        <v>6.738544474393534E-3</v>
      </c>
      <c r="U209">
        <v>0</v>
      </c>
      <c r="V209">
        <v>0</v>
      </c>
      <c r="W209">
        <v>0</v>
      </c>
      <c r="X209">
        <v>0</v>
      </c>
      <c r="Y209">
        <v>0.54582210242587603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4.6046720575022475E-3</v>
      </c>
      <c r="AI209">
        <v>0</v>
      </c>
      <c r="AJ209">
        <v>1.3477088948787064E-2</v>
      </c>
      <c r="AK209">
        <v>0</v>
      </c>
      <c r="AL209">
        <v>0</v>
      </c>
      <c r="AM209">
        <v>0</v>
      </c>
      <c r="AN209">
        <v>1.1230907457322555E-4</v>
      </c>
      <c r="AO209">
        <v>0</v>
      </c>
      <c r="AP209">
        <v>0</v>
      </c>
      <c r="AQ209">
        <v>0</v>
      </c>
      <c r="AR209">
        <v>0</v>
      </c>
      <c r="AS209">
        <v>6.738544474393534E-3</v>
      </c>
      <c r="AT209">
        <v>1.1230907457322555E-4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2.2461814914645109E-3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6.7385444743935322E-3</v>
      </c>
      <c r="CB209">
        <v>0</v>
      </c>
    </row>
    <row r="210" spans="1:80">
      <c r="A210">
        <v>209</v>
      </c>
      <c r="B210" s="4" t="s">
        <v>98</v>
      </c>
      <c r="C210" s="4" t="s">
        <v>175</v>
      </c>
      <c r="D210" s="4" t="s">
        <v>118</v>
      </c>
      <c r="E210" s="5">
        <v>39659</v>
      </c>
      <c r="F210" s="5">
        <v>39656</v>
      </c>
      <c r="G210">
        <v>807</v>
      </c>
      <c r="H210" s="4" t="s">
        <v>107</v>
      </c>
      <c r="I210" s="4" t="s">
        <v>109</v>
      </c>
      <c r="J210" s="4" t="str">
        <f t="shared" si="3"/>
        <v>u_con.c_rem</v>
      </c>
      <c r="K210" s="5">
        <v>2</v>
      </c>
      <c r="L210">
        <v>0</v>
      </c>
      <c r="M210">
        <v>4.6037487668530122E-2</v>
      </c>
      <c r="N210">
        <v>4.6037487668530094E-2</v>
      </c>
      <c r="O210">
        <v>0</v>
      </c>
      <c r="P210">
        <v>0</v>
      </c>
      <c r="Q210">
        <v>8.7690452701962105E-3</v>
      </c>
      <c r="R210">
        <v>0</v>
      </c>
      <c r="S210">
        <v>0</v>
      </c>
      <c r="T210">
        <v>4.3845226350981053E-3</v>
      </c>
      <c r="U210">
        <v>0</v>
      </c>
      <c r="V210">
        <v>0</v>
      </c>
      <c r="W210">
        <v>0</v>
      </c>
      <c r="X210">
        <v>0</v>
      </c>
      <c r="Y210">
        <v>0.34856954949029928</v>
      </c>
      <c r="Z210">
        <v>0</v>
      </c>
      <c r="AA210">
        <v>0</v>
      </c>
      <c r="AB210">
        <v>0</v>
      </c>
      <c r="AC210">
        <v>0</v>
      </c>
      <c r="AD210">
        <v>2.1922613175490526E-3</v>
      </c>
      <c r="AE210">
        <v>0</v>
      </c>
      <c r="AF210">
        <v>1.0961306587745262E-4</v>
      </c>
      <c r="AG210">
        <v>0</v>
      </c>
      <c r="AH210">
        <v>2.8499397128137684E-2</v>
      </c>
      <c r="AI210">
        <v>0</v>
      </c>
      <c r="AJ210">
        <v>1.5345829222843365E-2</v>
      </c>
      <c r="AK210">
        <v>0</v>
      </c>
      <c r="AL210">
        <v>2.4114874493039579E-2</v>
      </c>
      <c r="AM210">
        <v>0</v>
      </c>
      <c r="AN210">
        <v>8.7690452701962105E-3</v>
      </c>
      <c r="AO210">
        <v>0</v>
      </c>
      <c r="AP210">
        <v>0</v>
      </c>
      <c r="AQ210">
        <v>0</v>
      </c>
      <c r="AR210">
        <v>0</v>
      </c>
      <c r="AS210">
        <v>5.4806532938726324E-2</v>
      </c>
      <c r="AT210">
        <v>0</v>
      </c>
      <c r="AU210">
        <v>0</v>
      </c>
      <c r="AV210">
        <v>0</v>
      </c>
      <c r="AW210">
        <v>6.5767839526471574E-3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0.26548284555519025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2.1922613175490526E-3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0.1381124630055903</v>
      </c>
      <c r="CB210">
        <v>0</v>
      </c>
    </row>
    <row r="211" spans="1:80">
      <c r="A211">
        <v>210</v>
      </c>
      <c r="B211" s="4" t="s">
        <v>99</v>
      </c>
      <c r="C211" s="4" t="s">
        <v>175</v>
      </c>
      <c r="D211" s="4" t="s">
        <v>118</v>
      </c>
      <c r="E211" s="5">
        <v>39659</v>
      </c>
      <c r="F211" s="5">
        <v>39656</v>
      </c>
      <c r="G211">
        <v>807</v>
      </c>
      <c r="H211" s="4" t="s">
        <v>107</v>
      </c>
      <c r="I211" s="4" t="s">
        <v>108</v>
      </c>
      <c r="J211" s="4" t="str">
        <f t="shared" si="3"/>
        <v>u_con.c_con</v>
      </c>
      <c r="K211" s="5">
        <v>19</v>
      </c>
      <c r="L211">
        <v>6.7811934900542528E-3</v>
      </c>
      <c r="M211">
        <v>4.9728752260397857E-2</v>
      </c>
      <c r="N211">
        <v>0.23056057866184454</v>
      </c>
      <c r="O211">
        <v>0</v>
      </c>
      <c r="P211">
        <v>0</v>
      </c>
      <c r="Q211">
        <v>6.7811934900542511E-3</v>
      </c>
      <c r="R211">
        <v>0</v>
      </c>
      <c r="S211">
        <v>0</v>
      </c>
      <c r="T211">
        <v>7.6966546112115758E-2</v>
      </c>
      <c r="U211">
        <v>0</v>
      </c>
      <c r="V211">
        <v>0</v>
      </c>
      <c r="W211">
        <v>0</v>
      </c>
      <c r="X211">
        <v>0</v>
      </c>
      <c r="Y211">
        <v>0.17857142857142863</v>
      </c>
      <c r="Z211">
        <v>4.5207956600361683E-3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8.1374321880651024E-2</v>
      </c>
      <c r="AI211">
        <v>2.9385171790235091E-2</v>
      </c>
      <c r="AJ211">
        <v>3.6166365280289346E-2</v>
      </c>
      <c r="AK211">
        <v>0</v>
      </c>
      <c r="AL211">
        <v>0</v>
      </c>
      <c r="AM211">
        <v>0</v>
      </c>
      <c r="AN211">
        <v>1.3675406871609407E-2</v>
      </c>
      <c r="AO211">
        <v>0</v>
      </c>
      <c r="AP211">
        <v>0</v>
      </c>
      <c r="AQ211">
        <v>0</v>
      </c>
      <c r="AR211">
        <v>0</v>
      </c>
      <c r="AS211">
        <v>9.1546112115732398E-3</v>
      </c>
      <c r="AT211">
        <v>1.130198915009042E-4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6.8264014466546147E-2</v>
      </c>
      <c r="BB211">
        <v>0</v>
      </c>
      <c r="BC211">
        <v>0</v>
      </c>
      <c r="BD211">
        <v>0</v>
      </c>
      <c r="BE211">
        <v>0.12432188065099463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8.3634719710669103E-2</v>
      </c>
      <c r="CB211">
        <v>0</v>
      </c>
    </row>
    <row r="212" spans="1:80">
      <c r="A212">
        <v>211</v>
      </c>
      <c r="B212" s="4" t="s">
        <v>100</v>
      </c>
      <c r="C212" s="4" t="s">
        <v>175</v>
      </c>
      <c r="D212" s="4" t="s">
        <v>118</v>
      </c>
      <c r="E212" s="5">
        <v>39659</v>
      </c>
      <c r="F212" s="5">
        <v>39656</v>
      </c>
      <c r="G212">
        <v>807</v>
      </c>
      <c r="H212" s="4" t="s">
        <v>107</v>
      </c>
      <c r="I212" s="4" t="s">
        <v>109</v>
      </c>
      <c r="J212" s="4" t="str">
        <f t="shared" si="3"/>
        <v>u_con.c_rem</v>
      </c>
      <c r="K212" s="5">
        <v>2</v>
      </c>
      <c r="L212">
        <v>8.7989441267047955E-3</v>
      </c>
      <c r="M212">
        <v>0.1782886053673558</v>
      </c>
      <c r="N212">
        <v>5.5103387593488776E-2</v>
      </c>
      <c r="O212">
        <v>4.3994720633523977E-3</v>
      </c>
      <c r="P212">
        <v>0</v>
      </c>
      <c r="Q212">
        <v>8.7989441267047955E-2</v>
      </c>
      <c r="R212">
        <v>0</v>
      </c>
      <c r="S212">
        <v>0</v>
      </c>
      <c r="T212">
        <v>4.8834139903211615E-2</v>
      </c>
      <c r="U212">
        <v>0</v>
      </c>
      <c r="V212">
        <v>2.1997360316761989E-3</v>
      </c>
      <c r="W212">
        <v>0</v>
      </c>
      <c r="X212">
        <v>0</v>
      </c>
      <c r="Y212">
        <v>0.35195776506819176</v>
      </c>
      <c r="Z212">
        <v>6.5992080950285975E-3</v>
      </c>
      <c r="AA212">
        <v>0</v>
      </c>
      <c r="AB212">
        <v>0</v>
      </c>
      <c r="AC212">
        <v>0</v>
      </c>
      <c r="AD212">
        <v>2.1997360316761989E-3</v>
      </c>
      <c r="AE212">
        <v>0</v>
      </c>
      <c r="AF212">
        <v>9.0189177298724155E-3</v>
      </c>
      <c r="AG212">
        <v>0</v>
      </c>
      <c r="AH212">
        <v>2.0127584689837219E-2</v>
      </c>
      <c r="AI212">
        <v>2.1997360316761989E-3</v>
      </c>
      <c r="AJ212">
        <v>4.3994720633523977E-3</v>
      </c>
      <c r="AK212">
        <v>0</v>
      </c>
      <c r="AL212">
        <v>0</v>
      </c>
      <c r="AM212">
        <v>0</v>
      </c>
      <c r="AN212">
        <v>8.7989441267047955E-3</v>
      </c>
      <c r="AO212">
        <v>0</v>
      </c>
      <c r="AP212">
        <v>0</v>
      </c>
      <c r="AQ212">
        <v>0</v>
      </c>
      <c r="AR212">
        <v>0</v>
      </c>
      <c r="AS212">
        <v>1.9797624285085792E-2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0.16728992520897487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1.0998680158380994E-2</v>
      </c>
      <c r="BO212">
        <v>2.1997360316761989E-3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8.7989441267047955E-3</v>
      </c>
      <c r="CB212">
        <v>0</v>
      </c>
    </row>
    <row r="213" spans="1:80">
      <c r="A213">
        <v>212</v>
      </c>
      <c r="B213" s="4" t="s">
        <v>101</v>
      </c>
      <c r="C213" s="4" t="s">
        <v>175</v>
      </c>
      <c r="D213" s="4" t="s">
        <v>118</v>
      </c>
      <c r="E213" s="5">
        <v>39659</v>
      </c>
      <c r="F213" s="5">
        <v>39656</v>
      </c>
      <c r="G213">
        <v>807</v>
      </c>
      <c r="H213" s="4" t="s">
        <v>107</v>
      </c>
      <c r="I213" s="4" t="s">
        <v>108</v>
      </c>
      <c r="J213" s="4" t="str">
        <f t="shared" si="3"/>
        <v>u_con.c_con</v>
      </c>
      <c r="K213" s="5">
        <v>19</v>
      </c>
      <c r="L213">
        <v>8.9196119968781382E-3</v>
      </c>
      <c r="M213">
        <v>6.9349983275727514E-2</v>
      </c>
      <c r="N213">
        <v>2.4528932991414874E-2</v>
      </c>
      <c r="O213">
        <v>3.7908350986732085E-2</v>
      </c>
      <c r="P213">
        <v>0</v>
      </c>
      <c r="Q213">
        <v>2.6758835990634413E-2</v>
      </c>
      <c r="R213">
        <v>0</v>
      </c>
      <c r="S213">
        <v>0</v>
      </c>
      <c r="T213">
        <v>3.3783030438175946E-2</v>
      </c>
      <c r="U213">
        <v>0</v>
      </c>
      <c r="V213">
        <v>0</v>
      </c>
      <c r="W213">
        <v>0</v>
      </c>
      <c r="X213">
        <v>0</v>
      </c>
      <c r="Y213">
        <v>0.55524584680566391</v>
      </c>
      <c r="Z213">
        <v>2.2299029992195346E-3</v>
      </c>
      <c r="AA213">
        <v>0</v>
      </c>
      <c r="AB213">
        <v>0</v>
      </c>
      <c r="AC213">
        <v>2.2299029992195346E-3</v>
      </c>
      <c r="AD213">
        <v>0</v>
      </c>
      <c r="AE213">
        <v>0</v>
      </c>
      <c r="AF213">
        <v>0</v>
      </c>
      <c r="AG213">
        <v>0</v>
      </c>
      <c r="AH213">
        <v>5.3517671981268833E-2</v>
      </c>
      <c r="AI213">
        <v>0</v>
      </c>
      <c r="AJ213">
        <v>3.5678447987512553E-2</v>
      </c>
      <c r="AK213">
        <v>0</v>
      </c>
      <c r="AL213">
        <v>6.6897089976586032E-3</v>
      </c>
      <c r="AM213">
        <v>0</v>
      </c>
      <c r="AN213">
        <v>6.8012041476195806E-3</v>
      </c>
      <c r="AO213">
        <v>0</v>
      </c>
      <c r="AP213">
        <v>0</v>
      </c>
      <c r="AQ213">
        <v>0</v>
      </c>
      <c r="AR213">
        <v>0</v>
      </c>
      <c r="AS213">
        <v>6.2660274278068917E-2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3.578994313747353E-2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2.2299029992195346E-3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3.5678447987512546E-2</v>
      </c>
      <c r="CB213">
        <v>0</v>
      </c>
    </row>
    <row r="214" spans="1:80">
      <c r="A214">
        <v>213</v>
      </c>
      <c r="B214" s="4" t="s">
        <v>102</v>
      </c>
      <c r="C214" s="4" t="s">
        <v>176</v>
      </c>
      <c r="D214" s="4" t="s">
        <v>118</v>
      </c>
      <c r="E214" s="5">
        <v>39659</v>
      </c>
      <c r="F214" s="5">
        <v>39656</v>
      </c>
      <c r="G214">
        <v>807</v>
      </c>
      <c r="H214" s="4" t="s">
        <v>110</v>
      </c>
      <c r="I214" s="4" t="s">
        <v>108</v>
      </c>
      <c r="J214" s="4" t="str">
        <f t="shared" si="3"/>
        <v>u_rem.c_con</v>
      </c>
      <c r="K214" s="5">
        <v>8</v>
      </c>
      <c r="L214">
        <v>0</v>
      </c>
      <c r="M214">
        <v>2.0286931181349471E-2</v>
      </c>
      <c r="N214">
        <v>0</v>
      </c>
      <c r="O214">
        <v>6.7249495628782779E-3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0.14794889038332212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2.2416498542927594E-3</v>
      </c>
      <c r="AG214">
        <v>0</v>
      </c>
      <c r="AH214">
        <v>2.2416498542927594E-3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0.43064425016812374</v>
      </c>
      <c r="AP214">
        <v>0</v>
      </c>
      <c r="AQ214">
        <v>0</v>
      </c>
      <c r="AR214">
        <v>0</v>
      </c>
      <c r="AS214">
        <v>2.3537323470073975E-3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4.931629679444071E-2</v>
      </c>
      <c r="BF214">
        <v>0</v>
      </c>
      <c r="BG214">
        <v>0</v>
      </c>
      <c r="BH214">
        <v>0</v>
      </c>
      <c r="BI214">
        <v>2.2416498542927594E-3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</v>
      </c>
      <c r="CB214">
        <v>0</v>
      </c>
    </row>
    <row r="215" spans="1:80">
      <c r="A215">
        <v>214</v>
      </c>
      <c r="B215" s="4" t="s">
        <v>103</v>
      </c>
      <c r="C215" s="4" t="s">
        <v>176</v>
      </c>
      <c r="D215" s="4" t="s">
        <v>118</v>
      </c>
      <c r="E215" s="5">
        <v>39659</v>
      </c>
      <c r="F215" s="5">
        <v>39656</v>
      </c>
      <c r="G215">
        <v>807</v>
      </c>
      <c r="H215" s="4" t="s">
        <v>110</v>
      </c>
      <c r="I215" s="4" t="s">
        <v>109</v>
      </c>
      <c r="J215" s="4" t="str">
        <f t="shared" si="3"/>
        <v>u_rem.c_rem</v>
      </c>
      <c r="K215" s="5">
        <v>1</v>
      </c>
      <c r="L215">
        <v>1.1131929901906756E-2</v>
      </c>
      <c r="M215">
        <v>4.6291193651493451E-2</v>
      </c>
      <c r="N215">
        <v>0.13457511297255587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3.0860795767662295E-2</v>
      </c>
      <c r="Z215">
        <v>0</v>
      </c>
      <c r="AA215">
        <v>0</v>
      </c>
      <c r="AB215">
        <v>0</v>
      </c>
      <c r="AC215">
        <v>1.1021712774165105E-2</v>
      </c>
      <c r="AD215">
        <v>0</v>
      </c>
      <c r="AE215">
        <v>0</v>
      </c>
      <c r="AF215">
        <v>0</v>
      </c>
      <c r="AG215">
        <v>1.9949300121238838E-2</v>
      </c>
      <c r="AH215">
        <v>5.3014438443734158E-2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3.7804474815386312E-2</v>
      </c>
      <c r="AO215">
        <v>9.8093243690069443E-3</v>
      </c>
      <c r="AP215">
        <v>0</v>
      </c>
      <c r="AQ215">
        <v>0</v>
      </c>
      <c r="AR215">
        <v>0</v>
      </c>
      <c r="AS215">
        <v>1.7744957566405817E-2</v>
      </c>
      <c r="AT215">
        <v>6.6130276644990637E-4</v>
      </c>
      <c r="AU215">
        <v>2.2043425548330206E-2</v>
      </c>
      <c r="AV215">
        <v>0</v>
      </c>
      <c r="AW215">
        <v>2.2043425548330209E-3</v>
      </c>
      <c r="AX215">
        <v>0</v>
      </c>
      <c r="AY215">
        <v>0</v>
      </c>
      <c r="AZ215">
        <v>0</v>
      </c>
      <c r="BA215">
        <v>0.32855725779786182</v>
      </c>
      <c r="BB215">
        <v>7.3514824203681245E-2</v>
      </c>
      <c r="BC215">
        <v>0</v>
      </c>
      <c r="BD215">
        <v>0</v>
      </c>
      <c r="BE215">
        <v>0.16113744075829375</v>
      </c>
      <c r="BF215">
        <v>6.6130276644990639E-3</v>
      </c>
      <c r="BG215">
        <v>2.2043425548330209E-3</v>
      </c>
      <c r="BH215">
        <v>0</v>
      </c>
      <c r="BI215">
        <v>6.6130276644990639E-3</v>
      </c>
      <c r="BJ215">
        <v>0</v>
      </c>
      <c r="BK215">
        <v>0</v>
      </c>
      <c r="BL215">
        <v>0</v>
      </c>
      <c r="BM215">
        <v>0</v>
      </c>
      <c r="BN215">
        <v>4.4086851096660417E-3</v>
      </c>
      <c r="BO215">
        <v>0</v>
      </c>
      <c r="BP215">
        <v>1.3226055328998126E-2</v>
      </c>
      <c r="BQ215">
        <v>2.2043425548330209E-3</v>
      </c>
      <c r="BR215">
        <v>0</v>
      </c>
      <c r="BS215">
        <v>2.2043425548330209E-3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2.2043425548330209E-3</v>
      </c>
      <c r="CA215">
        <v>0</v>
      </c>
      <c r="CB215">
        <v>0</v>
      </c>
    </row>
    <row r="216" spans="1:80">
      <c r="A216">
        <v>215</v>
      </c>
      <c r="B216" s="4" t="s">
        <v>104</v>
      </c>
      <c r="C216" s="4" t="s">
        <v>176</v>
      </c>
      <c r="D216" s="4" t="s">
        <v>118</v>
      </c>
      <c r="E216" s="5">
        <v>39659</v>
      </c>
      <c r="F216" s="5">
        <v>39656</v>
      </c>
      <c r="G216">
        <v>807</v>
      </c>
      <c r="H216" s="4" t="s">
        <v>110</v>
      </c>
      <c r="I216" s="4" t="s">
        <v>108</v>
      </c>
      <c r="J216" s="4" t="str">
        <f t="shared" si="3"/>
        <v>u_rem.c_con</v>
      </c>
      <c r="K216" s="5">
        <v>8</v>
      </c>
      <c r="L216">
        <v>0</v>
      </c>
      <c r="M216">
        <v>1.2224938875305623E-2</v>
      </c>
      <c r="N216">
        <v>1.7114914425427868E-2</v>
      </c>
      <c r="O216">
        <v>3.4229828850855737E-2</v>
      </c>
      <c r="P216">
        <v>0</v>
      </c>
      <c r="Q216">
        <v>1.7114914425427868E-2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0.23960880195599021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0.28699999999999998</v>
      </c>
      <c r="AP216">
        <v>0</v>
      </c>
      <c r="AQ216">
        <v>0</v>
      </c>
      <c r="AR216">
        <v>4.4009779951100239E-2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2.4449877750611247E-3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4.8899755501222494E-3</v>
      </c>
      <c r="BQ216">
        <v>2.4449877750611247E-3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7.3349633251833732E-2</v>
      </c>
      <c r="CA216">
        <v>0.01</v>
      </c>
      <c r="CB216">
        <v>0</v>
      </c>
    </row>
    <row r="217" spans="1:80">
      <c r="A217">
        <v>216</v>
      </c>
      <c r="B217" s="4" t="s">
        <v>105</v>
      </c>
      <c r="C217" s="4" t="s">
        <v>176</v>
      </c>
      <c r="D217" s="4" t="s">
        <v>118</v>
      </c>
      <c r="E217" s="5">
        <v>39659</v>
      </c>
      <c r="F217" s="5">
        <v>39656</v>
      </c>
      <c r="G217">
        <v>807</v>
      </c>
      <c r="H217" s="4" t="s">
        <v>110</v>
      </c>
      <c r="I217" s="4" t="s">
        <v>109</v>
      </c>
      <c r="J217" s="4" t="str">
        <f t="shared" si="3"/>
        <v>u_rem.c_rem</v>
      </c>
      <c r="K217" s="5">
        <v>1</v>
      </c>
      <c r="L217">
        <v>3.3222591362126248E-2</v>
      </c>
      <c r="M217">
        <v>2.2148394241417496E-3</v>
      </c>
      <c r="N217">
        <v>2.4363233665559252E-2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0.18826135105204864</v>
      </c>
      <c r="Z217">
        <v>0</v>
      </c>
      <c r="AA217">
        <v>0</v>
      </c>
      <c r="AB217">
        <v>0</v>
      </c>
      <c r="AC217">
        <v>3.1007751937984496E-2</v>
      </c>
      <c r="AD217">
        <v>3.3222591362126241E-2</v>
      </c>
      <c r="AE217">
        <v>5.9800664451827239E-2</v>
      </c>
      <c r="AF217">
        <v>0</v>
      </c>
      <c r="AG217">
        <v>0</v>
      </c>
      <c r="AH217">
        <v>6.8660022148394229E-2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2.2148394241417496E-3</v>
      </c>
      <c r="AO217">
        <v>3.333333333333334E-2</v>
      </c>
      <c r="AP217">
        <v>6.6445182724252493E-3</v>
      </c>
      <c r="AQ217">
        <v>0</v>
      </c>
      <c r="AR217">
        <v>4.4296788482834992E-4</v>
      </c>
      <c r="AS217">
        <v>1.1184939091915834E-2</v>
      </c>
      <c r="AT217">
        <v>1.1074197120708748E-4</v>
      </c>
      <c r="AU217">
        <v>0</v>
      </c>
      <c r="AV217">
        <v>0</v>
      </c>
      <c r="AW217">
        <v>8.8593576965669985E-3</v>
      </c>
      <c r="AX217">
        <v>0</v>
      </c>
      <c r="AY217">
        <v>0</v>
      </c>
      <c r="AZ217">
        <v>0</v>
      </c>
      <c r="BA217">
        <v>3.3444075304540424E-2</v>
      </c>
      <c r="BB217">
        <v>0</v>
      </c>
      <c r="BC217">
        <v>0</v>
      </c>
      <c r="BD217">
        <v>0</v>
      </c>
      <c r="BE217">
        <v>0.39213732004429686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3.1007751937984496E-2</v>
      </c>
      <c r="BM217">
        <v>0</v>
      </c>
      <c r="BN217">
        <v>6.6445182724252493E-3</v>
      </c>
      <c r="BO217">
        <v>0</v>
      </c>
      <c r="BP217">
        <v>1.3289036544850497E-2</v>
      </c>
      <c r="BQ217">
        <v>6.6445182724252493E-3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1.3289036544850497E-2</v>
      </c>
      <c r="CB217">
        <v>0</v>
      </c>
    </row>
    <row r="218" spans="1:80">
      <c r="A218">
        <v>217</v>
      </c>
      <c r="B218" t="s">
        <v>35</v>
      </c>
      <c r="C218" s="4" t="s">
        <v>159</v>
      </c>
      <c r="D218" s="4" t="s">
        <v>116</v>
      </c>
      <c r="E218" s="5">
        <v>39893</v>
      </c>
      <c r="F218" s="5">
        <v>39892</v>
      </c>
      <c r="G218">
        <v>903</v>
      </c>
      <c r="H218" s="4" t="s">
        <v>107</v>
      </c>
      <c r="I218" s="4" t="s">
        <v>108</v>
      </c>
      <c r="J218" s="4" t="str">
        <f t="shared" si="3"/>
        <v>u_con.c_con</v>
      </c>
      <c r="K218" s="5">
        <v>19</v>
      </c>
      <c r="L218">
        <v>0</v>
      </c>
      <c r="M218">
        <v>2.7425203989120576E-2</v>
      </c>
      <c r="N218">
        <v>0.28105167724388025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2.7651858567543063E-2</v>
      </c>
      <c r="AA218">
        <v>0</v>
      </c>
      <c r="AB218">
        <v>0</v>
      </c>
      <c r="AC218">
        <v>0</v>
      </c>
      <c r="AD218">
        <v>0</v>
      </c>
      <c r="AE218">
        <v>2.2892112420670897E-2</v>
      </c>
      <c r="AF218">
        <v>0</v>
      </c>
      <c r="AG218">
        <v>0</v>
      </c>
      <c r="AH218">
        <v>9.0661831368993653E-3</v>
      </c>
      <c r="AI218">
        <v>9.2928377153218486E-3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4.0797824116047134E-2</v>
      </c>
      <c r="AT218">
        <v>4.9864007252946501E-3</v>
      </c>
      <c r="AU218">
        <v>0</v>
      </c>
      <c r="AV218">
        <v>0</v>
      </c>
      <c r="AW218">
        <v>1.3599274705349046E-2</v>
      </c>
      <c r="AX218">
        <v>4.5330915684496827E-3</v>
      </c>
      <c r="AY218">
        <v>0</v>
      </c>
      <c r="AZ218">
        <v>0</v>
      </c>
      <c r="BA218">
        <v>0.10040797824116048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4.1251133272892107E-2</v>
      </c>
      <c r="CA218">
        <v>0.41704442429737071</v>
      </c>
      <c r="CB218">
        <v>0</v>
      </c>
    </row>
    <row r="219" spans="1:80">
      <c r="A219">
        <v>218</v>
      </c>
      <c r="B219" t="s">
        <v>36</v>
      </c>
      <c r="C219" s="4" t="s">
        <v>159</v>
      </c>
      <c r="D219" s="4" t="s">
        <v>116</v>
      </c>
      <c r="E219" s="5">
        <v>39893</v>
      </c>
      <c r="F219" s="5">
        <v>39892</v>
      </c>
      <c r="G219">
        <v>903</v>
      </c>
      <c r="H219" s="4" t="s">
        <v>107</v>
      </c>
      <c r="I219" s="4" t="s">
        <v>109</v>
      </c>
      <c r="J219" s="4" t="str">
        <f t="shared" si="3"/>
        <v>u_con.c_rem</v>
      </c>
      <c r="K219" s="5">
        <v>2</v>
      </c>
      <c r="L219">
        <v>0</v>
      </c>
      <c r="M219">
        <v>2.9320024953212717E-2</v>
      </c>
      <c r="N219">
        <v>0.2328966521106258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0.24974007070076934</v>
      </c>
      <c r="AA219">
        <v>0</v>
      </c>
      <c r="AB219">
        <v>0</v>
      </c>
      <c r="AC219">
        <v>0</v>
      </c>
      <c r="AD219">
        <v>0</v>
      </c>
      <c r="AE219">
        <v>1.6635475150758992E-2</v>
      </c>
      <c r="AF219">
        <v>0</v>
      </c>
      <c r="AG219">
        <v>0</v>
      </c>
      <c r="AH219">
        <v>4.5747556664587222E-3</v>
      </c>
      <c r="AI219">
        <v>3.7429819089207721E-2</v>
      </c>
      <c r="AJ219">
        <v>0</v>
      </c>
      <c r="AK219">
        <v>0</v>
      </c>
      <c r="AL219">
        <v>0</v>
      </c>
      <c r="AM219">
        <v>0</v>
      </c>
      <c r="AN219">
        <v>4.1588687876897477E-4</v>
      </c>
      <c r="AO219">
        <v>0</v>
      </c>
      <c r="AP219">
        <v>0</v>
      </c>
      <c r="AQ219">
        <v>0</v>
      </c>
      <c r="AR219">
        <v>0</v>
      </c>
      <c r="AS219">
        <v>1.2476606363069244E-2</v>
      </c>
      <c r="AT219">
        <v>4.1588687876897477E-4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7.9226450405489715E-2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4.1588687876897481E-3</v>
      </c>
      <c r="BZ219">
        <v>2.4953212726138485E-2</v>
      </c>
      <c r="CA219">
        <v>0.29943855271366177</v>
      </c>
      <c r="CB219">
        <v>8.3177375753794962E-3</v>
      </c>
    </row>
    <row r="220" spans="1:80">
      <c r="A220">
        <v>219</v>
      </c>
      <c r="B220" t="s">
        <v>37</v>
      </c>
      <c r="C220" s="4" t="s">
        <v>159</v>
      </c>
      <c r="D220" s="4" t="s">
        <v>116</v>
      </c>
      <c r="E220" s="5">
        <v>39893</v>
      </c>
      <c r="F220" s="5">
        <v>39892</v>
      </c>
      <c r="G220">
        <v>903</v>
      </c>
      <c r="H220" s="4" t="s">
        <v>107</v>
      </c>
      <c r="I220" s="4" t="s">
        <v>109</v>
      </c>
      <c r="J220" s="4" t="str">
        <f t="shared" si="3"/>
        <v>u_con.c_rem</v>
      </c>
      <c r="K220" s="5">
        <v>2</v>
      </c>
      <c r="L220">
        <v>0</v>
      </c>
      <c r="M220">
        <v>0.1024649589173514</v>
      </c>
      <c r="N220">
        <v>0.25132914451425808</v>
      </c>
      <c r="O220">
        <v>0</v>
      </c>
      <c r="P220">
        <v>0</v>
      </c>
      <c r="Q220">
        <v>1.0391493475108751E-2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9.1831802803286636E-2</v>
      </c>
      <c r="AA220">
        <v>0</v>
      </c>
      <c r="AB220">
        <v>0</v>
      </c>
      <c r="AC220">
        <v>1.4499758337361045E-2</v>
      </c>
      <c r="AD220">
        <v>0</v>
      </c>
      <c r="AE220">
        <v>2.9241179313678107E-2</v>
      </c>
      <c r="AF220">
        <v>2.4166263895601743E-4</v>
      </c>
      <c r="AG220">
        <v>0</v>
      </c>
      <c r="AH220">
        <v>0</v>
      </c>
      <c r="AI220">
        <v>2.4407926534557759E-2</v>
      </c>
      <c r="AJ220">
        <v>0</v>
      </c>
      <c r="AK220">
        <v>0</v>
      </c>
      <c r="AL220">
        <v>0</v>
      </c>
      <c r="AM220">
        <v>0</v>
      </c>
      <c r="AN220">
        <v>7.2498791686805225E-4</v>
      </c>
      <c r="AO220">
        <v>0</v>
      </c>
      <c r="AP220">
        <v>0</v>
      </c>
      <c r="AQ220">
        <v>0</v>
      </c>
      <c r="AR220">
        <v>0</v>
      </c>
      <c r="AS220">
        <v>1.9333011116481395E-2</v>
      </c>
      <c r="AT220">
        <v>0</v>
      </c>
      <c r="AU220">
        <v>5.0749154180763662E-3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2.4166263895601743E-4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2.4166263895601743E-4</v>
      </c>
      <c r="BZ220">
        <v>4.398260028999517E-2</v>
      </c>
      <c r="CA220">
        <v>0.40599323344610921</v>
      </c>
      <c r="CB220">
        <v>0</v>
      </c>
    </row>
    <row r="221" spans="1:80" s="3" customFormat="1">
      <c r="A221">
        <v>220</v>
      </c>
      <c r="B221" t="s">
        <v>38</v>
      </c>
      <c r="C221" s="4" t="s">
        <v>159</v>
      </c>
      <c r="D221" s="4" t="s">
        <v>116</v>
      </c>
      <c r="E221" s="5">
        <v>39893</v>
      </c>
      <c r="F221" s="5">
        <v>39892</v>
      </c>
      <c r="G221">
        <v>903</v>
      </c>
      <c r="H221" s="4" t="s">
        <v>107</v>
      </c>
      <c r="I221" s="4" t="s">
        <v>108</v>
      </c>
      <c r="J221" s="4" t="str">
        <f t="shared" si="3"/>
        <v>u_con.c_con</v>
      </c>
      <c r="K221" s="5">
        <v>19</v>
      </c>
      <c r="L221">
        <v>0</v>
      </c>
      <c r="M221">
        <v>5.2184179456906718E-2</v>
      </c>
      <c r="N221">
        <v>0.34946871310507666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4.273907910271546E-2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8.9964580873671776E-2</v>
      </c>
      <c r="AJ221">
        <v>0</v>
      </c>
      <c r="AK221">
        <v>0</v>
      </c>
      <c r="AL221">
        <v>0</v>
      </c>
      <c r="AM221">
        <v>0</v>
      </c>
      <c r="AN221">
        <v>1.4403778040141675E-2</v>
      </c>
      <c r="AO221">
        <v>0</v>
      </c>
      <c r="AP221">
        <v>0</v>
      </c>
      <c r="AQ221">
        <v>0</v>
      </c>
      <c r="AR221">
        <v>0</v>
      </c>
      <c r="AS221">
        <v>1.487603305785124E-2</v>
      </c>
      <c r="AT221">
        <v>4.7225501770956307E-4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9.5395513577331739E-2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1.9362455726092086E-2</v>
      </c>
      <c r="CA221">
        <v>0.31641086186540723</v>
      </c>
      <c r="CB221">
        <v>4.7225501770956305E-3</v>
      </c>
    </row>
    <row r="222" spans="1:80">
      <c r="A222">
        <v>221</v>
      </c>
      <c r="B222" s="1" t="s">
        <v>39</v>
      </c>
      <c r="C222" s="4" t="s">
        <v>160</v>
      </c>
      <c r="D222" s="4" t="s">
        <v>116</v>
      </c>
      <c r="E222" s="5">
        <v>39893</v>
      </c>
      <c r="F222" s="5">
        <v>39892</v>
      </c>
      <c r="G222" s="1">
        <v>903</v>
      </c>
      <c r="H222" s="4" t="s">
        <v>110</v>
      </c>
      <c r="I222" s="4" t="s">
        <v>109</v>
      </c>
      <c r="J222" s="4" t="str">
        <f t="shared" si="3"/>
        <v>u_rem.c_rem</v>
      </c>
      <c r="K222" s="5">
        <v>1</v>
      </c>
      <c r="L222" s="1">
        <v>0</v>
      </c>
      <c r="M222" s="1">
        <v>0</v>
      </c>
      <c r="N222" s="1">
        <v>0.58417419012214522</v>
      </c>
      <c r="O222" s="1">
        <v>5.3106744556558668E-3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2.6818906001062126E-2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1.5932023366967602E-2</v>
      </c>
      <c r="AI222" s="1">
        <v>1.5932023366967602E-2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1.1949017525225702E-2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0.33988316516197536</v>
      </c>
    </row>
    <row r="223" spans="1:80">
      <c r="A223">
        <v>222</v>
      </c>
      <c r="B223" t="s">
        <v>40</v>
      </c>
      <c r="C223" s="4" t="s">
        <v>160</v>
      </c>
      <c r="D223" s="4" t="s">
        <v>116</v>
      </c>
      <c r="E223" s="5">
        <v>39893</v>
      </c>
      <c r="F223" s="5">
        <v>39892</v>
      </c>
      <c r="G223">
        <v>903</v>
      </c>
      <c r="H223" s="4" t="s">
        <v>110</v>
      </c>
      <c r="I223" s="4" t="s">
        <v>108</v>
      </c>
      <c r="J223" s="4" t="str">
        <f t="shared" si="3"/>
        <v>u_rem.c_con</v>
      </c>
      <c r="K223" s="5">
        <v>8</v>
      </c>
      <c r="L223">
        <v>0</v>
      </c>
      <c r="M223">
        <v>4.4557606619987263E-3</v>
      </c>
      <c r="N223">
        <v>0.33099936346276249</v>
      </c>
      <c r="O223">
        <v>0</v>
      </c>
      <c r="P223">
        <v>0</v>
      </c>
      <c r="Q223">
        <v>4.4557606619987263E-3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2.9705071079991506E-2</v>
      </c>
      <c r="Z223">
        <v>8.4871631657118599E-3</v>
      </c>
      <c r="AA223">
        <v>0</v>
      </c>
      <c r="AB223">
        <v>0</v>
      </c>
      <c r="AC223">
        <v>0</v>
      </c>
      <c r="AD223">
        <v>0</v>
      </c>
      <c r="AE223">
        <v>4.2435815828559299E-3</v>
      </c>
      <c r="AF223">
        <v>0</v>
      </c>
      <c r="AG223">
        <v>0</v>
      </c>
      <c r="AH223">
        <v>0</v>
      </c>
      <c r="AI223">
        <v>6.0258858476554204E-2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2.1430086993422446E-2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6.9170379800551643E-2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8.4871631657118599E-3</v>
      </c>
      <c r="CA223">
        <v>0.45830681094844034</v>
      </c>
      <c r="CB223">
        <v>0</v>
      </c>
    </row>
    <row r="224" spans="1:80">
      <c r="A224">
        <v>223</v>
      </c>
      <c r="B224" s="1" t="s">
        <v>41</v>
      </c>
      <c r="C224" s="4" t="s">
        <v>160</v>
      </c>
      <c r="D224" s="4" t="s">
        <v>116</v>
      </c>
      <c r="E224" s="5">
        <v>39893</v>
      </c>
      <c r="F224" s="5">
        <v>39892</v>
      </c>
      <c r="G224" s="1">
        <v>903</v>
      </c>
      <c r="H224" s="4" t="s">
        <v>110</v>
      </c>
      <c r="I224" s="4" t="s">
        <v>109</v>
      </c>
      <c r="J224" s="4" t="str">
        <f t="shared" si="3"/>
        <v>u_rem.c_rem</v>
      </c>
      <c r="K224" s="5">
        <v>1</v>
      </c>
      <c r="L224" s="1">
        <v>0</v>
      </c>
      <c r="M224" s="1">
        <v>0</v>
      </c>
      <c r="N224" s="1">
        <v>0.11388286334056401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1.0845986984815618E-2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5.4229934924078091E-3</v>
      </c>
      <c r="AI224" s="1">
        <v>2.7114967462039046E-4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1.8980477223427333E-3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0.86767895878524937</v>
      </c>
    </row>
    <row r="225" spans="1:80">
      <c r="A225">
        <v>224</v>
      </c>
      <c r="B225" t="s">
        <v>42</v>
      </c>
      <c r="C225" s="4" t="s">
        <v>160</v>
      </c>
      <c r="D225" s="4" t="s">
        <v>116</v>
      </c>
      <c r="E225" s="5">
        <v>39893</v>
      </c>
      <c r="F225" s="5">
        <v>39892</v>
      </c>
      <c r="G225">
        <v>903</v>
      </c>
      <c r="H225" s="4" t="s">
        <v>110</v>
      </c>
      <c r="I225" s="4" t="s">
        <v>108</v>
      </c>
      <c r="J225" s="4" t="str">
        <f t="shared" si="3"/>
        <v>u_rem.c_con</v>
      </c>
      <c r="K225" s="5">
        <v>8</v>
      </c>
      <c r="L225">
        <v>0</v>
      </c>
      <c r="M225">
        <v>8.8300220750551894E-3</v>
      </c>
      <c r="N225">
        <v>0.33554083885209712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3.1346578366445915E-2</v>
      </c>
      <c r="AF225">
        <v>0</v>
      </c>
      <c r="AG225">
        <v>0</v>
      </c>
      <c r="AH225">
        <v>1.3907284768211924E-2</v>
      </c>
      <c r="AI225">
        <v>5.8057395143487872E-2</v>
      </c>
      <c r="AJ225">
        <v>0</v>
      </c>
      <c r="AK225">
        <v>0</v>
      </c>
      <c r="AL225">
        <v>0</v>
      </c>
      <c r="AM225">
        <v>0.29139072847682118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2.6490066225165563E-2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1.3686534216335543E-2</v>
      </c>
      <c r="CA225">
        <v>0.22075055187637971</v>
      </c>
      <c r="CB225">
        <v>0</v>
      </c>
    </row>
    <row r="226" spans="1:80" s="20" customFormat="1">
      <c r="A226">
        <v>225</v>
      </c>
      <c r="B226" t="s">
        <v>43</v>
      </c>
      <c r="C226" s="4" t="s">
        <v>161</v>
      </c>
      <c r="D226" s="4" t="s">
        <v>116</v>
      </c>
      <c r="E226" s="5">
        <v>39893</v>
      </c>
      <c r="F226" s="5">
        <v>39892</v>
      </c>
      <c r="G226">
        <v>903</v>
      </c>
      <c r="H226" s="4" t="s">
        <v>107</v>
      </c>
      <c r="I226" s="4" t="s">
        <v>109</v>
      </c>
      <c r="J226" s="4" t="str">
        <f t="shared" si="3"/>
        <v>u_con.c_rem</v>
      </c>
      <c r="K226" s="5">
        <v>2</v>
      </c>
      <c r="L226">
        <v>0</v>
      </c>
      <c r="M226">
        <v>7.6667457868502265E-2</v>
      </c>
      <c r="N226">
        <v>0.23736055067647746</v>
      </c>
      <c r="O226">
        <v>0</v>
      </c>
      <c r="P226">
        <v>0</v>
      </c>
      <c r="Q226">
        <v>9.4944220270591021E-3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3.845240920958936E-2</v>
      </c>
      <c r="AA226">
        <v>0</v>
      </c>
      <c r="AB226">
        <v>0</v>
      </c>
      <c r="AC226">
        <v>0</v>
      </c>
      <c r="AD226">
        <v>0</v>
      </c>
      <c r="AE226">
        <v>5.9340137669119386E-3</v>
      </c>
      <c r="AF226">
        <v>0</v>
      </c>
      <c r="AG226">
        <v>0</v>
      </c>
      <c r="AH226">
        <v>2.3736055067647755E-4</v>
      </c>
      <c r="AI226">
        <v>2.3736055067647754E-2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2.8483266081177305E-2</v>
      </c>
      <c r="AT226">
        <v>0</v>
      </c>
      <c r="AU226">
        <v>0</v>
      </c>
      <c r="AV226">
        <v>9.4944220270591021E-3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4.9845715642060293E-3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2.3973415618324233E-2</v>
      </c>
      <c r="CA226">
        <v>0.54118205554236876</v>
      </c>
      <c r="CB226">
        <v>0</v>
      </c>
    </row>
    <row r="227" spans="1:80" s="20" customFormat="1">
      <c r="A227">
        <v>226</v>
      </c>
      <c r="B227" t="s">
        <v>44</v>
      </c>
      <c r="C227" s="4" t="s">
        <v>161</v>
      </c>
      <c r="D227" s="4" t="s">
        <v>116</v>
      </c>
      <c r="E227" s="5">
        <v>39893</v>
      </c>
      <c r="F227" s="5">
        <v>39892</v>
      </c>
      <c r="G227">
        <v>903</v>
      </c>
      <c r="H227" s="4" t="s">
        <v>107</v>
      </c>
      <c r="I227" s="4" t="s">
        <v>109</v>
      </c>
      <c r="J227" s="4" t="str">
        <f t="shared" si="3"/>
        <v>u_con.c_rem</v>
      </c>
      <c r="K227" s="5">
        <v>2</v>
      </c>
      <c r="L227">
        <v>0</v>
      </c>
      <c r="M227">
        <v>5.0491204021018948E-2</v>
      </c>
      <c r="N227">
        <v>0.32053918208818821</v>
      </c>
      <c r="O227">
        <v>0</v>
      </c>
      <c r="P227">
        <v>0</v>
      </c>
      <c r="Q227">
        <v>5.02627370344985E-3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0.17386337674206073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2.2846698652044775E-4</v>
      </c>
      <c r="AI227">
        <v>1.8505825908156269E-2</v>
      </c>
      <c r="AJ227">
        <v>0</v>
      </c>
      <c r="AK227">
        <v>0</v>
      </c>
      <c r="AL227">
        <v>0</v>
      </c>
      <c r="AM227">
        <v>0</v>
      </c>
      <c r="AN227">
        <v>4.569339730408955E-4</v>
      </c>
      <c r="AO227">
        <v>0</v>
      </c>
      <c r="AP227">
        <v>0</v>
      </c>
      <c r="AQ227">
        <v>0</v>
      </c>
      <c r="AR227">
        <v>0</v>
      </c>
      <c r="AS227">
        <v>1.3708019191226866E-2</v>
      </c>
      <c r="AT227">
        <v>0</v>
      </c>
      <c r="AU227">
        <v>0</v>
      </c>
      <c r="AV227">
        <v>4.569339730408955E-4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1.9191226867717612E-2</v>
      </c>
      <c r="CA227">
        <v>0.39753255654557906</v>
      </c>
      <c r="CB227">
        <v>0</v>
      </c>
    </row>
    <row r="228" spans="1:80" s="20" customFormat="1">
      <c r="A228">
        <v>227</v>
      </c>
      <c r="B228" t="s">
        <v>45</v>
      </c>
      <c r="C228" s="4" t="s">
        <v>161</v>
      </c>
      <c r="D228" s="4" t="s">
        <v>116</v>
      </c>
      <c r="E228" s="5">
        <v>39893</v>
      </c>
      <c r="F228" s="5">
        <v>39892</v>
      </c>
      <c r="G228">
        <v>903</v>
      </c>
      <c r="H228" s="4" t="s">
        <v>107</v>
      </c>
      <c r="I228" s="4" t="s">
        <v>108</v>
      </c>
      <c r="J228" s="4" t="str">
        <f t="shared" si="3"/>
        <v>u_con.c_con</v>
      </c>
      <c r="K228" s="5">
        <v>19</v>
      </c>
      <c r="L228">
        <v>0</v>
      </c>
      <c r="M228">
        <v>5.2237208306572483E-2</v>
      </c>
      <c r="N228">
        <v>0.21430100620852069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0.23549561121815457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4.9239991436523236E-3</v>
      </c>
      <c r="AJ228">
        <v>0</v>
      </c>
      <c r="AK228">
        <v>0</v>
      </c>
      <c r="AL228">
        <v>0</v>
      </c>
      <c r="AM228">
        <v>0</v>
      </c>
      <c r="AN228">
        <v>2.1408691928923146E-4</v>
      </c>
      <c r="AO228">
        <v>0</v>
      </c>
      <c r="AP228">
        <v>0</v>
      </c>
      <c r="AQ228">
        <v>0</v>
      </c>
      <c r="AR228">
        <v>0</v>
      </c>
      <c r="AS228">
        <v>7.3003639477627946E-2</v>
      </c>
      <c r="AT228">
        <v>4.2817383857846293E-3</v>
      </c>
      <c r="AU228">
        <v>1.2845215157353889E-2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8.7775636908584906E-3</v>
      </c>
      <c r="CA228">
        <v>0.39391993149218585</v>
      </c>
      <c r="CB228">
        <v>0</v>
      </c>
    </row>
    <row r="229" spans="1:80" s="20" customFormat="1">
      <c r="A229">
        <v>228</v>
      </c>
      <c r="B229" t="s">
        <v>46</v>
      </c>
      <c r="C229" s="4" t="s">
        <v>161</v>
      </c>
      <c r="D229" s="4" t="s">
        <v>116</v>
      </c>
      <c r="E229" s="5">
        <v>39893</v>
      </c>
      <c r="F229" s="5">
        <v>39892</v>
      </c>
      <c r="G229">
        <v>903</v>
      </c>
      <c r="H229" s="4" t="s">
        <v>107</v>
      </c>
      <c r="I229" s="4" t="s">
        <v>108</v>
      </c>
      <c r="J229" s="4" t="str">
        <f t="shared" si="3"/>
        <v>u_con.c_con</v>
      </c>
      <c r="K229" s="5">
        <v>19</v>
      </c>
      <c r="L229">
        <v>0</v>
      </c>
      <c r="M229">
        <v>8.0868195343952384E-2</v>
      </c>
      <c r="N229">
        <v>0.30806931559600903</v>
      </c>
      <c r="O229">
        <v>0</v>
      </c>
      <c r="P229">
        <v>0</v>
      </c>
      <c r="Q229">
        <v>1.7503938386136879E-4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3.5007876772273757E-4</v>
      </c>
      <c r="AF229">
        <v>0</v>
      </c>
      <c r="AG229">
        <v>0</v>
      </c>
      <c r="AH229">
        <v>7.0015753544547515E-3</v>
      </c>
      <c r="AI229">
        <v>2.5380710659898473E-2</v>
      </c>
      <c r="AJ229">
        <v>0</v>
      </c>
      <c r="AK229">
        <v>0</v>
      </c>
      <c r="AL229">
        <v>0</v>
      </c>
      <c r="AM229">
        <v>0</v>
      </c>
      <c r="AN229">
        <v>1.7503938386136879E-4</v>
      </c>
      <c r="AO229">
        <v>0</v>
      </c>
      <c r="AP229">
        <v>0</v>
      </c>
      <c r="AQ229">
        <v>0</v>
      </c>
      <c r="AR229">
        <v>0</v>
      </c>
      <c r="AS229">
        <v>3.8508664449501129E-2</v>
      </c>
      <c r="AT229">
        <v>3.5007876772273757E-3</v>
      </c>
      <c r="AU229">
        <v>0</v>
      </c>
      <c r="AV229">
        <v>1.7503938386136879E-4</v>
      </c>
      <c r="AW229">
        <v>0</v>
      </c>
      <c r="AX229">
        <v>0</v>
      </c>
      <c r="AY229">
        <v>0</v>
      </c>
      <c r="AZ229">
        <v>0</v>
      </c>
      <c r="BA229">
        <v>3.6758270610887447E-3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3.5007876772273757E-3</v>
      </c>
      <c r="BZ229">
        <v>2.8006301417819002E-2</v>
      </c>
      <c r="CA229">
        <v>0.47960791178015044</v>
      </c>
      <c r="CB229">
        <v>2.1004726063364253E-2</v>
      </c>
    </row>
    <row r="230" spans="1:80" s="20" customFormat="1">
      <c r="A230">
        <v>229</v>
      </c>
      <c r="B230" t="s">
        <v>47</v>
      </c>
      <c r="C230" s="4" t="s">
        <v>162</v>
      </c>
      <c r="D230" s="4" t="s">
        <v>116</v>
      </c>
      <c r="E230" s="5">
        <v>39893</v>
      </c>
      <c r="F230" s="5">
        <v>39892</v>
      </c>
      <c r="G230">
        <v>903</v>
      </c>
      <c r="H230" s="4" t="s">
        <v>110</v>
      </c>
      <c r="I230" s="4" t="s">
        <v>108</v>
      </c>
      <c r="J230" s="4" t="str">
        <f t="shared" si="3"/>
        <v>u_rem.c_con</v>
      </c>
      <c r="K230" s="5">
        <v>8</v>
      </c>
      <c r="L230">
        <v>0</v>
      </c>
      <c r="M230">
        <v>0.13638297872340427</v>
      </c>
      <c r="N230">
        <v>0.17021276595744686</v>
      </c>
      <c r="O230">
        <v>0</v>
      </c>
      <c r="P230">
        <v>0</v>
      </c>
      <c r="Q230">
        <v>4.2553191489361703E-3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1.7021276595744681E-2</v>
      </c>
      <c r="AD230">
        <v>0</v>
      </c>
      <c r="AE230">
        <v>4.6808510638297877E-2</v>
      </c>
      <c r="AF230">
        <v>0</v>
      </c>
      <c r="AG230">
        <v>0</v>
      </c>
      <c r="AH230">
        <v>0.13212765957446809</v>
      </c>
      <c r="AI230">
        <v>4.2553191489361701E-2</v>
      </c>
      <c r="AJ230">
        <v>0</v>
      </c>
      <c r="AK230">
        <v>0</v>
      </c>
      <c r="AL230">
        <v>0</v>
      </c>
      <c r="AM230">
        <v>0</v>
      </c>
      <c r="AN230">
        <v>6.063829787234043E-2</v>
      </c>
      <c r="AO230">
        <v>0</v>
      </c>
      <c r="AP230">
        <v>0</v>
      </c>
      <c r="AQ230">
        <v>0</v>
      </c>
      <c r="AR230">
        <v>0</v>
      </c>
      <c r="AS230">
        <v>6.0000000000000019E-2</v>
      </c>
      <c r="AT230">
        <v>3.4468085106382974E-2</v>
      </c>
      <c r="AU230">
        <v>8.7234042553191501E-3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6.0851063829787243E-2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8.9787234042553218E-2</v>
      </c>
      <c r="CA230">
        <v>0.13617021276595745</v>
      </c>
      <c r="CB230">
        <v>0</v>
      </c>
    </row>
    <row r="231" spans="1:80" s="20" customFormat="1">
      <c r="A231">
        <v>230</v>
      </c>
      <c r="B231" t="s">
        <v>48</v>
      </c>
      <c r="C231" s="4" t="s">
        <v>162</v>
      </c>
      <c r="D231" s="4" t="s">
        <v>116</v>
      </c>
      <c r="E231" s="5">
        <v>39893</v>
      </c>
      <c r="F231" s="5">
        <v>39892</v>
      </c>
      <c r="G231">
        <v>903</v>
      </c>
      <c r="H231" s="4" t="s">
        <v>110</v>
      </c>
      <c r="I231" s="4" t="s">
        <v>108</v>
      </c>
      <c r="J231" s="4" t="str">
        <f t="shared" si="3"/>
        <v>u_rem.c_con</v>
      </c>
      <c r="K231" s="5">
        <v>8</v>
      </c>
      <c r="L231">
        <v>0</v>
      </c>
      <c r="M231">
        <v>0.16468172484599589</v>
      </c>
      <c r="N231">
        <v>0.20123203285420949</v>
      </c>
      <c r="O231">
        <v>0</v>
      </c>
      <c r="P231">
        <v>0</v>
      </c>
      <c r="Q231">
        <v>4.31211498973306E-3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0.17289527720739217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2.0533880903490762E-4</v>
      </c>
      <c r="AH231">
        <v>2.4640657084188913E-2</v>
      </c>
      <c r="AI231">
        <v>6.1601642710472297E-2</v>
      </c>
      <c r="AJ231">
        <v>4.106776180698153E-3</v>
      </c>
      <c r="AK231">
        <v>0</v>
      </c>
      <c r="AL231">
        <v>0</v>
      </c>
      <c r="AM231">
        <v>0</v>
      </c>
      <c r="AN231">
        <v>3.4086242299794664E-2</v>
      </c>
      <c r="AO231">
        <v>0</v>
      </c>
      <c r="AP231">
        <v>0</v>
      </c>
      <c r="AQ231">
        <v>0</v>
      </c>
      <c r="AR231">
        <v>0</v>
      </c>
      <c r="AS231">
        <v>1.6632443531827516E-2</v>
      </c>
      <c r="AT231">
        <v>1.8069815195071871E-2</v>
      </c>
      <c r="AU231">
        <v>0</v>
      </c>
      <c r="AV231">
        <v>4.106776180698153E-3</v>
      </c>
      <c r="AW231">
        <v>1.6427104722792612E-2</v>
      </c>
      <c r="AX231">
        <v>0</v>
      </c>
      <c r="AY231">
        <v>0</v>
      </c>
      <c r="AZ231">
        <v>0</v>
      </c>
      <c r="BA231">
        <v>4.9897330595482535E-2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4.6201232032854214E-2</v>
      </c>
      <c r="CA231">
        <v>0.18090349075975354</v>
      </c>
      <c r="CB231">
        <v>0</v>
      </c>
    </row>
    <row r="232" spans="1:80" s="20" customFormat="1">
      <c r="A232">
        <v>231</v>
      </c>
      <c r="B232" s="1" t="s">
        <v>49</v>
      </c>
      <c r="C232" s="4" t="s">
        <v>162</v>
      </c>
      <c r="D232" s="4" t="s">
        <v>116</v>
      </c>
      <c r="E232" s="5">
        <v>39893</v>
      </c>
      <c r="F232" s="5">
        <v>39892</v>
      </c>
      <c r="G232" s="1">
        <v>903</v>
      </c>
      <c r="H232" s="4" t="s">
        <v>110</v>
      </c>
      <c r="I232" s="4" t="s">
        <v>109</v>
      </c>
      <c r="J232" s="4" t="str">
        <f t="shared" si="3"/>
        <v>u_rem.c_rem</v>
      </c>
      <c r="K232" s="5">
        <v>1</v>
      </c>
      <c r="L232" s="1">
        <v>4.4555834029518245E-2</v>
      </c>
      <c r="M232" s="1">
        <v>0.31189083820662761</v>
      </c>
      <c r="N232" s="1">
        <v>0.15594541910331389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9.4681147312726269E-2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5.5694792536897804E-2</v>
      </c>
      <c r="AI232" s="1">
        <v>5.5694792536897806E-3</v>
      </c>
      <c r="AJ232" s="1">
        <v>0</v>
      </c>
      <c r="AK232" s="1">
        <v>0</v>
      </c>
      <c r="AL232" s="1">
        <v>0</v>
      </c>
      <c r="AM232" s="1">
        <v>0</v>
      </c>
      <c r="AN232" s="1">
        <v>6.2656641604010035E-2</v>
      </c>
      <c r="AO232" s="1">
        <v>0</v>
      </c>
      <c r="AP232" s="1">
        <v>0</v>
      </c>
      <c r="AQ232" s="1">
        <v>0</v>
      </c>
      <c r="AR232" s="1">
        <v>0</v>
      </c>
      <c r="AS232" s="1">
        <v>2.2556390977443611E-2</v>
      </c>
      <c r="AT232" s="1">
        <v>3.4252297410192152E-2</v>
      </c>
      <c r="AU232" s="1">
        <v>5.5694792536897806E-3</v>
      </c>
      <c r="AV232" s="1">
        <v>5.8479532163742704E-3</v>
      </c>
      <c r="AW232" s="1">
        <v>1.1138958507379561E-2</v>
      </c>
      <c r="AX232" s="1">
        <v>1.1138958507379561E-2</v>
      </c>
      <c r="AY232" s="1">
        <v>0</v>
      </c>
      <c r="AZ232" s="1">
        <v>0</v>
      </c>
      <c r="BA232" s="1">
        <v>5.0403787245892506E-2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1.6708437761069343E-2</v>
      </c>
      <c r="CA232" s="1">
        <v>0.10582010582010586</v>
      </c>
      <c r="CB232" s="1">
        <v>5.5694792536897806E-3</v>
      </c>
    </row>
    <row r="233" spans="1:80" s="20" customFormat="1">
      <c r="A233">
        <v>232</v>
      </c>
      <c r="B233" s="1" t="s">
        <v>50</v>
      </c>
      <c r="C233" s="4" t="s">
        <v>162</v>
      </c>
      <c r="D233" s="4" t="s">
        <v>116</v>
      </c>
      <c r="E233" s="5">
        <v>39893</v>
      </c>
      <c r="F233" s="5">
        <v>39892</v>
      </c>
      <c r="G233" s="1">
        <v>903</v>
      </c>
      <c r="H233" s="4" t="s">
        <v>110</v>
      </c>
      <c r="I233" s="4" t="s">
        <v>109</v>
      </c>
      <c r="J233" s="4" t="str">
        <f t="shared" si="3"/>
        <v>u_rem.c_rem</v>
      </c>
      <c r="K233" s="5">
        <v>1</v>
      </c>
      <c r="L233" s="1">
        <v>4.5274476513865312E-2</v>
      </c>
      <c r="M233" s="1">
        <v>0.1924165251839276</v>
      </c>
      <c r="N233" s="1">
        <v>0.18675721561969447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0.12450481041312962</v>
      </c>
      <c r="AA233" s="1">
        <v>0</v>
      </c>
      <c r="AB233" s="1">
        <v>0</v>
      </c>
      <c r="AC233" s="1">
        <v>0</v>
      </c>
      <c r="AD233" s="1">
        <v>0</v>
      </c>
      <c r="AE233" s="1">
        <v>5.6593095642331641E-3</v>
      </c>
      <c r="AF233" s="1">
        <v>0</v>
      </c>
      <c r="AG233" s="1">
        <v>0</v>
      </c>
      <c r="AH233" s="1">
        <v>0</v>
      </c>
      <c r="AI233" s="1">
        <v>1.1601584606677987E-2</v>
      </c>
      <c r="AJ233" s="1">
        <v>8.5172608941709124E-2</v>
      </c>
      <c r="AK233" s="1">
        <v>0</v>
      </c>
      <c r="AL233" s="1">
        <v>0</v>
      </c>
      <c r="AM233" s="1">
        <v>0</v>
      </c>
      <c r="AN233" s="1">
        <v>2.9994340690435772E-2</v>
      </c>
      <c r="AO233" s="1">
        <v>0</v>
      </c>
      <c r="AP233" s="1">
        <v>0</v>
      </c>
      <c r="AQ233" s="1">
        <v>0</v>
      </c>
      <c r="AR233" s="1">
        <v>0</v>
      </c>
      <c r="AS233" s="1">
        <v>1.6977928692699495E-2</v>
      </c>
      <c r="AT233" s="1">
        <v>1.1601584606677987E-2</v>
      </c>
      <c r="AU233" s="1">
        <v>9.62082625919638E-2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3.5370684776457273E-2</v>
      </c>
      <c r="BB233" s="1">
        <v>0</v>
      </c>
      <c r="BC233" s="1">
        <v>0</v>
      </c>
      <c r="BD233" s="1">
        <v>0</v>
      </c>
      <c r="BE233" s="1">
        <v>5.6593095642331641E-3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0.15280135823429544</v>
      </c>
      <c r="CB233" s="1">
        <v>0</v>
      </c>
    </row>
    <row r="234" spans="1:80" s="1" customFormat="1">
      <c r="A234">
        <v>233</v>
      </c>
      <c r="B234" t="s">
        <v>51</v>
      </c>
      <c r="C234" s="4" t="s">
        <v>163</v>
      </c>
      <c r="D234" s="4" t="s">
        <v>116</v>
      </c>
      <c r="E234" s="5">
        <v>39893</v>
      </c>
      <c r="F234" s="5">
        <v>39892</v>
      </c>
      <c r="G234">
        <v>903</v>
      </c>
      <c r="H234" s="4" t="s">
        <v>107</v>
      </c>
      <c r="I234" s="4" t="s">
        <v>109</v>
      </c>
      <c r="J234" s="4" t="str">
        <f t="shared" si="3"/>
        <v>u_con.c_rem</v>
      </c>
      <c r="K234" s="5">
        <v>2</v>
      </c>
      <c r="L234">
        <v>0</v>
      </c>
      <c r="M234">
        <v>2.0105223600150324E-2</v>
      </c>
      <c r="N234">
        <v>0.17286734310409621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1.8789928598271331E-4</v>
      </c>
      <c r="Z234">
        <v>6.0315670800450978E-2</v>
      </c>
      <c r="AA234">
        <v>0</v>
      </c>
      <c r="AB234">
        <v>0</v>
      </c>
      <c r="AC234">
        <v>3.757985719654266E-3</v>
      </c>
      <c r="AD234">
        <v>0</v>
      </c>
      <c r="AE234">
        <v>4.1337842916196934E-3</v>
      </c>
      <c r="AF234">
        <v>0</v>
      </c>
      <c r="AG234">
        <v>0</v>
      </c>
      <c r="AH234">
        <v>1.1273957158962799E-2</v>
      </c>
      <c r="AI234">
        <v>6.4261555806087944E-2</v>
      </c>
      <c r="AJ234">
        <v>6.0315670800450964E-2</v>
      </c>
      <c r="AK234">
        <v>0</v>
      </c>
      <c r="AL234">
        <v>0</v>
      </c>
      <c r="AM234">
        <v>0</v>
      </c>
      <c r="AN234">
        <v>4.6974821495678323E-3</v>
      </c>
      <c r="AO234">
        <v>0</v>
      </c>
      <c r="AP234">
        <v>0</v>
      </c>
      <c r="AQ234">
        <v>0</v>
      </c>
      <c r="AR234">
        <v>0</v>
      </c>
      <c r="AS234">
        <v>9.7707628711010935E-2</v>
      </c>
      <c r="AT234">
        <v>4.1337842916196934E-3</v>
      </c>
      <c r="AU234">
        <v>6.0315670800450978E-2</v>
      </c>
      <c r="AV234">
        <v>0</v>
      </c>
      <c r="AW234">
        <v>0</v>
      </c>
      <c r="AX234">
        <v>3.757985719654266E-3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3.757985719654266E-3</v>
      </c>
      <c r="BZ234">
        <v>1.8789928598271329E-2</v>
      </c>
      <c r="CA234">
        <v>0.3757985719654266</v>
      </c>
      <c r="CB234">
        <v>3.38218714768884E-2</v>
      </c>
    </row>
    <row r="235" spans="1:80" s="1" customFormat="1">
      <c r="A235">
        <v>234</v>
      </c>
      <c r="B235" t="s">
        <v>52</v>
      </c>
      <c r="C235" s="4" t="s">
        <v>163</v>
      </c>
      <c r="D235" s="4" t="s">
        <v>116</v>
      </c>
      <c r="E235" s="5">
        <v>39893</v>
      </c>
      <c r="F235" s="5">
        <v>39892</v>
      </c>
      <c r="G235">
        <v>903</v>
      </c>
      <c r="H235" s="4" t="s">
        <v>107</v>
      </c>
      <c r="I235" s="4" t="s">
        <v>109</v>
      </c>
      <c r="J235" s="4" t="str">
        <f t="shared" si="3"/>
        <v>u_con.c_rem</v>
      </c>
      <c r="K235" s="5">
        <v>2</v>
      </c>
      <c r="L235">
        <v>0</v>
      </c>
      <c r="M235">
        <v>7.2932170954709774E-2</v>
      </c>
      <c r="N235">
        <v>0.20008505209440783</v>
      </c>
      <c r="O235">
        <v>0</v>
      </c>
      <c r="P235">
        <v>0</v>
      </c>
      <c r="Q235">
        <v>8.5052094407824814E-3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0.12757814161173719</v>
      </c>
      <c r="AA235">
        <v>0</v>
      </c>
      <c r="AB235">
        <v>0</v>
      </c>
      <c r="AC235">
        <v>0</v>
      </c>
      <c r="AD235">
        <v>0</v>
      </c>
      <c r="AE235">
        <v>1.339570486923241E-2</v>
      </c>
      <c r="AF235">
        <v>0</v>
      </c>
      <c r="AG235">
        <v>0</v>
      </c>
      <c r="AH235">
        <v>0</v>
      </c>
      <c r="AI235">
        <v>4.2951307675951525E-2</v>
      </c>
      <c r="AJ235">
        <v>6.8466935998298992E-2</v>
      </c>
      <c r="AK235">
        <v>0</v>
      </c>
      <c r="AL235">
        <v>0</v>
      </c>
      <c r="AM235">
        <v>0</v>
      </c>
      <c r="AN235">
        <v>4.7841803104401455E-2</v>
      </c>
      <c r="AO235">
        <v>0</v>
      </c>
      <c r="AP235">
        <v>0</v>
      </c>
      <c r="AQ235">
        <v>0</v>
      </c>
      <c r="AR235">
        <v>0</v>
      </c>
      <c r="AS235">
        <v>2.5728258558367002E-2</v>
      </c>
      <c r="AT235">
        <v>4.2526047203912405E-4</v>
      </c>
      <c r="AU235">
        <v>4.7203912396342758E-2</v>
      </c>
      <c r="AV235">
        <v>0</v>
      </c>
      <c r="AW235">
        <v>4.2526047203912407E-3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3.4446098235169045E-2</v>
      </c>
      <c r="CA235">
        <v>0.28067191154582183</v>
      </c>
      <c r="CB235">
        <v>2.5515628322347439E-2</v>
      </c>
    </row>
    <row r="236" spans="1:80">
      <c r="A236">
        <v>235</v>
      </c>
      <c r="B236" t="s">
        <v>53</v>
      </c>
      <c r="C236" s="4" t="s">
        <v>163</v>
      </c>
      <c r="D236" s="4" t="s">
        <v>116</v>
      </c>
      <c r="E236" s="5">
        <v>39893</v>
      </c>
      <c r="F236" s="5">
        <v>39892</v>
      </c>
      <c r="G236">
        <v>903</v>
      </c>
      <c r="H236" s="4" t="s">
        <v>107</v>
      </c>
      <c r="I236" s="4" t="s">
        <v>108</v>
      </c>
      <c r="J236" s="4" t="str">
        <f t="shared" si="3"/>
        <v>u_con.c_con</v>
      </c>
      <c r="K236" s="5">
        <v>19</v>
      </c>
      <c r="L236">
        <v>0</v>
      </c>
      <c r="M236">
        <v>5.1826677994902287E-2</v>
      </c>
      <c r="N236">
        <v>0.16992353440951569</v>
      </c>
      <c r="O236">
        <v>0</v>
      </c>
      <c r="P236">
        <v>0</v>
      </c>
      <c r="Q236">
        <v>8.496176720475785E-4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4.248088360237893E-3</v>
      </c>
      <c r="Z236">
        <v>0.15739167374681393</v>
      </c>
      <c r="AA236">
        <v>0</v>
      </c>
      <c r="AB236">
        <v>0</v>
      </c>
      <c r="AC236">
        <v>0</v>
      </c>
      <c r="AD236">
        <v>0</v>
      </c>
      <c r="AE236">
        <v>1.2956669498725574E-2</v>
      </c>
      <c r="AF236">
        <v>0</v>
      </c>
      <c r="AG236">
        <v>0</v>
      </c>
      <c r="AH236">
        <v>8.4961767204757861E-3</v>
      </c>
      <c r="AI236">
        <v>3.9082412914188611E-2</v>
      </c>
      <c r="AJ236">
        <v>2.1665250637213251E-2</v>
      </c>
      <c r="AK236">
        <v>0</v>
      </c>
      <c r="AL236">
        <v>0</v>
      </c>
      <c r="AM236">
        <v>0</v>
      </c>
      <c r="AN236">
        <v>1.7629566694987255E-2</v>
      </c>
      <c r="AO236">
        <v>0</v>
      </c>
      <c r="AP236">
        <v>0</v>
      </c>
      <c r="AQ236">
        <v>0</v>
      </c>
      <c r="AR236">
        <v>0</v>
      </c>
      <c r="AS236">
        <v>3.4621920135938823E-2</v>
      </c>
      <c r="AT236">
        <v>4.4604927782497875E-3</v>
      </c>
      <c r="AU236">
        <v>5.9685641461342392E-2</v>
      </c>
      <c r="AV236">
        <v>0</v>
      </c>
      <c r="AW236">
        <v>4.248088360237893E-3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6.4570943075615964E-2</v>
      </c>
      <c r="CA236">
        <v>0.34834324553950713</v>
      </c>
      <c r="CB236">
        <v>0</v>
      </c>
    </row>
    <row r="237" spans="1:80">
      <c r="A237">
        <v>236</v>
      </c>
      <c r="B237" t="s">
        <v>54</v>
      </c>
      <c r="C237" s="4" t="s">
        <v>163</v>
      </c>
      <c r="D237" s="4" t="s">
        <v>116</v>
      </c>
      <c r="E237" s="5">
        <v>39893</v>
      </c>
      <c r="F237" s="5">
        <v>39892</v>
      </c>
      <c r="G237">
        <v>903</v>
      </c>
      <c r="H237" s="4" t="s">
        <v>107</v>
      </c>
      <c r="I237" s="4" t="s">
        <v>108</v>
      </c>
      <c r="J237" s="4" t="str">
        <f t="shared" si="3"/>
        <v>u_con.c_con</v>
      </c>
      <c r="K237" s="5">
        <v>19</v>
      </c>
      <c r="L237">
        <v>0</v>
      </c>
      <c r="M237">
        <v>5.2952713009370246E-2</v>
      </c>
      <c r="N237">
        <v>0.13554151231205061</v>
      </c>
      <c r="O237">
        <v>0</v>
      </c>
      <c r="P237">
        <v>0</v>
      </c>
      <c r="Q237">
        <v>4.7940727827413395E-3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0.28350403137938551</v>
      </c>
      <c r="AA237">
        <v>0</v>
      </c>
      <c r="AB237">
        <v>0</v>
      </c>
      <c r="AC237">
        <v>1.3074743952930923E-2</v>
      </c>
      <c r="AD237">
        <v>0</v>
      </c>
      <c r="AE237">
        <v>9.5881455654826791E-3</v>
      </c>
      <c r="AF237">
        <v>0</v>
      </c>
      <c r="AG237">
        <v>0</v>
      </c>
      <c r="AH237">
        <v>2.6149487905861846E-2</v>
      </c>
      <c r="AI237">
        <v>9.1523207670516481E-3</v>
      </c>
      <c r="AJ237">
        <v>0</v>
      </c>
      <c r="AK237">
        <v>0</v>
      </c>
      <c r="AL237">
        <v>0</v>
      </c>
      <c r="AM237">
        <v>0</v>
      </c>
      <c r="AN237">
        <v>3.944214425800828E-2</v>
      </c>
      <c r="AO237">
        <v>0</v>
      </c>
      <c r="AP237">
        <v>0</v>
      </c>
      <c r="AQ237">
        <v>0</v>
      </c>
      <c r="AR237">
        <v>0</v>
      </c>
      <c r="AS237">
        <v>5.3388537807801277E-2</v>
      </c>
      <c r="AT237">
        <v>0</v>
      </c>
      <c r="AU237">
        <v>2.2227064719982571E-2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2.7674874700370455E-2</v>
      </c>
      <c r="CA237">
        <v>0.32251035083896273</v>
      </c>
      <c r="CB237">
        <v>0</v>
      </c>
    </row>
    <row r="238" spans="1:80">
      <c r="A238">
        <v>237</v>
      </c>
      <c r="B238" t="s">
        <v>55</v>
      </c>
      <c r="C238" s="4" t="s">
        <v>164</v>
      </c>
      <c r="D238" s="4" t="s">
        <v>116</v>
      </c>
      <c r="E238" s="5">
        <v>39893</v>
      </c>
      <c r="F238" s="5">
        <v>39892</v>
      </c>
      <c r="G238">
        <v>903</v>
      </c>
      <c r="H238" s="4" t="s">
        <v>110</v>
      </c>
      <c r="I238" s="4" t="s">
        <v>108</v>
      </c>
      <c r="J238" s="4" t="str">
        <f t="shared" si="3"/>
        <v>u_rem.c_con</v>
      </c>
      <c r="K238" s="5">
        <v>8</v>
      </c>
      <c r="L238">
        <v>0</v>
      </c>
      <c r="M238">
        <v>3.0129124820659967E-2</v>
      </c>
      <c r="N238">
        <v>0.11979913916786228</v>
      </c>
      <c r="O238">
        <v>0</v>
      </c>
      <c r="P238">
        <v>0</v>
      </c>
      <c r="Q238">
        <v>4.7824007651841218E-3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2.3912003825920608E-4</v>
      </c>
      <c r="AA238">
        <v>0</v>
      </c>
      <c r="AB238">
        <v>0</v>
      </c>
      <c r="AC238">
        <v>0</v>
      </c>
      <c r="AD238">
        <v>0</v>
      </c>
      <c r="AE238">
        <v>2.4868483978957433E-2</v>
      </c>
      <c r="AF238">
        <v>0</v>
      </c>
      <c r="AG238">
        <v>0</v>
      </c>
      <c r="AH238">
        <v>1.4347202295552364E-2</v>
      </c>
      <c r="AI238">
        <v>5.0215208034433282E-3</v>
      </c>
      <c r="AJ238">
        <v>0</v>
      </c>
      <c r="AK238">
        <v>0</v>
      </c>
      <c r="AL238">
        <v>0.13868962219033953</v>
      </c>
      <c r="AM238">
        <v>0</v>
      </c>
      <c r="AN238">
        <v>3.4672405547584884E-2</v>
      </c>
      <c r="AO238">
        <v>0</v>
      </c>
      <c r="AP238">
        <v>0</v>
      </c>
      <c r="AQ238">
        <v>0</v>
      </c>
      <c r="AR238">
        <v>0</v>
      </c>
      <c r="AS238">
        <v>5.7867049258727869E-2</v>
      </c>
      <c r="AT238">
        <v>0</v>
      </c>
      <c r="AU238">
        <v>0</v>
      </c>
      <c r="AV238">
        <v>0</v>
      </c>
      <c r="AW238">
        <v>4.7824007651841218E-3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5.0215208034433282E-3</v>
      </c>
      <c r="CA238">
        <v>0.55978000956480145</v>
      </c>
      <c r="CB238">
        <v>0</v>
      </c>
    </row>
    <row r="239" spans="1:80" s="1" customFormat="1">
      <c r="A239">
        <v>238</v>
      </c>
      <c r="B239" s="1" t="s">
        <v>56</v>
      </c>
      <c r="C239" s="4" t="s">
        <v>164</v>
      </c>
      <c r="D239" s="4" t="s">
        <v>116</v>
      </c>
      <c r="E239" s="5">
        <v>39893</v>
      </c>
      <c r="F239" s="5">
        <v>39892</v>
      </c>
      <c r="G239" s="1">
        <v>903</v>
      </c>
      <c r="H239" s="4" t="s">
        <v>110</v>
      </c>
      <c r="I239" s="4" t="s">
        <v>109</v>
      </c>
      <c r="J239" s="4" t="str">
        <f t="shared" si="3"/>
        <v>u_rem.c_rem</v>
      </c>
      <c r="K239" s="5">
        <v>1</v>
      </c>
      <c r="L239" s="1">
        <v>0</v>
      </c>
      <c r="M239" s="1">
        <v>0</v>
      </c>
      <c r="N239" s="1">
        <v>0.21161150298426482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7.5963103635377116E-2</v>
      </c>
      <c r="AA239" s="1">
        <v>0</v>
      </c>
      <c r="AB239" s="1">
        <v>0</v>
      </c>
      <c r="AC239" s="1">
        <v>0</v>
      </c>
      <c r="AD239" s="1">
        <v>0</v>
      </c>
      <c r="AE239" s="1">
        <v>2.1703743895822032E-2</v>
      </c>
      <c r="AF239" s="1">
        <v>0</v>
      </c>
      <c r="AG239" s="1">
        <v>0</v>
      </c>
      <c r="AH239" s="1">
        <v>0</v>
      </c>
      <c r="AI239" s="1">
        <v>2.1703743895822032E-2</v>
      </c>
      <c r="AJ239" s="1">
        <v>0</v>
      </c>
      <c r="AK239" s="1">
        <v>0</v>
      </c>
      <c r="AL239" s="1">
        <v>9.7666847531199141E-2</v>
      </c>
      <c r="AM239" s="1">
        <v>0</v>
      </c>
      <c r="AN239" s="1">
        <v>1.2479652740097668E-2</v>
      </c>
      <c r="AO239" s="1">
        <v>0</v>
      </c>
      <c r="AP239" s="1">
        <v>0</v>
      </c>
      <c r="AQ239" s="1">
        <v>0</v>
      </c>
      <c r="AR239" s="1">
        <v>0</v>
      </c>
      <c r="AS239" s="1">
        <v>8.1389039609332636E-2</v>
      </c>
      <c r="AT239" s="1">
        <v>0</v>
      </c>
      <c r="AU239" s="1">
        <v>1.6277807921866526E-2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1.0851871947911016E-2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5.425935973955508E-3</v>
      </c>
      <c r="CA239" s="1">
        <v>0.44492674986435166</v>
      </c>
      <c r="CB239" s="1">
        <v>0</v>
      </c>
    </row>
    <row r="240" spans="1:80">
      <c r="A240">
        <v>239</v>
      </c>
      <c r="B240" t="s">
        <v>57</v>
      </c>
      <c r="C240" s="4" t="s">
        <v>164</v>
      </c>
      <c r="D240" s="4" t="s">
        <v>116</v>
      </c>
      <c r="E240" s="5">
        <v>39893</v>
      </c>
      <c r="F240" s="5">
        <v>39892</v>
      </c>
      <c r="G240">
        <v>903</v>
      </c>
      <c r="H240" s="4" t="s">
        <v>110</v>
      </c>
      <c r="I240" s="4" t="s">
        <v>108</v>
      </c>
      <c r="J240" s="4" t="str">
        <f t="shared" si="3"/>
        <v>u_rem.c_con</v>
      </c>
      <c r="K240" s="5">
        <v>8</v>
      </c>
      <c r="L240">
        <v>0</v>
      </c>
      <c r="M240">
        <v>2.7227183620126338E-2</v>
      </c>
      <c r="N240">
        <v>0.10455238510128517</v>
      </c>
      <c r="O240">
        <v>0</v>
      </c>
      <c r="P240">
        <v>0</v>
      </c>
      <c r="Q240">
        <v>4.5741668481812251E-3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7.4057939446743645E-2</v>
      </c>
      <c r="AA240">
        <v>0</v>
      </c>
      <c r="AB240">
        <v>0</v>
      </c>
      <c r="AC240">
        <v>0</v>
      </c>
      <c r="AD240">
        <v>0</v>
      </c>
      <c r="AE240">
        <v>2.2435199302984103E-2</v>
      </c>
      <c r="AF240">
        <v>0</v>
      </c>
      <c r="AG240">
        <v>0</v>
      </c>
      <c r="AH240">
        <v>4.5741668481812251E-3</v>
      </c>
      <c r="AI240">
        <v>5.2276192550642572E-3</v>
      </c>
      <c r="AJ240">
        <v>0</v>
      </c>
      <c r="AK240">
        <v>0</v>
      </c>
      <c r="AL240">
        <v>5.0098017861032471E-3</v>
      </c>
      <c r="AM240">
        <v>0</v>
      </c>
      <c r="AN240">
        <v>8.7126987584404273E-4</v>
      </c>
      <c r="AO240">
        <v>0</v>
      </c>
      <c r="AP240">
        <v>0</v>
      </c>
      <c r="AQ240">
        <v>0</v>
      </c>
      <c r="AR240">
        <v>0</v>
      </c>
      <c r="AS240">
        <v>4.0296231757786974E-2</v>
      </c>
      <c r="AT240">
        <v>2.1781746896101068E-4</v>
      </c>
      <c r="AU240">
        <v>1.3286865606621654E-2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4.3563493792202141E-3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4.3563493792202141E-3</v>
      </c>
      <c r="BX240">
        <v>0</v>
      </c>
      <c r="BY240">
        <v>0</v>
      </c>
      <c r="BZ240">
        <v>2.6791548682204316E-2</v>
      </c>
      <c r="CA240">
        <v>0.66216510564147246</v>
      </c>
      <c r="CB240">
        <v>0</v>
      </c>
    </row>
    <row r="241" spans="1:80">
      <c r="A241">
        <v>240</v>
      </c>
      <c r="B241" s="1" t="s">
        <v>58</v>
      </c>
      <c r="C241" s="4" t="s">
        <v>164</v>
      </c>
      <c r="D241" s="4" t="s">
        <v>116</v>
      </c>
      <c r="E241" s="5">
        <v>39893</v>
      </c>
      <c r="F241" s="5">
        <v>39892</v>
      </c>
      <c r="G241" s="1">
        <v>903</v>
      </c>
      <c r="H241" s="4" t="s">
        <v>110</v>
      </c>
      <c r="I241" s="4" t="s">
        <v>109</v>
      </c>
      <c r="J241" s="4" t="str">
        <f t="shared" si="3"/>
        <v>u_rem.c_rem</v>
      </c>
      <c r="K241" s="5">
        <v>1</v>
      </c>
      <c r="L241" s="1">
        <v>0</v>
      </c>
      <c r="M241" s="1">
        <v>5.1466803911477095E-3</v>
      </c>
      <c r="N241" s="1">
        <v>0.10808028821410189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0.14410705095213583</v>
      </c>
      <c r="AA241" s="1">
        <v>0</v>
      </c>
      <c r="AB241" s="1">
        <v>0</v>
      </c>
      <c r="AC241" s="1">
        <v>0</v>
      </c>
      <c r="AD241" s="1">
        <v>0</v>
      </c>
      <c r="AE241" s="1">
        <v>2.5733401955738543E-2</v>
      </c>
      <c r="AF241" s="1">
        <v>0</v>
      </c>
      <c r="AG241" s="1">
        <v>0</v>
      </c>
      <c r="AH241" s="1">
        <v>0</v>
      </c>
      <c r="AI241" s="1">
        <v>5.1466803911477095E-3</v>
      </c>
      <c r="AJ241" s="1">
        <v>0</v>
      </c>
      <c r="AK241" s="1">
        <v>0</v>
      </c>
      <c r="AL241" s="1">
        <v>0.10293360782295417</v>
      </c>
      <c r="AM241" s="1">
        <v>0</v>
      </c>
      <c r="AN241" s="1">
        <v>1.1580030880082347E-2</v>
      </c>
      <c r="AO241" s="1">
        <v>0</v>
      </c>
      <c r="AP241" s="1">
        <v>0</v>
      </c>
      <c r="AQ241" s="1">
        <v>0</v>
      </c>
      <c r="AR241" s="1">
        <v>0</v>
      </c>
      <c r="AS241" s="1">
        <v>6.1760164693772504E-2</v>
      </c>
      <c r="AT241" s="1">
        <v>5.4040144107050945E-3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5.1466803911477095E-3</v>
      </c>
      <c r="CA241" s="1">
        <v>0.52496139989706647</v>
      </c>
      <c r="CB241" s="1">
        <v>0</v>
      </c>
    </row>
    <row r="242" spans="1:80">
      <c r="A242">
        <v>241</v>
      </c>
      <c r="B242" t="s">
        <v>59</v>
      </c>
      <c r="C242" s="4" t="s">
        <v>165</v>
      </c>
      <c r="D242" s="4" t="s">
        <v>117</v>
      </c>
      <c r="E242" s="5">
        <v>39892</v>
      </c>
      <c r="F242" s="5">
        <v>39892</v>
      </c>
      <c r="G242">
        <v>903</v>
      </c>
      <c r="H242" s="4" t="s">
        <v>107</v>
      </c>
      <c r="I242" s="4" t="s">
        <v>109</v>
      </c>
      <c r="J242" s="4" t="str">
        <f t="shared" si="3"/>
        <v>u_con.c_rem</v>
      </c>
      <c r="K242" s="5">
        <v>2</v>
      </c>
      <c r="L242">
        <v>0</v>
      </c>
      <c r="M242">
        <v>0.14630811303555152</v>
      </c>
      <c r="N242">
        <v>7.3609845031905222E-2</v>
      </c>
      <c r="O242">
        <v>0</v>
      </c>
      <c r="P242">
        <v>0</v>
      </c>
      <c r="Q242">
        <v>2.8714676390154983E-2</v>
      </c>
      <c r="R242">
        <v>0.11394712853236101</v>
      </c>
      <c r="S242">
        <v>0</v>
      </c>
      <c r="T242">
        <v>0</v>
      </c>
      <c r="U242">
        <v>2.2789425706472205E-4</v>
      </c>
      <c r="V242">
        <v>0</v>
      </c>
      <c r="W242">
        <v>0</v>
      </c>
      <c r="X242">
        <v>2.2789425706472205E-4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2.2789425706472202E-2</v>
      </c>
      <c r="AE242">
        <v>2.3017319963536925E-2</v>
      </c>
      <c r="AF242">
        <v>0</v>
      </c>
      <c r="AG242">
        <v>9.5715587967183258E-3</v>
      </c>
      <c r="AH242">
        <v>0</v>
      </c>
      <c r="AI242">
        <v>4.5578851412944398E-2</v>
      </c>
      <c r="AJ242">
        <v>0.1280765724703738</v>
      </c>
      <c r="AK242">
        <v>0</v>
      </c>
      <c r="AL242">
        <v>9.1157702825888816E-3</v>
      </c>
      <c r="AM242">
        <v>0</v>
      </c>
      <c r="AN242">
        <v>4.7857793983591629E-3</v>
      </c>
      <c r="AO242">
        <v>0</v>
      </c>
      <c r="AP242">
        <v>0</v>
      </c>
      <c r="AQ242">
        <v>0</v>
      </c>
      <c r="AR242">
        <v>0</v>
      </c>
      <c r="AS242">
        <v>2.8486782133090253E-2</v>
      </c>
      <c r="AT242">
        <v>5.2415679124886072E-3</v>
      </c>
      <c r="AU242">
        <v>0</v>
      </c>
      <c r="AV242">
        <v>0</v>
      </c>
      <c r="AW242">
        <v>4.5578851412944408E-3</v>
      </c>
      <c r="AX242">
        <v>1.3673655423883324E-2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4.5578851412944408E-3</v>
      </c>
      <c r="BF242">
        <v>2.2789425706472205E-4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1.3673655423883324E-2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1.8231540565177763E-2</v>
      </c>
      <c r="CA242">
        <v>0.30537830446672748</v>
      </c>
      <c r="CB242">
        <v>0</v>
      </c>
    </row>
    <row r="243" spans="1:80">
      <c r="A243">
        <v>242</v>
      </c>
      <c r="B243" t="s">
        <v>60</v>
      </c>
      <c r="C243" s="4" t="s">
        <v>165</v>
      </c>
      <c r="D243" s="4" t="s">
        <v>117</v>
      </c>
      <c r="E243" s="5">
        <v>39892</v>
      </c>
      <c r="F243" s="5">
        <v>39892</v>
      </c>
      <c r="G243">
        <v>903</v>
      </c>
      <c r="H243" s="4" t="s">
        <v>107</v>
      </c>
      <c r="I243" s="4" t="s">
        <v>108</v>
      </c>
      <c r="J243" s="4" t="str">
        <f t="shared" si="3"/>
        <v>u_con.c_con</v>
      </c>
      <c r="K243" s="5">
        <v>19</v>
      </c>
      <c r="L243">
        <v>0</v>
      </c>
      <c r="M243">
        <v>0.4135687732342006</v>
      </c>
      <c r="N243">
        <v>6.0873605947955392E-2</v>
      </c>
      <c r="O243">
        <v>0</v>
      </c>
      <c r="P243">
        <v>0</v>
      </c>
      <c r="Q243">
        <v>3.7639405204460956E-2</v>
      </c>
      <c r="R243">
        <v>0.11175650557620817</v>
      </c>
      <c r="S243">
        <v>0</v>
      </c>
      <c r="T243">
        <v>1.3940520446096654E-2</v>
      </c>
      <c r="U243">
        <v>4.8791821561338291E-3</v>
      </c>
      <c r="V243">
        <v>0</v>
      </c>
      <c r="W243">
        <v>0</v>
      </c>
      <c r="X243">
        <v>3.2527881040892194E-2</v>
      </c>
      <c r="Y243">
        <v>0</v>
      </c>
      <c r="Z243">
        <v>0</v>
      </c>
      <c r="AA243">
        <v>0</v>
      </c>
      <c r="AB243">
        <v>0</v>
      </c>
      <c r="AC243">
        <v>1.3940520446096652E-2</v>
      </c>
      <c r="AD243">
        <v>0</v>
      </c>
      <c r="AE243">
        <v>1.9516728624535316E-2</v>
      </c>
      <c r="AF243">
        <v>0</v>
      </c>
      <c r="AG243">
        <v>0</v>
      </c>
      <c r="AH243">
        <v>4.646840148698884E-4</v>
      </c>
      <c r="AI243">
        <v>2.3698884758364309E-2</v>
      </c>
      <c r="AJ243">
        <v>9.5260223048327132E-3</v>
      </c>
      <c r="AK243">
        <v>0</v>
      </c>
      <c r="AL243">
        <v>5.5994423791821554E-2</v>
      </c>
      <c r="AM243">
        <v>0</v>
      </c>
      <c r="AN243">
        <v>5.1115241635687732E-3</v>
      </c>
      <c r="AO243">
        <v>0</v>
      </c>
      <c r="AP243">
        <v>0</v>
      </c>
      <c r="AQ243">
        <v>0</v>
      </c>
      <c r="AR243">
        <v>0</v>
      </c>
      <c r="AS243">
        <v>2.3698884758364309E-2</v>
      </c>
      <c r="AT243">
        <v>2.323420074349442E-4</v>
      </c>
      <c r="AU243">
        <v>0</v>
      </c>
      <c r="AV243">
        <v>0</v>
      </c>
      <c r="AW243">
        <v>2.323420074349442E-4</v>
      </c>
      <c r="AX243">
        <v>9.2936802973977682E-3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4.646840148698884E-4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4.6468401486988841E-3</v>
      </c>
      <c r="CA243">
        <v>0.15334572490706319</v>
      </c>
      <c r="CB243">
        <v>0</v>
      </c>
    </row>
    <row r="244" spans="1:80">
      <c r="A244">
        <v>243</v>
      </c>
      <c r="B244" t="s">
        <v>61</v>
      </c>
      <c r="C244" s="4" t="s">
        <v>165</v>
      </c>
      <c r="D244" s="4" t="s">
        <v>117</v>
      </c>
      <c r="E244" s="5">
        <v>39892</v>
      </c>
      <c r="F244" s="5">
        <v>39892</v>
      </c>
      <c r="G244">
        <v>903</v>
      </c>
      <c r="H244" s="4" t="s">
        <v>107</v>
      </c>
      <c r="I244" s="4" t="s">
        <v>109</v>
      </c>
      <c r="J244" s="4" t="str">
        <f t="shared" si="3"/>
        <v>u_con.c_rem</v>
      </c>
      <c r="K244" s="5">
        <v>2</v>
      </c>
      <c r="L244">
        <v>0</v>
      </c>
      <c r="M244">
        <v>0.28833007812499994</v>
      </c>
      <c r="N244">
        <v>0.10888671875</v>
      </c>
      <c r="O244">
        <v>0</v>
      </c>
      <c r="P244">
        <v>0</v>
      </c>
      <c r="Q244">
        <v>7.4462890625E-2</v>
      </c>
      <c r="R244">
        <v>1.9775390625E-2</v>
      </c>
      <c r="S244">
        <v>0</v>
      </c>
      <c r="T244">
        <v>1.953125E-2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2.44140625E-4</v>
      </c>
      <c r="AD244">
        <v>0</v>
      </c>
      <c r="AE244">
        <v>2.1484375000000003E-2</v>
      </c>
      <c r="AF244">
        <v>0</v>
      </c>
      <c r="AG244">
        <v>0</v>
      </c>
      <c r="AH244">
        <v>1.4648437500000002E-2</v>
      </c>
      <c r="AI244">
        <v>3.466796875E-2</v>
      </c>
      <c r="AJ244">
        <v>0.20043945312499997</v>
      </c>
      <c r="AK244">
        <v>0</v>
      </c>
      <c r="AL244">
        <v>4.8828125E-3</v>
      </c>
      <c r="AM244">
        <v>0</v>
      </c>
      <c r="AN244">
        <v>1.0498046875000002E-2</v>
      </c>
      <c r="AO244">
        <v>0</v>
      </c>
      <c r="AP244">
        <v>0</v>
      </c>
      <c r="AQ244">
        <v>0</v>
      </c>
      <c r="AR244">
        <v>0</v>
      </c>
      <c r="AS244">
        <v>1.0742187500000002E-2</v>
      </c>
      <c r="AT244">
        <v>5.6152343750000009E-3</v>
      </c>
      <c r="AU244">
        <v>0</v>
      </c>
      <c r="AV244">
        <v>0</v>
      </c>
      <c r="AW244">
        <v>0</v>
      </c>
      <c r="AX244">
        <v>1.0009765625E-2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0.17578124999999997</v>
      </c>
      <c r="CB244">
        <v>0</v>
      </c>
    </row>
    <row r="245" spans="1:80">
      <c r="A245">
        <v>244</v>
      </c>
      <c r="B245" t="s">
        <v>62</v>
      </c>
      <c r="C245" s="4" t="s">
        <v>165</v>
      </c>
      <c r="D245" s="4" t="s">
        <v>117</v>
      </c>
      <c r="E245" s="5">
        <v>39892</v>
      </c>
      <c r="F245" s="5">
        <v>39892</v>
      </c>
      <c r="G245">
        <v>903</v>
      </c>
      <c r="H245" s="4" t="s">
        <v>107</v>
      </c>
      <c r="I245" s="4" t="s">
        <v>108</v>
      </c>
      <c r="J245" s="4" t="str">
        <f t="shared" si="3"/>
        <v>u_con.c_con</v>
      </c>
      <c r="K245" s="5">
        <v>19</v>
      </c>
      <c r="L245">
        <v>0</v>
      </c>
      <c r="M245">
        <v>5.9183174370261694E-2</v>
      </c>
      <c r="N245">
        <v>0.14673514306676458</v>
      </c>
      <c r="O245">
        <v>0</v>
      </c>
      <c r="P245">
        <v>0</v>
      </c>
      <c r="Q245">
        <v>3.008070432868673E-2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2.4455857177794088E-4</v>
      </c>
      <c r="Y245">
        <v>0</v>
      </c>
      <c r="Z245">
        <v>5.3802885791147002E-3</v>
      </c>
      <c r="AA245">
        <v>0</v>
      </c>
      <c r="AB245">
        <v>0</v>
      </c>
      <c r="AC245">
        <v>0</v>
      </c>
      <c r="AD245">
        <v>0</v>
      </c>
      <c r="AE245">
        <v>5.1357300073367595E-3</v>
      </c>
      <c r="AF245">
        <v>0</v>
      </c>
      <c r="AG245">
        <v>0</v>
      </c>
      <c r="AH245">
        <v>1.4673514306676455E-2</v>
      </c>
      <c r="AI245">
        <v>1.565174859378822E-2</v>
      </c>
      <c r="AJ245">
        <v>2.4455857177794088E-4</v>
      </c>
      <c r="AK245">
        <v>0</v>
      </c>
      <c r="AL245">
        <v>0.11298606016140869</v>
      </c>
      <c r="AM245">
        <v>0</v>
      </c>
      <c r="AN245">
        <v>1.5896307165566163E-2</v>
      </c>
      <c r="AO245">
        <v>0</v>
      </c>
      <c r="AP245">
        <v>0</v>
      </c>
      <c r="AQ245">
        <v>0</v>
      </c>
      <c r="AR245">
        <v>0</v>
      </c>
      <c r="AS245">
        <v>2.4455857177794089E-2</v>
      </c>
      <c r="AT245">
        <v>5.1357300073367595E-3</v>
      </c>
      <c r="AU245">
        <v>0</v>
      </c>
      <c r="AV245">
        <v>0</v>
      </c>
      <c r="AW245">
        <v>0</v>
      </c>
      <c r="AX245">
        <v>1.4673514306676455E-2</v>
      </c>
      <c r="AY245">
        <v>0</v>
      </c>
      <c r="AZ245">
        <v>4.8911714355588179E-3</v>
      </c>
      <c r="BA245">
        <v>5.1357300073367595E-3</v>
      </c>
      <c r="BB245">
        <v>0</v>
      </c>
      <c r="BC245">
        <v>0</v>
      </c>
      <c r="BD245">
        <v>0</v>
      </c>
      <c r="BE245">
        <v>0</v>
      </c>
      <c r="BF245">
        <v>4.8911714355588177E-4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2.4455857177794088E-4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0.52824651504035225</v>
      </c>
      <c r="CB245">
        <v>1.0516018586451461E-2</v>
      </c>
    </row>
    <row r="246" spans="1:80">
      <c r="A246">
        <v>245</v>
      </c>
      <c r="B246" t="s">
        <v>106</v>
      </c>
      <c r="C246" s="4" t="s">
        <v>166</v>
      </c>
      <c r="D246" s="4" t="s">
        <v>117</v>
      </c>
      <c r="E246" s="5">
        <v>39892</v>
      </c>
      <c r="F246" s="5">
        <v>39892</v>
      </c>
      <c r="G246">
        <v>903</v>
      </c>
      <c r="H246" s="4" t="s">
        <v>110</v>
      </c>
      <c r="I246" s="4" t="s">
        <v>109</v>
      </c>
      <c r="J246" s="4" t="str">
        <f t="shared" si="3"/>
        <v>u_rem.c_rem</v>
      </c>
      <c r="K246" s="5">
        <v>1</v>
      </c>
      <c r="L246" s="1">
        <v>0.27853631895139264</v>
      </c>
      <c r="M246" s="1">
        <v>3.8230475150191151E-2</v>
      </c>
      <c r="N246" s="1">
        <v>0.24030584380120146</v>
      </c>
      <c r="O246" s="1">
        <v>5.4614964500273085E-3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3.8230475150191151E-2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0.16930638995084657</v>
      </c>
      <c r="AK246" s="1">
        <v>0</v>
      </c>
      <c r="AL246" s="1">
        <v>1.0922992900054617E-2</v>
      </c>
      <c r="AM246" s="1">
        <v>0</v>
      </c>
      <c r="AN246" s="1">
        <v>5.4614964500273081E-4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5.4614964500273085E-3</v>
      </c>
      <c r="AX246" s="1">
        <v>2.7307482250136541E-2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5.4614964500273085E-3</v>
      </c>
      <c r="CA246" s="1">
        <v>0.18022938285090112</v>
      </c>
      <c r="CB246" s="1">
        <v>0</v>
      </c>
    </row>
    <row r="247" spans="1:80">
      <c r="A247">
        <v>246</v>
      </c>
      <c r="B247" t="s">
        <v>63</v>
      </c>
      <c r="C247" s="4" t="s">
        <v>166</v>
      </c>
      <c r="D247" s="4" t="s">
        <v>117</v>
      </c>
      <c r="E247" s="5">
        <v>39892</v>
      </c>
      <c r="F247" s="5">
        <v>39892</v>
      </c>
      <c r="G247">
        <v>903</v>
      </c>
      <c r="H247" s="4" t="s">
        <v>110</v>
      </c>
      <c r="I247" s="4" t="s">
        <v>108</v>
      </c>
      <c r="J247" s="4" t="str">
        <f t="shared" si="3"/>
        <v>u_rem.c_con</v>
      </c>
      <c r="K247" s="5">
        <v>8</v>
      </c>
      <c r="L247">
        <v>0</v>
      </c>
      <c r="M247">
        <v>9.0406296532652627E-2</v>
      </c>
      <c r="N247">
        <v>0.14465007445224423</v>
      </c>
      <c r="O247">
        <v>0</v>
      </c>
      <c r="P247">
        <v>0</v>
      </c>
      <c r="Q247">
        <v>8.5088279089555428E-3</v>
      </c>
      <c r="R247">
        <v>0</v>
      </c>
      <c r="S247">
        <v>0</v>
      </c>
      <c r="T247">
        <v>2.9780897681344395E-2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3.4035311635822164E-2</v>
      </c>
      <c r="AE247">
        <v>3.89278876834716E-2</v>
      </c>
      <c r="AF247">
        <v>0</v>
      </c>
      <c r="AG247">
        <v>0</v>
      </c>
      <c r="AH247">
        <v>4.2544139544777714E-3</v>
      </c>
      <c r="AI247">
        <v>4.2544139544777714E-3</v>
      </c>
      <c r="AJ247">
        <v>0.22122952563284401</v>
      </c>
      <c r="AK247">
        <v>0</v>
      </c>
      <c r="AL247">
        <v>4.2544139544777714E-3</v>
      </c>
      <c r="AM247">
        <v>0</v>
      </c>
      <c r="AN247">
        <v>2.1272069772388855E-4</v>
      </c>
      <c r="AO247">
        <v>0</v>
      </c>
      <c r="AP247">
        <v>0</v>
      </c>
      <c r="AQ247">
        <v>0</v>
      </c>
      <c r="AR247">
        <v>0</v>
      </c>
      <c r="AS247">
        <v>1.8506700701978306E-2</v>
      </c>
      <c r="AT247">
        <v>2.1272069772388855E-4</v>
      </c>
      <c r="AU247">
        <v>0</v>
      </c>
      <c r="AV247">
        <v>0</v>
      </c>
      <c r="AW247">
        <v>0</v>
      </c>
      <c r="AX247">
        <v>5.1052967453733252E-3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4.2544139544777714E-3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0.3914060838119548</v>
      </c>
      <c r="CB247">
        <v>0</v>
      </c>
    </row>
    <row r="248" spans="1:80">
      <c r="A248">
        <v>247</v>
      </c>
      <c r="B248" s="1" t="s">
        <v>64</v>
      </c>
      <c r="C248" s="4" t="s">
        <v>166</v>
      </c>
      <c r="D248" s="4" t="s">
        <v>117</v>
      </c>
      <c r="E248" s="5">
        <v>39892</v>
      </c>
      <c r="F248" s="5">
        <v>39892</v>
      </c>
      <c r="G248" s="1">
        <v>903</v>
      </c>
      <c r="H248" s="4" t="s">
        <v>110</v>
      </c>
      <c r="I248" s="4" t="s">
        <v>109</v>
      </c>
      <c r="J248" s="4" t="str">
        <f t="shared" si="3"/>
        <v>u_rem.c_rem</v>
      </c>
      <c r="K248" s="5">
        <v>1</v>
      </c>
      <c r="L248" s="1">
        <v>2.1373230029388197E-2</v>
      </c>
      <c r="M248" s="1">
        <v>4.8089767566123438E-2</v>
      </c>
      <c r="N248" s="1">
        <v>0.44883783061715204</v>
      </c>
      <c r="O248" s="1">
        <v>1.6029922522041148E-2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1.0686615014694098E-2</v>
      </c>
      <c r="AF248" s="1">
        <v>0</v>
      </c>
      <c r="AG248" s="1">
        <v>0</v>
      </c>
      <c r="AH248" s="1">
        <v>0</v>
      </c>
      <c r="AI248" s="1">
        <v>0</v>
      </c>
      <c r="AJ248" s="1">
        <v>0.1389259951910233</v>
      </c>
      <c r="AK248" s="1">
        <v>0</v>
      </c>
      <c r="AL248" s="1">
        <v>0</v>
      </c>
      <c r="AM248" s="1">
        <v>0</v>
      </c>
      <c r="AN248" s="1">
        <v>5.877638258081754E-3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2.6716537536735247E-4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5.3433075073470492E-3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0.3045685279187817</v>
      </c>
      <c r="CB248" s="1">
        <v>0</v>
      </c>
    </row>
    <row r="249" spans="1:80">
      <c r="A249">
        <v>248</v>
      </c>
      <c r="B249" t="s">
        <v>65</v>
      </c>
      <c r="C249" s="4" t="s">
        <v>166</v>
      </c>
      <c r="D249" s="4" t="s">
        <v>117</v>
      </c>
      <c r="E249" s="5">
        <v>39892</v>
      </c>
      <c r="F249" s="5">
        <v>39892</v>
      </c>
      <c r="G249">
        <v>903</v>
      </c>
      <c r="H249" s="4" t="s">
        <v>110</v>
      </c>
      <c r="I249" s="4" t="s">
        <v>108</v>
      </c>
      <c r="J249" s="4" t="str">
        <f t="shared" si="3"/>
        <v>u_rem.c_con</v>
      </c>
      <c r="K249" s="5">
        <v>8</v>
      </c>
      <c r="L249">
        <v>4.2964554242749739E-3</v>
      </c>
      <c r="M249">
        <v>0.12996777658431796</v>
      </c>
      <c r="N249">
        <v>9.9462943071965668E-2</v>
      </c>
      <c r="O249">
        <v>0</v>
      </c>
      <c r="P249">
        <v>0</v>
      </c>
      <c r="Q249">
        <v>2.1911922663802368E-2</v>
      </c>
      <c r="R249">
        <v>0</v>
      </c>
      <c r="S249">
        <v>0</v>
      </c>
      <c r="T249">
        <v>5.1987110633727185E-2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2.1697099892588619E-2</v>
      </c>
      <c r="AE249">
        <v>2.2556390977443615E-2</v>
      </c>
      <c r="AF249">
        <v>0</v>
      </c>
      <c r="AG249">
        <v>0</v>
      </c>
      <c r="AH249">
        <v>0</v>
      </c>
      <c r="AI249">
        <v>2.1482277121374872E-4</v>
      </c>
      <c r="AJ249">
        <v>0.23200859291084849</v>
      </c>
      <c r="AK249">
        <v>0</v>
      </c>
      <c r="AL249">
        <v>4.2964554242749739E-3</v>
      </c>
      <c r="AM249">
        <v>0</v>
      </c>
      <c r="AN249">
        <v>1.7830290010741143E-2</v>
      </c>
      <c r="AO249">
        <v>0</v>
      </c>
      <c r="AP249">
        <v>0</v>
      </c>
      <c r="AQ249">
        <v>2.1482277121374872E-4</v>
      </c>
      <c r="AR249">
        <v>0</v>
      </c>
      <c r="AS249">
        <v>5.3705692803437174E-3</v>
      </c>
      <c r="AT249">
        <v>4.2964554242749743E-4</v>
      </c>
      <c r="AU249">
        <v>0</v>
      </c>
      <c r="AV249">
        <v>0</v>
      </c>
      <c r="AW249">
        <v>0</v>
      </c>
      <c r="AX249">
        <v>4.7261009667024711E-3</v>
      </c>
      <c r="AY249">
        <v>4.2964554242749739E-3</v>
      </c>
      <c r="AZ249">
        <v>4.2964554242749739E-3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1.3533834586466171E-2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0.36090225563909778</v>
      </c>
      <c r="CB249">
        <v>0</v>
      </c>
    </row>
    <row r="250" spans="1:80" s="1" customFormat="1">
      <c r="A250">
        <v>249</v>
      </c>
      <c r="B250" t="s">
        <v>66</v>
      </c>
      <c r="C250" s="4" t="s">
        <v>167</v>
      </c>
      <c r="D250" s="4" t="s">
        <v>117</v>
      </c>
      <c r="E250" s="5">
        <v>39892</v>
      </c>
      <c r="F250" s="5">
        <v>39892</v>
      </c>
      <c r="G250">
        <v>903</v>
      </c>
      <c r="H250" s="4" t="s">
        <v>107</v>
      </c>
      <c r="I250" s="4" t="s">
        <v>108</v>
      </c>
      <c r="J250" s="4" t="str">
        <f t="shared" si="3"/>
        <v>u_con.c_con</v>
      </c>
      <c r="K250" s="5">
        <v>19</v>
      </c>
      <c r="L250">
        <v>0</v>
      </c>
      <c r="M250">
        <v>0.49083397882778196</v>
      </c>
      <c r="N250">
        <v>0</v>
      </c>
      <c r="O250">
        <v>0</v>
      </c>
      <c r="P250">
        <v>0</v>
      </c>
      <c r="Q250">
        <v>6.7131422669765031E-2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2.6077975729408724E-2</v>
      </c>
      <c r="AF250">
        <v>0</v>
      </c>
      <c r="AG250">
        <v>0</v>
      </c>
      <c r="AH250">
        <v>0</v>
      </c>
      <c r="AI250">
        <v>5.1639555899819257E-3</v>
      </c>
      <c r="AJ250">
        <v>7.2295378259746967E-2</v>
      </c>
      <c r="AK250">
        <v>0</v>
      </c>
      <c r="AL250">
        <v>1.5491866769945776E-2</v>
      </c>
      <c r="AM250">
        <v>0</v>
      </c>
      <c r="AN250">
        <v>1.1360702297960238E-2</v>
      </c>
      <c r="AO250">
        <v>0</v>
      </c>
      <c r="AP250">
        <v>0</v>
      </c>
      <c r="AQ250">
        <v>0</v>
      </c>
      <c r="AR250">
        <v>0</v>
      </c>
      <c r="AS250">
        <v>5.422153369481022E-3</v>
      </c>
      <c r="AT250">
        <v>0</v>
      </c>
      <c r="AU250">
        <v>0</v>
      </c>
      <c r="AV250">
        <v>0</v>
      </c>
      <c r="AW250">
        <v>0</v>
      </c>
      <c r="AX250">
        <v>5.1639555899819257E-3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1.0586108959462949E-2</v>
      </c>
      <c r="BF250">
        <v>6.4549444874774072E-3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0.27885360185902391</v>
      </c>
      <c r="CB250">
        <v>5.1639555899819257E-3</v>
      </c>
    </row>
    <row r="251" spans="1:80" s="1" customFormat="1">
      <c r="A251">
        <v>250</v>
      </c>
      <c r="B251" t="s">
        <v>67</v>
      </c>
      <c r="C251" s="4" t="s">
        <v>167</v>
      </c>
      <c r="D251" s="4" t="s">
        <v>117</v>
      </c>
      <c r="E251" s="5">
        <v>39892</v>
      </c>
      <c r="F251" s="5">
        <v>39892</v>
      </c>
      <c r="G251">
        <v>903</v>
      </c>
      <c r="H251" s="4" t="s">
        <v>107</v>
      </c>
      <c r="I251" s="4" t="s">
        <v>109</v>
      </c>
      <c r="J251" s="4" t="str">
        <f t="shared" si="3"/>
        <v>u_con.c_rem</v>
      </c>
      <c r="K251" s="5">
        <v>2</v>
      </c>
      <c r="L251">
        <v>0</v>
      </c>
      <c r="M251">
        <v>0.14193678276625732</v>
      </c>
      <c r="N251">
        <v>0.4670827461244213</v>
      </c>
      <c r="O251">
        <v>0</v>
      </c>
      <c r="P251">
        <v>0</v>
      </c>
      <c r="Q251">
        <v>2.8387356553251464E-2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2.0132876988121609E-4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1.2482383732635398E-2</v>
      </c>
      <c r="AF251">
        <v>0</v>
      </c>
      <c r="AG251">
        <v>0</v>
      </c>
      <c r="AH251">
        <v>0</v>
      </c>
      <c r="AI251">
        <v>1.6911616670022153E-2</v>
      </c>
      <c r="AJ251">
        <v>2.0334205758002825E-2</v>
      </c>
      <c r="AK251">
        <v>8.0531507952486432E-3</v>
      </c>
      <c r="AL251">
        <v>0</v>
      </c>
      <c r="AM251">
        <v>0</v>
      </c>
      <c r="AN251">
        <v>4.0265753976243216E-3</v>
      </c>
      <c r="AO251">
        <v>0</v>
      </c>
      <c r="AP251">
        <v>0</v>
      </c>
      <c r="AQ251">
        <v>8.2544795651298599E-3</v>
      </c>
      <c r="AR251">
        <v>0</v>
      </c>
      <c r="AS251">
        <v>4.8318904771491866E-3</v>
      </c>
      <c r="AT251">
        <v>4.0265753976243216E-3</v>
      </c>
      <c r="AU251">
        <v>0</v>
      </c>
      <c r="AV251">
        <v>0</v>
      </c>
      <c r="AW251">
        <v>0</v>
      </c>
      <c r="AX251">
        <v>4.0265753976243216E-3</v>
      </c>
      <c r="AY251">
        <v>0</v>
      </c>
      <c r="AZ251">
        <v>0</v>
      </c>
      <c r="BA251">
        <v>6.0398630964364822E-4</v>
      </c>
      <c r="BB251">
        <v>0</v>
      </c>
      <c r="BC251">
        <v>0</v>
      </c>
      <c r="BD251">
        <v>0</v>
      </c>
      <c r="BE251">
        <v>1.650895913025972E-2</v>
      </c>
      <c r="BF251">
        <v>4.4292329373867541E-3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2.0132876988121609E-4</v>
      </c>
      <c r="CA251">
        <v>0.25770082544795653</v>
      </c>
      <c r="CB251">
        <v>0</v>
      </c>
    </row>
    <row r="252" spans="1:80">
      <c r="A252">
        <v>251</v>
      </c>
      <c r="B252" t="s">
        <v>68</v>
      </c>
      <c r="C252" s="4" t="s">
        <v>167</v>
      </c>
      <c r="D252" s="4" t="s">
        <v>117</v>
      </c>
      <c r="E252" s="5">
        <v>39892</v>
      </c>
      <c r="F252" s="5">
        <v>39892</v>
      </c>
      <c r="G252">
        <v>903</v>
      </c>
      <c r="H252" s="4" t="s">
        <v>107</v>
      </c>
      <c r="I252" s="4" t="s">
        <v>108</v>
      </c>
      <c r="J252" s="4" t="str">
        <f t="shared" si="3"/>
        <v>u_con.c_con</v>
      </c>
      <c r="K252" s="5">
        <v>19</v>
      </c>
      <c r="L252">
        <v>0</v>
      </c>
      <c r="M252">
        <v>0.15063634466930936</v>
      </c>
      <c r="N252">
        <v>0.15460045900271227</v>
      </c>
      <c r="O252">
        <v>0</v>
      </c>
      <c r="P252">
        <v>0</v>
      </c>
      <c r="Q252">
        <v>6.2799916544961393E-2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2.5453786772376377E-2</v>
      </c>
      <c r="AF252">
        <v>0</v>
      </c>
      <c r="AG252">
        <v>0</v>
      </c>
      <c r="AH252">
        <v>0</v>
      </c>
      <c r="AI252">
        <v>1.2726893386188192E-2</v>
      </c>
      <c r="AJ252">
        <v>4.1727519298977667E-2</v>
      </c>
      <c r="AK252">
        <v>4.172751929897767E-3</v>
      </c>
      <c r="AL252">
        <v>4.172751929897767E-3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2.5453786772376377E-2</v>
      </c>
      <c r="AT252">
        <v>0</v>
      </c>
      <c r="AU252">
        <v>0</v>
      </c>
      <c r="AV252">
        <v>0</v>
      </c>
      <c r="AW252">
        <v>0</v>
      </c>
      <c r="AX252">
        <v>8.9714166492802002E-3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2.0863759649488836E-4</v>
      </c>
      <c r="BF252">
        <v>3.3382015439182136E-2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4.172751929897767E-3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0.46734821614854988</v>
      </c>
      <c r="CB252">
        <v>0</v>
      </c>
    </row>
    <row r="253" spans="1:80">
      <c r="A253">
        <v>252</v>
      </c>
      <c r="B253" s="2" t="s">
        <v>69</v>
      </c>
      <c r="C253" s="4" t="s">
        <v>167</v>
      </c>
      <c r="D253" s="4" t="s">
        <v>117</v>
      </c>
      <c r="E253" s="5">
        <v>39892</v>
      </c>
      <c r="F253" s="5">
        <v>39892</v>
      </c>
      <c r="G253">
        <v>903</v>
      </c>
      <c r="H253" s="4" t="s">
        <v>107</v>
      </c>
      <c r="I253" s="4" t="s">
        <v>109</v>
      </c>
      <c r="J253" s="4" t="str">
        <f t="shared" si="3"/>
        <v>u_con.c_rem</v>
      </c>
      <c r="K253" s="5">
        <v>2</v>
      </c>
      <c r="L253">
        <v>0</v>
      </c>
      <c r="M253">
        <v>0.10259944860181174</v>
      </c>
      <c r="N253">
        <v>0.15005907837731391</v>
      </c>
      <c r="O253">
        <v>0</v>
      </c>
      <c r="P253">
        <v>0</v>
      </c>
      <c r="Q253">
        <v>1.5754233950374164E-2</v>
      </c>
      <c r="R253">
        <v>3.9385584875935411E-3</v>
      </c>
      <c r="S253">
        <v>0</v>
      </c>
      <c r="T253">
        <v>1.1815675462780622E-2</v>
      </c>
      <c r="U253">
        <v>0</v>
      </c>
      <c r="V253">
        <v>0</v>
      </c>
      <c r="W253">
        <v>0</v>
      </c>
      <c r="X253">
        <v>1.1815675462780624E-2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4.3914927136667975E-2</v>
      </c>
      <c r="AF253">
        <v>0</v>
      </c>
      <c r="AG253">
        <v>0</v>
      </c>
      <c r="AH253">
        <v>0</v>
      </c>
      <c r="AI253">
        <v>8.2709728239464368E-3</v>
      </c>
      <c r="AJ253">
        <v>0.22449783379283175</v>
      </c>
      <c r="AK253">
        <v>0</v>
      </c>
      <c r="AL253">
        <v>1.9692792437967703E-4</v>
      </c>
      <c r="AM253">
        <v>0</v>
      </c>
      <c r="AN253">
        <v>4.5293422607325723E-3</v>
      </c>
      <c r="AO253">
        <v>0</v>
      </c>
      <c r="AP253">
        <v>0</v>
      </c>
      <c r="AQ253">
        <v>0</v>
      </c>
      <c r="AR253">
        <v>0</v>
      </c>
      <c r="AS253">
        <v>4.3324143363528949E-3</v>
      </c>
      <c r="AT253">
        <v>0</v>
      </c>
      <c r="AU253">
        <v>0</v>
      </c>
      <c r="AV253">
        <v>0</v>
      </c>
      <c r="AW253">
        <v>0</v>
      </c>
      <c r="AX253">
        <v>4.1354864119732184E-3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3.9385584875935406E-4</v>
      </c>
      <c r="BF253">
        <v>2.3828278849940921E-2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3.9385584875935411E-3</v>
      </c>
      <c r="BZ253">
        <v>0</v>
      </c>
      <c r="CA253">
        <v>0.38597873178416692</v>
      </c>
      <c r="CB253">
        <v>0</v>
      </c>
    </row>
    <row r="254" spans="1:80">
      <c r="A254">
        <v>253</v>
      </c>
      <c r="B254" t="s">
        <v>71</v>
      </c>
      <c r="C254" s="4" t="s">
        <v>168</v>
      </c>
      <c r="D254" s="4" t="s">
        <v>117</v>
      </c>
      <c r="E254" s="5">
        <v>39892</v>
      </c>
      <c r="F254" s="5">
        <v>39892</v>
      </c>
      <c r="G254">
        <v>903</v>
      </c>
      <c r="H254" s="4" t="s">
        <v>110</v>
      </c>
      <c r="I254" s="4" t="s">
        <v>108</v>
      </c>
      <c r="J254" s="4" t="str">
        <f t="shared" si="3"/>
        <v>u_rem.c_con</v>
      </c>
      <c r="K254" s="5">
        <v>8</v>
      </c>
      <c r="L254">
        <v>1.1009174311926604E-2</v>
      </c>
      <c r="M254">
        <v>0.33761467889908259</v>
      </c>
      <c r="N254">
        <v>0.27522935779816515</v>
      </c>
      <c r="O254">
        <v>0</v>
      </c>
      <c r="P254">
        <v>0</v>
      </c>
      <c r="Q254">
        <v>2.5871559633027522E-2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3.669724770642202E-3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7.7064220183486248E-3</v>
      </c>
      <c r="AF254">
        <v>0</v>
      </c>
      <c r="AG254">
        <v>0</v>
      </c>
      <c r="AH254">
        <v>0</v>
      </c>
      <c r="AI254">
        <v>1.5229357798165139E-2</v>
      </c>
      <c r="AJ254">
        <v>0</v>
      </c>
      <c r="AK254">
        <v>0</v>
      </c>
      <c r="AL254">
        <v>3.669724770642202E-3</v>
      </c>
      <c r="AM254">
        <v>0</v>
      </c>
      <c r="AN254">
        <v>0</v>
      </c>
      <c r="AO254">
        <v>0</v>
      </c>
      <c r="AP254">
        <v>0</v>
      </c>
      <c r="AQ254">
        <v>2.2568807339449545E-2</v>
      </c>
      <c r="AR254">
        <v>0</v>
      </c>
      <c r="AS254">
        <v>7.3394495412844041E-3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0.15045871559633026</v>
      </c>
      <c r="BB254">
        <v>0</v>
      </c>
      <c r="BC254">
        <v>0</v>
      </c>
      <c r="BD254">
        <v>0</v>
      </c>
      <c r="BE254">
        <v>3.8532110091743124E-3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0.1357798165137615</v>
      </c>
      <c r="CB254">
        <v>0</v>
      </c>
    </row>
    <row r="255" spans="1:80" s="1" customFormat="1">
      <c r="A255">
        <v>254</v>
      </c>
      <c r="B255" s="1" t="s">
        <v>70</v>
      </c>
      <c r="C255" s="4" t="s">
        <v>168</v>
      </c>
      <c r="D255" s="4" t="s">
        <v>117</v>
      </c>
      <c r="E255" s="5">
        <v>39892</v>
      </c>
      <c r="F255" s="5">
        <v>39892</v>
      </c>
      <c r="G255" s="1">
        <v>903</v>
      </c>
      <c r="H255" s="4" t="s">
        <v>110</v>
      </c>
      <c r="I255" s="4" t="s">
        <v>109</v>
      </c>
      <c r="J255" s="4" t="str">
        <f t="shared" si="3"/>
        <v>u_rem.c_rem</v>
      </c>
      <c r="K255" s="5">
        <v>1</v>
      </c>
      <c r="L255" s="1">
        <v>2.5227043390514636E-2</v>
      </c>
      <c r="M255" s="1">
        <v>0.10090817356205857</v>
      </c>
      <c r="N255" s="1">
        <v>0.73662966700302734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0.12689202825428864</v>
      </c>
      <c r="BB255" s="1">
        <v>0</v>
      </c>
      <c r="BC255" s="1">
        <v>0</v>
      </c>
      <c r="BD255" s="1">
        <v>0</v>
      </c>
      <c r="BE255" s="1">
        <v>1.0343087790111002E-2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</row>
    <row r="256" spans="1:80">
      <c r="A256">
        <v>255</v>
      </c>
      <c r="B256" t="s">
        <v>72</v>
      </c>
      <c r="C256" s="4" t="s">
        <v>168</v>
      </c>
      <c r="D256" s="4" t="s">
        <v>117</v>
      </c>
      <c r="E256" s="5">
        <v>39892</v>
      </c>
      <c r="F256" s="5">
        <v>39892</v>
      </c>
      <c r="G256">
        <v>903</v>
      </c>
      <c r="H256" s="4" t="s">
        <v>110</v>
      </c>
      <c r="I256" s="4" t="s">
        <v>108</v>
      </c>
      <c r="J256" s="4" t="str">
        <f t="shared" si="3"/>
        <v>u_rem.c_con</v>
      </c>
      <c r="K256" s="5">
        <v>8</v>
      </c>
      <c r="L256">
        <v>4.0966816878328562E-3</v>
      </c>
      <c r="M256">
        <v>0.22552232691519863</v>
      </c>
      <c r="N256">
        <v>0.32773453502662847</v>
      </c>
      <c r="O256">
        <v>0</v>
      </c>
      <c r="P256">
        <v>0</v>
      </c>
      <c r="Q256">
        <v>4.5063498566161415E-3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3.7484637443670629E-2</v>
      </c>
      <c r="AF256">
        <v>0</v>
      </c>
      <c r="AG256">
        <v>0</v>
      </c>
      <c r="AH256">
        <v>0</v>
      </c>
      <c r="AI256">
        <v>4.3015157722244993E-3</v>
      </c>
      <c r="AJ256">
        <v>0</v>
      </c>
      <c r="AK256">
        <v>0</v>
      </c>
      <c r="AL256">
        <v>0</v>
      </c>
      <c r="AM256">
        <v>0</v>
      </c>
      <c r="AN256">
        <v>2.1712412945514136E-2</v>
      </c>
      <c r="AO256">
        <v>0</v>
      </c>
      <c r="AP256">
        <v>0</v>
      </c>
      <c r="AQ256">
        <v>2.048340843916428E-4</v>
      </c>
      <c r="AR256">
        <v>0</v>
      </c>
      <c r="AS256">
        <v>4.096681687832856E-4</v>
      </c>
      <c r="AT256">
        <v>0</v>
      </c>
      <c r="AU256">
        <v>0</v>
      </c>
      <c r="AV256">
        <v>0</v>
      </c>
      <c r="AW256">
        <v>0</v>
      </c>
      <c r="AX256">
        <v>8.1933633756657125E-3</v>
      </c>
      <c r="AY256">
        <v>0</v>
      </c>
      <c r="AZ256">
        <v>0</v>
      </c>
      <c r="BA256">
        <v>0.15178205653420732</v>
      </c>
      <c r="BB256">
        <v>0</v>
      </c>
      <c r="BC256">
        <v>0</v>
      </c>
      <c r="BD256">
        <v>0</v>
      </c>
      <c r="BE256">
        <v>1.2904547316673499E-2</v>
      </c>
      <c r="BF256">
        <v>4.0966816878328562E-3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4.0966816878328562E-3</v>
      </c>
      <c r="BP256">
        <v>0</v>
      </c>
      <c r="BQ256">
        <v>4.3015157722244993E-3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0.18865219172470296</v>
      </c>
      <c r="CB256">
        <v>0</v>
      </c>
    </row>
    <row r="257" spans="1:80">
      <c r="A257">
        <v>256</v>
      </c>
      <c r="B257" s="1" t="s">
        <v>73</v>
      </c>
      <c r="C257" s="4" t="s">
        <v>168</v>
      </c>
      <c r="D257" s="4" t="s">
        <v>117</v>
      </c>
      <c r="E257" s="5">
        <v>39892</v>
      </c>
      <c r="F257" s="5">
        <v>39892</v>
      </c>
      <c r="G257" s="1">
        <v>903</v>
      </c>
      <c r="H257" s="4" t="s">
        <v>110</v>
      </c>
      <c r="I257" s="4" t="s">
        <v>109</v>
      </c>
      <c r="J257" s="4" t="str">
        <f t="shared" si="3"/>
        <v>u_rem.c_rem</v>
      </c>
      <c r="K257" s="5">
        <v>1</v>
      </c>
      <c r="L257" s="1">
        <v>3.6639623135304888E-2</v>
      </c>
      <c r="M257" s="1">
        <v>0.32975660821774405</v>
      </c>
      <c r="N257" s="1">
        <v>0.27741428945302254</v>
      </c>
      <c r="O257" s="1">
        <v>2.6171159382360639E-2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3.1405391258832765E-2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5.2342318764721282E-3</v>
      </c>
      <c r="AF257" s="1">
        <v>0</v>
      </c>
      <c r="AG257" s="1">
        <v>0</v>
      </c>
      <c r="AH257" s="1">
        <v>0</v>
      </c>
      <c r="AI257" s="1">
        <v>1.0468463752944256E-2</v>
      </c>
      <c r="AJ257" s="1">
        <v>0</v>
      </c>
      <c r="AK257" s="1">
        <v>0</v>
      </c>
      <c r="AL257" s="1">
        <v>0</v>
      </c>
      <c r="AM257" s="1">
        <v>0</v>
      </c>
      <c r="AN257" s="1">
        <v>2.6171159382360636E-4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0.23030620256477358</v>
      </c>
      <c r="BB257" s="1">
        <v>0</v>
      </c>
      <c r="BC257" s="1">
        <v>0</v>
      </c>
      <c r="BD257" s="1">
        <v>0</v>
      </c>
      <c r="BE257" s="1">
        <v>0</v>
      </c>
      <c r="BF257" s="1">
        <v>5.2342318764721282E-3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4.7108086888249141E-2</v>
      </c>
      <c r="CB257" s="1">
        <v>0</v>
      </c>
    </row>
    <row r="258" spans="1:80">
      <c r="A258">
        <v>257</v>
      </c>
      <c r="B258" t="s">
        <v>74</v>
      </c>
      <c r="C258" s="4" t="s">
        <v>169</v>
      </c>
      <c r="D258" s="4" t="s">
        <v>117</v>
      </c>
      <c r="E258" s="5">
        <v>39892</v>
      </c>
      <c r="F258" s="5">
        <v>39892</v>
      </c>
      <c r="G258">
        <v>903</v>
      </c>
      <c r="H258" s="4" t="s">
        <v>110</v>
      </c>
      <c r="I258" s="4" t="s">
        <v>108</v>
      </c>
      <c r="J258" s="4" t="str">
        <f t="shared" ref="J258:J321" si="4">CONCATENATE(H258,".",I258)</f>
        <v>u_rem.c_con</v>
      </c>
      <c r="K258" s="5">
        <v>8</v>
      </c>
      <c r="L258">
        <v>4.4755789064020238E-3</v>
      </c>
      <c r="M258">
        <v>0.23370305506907957</v>
      </c>
      <c r="N258">
        <v>0.28021015761821361</v>
      </c>
      <c r="O258">
        <v>0</v>
      </c>
      <c r="P258">
        <v>0</v>
      </c>
      <c r="Q258">
        <v>1.9848219497956801E-2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1.5567230978789648E-2</v>
      </c>
      <c r="AA258">
        <v>0</v>
      </c>
      <c r="AB258">
        <v>0</v>
      </c>
      <c r="AC258">
        <v>1.945903872348706E-4</v>
      </c>
      <c r="AD258">
        <v>0</v>
      </c>
      <c r="AE258">
        <v>1.945903872348706E-4</v>
      </c>
      <c r="AF258">
        <v>0</v>
      </c>
      <c r="AG258">
        <v>0</v>
      </c>
      <c r="AH258">
        <v>0</v>
      </c>
      <c r="AI258">
        <v>0.18291496400077834</v>
      </c>
      <c r="AJ258">
        <v>1.5567230978789648E-2</v>
      </c>
      <c r="AK258">
        <v>0</v>
      </c>
      <c r="AL258">
        <v>0</v>
      </c>
      <c r="AM258">
        <v>0</v>
      </c>
      <c r="AN258">
        <v>2.0237400272426542E-2</v>
      </c>
      <c r="AO258">
        <v>0</v>
      </c>
      <c r="AP258">
        <v>0</v>
      </c>
      <c r="AQ258">
        <v>0</v>
      </c>
      <c r="AR258">
        <v>0</v>
      </c>
      <c r="AS258">
        <v>4.0863981319322826E-3</v>
      </c>
      <c r="AT258">
        <v>1.945903872348706E-4</v>
      </c>
      <c r="AU258">
        <v>0</v>
      </c>
      <c r="AV258">
        <v>0</v>
      </c>
      <c r="AW258">
        <v>0</v>
      </c>
      <c r="AX258">
        <v>3.891807744697412E-3</v>
      </c>
      <c r="AY258">
        <v>0</v>
      </c>
      <c r="AZ258">
        <v>0</v>
      </c>
      <c r="BA258">
        <v>8.3673866510994357E-3</v>
      </c>
      <c r="BB258">
        <v>0</v>
      </c>
      <c r="BC258">
        <v>0</v>
      </c>
      <c r="BD258">
        <v>0</v>
      </c>
      <c r="BE258">
        <v>3.891807744697412E-3</v>
      </c>
      <c r="BF258">
        <v>1.945903872348706E-4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3.891807744697412E-3</v>
      </c>
      <c r="BY258">
        <v>0</v>
      </c>
      <c r="BZ258">
        <v>0</v>
      </c>
      <c r="CA258">
        <v>0.20237400272426542</v>
      </c>
      <c r="CB258">
        <v>1.945903872348706E-4</v>
      </c>
    </row>
    <row r="259" spans="1:80">
      <c r="A259">
        <v>258</v>
      </c>
      <c r="B259" t="s">
        <v>75</v>
      </c>
      <c r="C259" s="4" t="s">
        <v>169</v>
      </c>
      <c r="D259" s="4" t="s">
        <v>117</v>
      </c>
      <c r="E259" s="5">
        <v>39892</v>
      </c>
      <c r="F259" s="5">
        <v>39892</v>
      </c>
      <c r="G259">
        <v>903</v>
      </c>
      <c r="H259" s="4" t="s">
        <v>110</v>
      </c>
      <c r="I259" s="4" t="s">
        <v>108</v>
      </c>
      <c r="J259" s="4" t="str">
        <f t="shared" si="4"/>
        <v>u_rem.c_con</v>
      </c>
      <c r="K259" s="5">
        <v>8</v>
      </c>
      <c r="L259">
        <v>0</v>
      </c>
      <c r="M259">
        <v>0.2463054187192118</v>
      </c>
      <c r="N259">
        <v>0.19000703729767765</v>
      </c>
      <c r="O259">
        <v>0</v>
      </c>
      <c r="P259">
        <v>0</v>
      </c>
      <c r="Q259">
        <v>3.2195636875439831E-2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3.1667839549612949E-2</v>
      </c>
      <c r="AF259">
        <v>0</v>
      </c>
      <c r="AG259">
        <v>0</v>
      </c>
      <c r="AH259">
        <v>0</v>
      </c>
      <c r="AI259">
        <v>2.5334271639690358E-2</v>
      </c>
      <c r="AJ259">
        <v>0</v>
      </c>
      <c r="AK259">
        <v>0</v>
      </c>
      <c r="AL259">
        <v>0</v>
      </c>
      <c r="AM259">
        <v>0</v>
      </c>
      <c r="AN259">
        <v>1.9176636171710067E-2</v>
      </c>
      <c r="AO259">
        <v>0</v>
      </c>
      <c r="AP259">
        <v>0</v>
      </c>
      <c r="AQ259">
        <v>0</v>
      </c>
      <c r="AR259">
        <v>0</v>
      </c>
      <c r="AS259">
        <v>3.5186488388458835E-3</v>
      </c>
      <c r="AT259">
        <v>7.0372976776917674E-4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0.22519352568613649</v>
      </c>
      <c r="BB259">
        <v>0</v>
      </c>
      <c r="BC259">
        <v>0</v>
      </c>
      <c r="BD259">
        <v>0</v>
      </c>
      <c r="BE259">
        <v>1.1083743842364534E-2</v>
      </c>
      <c r="BF259">
        <v>3.5186488388458835E-3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7.0372976776917669E-3</v>
      </c>
      <c r="BP259">
        <v>0</v>
      </c>
      <c r="BQ259">
        <v>0</v>
      </c>
      <c r="BR259">
        <v>1.7593244194229418E-4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0.20408163265306123</v>
      </c>
      <c r="CB259">
        <v>0</v>
      </c>
    </row>
    <row r="260" spans="1:80">
      <c r="A260">
        <v>259</v>
      </c>
      <c r="B260" s="1" t="s">
        <v>76</v>
      </c>
      <c r="C260" s="4" t="s">
        <v>169</v>
      </c>
      <c r="D260" s="4" t="s">
        <v>117</v>
      </c>
      <c r="E260" s="5">
        <v>39892</v>
      </c>
      <c r="F260" s="5">
        <v>39892</v>
      </c>
      <c r="G260" s="1">
        <v>903</v>
      </c>
      <c r="H260" s="4" t="s">
        <v>110</v>
      </c>
      <c r="I260" s="4" t="s">
        <v>109</v>
      </c>
      <c r="J260" s="4" t="str">
        <f t="shared" si="4"/>
        <v>u_rem.c_rem</v>
      </c>
      <c r="K260" s="5">
        <v>1</v>
      </c>
      <c r="L260" s="1">
        <v>0.151219512195122</v>
      </c>
      <c r="M260" s="1">
        <v>0.64390243902439037</v>
      </c>
      <c r="N260" s="1">
        <v>9.2682926829268319E-2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0.11219512195121953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</row>
    <row r="261" spans="1:80">
      <c r="A261">
        <v>260</v>
      </c>
      <c r="B261" s="1" t="s">
        <v>77</v>
      </c>
      <c r="C261" s="4" t="s">
        <v>169</v>
      </c>
      <c r="D261" s="4" t="s">
        <v>117</v>
      </c>
      <c r="E261" s="5">
        <v>39892</v>
      </c>
      <c r="F261" s="5">
        <v>39892</v>
      </c>
      <c r="G261" s="1">
        <v>903</v>
      </c>
      <c r="H261" s="4" t="s">
        <v>110</v>
      </c>
      <c r="I261" s="4" t="s">
        <v>109</v>
      </c>
      <c r="J261" s="4" t="str">
        <f t="shared" si="4"/>
        <v>u_rem.c_rem</v>
      </c>
      <c r="K261" s="5">
        <v>1</v>
      </c>
      <c r="L261" s="1">
        <v>3.3860045146726858E-2</v>
      </c>
      <c r="M261" s="1">
        <v>0.26523702031602703</v>
      </c>
      <c r="N261" s="1">
        <v>0.15237020316027086</v>
      </c>
      <c r="O261" s="1">
        <v>4.5146726862302471E-2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3.3860045146726865E-2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5.079006772009028E-2</v>
      </c>
      <c r="AI261" s="1">
        <v>0</v>
      </c>
      <c r="AJ261" s="1">
        <v>0</v>
      </c>
      <c r="AK261" s="1">
        <v>0</v>
      </c>
      <c r="AL261" s="1">
        <v>1.6930022573363433E-2</v>
      </c>
      <c r="AM261" s="1">
        <v>0</v>
      </c>
      <c r="AN261" s="1">
        <v>1.2133182844243792E-2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2.821670428893905E-4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0.28216704288939037</v>
      </c>
      <c r="BB261" s="1">
        <v>0</v>
      </c>
      <c r="BC261" s="1">
        <v>0</v>
      </c>
      <c r="BD261" s="1">
        <v>0</v>
      </c>
      <c r="BE261" s="1">
        <v>1.6930022573363433E-2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9.0293453724604969E-2</v>
      </c>
      <c r="CB261" s="1">
        <v>0</v>
      </c>
    </row>
    <row r="262" spans="1:80">
      <c r="A262">
        <v>261</v>
      </c>
      <c r="B262" t="s">
        <v>78</v>
      </c>
      <c r="C262" s="4" t="s">
        <v>170</v>
      </c>
      <c r="D262" s="4" t="s">
        <v>117</v>
      </c>
      <c r="E262" s="5">
        <v>39892</v>
      </c>
      <c r="F262" s="5">
        <v>39892</v>
      </c>
      <c r="G262">
        <v>903</v>
      </c>
      <c r="H262" s="4" t="s">
        <v>107</v>
      </c>
      <c r="I262" s="4" t="s">
        <v>109</v>
      </c>
      <c r="J262" s="4" t="str">
        <f t="shared" si="4"/>
        <v>u_con.c_rem</v>
      </c>
      <c r="K262" s="5">
        <v>2</v>
      </c>
      <c r="L262">
        <v>0</v>
      </c>
      <c r="M262">
        <v>0.19947079177691832</v>
      </c>
      <c r="N262">
        <v>0.15509871768776712</v>
      </c>
      <c r="O262">
        <v>0</v>
      </c>
      <c r="P262">
        <v>0</v>
      </c>
      <c r="Q262">
        <v>4.4779157337675544E-3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4.1115408100956638E-2</v>
      </c>
      <c r="AJ262">
        <v>0.10584164461632402</v>
      </c>
      <c r="AK262">
        <v>0</v>
      </c>
      <c r="AL262">
        <v>0</v>
      </c>
      <c r="AM262">
        <v>0</v>
      </c>
      <c r="AN262">
        <v>8.9558314675351105E-3</v>
      </c>
      <c r="AO262">
        <v>0</v>
      </c>
      <c r="AP262">
        <v>0</v>
      </c>
      <c r="AQ262">
        <v>0</v>
      </c>
      <c r="AR262">
        <v>0</v>
      </c>
      <c r="AS262">
        <v>2.0354162426216158E-2</v>
      </c>
      <c r="AT262">
        <v>2.0354162426216158E-4</v>
      </c>
      <c r="AU262">
        <v>0</v>
      </c>
      <c r="AV262">
        <v>0</v>
      </c>
      <c r="AW262">
        <v>0</v>
      </c>
      <c r="AX262">
        <v>8.3452065947486245E-3</v>
      </c>
      <c r="AY262">
        <v>0</v>
      </c>
      <c r="AZ262">
        <v>2.0354162426216158E-4</v>
      </c>
      <c r="BA262">
        <v>0</v>
      </c>
      <c r="BB262">
        <v>0</v>
      </c>
      <c r="BC262">
        <v>0</v>
      </c>
      <c r="BD262">
        <v>0</v>
      </c>
      <c r="BE262">
        <v>8.1416649704864636E-3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4.0708324852432318E-3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0.44372074089151214</v>
      </c>
      <c r="CB262">
        <v>0</v>
      </c>
    </row>
    <row r="263" spans="1:80">
      <c r="A263">
        <v>262</v>
      </c>
      <c r="B263" t="s">
        <v>79</v>
      </c>
      <c r="C263" s="4" t="s">
        <v>170</v>
      </c>
      <c r="D263" s="4" t="s">
        <v>117</v>
      </c>
      <c r="E263" s="5">
        <v>39892</v>
      </c>
      <c r="F263" s="5">
        <v>39892</v>
      </c>
      <c r="G263">
        <v>903</v>
      </c>
      <c r="H263" s="4" t="s">
        <v>107</v>
      </c>
      <c r="I263" s="4" t="s">
        <v>108</v>
      </c>
      <c r="J263" s="4" t="str">
        <f t="shared" si="4"/>
        <v>u_con.c_con</v>
      </c>
      <c r="K263" s="5">
        <v>19</v>
      </c>
      <c r="L263">
        <v>2.3842917251051893E-2</v>
      </c>
      <c r="M263">
        <v>0.1093969144460028</v>
      </c>
      <c r="N263">
        <v>0.17765310892940628</v>
      </c>
      <c r="O263">
        <v>0</v>
      </c>
      <c r="P263">
        <v>0</v>
      </c>
      <c r="Q263">
        <v>9.8176718092566635E-3</v>
      </c>
      <c r="R263">
        <v>1.8700327255726977E-2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2.3842917251051893E-2</v>
      </c>
      <c r="AF263">
        <v>0</v>
      </c>
      <c r="AG263">
        <v>0</v>
      </c>
      <c r="AH263">
        <v>5.3763440860215058E-3</v>
      </c>
      <c r="AI263">
        <v>0.13604488078541377</v>
      </c>
      <c r="AJ263">
        <v>0.2244039270687237</v>
      </c>
      <c r="AK263">
        <v>0</v>
      </c>
      <c r="AL263">
        <v>0</v>
      </c>
      <c r="AM263">
        <v>0</v>
      </c>
      <c r="AN263">
        <v>5.8438522674146799E-3</v>
      </c>
      <c r="AO263">
        <v>0</v>
      </c>
      <c r="AP263">
        <v>0</v>
      </c>
      <c r="AQ263">
        <v>0</v>
      </c>
      <c r="AR263">
        <v>0</v>
      </c>
      <c r="AS263">
        <v>2.8985507246376812E-2</v>
      </c>
      <c r="AT263">
        <v>5.6100981767180933E-3</v>
      </c>
      <c r="AU263">
        <v>0</v>
      </c>
      <c r="AV263">
        <v>0</v>
      </c>
      <c r="AW263">
        <v>4.6750818139317443E-3</v>
      </c>
      <c r="AX263">
        <v>4.675081813931744E-4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1.4960261804581583E-2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0.21037868162692847</v>
      </c>
      <c r="CB263">
        <v>0</v>
      </c>
    </row>
    <row r="264" spans="1:80">
      <c r="A264">
        <v>263</v>
      </c>
      <c r="B264" t="s">
        <v>80</v>
      </c>
      <c r="C264" s="4" t="s">
        <v>170</v>
      </c>
      <c r="D264" s="4" t="s">
        <v>117</v>
      </c>
      <c r="E264" s="5">
        <v>39892</v>
      </c>
      <c r="F264" s="5">
        <v>39892</v>
      </c>
      <c r="G264">
        <v>903</v>
      </c>
      <c r="H264" s="4" t="s">
        <v>107</v>
      </c>
      <c r="I264" s="4" t="s">
        <v>109</v>
      </c>
      <c r="J264" s="4" t="str">
        <f t="shared" si="4"/>
        <v>u_con.c_rem</v>
      </c>
      <c r="K264" s="5">
        <v>2</v>
      </c>
      <c r="L264">
        <v>8.66926744690074E-3</v>
      </c>
      <c r="M264">
        <v>0.14390983961855225</v>
      </c>
      <c r="N264">
        <v>0.32943216298222805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4.33463372345037E-3</v>
      </c>
      <c r="AI264">
        <v>7.3905504984828826E-2</v>
      </c>
      <c r="AJ264">
        <v>0.21673168617251848</v>
      </c>
      <c r="AK264">
        <v>0</v>
      </c>
      <c r="AL264">
        <v>0</v>
      </c>
      <c r="AM264">
        <v>0</v>
      </c>
      <c r="AN264">
        <v>4.33463372345037E-4</v>
      </c>
      <c r="AO264">
        <v>0</v>
      </c>
      <c r="AP264">
        <v>0</v>
      </c>
      <c r="AQ264">
        <v>0</v>
      </c>
      <c r="AR264">
        <v>0</v>
      </c>
      <c r="AS264">
        <v>8.66926744690074E-4</v>
      </c>
      <c r="AT264">
        <v>1.3220632856523629E-2</v>
      </c>
      <c r="AU264">
        <v>0</v>
      </c>
      <c r="AV264">
        <v>0</v>
      </c>
      <c r="AW264">
        <v>2.167316861725185E-4</v>
      </c>
      <c r="AX264">
        <v>2.167316861725185E-4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0.20806241872561773</v>
      </c>
      <c r="CB264">
        <v>0</v>
      </c>
    </row>
    <row r="265" spans="1:80">
      <c r="A265">
        <v>264</v>
      </c>
      <c r="B265" t="s">
        <v>81</v>
      </c>
      <c r="C265" s="4" t="s">
        <v>170</v>
      </c>
      <c r="D265" s="4" t="s">
        <v>117</v>
      </c>
      <c r="E265" s="5">
        <v>39892</v>
      </c>
      <c r="F265" s="5">
        <v>39892</v>
      </c>
      <c r="G265">
        <v>903</v>
      </c>
      <c r="H265" s="4" t="s">
        <v>107</v>
      </c>
      <c r="I265" s="4" t="s">
        <v>108</v>
      </c>
      <c r="J265" s="4" t="str">
        <f t="shared" si="4"/>
        <v>u_con.c_con</v>
      </c>
      <c r="K265" s="5">
        <v>19</v>
      </c>
      <c r="L265">
        <v>5.7043326801654692E-2</v>
      </c>
      <c r="M265">
        <v>4.8552144567820595E-2</v>
      </c>
      <c r="N265">
        <v>0.19159590681471805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2.1989984759416503E-2</v>
      </c>
      <c r="AF265">
        <v>0</v>
      </c>
      <c r="AG265">
        <v>0</v>
      </c>
      <c r="AH265">
        <v>0</v>
      </c>
      <c r="AI265">
        <v>9.1443500979751804E-2</v>
      </c>
      <c r="AJ265">
        <v>0.26148486827781403</v>
      </c>
      <c r="AK265">
        <v>0</v>
      </c>
      <c r="AL265">
        <v>0</v>
      </c>
      <c r="AM265">
        <v>0</v>
      </c>
      <c r="AN265">
        <v>4.7898976703679517E-3</v>
      </c>
      <c r="AO265">
        <v>0</v>
      </c>
      <c r="AP265">
        <v>0</v>
      </c>
      <c r="AQ265">
        <v>0</v>
      </c>
      <c r="AR265">
        <v>0</v>
      </c>
      <c r="AS265">
        <v>2.1989984759416503E-2</v>
      </c>
      <c r="AT265">
        <v>4.3544524276072284E-4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2.1772262138036142E-4</v>
      </c>
      <c r="BO265">
        <v>0</v>
      </c>
      <c r="BP265">
        <v>0</v>
      </c>
      <c r="BQ265">
        <v>4.3544524276072282E-3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0.2961027650772915</v>
      </c>
      <c r="CB265">
        <v>0</v>
      </c>
    </row>
    <row r="266" spans="1:80">
      <c r="A266">
        <v>265</v>
      </c>
      <c r="B266" t="s">
        <v>82</v>
      </c>
      <c r="C266" s="4" t="s">
        <v>171</v>
      </c>
      <c r="D266" s="4" t="s">
        <v>118</v>
      </c>
      <c r="E266" s="5">
        <v>39892</v>
      </c>
      <c r="F266" s="5">
        <v>39892</v>
      </c>
      <c r="G266">
        <v>903</v>
      </c>
      <c r="H266" s="4" t="s">
        <v>110</v>
      </c>
      <c r="I266" s="4" t="s">
        <v>109</v>
      </c>
      <c r="J266" s="4" t="str">
        <f t="shared" si="4"/>
        <v>u_rem.c_rem</v>
      </c>
      <c r="K266" s="5">
        <v>1</v>
      </c>
      <c r="L266" s="1">
        <v>0</v>
      </c>
      <c r="M266" s="1">
        <v>0.13811420982735728</v>
      </c>
      <c r="N266" s="1">
        <v>5.8432934926958828E-2</v>
      </c>
      <c r="O266" s="1">
        <v>2.1248339973439577E-2</v>
      </c>
      <c r="P266" s="1">
        <v>0</v>
      </c>
      <c r="Q266" s="1">
        <v>2.1248339973439577E-2</v>
      </c>
      <c r="R266" s="1">
        <v>0</v>
      </c>
      <c r="S266" s="1">
        <v>0</v>
      </c>
      <c r="T266" s="1">
        <v>5.3120849933598942E-3</v>
      </c>
      <c r="U266" s="1">
        <v>1.0624169986719788E-2</v>
      </c>
      <c r="V266" s="1">
        <v>0</v>
      </c>
      <c r="W266" s="1">
        <v>0</v>
      </c>
      <c r="X266" s="1">
        <v>0</v>
      </c>
      <c r="Y266" s="1">
        <v>7.9681274900398405E-2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5.3120849933598942E-3</v>
      </c>
      <c r="AF266" s="1">
        <v>0</v>
      </c>
      <c r="AG266" s="1">
        <v>0</v>
      </c>
      <c r="AH266" s="1">
        <v>5.3120849933598942E-3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3.2934926958831344E-2</v>
      </c>
      <c r="AO266" s="1">
        <v>0</v>
      </c>
      <c r="AP266" s="1">
        <v>0</v>
      </c>
      <c r="AQ266" s="1">
        <v>1.0624169986719788E-2</v>
      </c>
      <c r="AR266" s="1">
        <v>0</v>
      </c>
      <c r="AS266" s="1">
        <v>2.1248339973439577E-2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0.1752988047808765</v>
      </c>
      <c r="BB266" s="1">
        <v>0.18592297476759628</v>
      </c>
      <c r="BC266" s="1">
        <v>0</v>
      </c>
      <c r="BD266" s="1">
        <v>0</v>
      </c>
      <c r="BE266" s="1">
        <v>0.18087649402390441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5.3120849933598942E-3</v>
      </c>
      <c r="BO266" s="1">
        <v>5.3120849933598942E-3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3.7184594953519258E-2</v>
      </c>
      <c r="CB266" s="1">
        <v>0</v>
      </c>
    </row>
    <row r="267" spans="1:80">
      <c r="A267">
        <v>266</v>
      </c>
      <c r="B267" t="s">
        <v>83</v>
      </c>
      <c r="C267" s="4" t="s">
        <v>171</v>
      </c>
      <c r="D267" s="4" t="s">
        <v>118</v>
      </c>
      <c r="E267" s="5">
        <v>39892</v>
      </c>
      <c r="F267" s="5">
        <v>39892</v>
      </c>
      <c r="G267">
        <v>903</v>
      </c>
      <c r="H267" s="4" t="s">
        <v>110</v>
      </c>
      <c r="I267" s="4" t="s">
        <v>108</v>
      </c>
      <c r="J267" s="4" t="str">
        <f t="shared" si="4"/>
        <v>u_rem.c_con</v>
      </c>
      <c r="K267" s="5">
        <v>8</v>
      </c>
      <c r="L267">
        <v>8.9305162274014409E-3</v>
      </c>
      <c r="M267">
        <v>0.23110433456763232</v>
      </c>
      <c r="N267">
        <v>6.9919407536484457E-2</v>
      </c>
      <c r="O267">
        <v>0</v>
      </c>
      <c r="P267">
        <v>0</v>
      </c>
      <c r="Q267">
        <v>9.1483336963624512E-2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4.3563493792202149E-3</v>
      </c>
      <c r="Y267">
        <v>1.742539751688086E-2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2.2217381834023095E-2</v>
      </c>
      <c r="AF267">
        <v>0</v>
      </c>
      <c r="AG267">
        <v>0</v>
      </c>
      <c r="AH267">
        <v>2.1781746896101074E-4</v>
      </c>
      <c r="AI267">
        <v>4.3563493792202149E-3</v>
      </c>
      <c r="AJ267">
        <v>0</v>
      </c>
      <c r="AK267">
        <v>0</v>
      </c>
      <c r="AL267">
        <v>0</v>
      </c>
      <c r="AM267">
        <v>0</v>
      </c>
      <c r="AN267">
        <v>1.3286865606621656E-2</v>
      </c>
      <c r="AO267">
        <v>0</v>
      </c>
      <c r="AP267">
        <v>0</v>
      </c>
      <c r="AQ267">
        <v>2.6138096275321286E-2</v>
      </c>
      <c r="AR267">
        <v>4.3563493792202149E-3</v>
      </c>
      <c r="AS267">
        <v>4.3563493792202149E-3</v>
      </c>
      <c r="AT267">
        <v>0</v>
      </c>
      <c r="AU267">
        <v>0</v>
      </c>
      <c r="AV267">
        <v>0</v>
      </c>
      <c r="AW267">
        <v>0</v>
      </c>
      <c r="AX267">
        <v>4.3563493792202149E-3</v>
      </c>
      <c r="AY267">
        <v>0</v>
      </c>
      <c r="AZ267">
        <v>0</v>
      </c>
      <c r="BA267">
        <v>7.8849923763885915E-2</v>
      </c>
      <c r="BB267">
        <v>0.30494445654541497</v>
      </c>
      <c r="BC267">
        <v>0</v>
      </c>
      <c r="BD267">
        <v>0</v>
      </c>
      <c r="BE267">
        <v>5.2711827488564594E-2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6.0988891309083006E-2</v>
      </c>
      <c r="CB267">
        <v>0</v>
      </c>
    </row>
    <row r="268" spans="1:80">
      <c r="A268">
        <v>267</v>
      </c>
      <c r="B268" t="s">
        <v>84</v>
      </c>
      <c r="C268" s="4" t="s">
        <v>171</v>
      </c>
      <c r="D268" s="4" t="s">
        <v>118</v>
      </c>
      <c r="E268" s="5">
        <v>39892</v>
      </c>
      <c r="F268" s="5">
        <v>39892</v>
      </c>
      <c r="G268">
        <v>903</v>
      </c>
      <c r="H268" s="4" t="s">
        <v>110</v>
      </c>
      <c r="I268" s="4" t="s">
        <v>109</v>
      </c>
      <c r="J268" s="4" t="str">
        <f t="shared" si="4"/>
        <v>u_rem.c_rem</v>
      </c>
      <c r="K268" s="5">
        <v>1</v>
      </c>
      <c r="L268" s="1">
        <v>0</v>
      </c>
      <c r="M268" s="1">
        <v>0.1076320939334638</v>
      </c>
      <c r="N268" s="1">
        <v>5.3816046966731888E-2</v>
      </c>
      <c r="O268" s="1">
        <v>4.4275929549902143E-2</v>
      </c>
      <c r="P268" s="1">
        <v>0</v>
      </c>
      <c r="Q268" s="1">
        <v>4.8923679060665359E-3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0.22015655577299412</v>
      </c>
      <c r="Z268" s="1">
        <v>2.446183953033268E-2</v>
      </c>
      <c r="AA268" s="1">
        <v>0</v>
      </c>
      <c r="AB268" s="1">
        <v>0</v>
      </c>
      <c r="AC268" s="1">
        <v>0</v>
      </c>
      <c r="AD268" s="1">
        <v>0</v>
      </c>
      <c r="AE268" s="1">
        <v>1.467710371819961E-2</v>
      </c>
      <c r="AF268" s="1">
        <v>0</v>
      </c>
      <c r="AG268" s="1">
        <v>0</v>
      </c>
      <c r="AH268" s="1">
        <v>0</v>
      </c>
      <c r="AI268" s="1">
        <v>4.8923679060665359E-3</v>
      </c>
      <c r="AJ268" s="1">
        <v>0</v>
      </c>
      <c r="AK268" s="1">
        <v>0</v>
      </c>
      <c r="AL268" s="1">
        <v>0</v>
      </c>
      <c r="AM268" s="1">
        <v>0</v>
      </c>
      <c r="AN268" s="1">
        <v>1.5410958904109592E-2</v>
      </c>
      <c r="AO268" s="1">
        <v>0</v>
      </c>
      <c r="AP268" s="1">
        <v>0</v>
      </c>
      <c r="AQ268" s="1">
        <v>1.467710371819961E-2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9.7847358121330719E-3</v>
      </c>
      <c r="AY268" s="1">
        <v>0</v>
      </c>
      <c r="AZ268" s="1">
        <v>0</v>
      </c>
      <c r="BA268" s="1">
        <v>0.15190802348336593</v>
      </c>
      <c r="BB268" s="1">
        <v>8.3414872798434445E-2</v>
      </c>
      <c r="BC268" s="1">
        <v>0</v>
      </c>
      <c r="BD268" s="1">
        <v>0</v>
      </c>
      <c r="BE268" s="1">
        <v>0.17661448140900196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7.3385518590998053E-2</v>
      </c>
      <c r="CB268" s="1">
        <v>0</v>
      </c>
    </row>
    <row r="269" spans="1:80">
      <c r="A269">
        <v>268</v>
      </c>
      <c r="B269" t="s">
        <v>85</v>
      </c>
      <c r="C269" s="4" t="s">
        <v>171</v>
      </c>
      <c r="D269" s="4" t="s">
        <v>118</v>
      </c>
      <c r="E269" s="5">
        <v>39892</v>
      </c>
      <c r="F269" s="5">
        <v>39892</v>
      </c>
      <c r="G269">
        <v>903</v>
      </c>
      <c r="H269" s="4" t="s">
        <v>110</v>
      </c>
      <c r="I269" s="4" t="s">
        <v>108</v>
      </c>
      <c r="J269" s="4" t="str">
        <f t="shared" si="4"/>
        <v>u_rem.c_con</v>
      </c>
      <c r="K269" s="5">
        <v>8</v>
      </c>
      <c r="L269">
        <v>2.9594554601953242E-4</v>
      </c>
      <c r="M269">
        <v>0.26664693696359865</v>
      </c>
      <c r="N269">
        <v>0.11275525303344189</v>
      </c>
      <c r="O269">
        <v>0</v>
      </c>
      <c r="P269">
        <v>1.2133767386800829E-2</v>
      </c>
      <c r="Q269">
        <v>9.5294465818289459E-2</v>
      </c>
      <c r="R269">
        <v>0</v>
      </c>
      <c r="S269">
        <v>0</v>
      </c>
      <c r="T269">
        <v>3.0186445693992307E-2</v>
      </c>
      <c r="U269">
        <v>0</v>
      </c>
      <c r="V269">
        <v>0</v>
      </c>
      <c r="W269">
        <v>0</v>
      </c>
      <c r="X269">
        <v>5.9189109203906486E-3</v>
      </c>
      <c r="Y269">
        <v>5.9189109203906486E-3</v>
      </c>
      <c r="Z269">
        <v>0</v>
      </c>
      <c r="AA269">
        <v>0</v>
      </c>
      <c r="AB269">
        <v>0</v>
      </c>
      <c r="AC269">
        <v>0</v>
      </c>
      <c r="AD269">
        <v>5.9189109203906486E-3</v>
      </c>
      <c r="AE269">
        <v>4.7647232909144716E-2</v>
      </c>
      <c r="AF269">
        <v>0</v>
      </c>
      <c r="AG269">
        <v>0</v>
      </c>
      <c r="AH269">
        <v>0</v>
      </c>
      <c r="AI269">
        <v>1.2133767386800829E-2</v>
      </c>
      <c r="AJ269">
        <v>0</v>
      </c>
      <c r="AK269">
        <v>0</v>
      </c>
      <c r="AL269">
        <v>0</v>
      </c>
      <c r="AM269">
        <v>0</v>
      </c>
      <c r="AN269">
        <v>2.9594554601953242E-4</v>
      </c>
      <c r="AO269">
        <v>0</v>
      </c>
      <c r="AP269">
        <v>0</v>
      </c>
      <c r="AQ269">
        <v>1.7756732761171949E-2</v>
      </c>
      <c r="AR269">
        <v>0</v>
      </c>
      <c r="AS269">
        <v>1.7756732761171949E-2</v>
      </c>
      <c r="AT269">
        <v>5.9189109203906486E-3</v>
      </c>
      <c r="AU269">
        <v>0</v>
      </c>
      <c r="AV269">
        <v>0</v>
      </c>
      <c r="AW269">
        <v>0</v>
      </c>
      <c r="AX269">
        <v>1.2133767386800829E-2</v>
      </c>
      <c r="AY269">
        <v>0</v>
      </c>
      <c r="AZ269">
        <v>0</v>
      </c>
      <c r="BA269">
        <v>1.2725658478839896E-2</v>
      </c>
      <c r="BB269">
        <v>0</v>
      </c>
      <c r="BC269">
        <v>0</v>
      </c>
      <c r="BD269">
        <v>0</v>
      </c>
      <c r="BE269">
        <v>3.0778336786031372E-2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1.1837821840781297E-2</v>
      </c>
      <c r="BX269">
        <v>0</v>
      </c>
      <c r="BY269">
        <v>0</v>
      </c>
      <c r="BZ269">
        <v>0</v>
      </c>
      <c r="CA269">
        <v>0.28410772417875108</v>
      </c>
      <c r="CB269">
        <v>1.1837821840781297E-2</v>
      </c>
    </row>
    <row r="270" spans="1:80">
      <c r="A270">
        <v>269</v>
      </c>
      <c r="B270" t="s">
        <v>86</v>
      </c>
      <c r="C270" s="4" t="s">
        <v>172</v>
      </c>
      <c r="D270" s="4" t="s">
        <v>118</v>
      </c>
      <c r="E270" s="5">
        <v>39892</v>
      </c>
      <c r="F270" s="5">
        <v>39892</v>
      </c>
      <c r="G270">
        <v>903</v>
      </c>
      <c r="H270" s="4" t="s">
        <v>107</v>
      </c>
      <c r="I270" s="4" t="s">
        <v>108</v>
      </c>
      <c r="J270" s="4" t="str">
        <f t="shared" si="4"/>
        <v>u_con.c_con</v>
      </c>
      <c r="K270" s="5">
        <v>19</v>
      </c>
      <c r="L270">
        <v>0</v>
      </c>
      <c r="M270">
        <v>4.5409916543937154E-2</v>
      </c>
      <c r="N270">
        <v>4.9337260677466854E-2</v>
      </c>
      <c r="O270">
        <v>0</v>
      </c>
      <c r="P270">
        <v>0</v>
      </c>
      <c r="Q270">
        <v>9.8183603338242512E-3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4.9091801669121256E-3</v>
      </c>
      <c r="Y270">
        <v>0.14261168384879724</v>
      </c>
      <c r="Z270">
        <v>0</v>
      </c>
      <c r="AA270">
        <v>0</v>
      </c>
      <c r="AB270">
        <v>0</v>
      </c>
      <c r="AC270">
        <v>9.8183603338242512E-3</v>
      </c>
      <c r="AD270">
        <v>0</v>
      </c>
      <c r="AE270">
        <v>1.9882179675994108E-2</v>
      </c>
      <c r="AF270">
        <v>0</v>
      </c>
      <c r="AG270">
        <v>0</v>
      </c>
      <c r="AH270">
        <v>2.4545900834560628E-4</v>
      </c>
      <c r="AI270">
        <v>1.0063819342169858E-2</v>
      </c>
      <c r="AJ270">
        <v>0</v>
      </c>
      <c r="AK270">
        <v>0</v>
      </c>
      <c r="AL270">
        <v>0</v>
      </c>
      <c r="AM270">
        <v>0</v>
      </c>
      <c r="AN270">
        <v>6.1364752086401578E-3</v>
      </c>
      <c r="AO270">
        <v>0</v>
      </c>
      <c r="AP270">
        <v>0</v>
      </c>
      <c r="AQ270">
        <v>0</v>
      </c>
      <c r="AR270">
        <v>0</v>
      </c>
      <c r="AS270">
        <v>2.5527736867943053E-2</v>
      </c>
      <c r="AT270">
        <v>2.4545900834560628E-4</v>
      </c>
      <c r="AU270">
        <v>0</v>
      </c>
      <c r="AV270">
        <v>0</v>
      </c>
      <c r="AW270">
        <v>0</v>
      </c>
      <c r="AX270">
        <v>4.9091801669121256E-3</v>
      </c>
      <c r="AY270">
        <v>0</v>
      </c>
      <c r="AZ270">
        <v>0</v>
      </c>
      <c r="BA270">
        <v>7.4374079528718717E-2</v>
      </c>
      <c r="BB270">
        <v>6.9219440353460976E-2</v>
      </c>
      <c r="BC270">
        <v>0</v>
      </c>
      <c r="BD270">
        <v>0</v>
      </c>
      <c r="BE270">
        <v>0.15733922434953362</v>
      </c>
      <c r="BF270">
        <v>5.8910162002945516E-3</v>
      </c>
      <c r="BG270">
        <v>0</v>
      </c>
      <c r="BH270">
        <v>0</v>
      </c>
      <c r="BI270">
        <v>0</v>
      </c>
      <c r="BJ270">
        <v>0</v>
      </c>
      <c r="BK270">
        <v>4.9091801669121256E-3</v>
      </c>
      <c r="BL270">
        <v>0</v>
      </c>
      <c r="BM270">
        <v>0</v>
      </c>
      <c r="BN270">
        <v>1.4972999509081986E-2</v>
      </c>
      <c r="BO270">
        <v>0</v>
      </c>
      <c r="BP270">
        <v>3.019145802650957E-2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0.31418753068237598</v>
      </c>
      <c r="CB270">
        <v>0</v>
      </c>
    </row>
    <row r="271" spans="1:80">
      <c r="A271">
        <v>270</v>
      </c>
      <c r="B271" t="s">
        <v>87</v>
      </c>
      <c r="C271" s="4" t="s">
        <v>172</v>
      </c>
      <c r="D271" s="4" t="s">
        <v>118</v>
      </c>
      <c r="E271" s="5">
        <v>39892</v>
      </c>
      <c r="F271" s="5">
        <v>39892</v>
      </c>
      <c r="G271">
        <v>903</v>
      </c>
      <c r="H271" s="4" t="s">
        <v>107</v>
      </c>
      <c r="I271" s="4" t="s">
        <v>109</v>
      </c>
      <c r="J271" s="4" t="str">
        <f t="shared" si="4"/>
        <v>u_con.c_rem</v>
      </c>
      <c r="K271" s="5">
        <v>2</v>
      </c>
      <c r="L271">
        <v>0</v>
      </c>
      <c r="M271">
        <v>2.1529888551165145E-2</v>
      </c>
      <c r="N271">
        <v>0.15729483282674772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1.0385005065856129E-2</v>
      </c>
      <c r="Y271">
        <v>1.5197568389057749E-2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0.18743667679837889</v>
      </c>
      <c r="AF271">
        <v>0</v>
      </c>
      <c r="AG271">
        <v>0</v>
      </c>
      <c r="AH271">
        <v>0</v>
      </c>
      <c r="AI271">
        <v>2.5329280648429583E-2</v>
      </c>
      <c r="AJ271">
        <v>0</v>
      </c>
      <c r="AK271">
        <v>0</v>
      </c>
      <c r="AL271">
        <v>0</v>
      </c>
      <c r="AM271">
        <v>5.6484295845997977E-2</v>
      </c>
      <c r="AN271">
        <v>1.0385005065856129E-2</v>
      </c>
      <c r="AO271">
        <v>0</v>
      </c>
      <c r="AP271">
        <v>0</v>
      </c>
      <c r="AQ271">
        <v>0</v>
      </c>
      <c r="AR271">
        <v>0</v>
      </c>
      <c r="AS271">
        <v>2.0263424518743668E-2</v>
      </c>
      <c r="AT271">
        <v>5.065856129685917E-3</v>
      </c>
      <c r="AU271">
        <v>0</v>
      </c>
      <c r="AV271">
        <v>2.5329280648429581E-4</v>
      </c>
      <c r="AW271">
        <v>0</v>
      </c>
      <c r="AX271">
        <v>0</v>
      </c>
      <c r="AY271">
        <v>0</v>
      </c>
      <c r="AZ271">
        <v>0</v>
      </c>
      <c r="BA271">
        <v>5.192502532928063E-2</v>
      </c>
      <c r="BB271">
        <v>0.13247213779128669</v>
      </c>
      <c r="BC271">
        <v>0</v>
      </c>
      <c r="BD271">
        <v>0</v>
      </c>
      <c r="BE271">
        <v>6.6869300911854085E-2</v>
      </c>
      <c r="BF271">
        <v>1.5704154002026342E-2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2.0770010131712258E-2</v>
      </c>
      <c r="BO271">
        <v>0</v>
      </c>
      <c r="BP271">
        <v>2.5329280648429583E-2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0.17223910840932116</v>
      </c>
      <c r="CB271">
        <v>5.065856129685917E-3</v>
      </c>
    </row>
    <row r="272" spans="1:80">
      <c r="A272">
        <v>271</v>
      </c>
      <c r="B272" t="s">
        <v>88</v>
      </c>
      <c r="C272" s="4" t="s">
        <v>172</v>
      </c>
      <c r="D272" s="4" t="s">
        <v>118</v>
      </c>
      <c r="E272" s="5">
        <v>39892</v>
      </c>
      <c r="F272" s="5">
        <v>39892</v>
      </c>
      <c r="G272">
        <v>903</v>
      </c>
      <c r="H272" s="4" t="s">
        <v>107</v>
      </c>
      <c r="I272" s="4" t="s">
        <v>109</v>
      </c>
      <c r="J272" s="4" t="str">
        <f t="shared" si="4"/>
        <v>u_con.c_rem</v>
      </c>
      <c r="K272" s="5">
        <v>2</v>
      </c>
      <c r="L272">
        <v>0</v>
      </c>
      <c r="M272">
        <v>3.9139888862043982E-2</v>
      </c>
      <c r="N272">
        <v>6.7649190625755015E-2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0.10630587098332933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4.3971973906740763E-2</v>
      </c>
      <c r="AF272">
        <v>0</v>
      </c>
      <c r="AG272">
        <v>0</v>
      </c>
      <c r="AH272">
        <v>0</v>
      </c>
      <c r="AI272">
        <v>2.4402029475718776E-2</v>
      </c>
      <c r="AJ272">
        <v>0</v>
      </c>
      <c r="AK272">
        <v>0</v>
      </c>
      <c r="AL272">
        <v>0</v>
      </c>
      <c r="AM272">
        <v>9.2051220101473832E-2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1.4979463638560044E-2</v>
      </c>
      <c r="AT272">
        <v>2.4160425223483938E-4</v>
      </c>
      <c r="AU272">
        <v>9.6641700893935756E-3</v>
      </c>
      <c r="AV272">
        <v>2.4160425223483938E-4</v>
      </c>
      <c r="AW272">
        <v>0</v>
      </c>
      <c r="AX272">
        <v>0</v>
      </c>
      <c r="AY272">
        <v>0</v>
      </c>
      <c r="AZ272">
        <v>0</v>
      </c>
      <c r="BA272">
        <v>0.26189900942256583</v>
      </c>
      <c r="BB272">
        <v>0.10630587098332933</v>
      </c>
      <c r="BC272">
        <v>0</v>
      </c>
      <c r="BD272">
        <v>0</v>
      </c>
      <c r="BE272">
        <v>5.3636143996134346E-2</v>
      </c>
      <c r="BF272">
        <v>1.4979463638560044E-2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1.4737859386325203E-2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0.14979463638560042</v>
      </c>
      <c r="CB272">
        <v>0</v>
      </c>
    </row>
    <row r="273" spans="1:80">
      <c r="A273">
        <v>272</v>
      </c>
      <c r="B273" t="s">
        <v>89</v>
      </c>
      <c r="C273" s="4" t="s">
        <v>172</v>
      </c>
      <c r="D273" s="4" t="s">
        <v>118</v>
      </c>
      <c r="E273" s="5">
        <v>39892</v>
      </c>
      <c r="F273" s="5">
        <v>39892</v>
      </c>
      <c r="G273">
        <v>903</v>
      </c>
      <c r="H273" s="4" t="s">
        <v>107</v>
      </c>
      <c r="I273" s="4" t="s">
        <v>108</v>
      </c>
      <c r="J273" s="4" t="str">
        <f t="shared" si="4"/>
        <v>u_con.c_con</v>
      </c>
      <c r="K273" s="5">
        <v>19</v>
      </c>
      <c r="L273">
        <v>0</v>
      </c>
      <c r="M273">
        <v>2.8338646829613883E-2</v>
      </c>
      <c r="N273">
        <v>0.14169323414806942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2.4973432518597231E-2</v>
      </c>
      <c r="Y273">
        <v>1.4169323414806942E-2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0.12079348211122916</v>
      </c>
      <c r="AF273">
        <v>0</v>
      </c>
      <c r="AG273">
        <v>0</v>
      </c>
      <c r="AH273">
        <v>0</v>
      </c>
      <c r="AI273">
        <v>1.4700673042862203E-2</v>
      </c>
      <c r="AJ273">
        <v>0</v>
      </c>
      <c r="AK273">
        <v>0</v>
      </c>
      <c r="AL273">
        <v>0</v>
      </c>
      <c r="AM273">
        <v>5.3666312433581297E-2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3.9142755933404175E-2</v>
      </c>
      <c r="AT273">
        <v>3.5423308537017354E-3</v>
      </c>
      <c r="AU273">
        <v>0</v>
      </c>
      <c r="AV273">
        <v>0</v>
      </c>
      <c r="AW273">
        <v>3.5423308537017354E-3</v>
      </c>
      <c r="AX273">
        <v>3.8965639390719088E-3</v>
      </c>
      <c r="AY273">
        <v>0</v>
      </c>
      <c r="AZ273">
        <v>0</v>
      </c>
      <c r="BA273">
        <v>0.12415869642224583</v>
      </c>
      <c r="BB273">
        <v>7.4743181013106605E-2</v>
      </c>
      <c r="BC273">
        <v>0</v>
      </c>
      <c r="BD273">
        <v>0</v>
      </c>
      <c r="BE273">
        <v>4.3039319872476091E-2</v>
      </c>
      <c r="BF273">
        <v>1.4700673042862203E-2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7.0846617074034708E-3</v>
      </c>
      <c r="BN273">
        <v>1.4523556500177115E-2</v>
      </c>
      <c r="BO273">
        <v>1.7711654268508676E-4</v>
      </c>
      <c r="BP273">
        <v>0</v>
      </c>
      <c r="BQ273">
        <v>0</v>
      </c>
      <c r="BR273">
        <v>0</v>
      </c>
      <c r="BS273">
        <v>0</v>
      </c>
      <c r="BT273">
        <v>3.5423308537017354E-3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0.14895501239815798</v>
      </c>
      <c r="CB273">
        <v>0.12043924902585899</v>
      </c>
    </row>
    <row r="274" spans="1:80">
      <c r="A274">
        <v>273</v>
      </c>
      <c r="B274" t="s">
        <v>90</v>
      </c>
      <c r="C274" s="4" t="s">
        <v>173</v>
      </c>
      <c r="D274" s="4" t="s">
        <v>118</v>
      </c>
      <c r="E274" s="5">
        <v>39892</v>
      </c>
      <c r="F274" s="5">
        <v>39892</v>
      </c>
      <c r="G274">
        <v>903</v>
      </c>
      <c r="H274" s="4" t="s">
        <v>107</v>
      </c>
      <c r="I274" s="4" t="s">
        <v>108</v>
      </c>
      <c r="J274" s="4" t="str">
        <f t="shared" si="4"/>
        <v>u_con.c_con</v>
      </c>
      <c r="K274" s="5">
        <v>19</v>
      </c>
      <c r="L274">
        <v>0</v>
      </c>
      <c r="M274">
        <v>5.2337195365561334E-2</v>
      </c>
      <c r="N274">
        <v>0.28805433479824216</v>
      </c>
      <c r="O274">
        <v>0</v>
      </c>
      <c r="P274">
        <v>0</v>
      </c>
      <c r="Q274">
        <v>1.218537754694367E-2</v>
      </c>
      <c r="R274">
        <v>4.7942469037155426E-2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3.9952057530962849E-3</v>
      </c>
      <c r="Z274">
        <v>1.2185377546943668E-2</v>
      </c>
      <c r="AA274">
        <v>0</v>
      </c>
      <c r="AB274">
        <v>0</v>
      </c>
      <c r="AC274">
        <v>0</v>
      </c>
      <c r="AD274">
        <v>0</v>
      </c>
      <c r="AE274">
        <v>4.3947263284059131E-2</v>
      </c>
      <c r="AF274">
        <v>0</v>
      </c>
      <c r="AG274">
        <v>0</v>
      </c>
      <c r="AH274">
        <v>0</v>
      </c>
      <c r="AI274">
        <v>2.0575309628445868E-2</v>
      </c>
      <c r="AJ274">
        <v>0</v>
      </c>
      <c r="AK274">
        <v>0</v>
      </c>
      <c r="AL274">
        <v>0</v>
      </c>
      <c r="AM274">
        <v>0</v>
      </c>
      <c r="AN274">
        <v>8.3899320815021983E-3</v>
      </c>
      <c r="AO274">
        <v>0</v>
      </c>
      <c r="AP274">
        <v>0</v>
      </c>
      <c r="AQ274">
        <v>0</v>
      </c>
      <c r="AR274">
        <v>0</v>
      </c>
      <c r="AS274">
        <v>4.1949660407510992E-3</v>
      </c>
      <c r="AT274">
        <v>3.9952057530962849E-3</v>
      </c>
      <c r="AU274">
        <v>0</v>
      </c>
      <c r="AV274">
        <v>0</v>
      </c>
      <c r="AW274">
        <v>0</v>
      </c>
      <c r="AX274">
        <v>4.3947263284059134E-3</v>
      </c>
      <c r="AY274">
        <v>0</v>
      </c>
      <c r="AZ274">
        <v>0</v>
      </c>
      <c r="BA274">
        <v>0.10027966440271675</v>
      </c>
      <c r="BB274">
        <v>0.11606072712744707</v>
      </c>
      <c r="BC274">
        <v>0</v>
      </c>
      <c r="BD274">
        <v>0</v>
      </c>
      <c r="BE274">
        <v>4.4746304434678384E-2</v>
      </c>
      <c r="BF274">
        <v>2.4370755093887336E-2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1.598082301238514E-2</v>
      </c>
      <c r="BO274">
        <v>1.9976028765481425E-4</v>
      </c>
      <c r="BP274">
        <v>3.9952057530962849E-4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0.1957650819017179</v>
      </c>
      <c r="CB274">
        <v>0</v>
      </c>
    </row>
    <row r="275" spans="1:80">
      <c r="A275">
        <v>274</v>
      </c>
      <c r="B275" t="s">
        <v>91</v>
      </c>
      <c r="C275" s="4" t="s">
        <v>173</v>
      </c>
      <c r="D275" s="4" t="s">
        <v>118</v>
      </c>
      <c r="E275" s="5">
        <v>39892</v>
      </c>
      <c r="F275" s="5">
        <v>39892</v>
      </c>
      <c r="G275">
        <v>903</v>
      </c>
      <c r="H275" s="4" t="s">
        <v>107</v>
      </c>
      <c r="I275" s="4" t="s">
        <v>109</v>
      </c>
      <c r="J275" s="4" t="str">
        <f t="shared" si="4"/>
        <v>u_con.c_rem</v>
      </c>
      <c r="K275" s="5">
        <v>2</v>
      </c>
      <c r="L275">
        <v>0</v>
      </c>
      <c r="M275">
        <v>0.1039803220035778</v>
      </c>
      <c r="N275">
        <v>0.13483899821109124</v>
      </c>
      <c r="O275">
        <v>0</v>
      </c>
      <c r="P275">
        <v>0</v>
      </c>
      <c r="Q275">
        <v>1.3640429338103759E-2</v>
      </c>
      <c r="R275">
        <v>0.11627906976744187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4.4722719141323799E-3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4.4722719141323793E-4</v>
      </c>
      <c r="AF275">
        <v>0</v>
      </c>
      <c r="AG275">
        <v>0</v>
      </c>
      <c r="AH275">
        <v>9.1681574239713785E-3</v>
      </c>
      <c r="AI275">
        <v>9.6153846153846159E-3</v>
      </c>
      <c r="AJ275">
        <v>0</v>
      </c>
      <c r="AK275">
        <v>0</v>
      </c>
      <c r="AL275">
        <v>1.788908765652952E-2</v>
      </c>
      <c r="AM275">
        <v>0</v>
      </c>
      <c r="AN275">
        <v>1.3416815742397141E-2</v>
      </c>
      <c r="AO275">
        <v>0</v>
      </c>
      <c r="AP275">
        <v>0</v>
      </c>
      <c r="AQ275">
        <v>0</v>
      </c>
      <c r="AR275">
        <v>0</v>
      </c>
      <c r="AS275">
        <v>4.6958855098389986E-3</v>
      </c>
      <c r="AT275">
        <v>6.7084078711985684E-4</v>
      </c>
      <c r="AU275">
        <v>0</v>
      </c>
      <c r="AV275">
        <v>0</v>
      </c>
      <c r="AW275">
        <v>0</v>
      </c>
      <c r="AX275">
        <v>4.4722719141323799E-3</v>
      </c>
      <c r="AY275">
        <v>0</v>
      </c>
      <c r="AZ275">
        <v>0</v>
      </c>
      <c r="BA275">
        <v>3.6449016100178887E-2</v>
      </c>
      <c r="BB275">
        <v>5.0089445438282643E-2</v>
      </c>
      <c r="BC275">
        <v>0</v>
      </c>
      <c r="BD275">
        <v>0</v>
      </c>
      <c r="BE275">
        <v>0.14333631484794274</v>
      </c>
      <c r="BF275">
        <v>5.3890876565295176E-2</v>
      </c>
      <c r="BG275">
        <v>0</v>
      </c>
      <c r="BH275">
        <v>0</v>
      </c>
      <c r="BI275">
        <v>0</v>
      </c>
      <c r="BJ275">
        <v>0</v>
      </c>
      <c r="BK275">
        <v>1.3864042933810376E-2</v>
      </c>
      <c r="BL275">
        <v>0</v>
      </c>
      <c r="BM275">
        <v>0</v>
      </c>
      <c r="BN275">
        <v>4.4722719141323799E-3</v>
      </c>
      <c r="BO275">
        <v>4.6958855098389986E-3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0.25044722719141321</v>
      </c>
      <c r="CB275">
        <v>9.1681574239713785E-3</v>
      </c>
    </row>
    <row r="276" spans="1:80">
      <c r="A276">
        <v>275</v>
      </c>
      <c r="B276" t="s">
        <v>92</v>
      </c>
      <c r="C276" s="4" t="s">
        <v>173</v>
      </c>
      <c r="D276" s="4" t="s">
        <v>118</v>
      </c>
      <c r="E276" s="5">
        <v>39892</v>
      </c>
      <c r="F276" s="5">
        <v>39892</v>
      </c>
      <c r="G276">
        <v>903</v>
      </c>
      <c r="H276" s="4" t="s">
        <v>107</v>
      </c>
      <c r="I276" s="4" t="s">
        <v>108</v>
      </c>
      <c r="J276" s="4" t="str">
        <f t="shared" si="4"/>
        <v>u_con.c_con</v>
      </c>
      <c r="K276" s="5">
        <v>19</v>
      </c>
      <c r="L276">
        <v>0</v>
      </c>
      <c r="M276">
        <v>9.6529533440588376E-3</v>
      </c>
      <c r="N276">
        <v>0.24362215582624677</v>
      </c>
      <c r="O276">
        <v>0</v>
      </c>
      <c r="P276">
        <v>0</v>
      </c>
      <c r="Q276">
        <v>4.1369800045966444E-2</v>
      </c>
      <c r="R276">
        <v>7.8142955642381079E-2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5.0563088945070108E-3</v>
      </c>
      <c r="Y276">
        <v>6.4353022293725595E-2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2.2983222247759138E-4</v>
      </c>
      <c r="AI276">
        <v>2.4132383360147096E-2</v>
      </c>
      <c r="AJ276">
        <v>0</v>
      </c>
      <c r="AK276">
        <v>0</v>
      </c>
      <c r="AL276">
        <v>0</v>
      </c>
      <c r="AM276">
        <v>0</v>
      </c>
      <c r="AN276">
        <v>9.1932888991036552E-4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2.2983222247759138E-4</v>
      </c>
      <c r="AU276">
        <v>4.5966444495518276E-3</v>
      </c>
      <c r="AV276">
        <v>0</v>
      </c>
      <c r="AW276">
        <v>4.5966444495518276E-3</v>
      </c>
      <c r="AX276">
        <v>4.5966444495518276E-3</v>
      </c>
      <c r="AY276">
        <v>2.2983222247759138E-4</v>
      </c>
      <c r="AZ276">
        <v>4.5966444495518276E-3</v>
      </c>
      <c r="BA276">
        <v>9.2162721213514182E-2</v>
      </c>
      <c r="BB276">
        <v>8.342909675936569E-2</v>
      </c>
      <c r="BC276">
        <v>0</v>
      </c>
      <c r="BD276">
        <v>0</v>
      </c>
      <c r="BE276">
        <v>8.3658928981843267E-2</v>
      </c>
      <c r="BF276">
        <v>3.3095840036773155E-2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4.8264766720294188E-3</v>
      </c>
      <c r="BO276">
        <v>0</v>
      </c>
      <c r="BP276">
        <v>4.5966444495518276E-3</v>
      </c>
      <c r="BQ276">
        <v>4.5966444495518276E-3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4.5966444495518276E-3</v>
      </c>
      <c r="BX276">
        <v>0</v>
      </c>
      <c r="BY276">
        <v>0</v>
      </c>
      <c r="BZ276">
        <v>0</v>
      </c>
      <c r="CA276">
        <v>0.20271202022523555</v>
      </c>
      <c r="CB276">
        <v>0</v>
      </c>
    </row>
    <row r="277" spans="1:80" s="1" customFormat="1">
      <c r="A277">
        <v>276</v>
      </c>
      <c r="B277" t="s">
        <v>93</v>
      </c>
      <c r="C277" s="4" t="s">
        <v>173</v>
      </c>
      <c r="D277" s="4" t="s">
        <v>118</v>
      </c>
      <c r="E277" s="5">
        <v>39892</v>
      </c>
      <c r="F277" s="5">
        <v>39892</v>
      </c>
      <c r="G277">
        <v>903</v>
      </c>
      <c r="H277" s="4" t="s">
        <v>107</v>
      </c>
      <c r="I277" s="4" t="s">
        <v>109</v>
      </c>
      <c r="J277" s="4" t="str">
        <f t="shared" si="4"/>
        <v>u_con.c_rem</v>
      </c>
      <c r="K277" s="5">
        <v>2</v>
      </c>
      <c r="L277">
        <v>0</v>
      </c>
      <c r="M277">
        <v>3.864734299516908E-2</v>
      </c>
      <c r="N277">
        <v>0.16956521739130437</v>
      </c>
      <c r="O277">
        <v>2.8985507246376812E-2</v>
      </c>
      <c r="P277">
        <v>0</v>
      </c>
      <c r="Q277">
        <v>2.4396135265700485E-2</v>
      </c>
      <c r="R277">
        <v>5.7971014492753624E-2</v>
      </c>
      <c r="S277">
        <v>0</v>
      </c>
      <c r="T277">
        <v>4.8309178743961359E-3</v>
      </c>
      <c r="U277">
        <v>0</v>
      </c>
      <c r="V277">
        <v>0</v>
      </c>
      <c r="W277">
        <v>0</v>
      </c>
      <c r="X277">
        <v>1.207729468599034E-3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2.4154589371980676E-2</v>
      </c>
      <c r="AH277">
        <v>2.4154589371980678E-4</v>
      </c>
      <c r="AI277">
        <v>1.0144927536231885E-2</v>
      </c>
      <c r="AJ277">
        <v>0</v>
      </c>
      <c r="AK277">
        <v>0</v>
      </c>
      <c r="AL277">
        <v>1.4975845410628019E-2</v>
      </c>
      <c r="AM277">
        <v>0</v>
      </c>
      <c r="AN277">
        <v>1.5700483091787443E-2</v>
      </c>
      <c r="AO277">
        <v>0</v>
      </c>
      <c r="AP277">
        <v>0</v>
      </c>
      <c r="AQ277">
        <v>0</v>
      </c>
      <c r="AR277">
        <v>0</v>
      </c>
      <c r="AS277">
        <v>9.6618357487922718E-3</v>
      </c>
      <c r="AT277">
        <v>0</v>
      </c>
      <c r="AU277">
        <v>0</v>
      </c>
      <c r="AV277">
        <v>0</v>
      </c>
      <c r="AW277">
        <v>0</v>
      </c>
      <c r="AX277">
        <v>5.5555555555555558E-3</v>
      </c>
      <c r="AY277">
        <v>0</v>
      </c>
      <c r="AZ277">
        <v>1.0144927536231885E-2</v>
      </c>
      <c r="BA277">
        <v>0.12584541062801935</v>
      </c>
      <c r="BB277">
        <v>0.12608695652173915</v>
      </c>
      <c r="BC277">
        <v>0</v>
      </c>
      <c r="BD277">
        <v>0</v>
      </c>
      <c r="BE277">
        <v>0.15531400966183573</v>
      </c>
      <c r="BF277">
        <v>6.0386473429951707E-3</v>
      </c>
      <c r="BG277">
        <v>0</v>
      </c>
      <c r="BH277">
        <v>0</v>
      </c>
      <c r="BI277">
        <v>0</v>
      </c>
      <c r="BJ277">
        <v>0</v>
      </c>
      <c r="BK277">
        <v>9.6618357487922718E-3</v>
      </c>
      <c r="BL277">
        <v>0</v>
      </c>
      <c r="BM277">
        <v>0</v>
      </c>
      <c r="BN277">
        <v>1.0144927536231885E-2</v>
      </c>
      <c r="BO277">
        <v>0</v>
      </c>
      <c r="BP277">
        <v>9.6618357487922718E-3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4.8309178743961357E-4</v>
      </c>
      <c r="CA277">
        <v>0.13550724637681164</v>
      </c>
      <c r="CB277">
        <v>5.0724637681159425E-3</v>
      </c>
    </row>
    <row r="278" spans="1:80">
      <c r="A278">
        <v>277</v>
      </c>
      <c r="B278" t="s">
        <v>94</v>
      </c>
      <c r="C278" s="4" t="s">
        <v>174</v>
      </c>
      <c r="D278" s="4" t="s">
        <v>118</v>
      </c>
      <c r="E278" s="5">
        <v>39892</v>
      </c>
      <c r="F278" s="5">
        <v>39892</v>
      </c>
      <c r="G278">
        <v>903</v>
      </c>
      <c r="H278" s="4" t="s">
        <v>110</v>
      </c>
      <c r="I278" s="4" t="s">
        <v>108</v>
      </c>
      <c r="J278" s="4" t="str">
        <f t="shared" si="4"/>
        <v>u_rem.c_con</v>
      </c>
      <c r="K278" s="5">
        <v>8</v>
      </c>
      <c r="L278">
        <v>4.1718815185648721E-3</v>
      </c>
      <c r="M278">
        <v>8.8443888193575321E-2</v>
      </c>
      <c r="N278">
        <v>0.59240717563621181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4.3804755944931162E-3</v>
      </c>
      <c r="AF278">
        <v>0</v>
      </c>
      <c r="AG278">
        <v>0</v>
      </c>
      <c r="AH278">
        <v>0</v>
      </c>
      <c r="AI278">
        <v>6.2578222778473082E-4</v>
      </c>
      <c r="AJ278">
        <v>1.6687526074259489E-2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4.1718815185648721E-3</v>
      </c>
      <c r="AT278">
        <v>4.3804755944931162E-3</v>
      </c>
      <c r="AU278">
        <v>0</v>
      </c>
      <c r="AV278">
        <v>0</v>
      </c>
      <c r="AW278">
        <v>9.1781393408427205E-3</v>
      </c>
      <c r="AX278">
        <v>0</v>
      </c>
      <c r="AY278">
        <v>0</v>
      </c>
      <c r="AZ278">
        <v>1.2724238631622862E-2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0.25865665415102196</v>
      </c>
      <c r="CB278">
        <v>4.1718815185648721E-3</v>
      </c>
    </row>
    <row r="279" spans="1:80">
      <c r="A279">
        <v>278</v>
      </c>
      <c r="B279" t="s">
        <v>95</v>
      </c>
      <c r="C279" s="4" t="s">
        <v>174</v>
      </c>
      <c r="D279" s="4" t="s">
        <v>118</v>
      </c>
      <c r="E279" s="5">
        <v>39892</v>
      </c>
      <c r="F279" s="5">
        <v>39892</v>
      </c>
      <c r="G279">
        <v>903</v>
      </c>
      <c r="H279" s="4" t="s">
        <v>110</v>
      </c>
      <c r="I279" s="4" t="s">
        <v>109</v>
      </c>
      <c r="J279" s="4" t="str">
        <f t="shared" si="4"/>
        <v>u_rem.c_rem</v>
      </c>
      <c r="K279" s="5">
        <v>1</v>
      </c>
      <c r="L279" s="1">
        <v>3.1712473572938688E-2</v>
      </c>
      <c r="M279" s="1">
        <v>9.513742071881609E-2</v>
      </c>
      <c r="N279" s="1">
        <v>0.32241014799154322</v>
      </c>
      <c r="O279" s="1">
        <v>1.0570824524312896E-2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1.5856236786469347E-2</v>
      </c>
      <c r="Z279" s="1">
        <v>9.5137420718816076E-2</v>
      </c>
      <c r="AA279" s="1">
        <v>0</v>
      </c>
      <c r="AB279" s="1">
        <v>0</v>
      </c>
      <c r="AC279" s="1">
        <v>0</v>
      </c>
      <c r="AD279" s="1">
        <v>0</v>
      </c>
      <c r="AE279" s="1">
        <v>1.0570824524312896E-2</v>
      </c>
      <c r="AF279" s="1">
        <v>0</v>
      </c>
      <c r="AG279" s="1">
        <v>0</v>
      </c>
      <c r="AH279" s="1">
        <v>1.0570824524312896E-2</v>
      </c>
      <c r="AI279" s="1">
        <v>1.0570824524312896E-2</v>
      </c>
      <c r="AJ279" s="1">
        <v>0.14270613107822411</v>
      </c>
      <c r="AK279" s="1">
        <v>0</v>
      </c>
      <c r="AL279" s="1">
        <v>0</v>
      </c>
      <c r="AM279" s="1">
        <v>0</v>
      </c>
      <c r="AN279" s="1">
        <v>5.549682875264271E-3</v>
      </c>
      <c r="AO279" s="1">
        <v>0</v>
      </c>
      <c r="AP279" s="1">
        <v>0</v>
      </c>
      <c r="AQ279" s="1">
        <v>0</v>
      </c>
      <c r="AR279" s="1">
        <v>0</v>
      </c>
      <c r="AS279" s="1">
        <v>1.6120507399577169E-2</v>
      </c>
      <c r="AT279" s="1">
        <v>2.6427061310782237E-4</v>
      </c>
      <c r="AU279" s="1">
        <v>0</v>
      </c>
      <c r="AV279" s="1">
        <v>0</v>
      </c>
      <c r="AW279" s="1">
        <v>1.5856236786469344E-2</v>
      </c>
      <c r="AX279" s="1">
        <v>1.0835095137420718E-2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0.20613107822410143</v>
      </c>
      <c r="CB279" s="1">
        <v>0</v>
      </c>
    </row>
    <row r="280" spans="1:80">
      <c r="A280">
        <v>279</v>
      </c>
      <c r="B280" t="s">
        <v>96</v>
      </c>
      <c r="C280" s="4" t="s">
        <v>174</v>
      </c>
      <c r="D280" s="4" t="s">
        <v>118</v>
      </c>
      <c r="E280" s="5">
        <v>39892</v>
      </c>
      <c r="F280" s="5">
        <v>39892</v>
      </c>
      <c r="G280">
        <v>903</v>
      </c>
      <c r="H280" s="4" t="s">
        <v>110</v>
      </c>
      <c r="I280" s="4" t="s">
        <v>109</v>
      </c>
      <c r="J280" s="4" t="str">
        <f t="shared" si="4"/>
        <v>u_rem.c_rem</v>
      </c>
      <c r="K280" s="5">
        <v>1</v>
      </c>
      <c r="L280" s="1">
        <v>1.0333247222939809E-2</v>
      </c>
      <c r="M280" s="1">
        <v>5.6832859726168944E-2</v>
      </c>
      <c r="N280" s="1">
        <v>0.41849651252906234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1.5499870834409716E-2</v>
      </c>
      <c r="U280" s="1">
        <v>0</v>
      </c>
      <c r="V280" s="1">
        <v>0</v>
      </c>
      <c r="W280" s="1">
        <v>0</v>
      </c>
      <c r="X280" s="1">
        <v>0</v>
      </c>
      <c r="Y280" s="1">
        <v>2.5833118057349523E-2</v>
      </c>
      <c r="Z280" s="1">
        <v>5.1666236114699046E-3</v>
      </c>
      <c r="AA280" s="1">
        <v>0</v>
      </c>
      <c r="AB280" s="1">
        <v>0</v>
      </c>
      <c r="AC280" s="1">
        <v>0</v>
      </c>
      <c r="AD280" s="1">
        <v>0</v>
      </c>
      <c r="AE280" s="1">
        <v>1.0333247222939809E-2</v>
      </c>
      <c r="AF280" s="1">
        <v>0</v>
      </c>
      <c r="AG280" s="1">
        <v>0</v>
      </c>
      <c r="AH280" s="1">
        <v>1.5499870834409716E-2</v>
      </c>
      <c r="AI280" s="1">
        <v>1.0333247222939809E-2</v>
      </c>
      <c r="AJ280" s="1">
        <v>0.24283130973908545</v>
      </c>
      <c r="AK280" s="1">
        <v>0</v>
      </c>
      <c r="AL280" s="1">
        <v>0</v>
      </c>
      <c r="AM280" s="1">
        <v>0</v>
      </c>
      <c r="AN280" s="1">
        <v>1.1883234306380781E-2</v>
      </c>
      <c r="AO280" s="1">
        <v>0</v>
      </c>
      <c r="AP280" s="1">
        <v>0</v>
      </c>
      <c r="AQ280" s="1">
        <v>0</v>
      </c>
      <c r="AR280" s="1">
        <v>0</v>
      </c>
      <c r="AS280" s="1">
        <v>4.6499612503229135E-2</v>
      </c>
      <c r="AT280" s="1">
        <v>1.0333247222939809E-3</v>
      </c>
      <c r="AU280" s="1">
        <v>0</v>
      </c>
      <c r="AV280" s="1">
        <v>0</v>
      </c>
      <c r="AW280" s="1">
        <v>2.5833118057349523E-2</v>
      </c>
      <c r="AX280" s="1">
        <v>2.6091449237923017E-2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7.7499354172048562E-2</v>
      </c>
      <c r="CB280" s="1">
        <v>0</v>
      </c>
    </row>
    <row r="281" spans="1:80">
      <c r="A281">
        <v>280</v>
      </c>
      <c r="B281" t="s">
        <v>97</v>
      </c>
      <c r="C281" s="4" t="s">
        <v>174</v>
      </c>
      <c r="D281" s="4" t="s">
        <v>118</v>
      </c>
      <c r="E281" s="5">
        <v>39892</v>
      </c>
      <c r="F281" s="5">
        <v>39892</v>
      </c>
      <c r="G281">
        <v>903</v>
      </c>
      <c r="H281" s="4" t="s">
        <v>110</v>
      </c>
      <c r="I281" s="4" t="s">
        <v>108</v>
      </c>
      <c r="J281" s="4" t="str">
        <f t="shared" si="4"/>
        <v>u_rem.c_con</v>
      </c>
      <c r="K281" s="5">
        <v>8</v>
      </c>
      <c r="L281">
        <v>1.0529086601737301E-2</v>
      </c>
      <c r="M281">
        <v>0.11160831797841539</v>
      </c>
      <c r="N281">
        <v>0.24743353514082653</v>
      </c>
      <c r="O281">
        <v>0</v>
      </c>
      <c r="P281">
        <v>0</v>
      </c>
      <c r="Q281">
        <v>3.685180310608055E-2</v>
      </c>
      <c r="R281">
        <v>8.9760463279810493E-2</v>
      </c>
      <c r="S281">
        <v>0</v>
      </c>
      <c r="T281">
        <v>1.0792313766780734E-2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6.0542247959989486E-3</v>
      </c>
      <c r="AF281">
        <v>0</v>
      </c>
      <c r="AG281">
        <v>0</v>
      </c>
      <c r="AH281">
        <v>5.7909976309555153E-3</v>
      </c>
      <c r="AI281">
        <v>5.5277704659120836E-3</v>
      </c>
      <c r="AJ281">
        <v>4.2642800737036066E-2</v>
      </c>
      <c r="AK281">
        <v>0</v>
      </c>
      <c r="AL281">
        <v>5.2645433008686503E-3</v>
      </c>
      <c r="AM281">
        <v>0</v>
      </c>
      <c r="AN281">
        <v>2.6322716504343253E-4</v>
      </c>
      <c r="AO281">
        <v>0</v>
      </c>
      <c r="AP281">
        <v>0</v>
      </c>
      <c r="AQ281">
        <v>0</v>
      </c>
      <c r="AR281">
        <v>0</v>
      </c>
      <c r="AS281">
        <v>3.1587259805211904E-2</v>
      </c>
      <c r="AT281">
        <v>2.6322716504343253E-4</v>
      </c>
      <c r="AU281">
        <v>0</v>
      </c>
      <c r="AV281">
        <v>0</v>
      </c>
      <c r="AW281">
        <v>2.6322716504343253E-4</v>
      </c>
      <c r="AX281">
        <v>2.1584627533561468E-2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1.5793629902605952E-2</v>
      </c>
      <c r="BY281">
        <v>0</v>
      </c>
      <c r="BZ281">
        <v>0</v>
      </c>
      <c r="CA281">
        <v>0.35798894445906815</v>
      </c>
      <c r="CB281">
        <v>0</v>
      </c>
    </row>
    <row r="282" spans="1:80">
      <c r="A282">
        <v>281</v>
      </c>
      <c r="B282" t="s">
        <v>98</v>
      </c>
      <c r="C282" s="4" t="s">
        <v>175</v>
      </c>
      <c r="D282" s="4" t="s">
        <v>118</v>
      </c>
      <c r="E282" s="5">
        <v>39892</v>
      </c>
      <c r="F282" s="5">
        <v>39892</v>
      </c>
      <c r="G282">
        <v>903</v>
      </c>
      <c r="H282" s="4" t="s">
        <v>107</v>
      </c>
      <c r="I282" s="4" t="s">
        <v>109</v>
      </c>
      <c r="J282" s="4" t="str">
        <f t="shared" si="4"/>
        <v>u_con.c_rem</v>
      </c>
      <c r="K282" s="5">
        <v>2</v>
      </c>
      <c r="L282">
        <v>0</v>
      </c>
      <c r="M282">
        <v>0.12293298520452565</v>
      </c>
      <c r="N282">
        <v>8.2898172323759817E-2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4.3516100957354219E-3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2.1975630983463883E-2</v>
      </c>
      <c r="AF282">
        <v>0</v>
      </c>
      <c r="AG282">
        <v>4.3516100957354219E-3</v>
      </c>
      <c r="AH282">
        <v>0</v>
      </c>
      <c r="AI282">
        <v>3.1331592689295036E-2</v>
      </c>
      <c r="AJ282">
        <v>2.1758050478677109E-2</v>
      </c>
      <c r="AK282">
        <v>0</v>
      </c>
      <c r="AL282">
        <v>8.2680591818973012E-2</v>
      </c>
      <c r="AM282">
        <v>0</v>
      </c>
      <c r="AN282">
        <v>1.3054830287206267E-2</v>
      </c>
      <c r="AO282">
        <v>0</v>
      </c>
      <c r="AP282">
        <v>0</v>
      </c>
      <c r="AQ282">
        <v>0</v>
      </c>
      <c r="AR282">
        <v>0</v>
      </c>
      <c r="AS282">
        <v>4.8302872062663177E-2</v>
      </c>
      <c r="AT282">
        <v>4.5691906005221935E-3</v>
      </c>
      <c r="AU282">
        <v>0</v>
      </c>
      <c r="AV282">
        <v>0</v>
      </c>
      <c r="AW282">
        <v>1.3054830287206266E-2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0.2045256744995648</v>
      </c>
      <c r="BF282">
        <v>4.351610095735422E-4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4.3516100957354219E-3</v>
      </c>
      <c r="BM282">
        <v>0</v>
      </c>
      <c r="BN282">
        <v>4.3516100957354219E-3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0.3307223672758921</v>
      </c>
      <c r="CB282">
        <v>4.3516100957354219E-3</v>
      </c>
    </row>
    <row r="283" spans="1:80">
      <c r="A283">
        <v>282</v>
      </c>
      <c r="B283" t="s">
        <v>99</v>
      </c>
      <c r="C283" s="4" t="s">
        <v>175</v>
      </c>
      <c r="D283" s="4" t="s">
        <v>118</v>
      </c>
      <c r="E283" s="5">
        <v>39892</v>
      </c>
      <c r="F283" s="5">
        <v>39892</v>
      </c>
      <c r="G283">
        <v>903</v>
      </c>
      <c r="H283" s="4" t="s">
        <v>107</v>
      </c>
      <c r="I283" s="4" t="s">
        <v>108</v>
      </c>
      <c r="J283" s="4" t="str">
        <f t="shared" si="4"/>
        <v>u_con.c_con</v>
      </c>
      <c r="K283" s="5">
        <v>19</v>
      </c>
      <c r="L283">
        <v>3.941663381947182E-3</v>
      </c>
      <c r="M283">
        <v>0.11824990145841548</v>
      </c>
      <c r="N283">
        <v>0.19708316909735907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4.76941269215609E-2</v>
      </c>
      <c r="U283">
        <v>0</v>
      </c>
      <c r="V283">
        <v>0</v>
      </c>
      <c r="W283">
        <v>0</v>
      </c>
      <c r="X283">
        <v>4.138746551044542E-3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0.10287741426882147</v>
      </c>
      <c r="AJ283">
        <v>1.596373669688609E-2</v>
      </c>
      <c r="AK283">
        <v>0</v>
      </c>
      <c r="AL283">
        <v>0</v>
      </c>
      <c r="AM283">
        <v>0</v>
      </c>
      <c r="AN283">
        <v>2.384706346078045E-2</v>
      </c>
      <c r="AO283">
        <v>0</v>
      </c>
      <c r="AP283">
        <v>0</v>
      </c>
      <c r="AQ283">
        <v>0</v>
      </c>
      <c r="AR283">
        <v>0</v>
      </c>
      <c r="AS283">
        <v>1.6160819865983448E-2</v>
      </c>
      <c r="AT283">
        <v>3.941663381947182E-3</v>
      </c>
      <c r="AU283">
        <v>0</v>
      </c>
      <c r="AV283">
        <v>0</v>
      </c>
      <c r="AW283">
        <v>0</v>
      </c>
      <c r="AX283">
        <v>0</v>
      </c>
      <c r="AY283">
        <v>1.1824990145841548E-2</v>
      </c>
      <c r="AZ283">
        <v>0</v>
      </c>
      <c r="BA283">
        <v>3.2124556562869534E-2</v>
      </c>
      <c r="BB283">
        <v>0</v>
      </c>
      <c r="BC283">
        <v>0</v>
      </c>
      <c r="BD283">
        <v>0</v>
      </c>
      <c r="BE283">
        <v>0.13835238470634609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0.27591643673630273</v>
      </c>
      <c r="CB283">
        <v>7.883326763894364E-3</v>
      </c>
    </row>
    <row r="284" spans="1:80">
      <c r="A284">
        <v>283</v>
      </c>
      <c r="B284" t="s">
        <v>100</v>
      </c>
      <c r="C284" s="4" t="s">
        <v>175</v>
      </c>
      <c r="D284" s="4" t="s">
        <v>118</v>
      </c>
      <c r="E284" s="5">
        <v>39892</v>
      </c>
      <c r="F284" s="5">
        <v>39892</v>
      </c>
      <c r="G284">
        <v>903</v>
      </c>
      <c r="H284" s="4" t="s">
        <v>107</v>
      </c>
      <c r="I284" s="4" t="s">
        <v>109</v>
      </c>
      <c r="J284" s="4" t="str">
        <f t="shared" si="4"/>
        <v>u_con.c_rem</v>
      </c>
      <c r="K284" s="5">
        <v>2</v>
      </c>
      <c r="L284">
        <v>0</v>
      </c>
      <c r="M284">
        <v>0.23431978798586564</v>
      </c>
      <c r="N284">
        <v>0.11064487632508838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4.4169611307420503E-2</v>
      </c>
      <c r="U284">
        <v>0</v>
      </c>
      <c r="V284">
        <v>0</v>
      </c>
      <c r="W284">
        <v>0</v>
      </c>
      <c r="X284">
        <v>0</v>
      </c>
      <c r="Y284">
        <v>4.4169611307420496E-3</v>
      </c>
      <c r="Z284">
        <v>0</v>
      </c>
      <c r="AA284">
        <v>0</v>
      </c>
      <c r="AB284">
        <v>0</v>
      </c>
      <c r="AC284">
        <v>0</v>
      </c>
      <c r="AD284">
        <v>8.8339222614840993E-3</v>
      </c>
      <c r="AE284">
        <v>1.3913427561837458E-2</v>
      </c>
      <c r="AF284">
        <v>0</v>
      </c>
      <c r="AG284">
        <v>0</v>
      </c>
      <c r="AH284">
        <v>0</v>
      </c>
      <c r="AI284">
        <v>1.8551236749116608E-2</v>
      </c>
      <c r="AJ284">
        <v>0</v>
      </c>
      <c r="AK284">
        <v>0</v>
      </c>
      <c r="AL284">
        <v>0</v>
      </c>
      <c r="AM284">
        <v>0</v>
      </c>
      <c r="AN284">
        <v>1.8772084805653712E-2</v>
      </c>
      <c r="AO284">
        <v>0</v>
      </c>
      <c r="AP284">
        <v>0</v>
      </c>
      <c r="AQ284">
        <v>0</v>
      </c>
      <c r="AR284">
        <v>0</v>
      </c>
      <c r="AS284">
        <v>3.9973498233215547E-2</v>
      </c>
      <c r="AT284">
        <v>1.1042402826855124E-3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1.4355123674911664E-2</v>
      </c>
      <c r="BB284">
        <v>0</v>
      </c>
      <c r="BC284">
        <v>0</v>
      </c>
      <c r="BD284">
        <v>0</v>
      </c>
      <c r="BE284">
        <v>8.9001766784452319E-2</v>
      </c>
      <c r="BF284">
        <v>4.4169611307420496E-3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4.4169611307420496E-3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0.38869257950530023</v>
      </c>
      <c r="CB284">
        <v>4.4169611307420496E-3</v>
      </c>
    </row>
    <row r="285" spans="1:80" s="1" customFormat="1">
      <c r="A285">
        <v>284</v>
      </c>
      <c r="B285" t="s">
        <v>101</v>
      </c>
      <c r="C285" s="4" t="s">
        <v>175</v>
      </c>
      <c r="D285" s="4" t="s">
        <v>118</v>
      </c>
      <c r="E285" s="5">
        <v>39892</v>
      </c>
      <c r="F285" s="5">
        <v>39892</v>
      </c>
      <c r="G285">
        <v>903</v>
      </c>
      <c r="H285" s="4" t="s">
        <v>107</v>
      </c>
      <c r="I285" s="4" t="s">
        <v>108</v>
      </c>
      <c r="J285" s="4" t="str">
        <f t="shared" si="4"/>
        <v>u_con.c_con</v>
      </c>
      <c r="K285" s="5">
        <v>19</v>
      </c>
      <c r="L285">
        <v>2.6055237102657637E-4</v>
      </c>
      <c r="M285">
        <v>0.19854090672225119</v>
      </c>
      <c r="N285">
        <v>0.13600833767587286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4.1948931735278791E-2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2.6576341844710791E-2</v>
      </c>
      <c r="AF285">
        <v>0</v>
      </c>
      <c r="AG285">
        <v>0</v>
      </c>
      <c r="AH285">
        <v>5.2110474205315279E-3</v>
      </c>
      <c r="AI285">
        <v>6.8004168837936432E-2</v>
      </c>
      <c r="AJ285">
        <v>2.1104742053152686E-2</v>
      </c>
      <c r="AK285">
        <v>0</v>
      </c>
      <c r="AL285">
        <v>0</v>
      </c>
      <c r="AM285">
        <v>0</v>
      </c>
      <c r="AN285">
        <v>1.0422094841063056E-2</v>
      </c>
      <c r="AO285">
        <v>0</v>
      </c>
      <c r="AP285">
        <v>0</v>
      </c>
      <c r="AQ285">
        <v>0</v>
      </c>
      <c r="AR285">
        <v>0</v>
      </c>
      <c r="AS285">
        <v>5.3152683689421582E-2</v>
      </c>
      <c r="AT285">
        <v>1.1203751954142785E-2</v>
      </c>
      <c r="AU285">
        <v>0</v>
      </c>
      <c r="AV285">
        <v>0</v>
      </c>
      <c r="AW285">
        <v>0</v>
      </c>
      <c r="AX285">
        <v>2.6055237102657637E-4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3.1266284523189164E-2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0.396039603960396</v>
      </c>
      <c r="CB285">
        <v>0</v>
      </c>
    </row>
    <row r="286" spans="1:80">
      <c r="A286">
        <v>285</v>
      </c>
      <c r="B286" t="s">
        <v>102</v>
      </c>
      <c r="C286" s="4" t="s">
        <v>176</v>
      </c>
      <c r="D286" s="4" t="s">
        <v>118</v>
      </c>
      <c r="E286" s="5">
        <v>39892</v>
      </c>
      <c r="F286" s="5">
        <v>39892</v>
      </c>
      <c r="G286">
        <v>903</v>
      </c>
      <c r="H286" s="4" t="s">
        <v>110</v>
      </c>
      <c r="I286" s="4" t="s">
        <v>108</v>
      </c>
      <c r="J286" s="4" t="str">
        <f t="shared" si="4"/>
        <v>u_rem.c_con</v>
      </c>
      <c r="K286" s="5">
        <v>8</v>
      </c>
      <c r="L286">
        <v>9.6899224806201549E-3</v>
      </c>
      <c r="M286">
        <v>6.3226744186046513E-2</v>
      </c>
      <c r="N286">
        <v>2.955426356589147E-2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2.4224806201550387E-4</v>
      </c>
      <c r="AA286">
        <v>0</v>
      </c>
      <c r="AB286">
        <v>0</v>
      </c>
      <c r="AC286">
        <v>0</v>
      </c>
      <c r="AD286">
        <v>0</v>
      </c>
      <c r="AE286">
        <v>4.8449612403100775E-3</v>
      </c>
      <c r="AF286">
        <v>0</v>
      </c>
      <c r="AG286">
        <v>0</v>
      </c>
      <c r="AH286">
        <v>0</v>
      </c>
      <c r="AI286">
        <v>4.8449612403100775E-3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0.40697674418604646</v>
      </c>
      <c r="AP286">
        <v>0</v>
      </c>
      <c r="AQ286">
        <v>1.4534883720930234E-2</v>
      </c>
      <c r="AR286">
        <v>0</v>
      </c>
      <c r="AS286">
        <v>7.2674418604651162E-4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6.3226744186046513E-2</v>
      </c>
      <c r="BF286">
        <v>0</v>
      </c>
      <c r="BG286">
        <v>0</v>
      </c>
      <c r="BH286">
        <v>0</v>
      </c>
      <c r="BI286">
        <v>1.4534883720930232E-2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0.18410852713178294</v>
      </c>
      <c r="CB286">
        <v>0</v>
      </c>
    </row>
    <row r="287" spans="1:80">
      <c r="A287">
        <v>286</v>
      </c>
      <c r="B287" t="s">
        <v>103</v>
      </c>
      <c r="C287" s="4" t="s">
        <v>176</v>
      </c>
      <c r="D287" s="4" t="s">
        <v>118</v>
      </c>
      <c r="E287" s="5">
        <v>39892</v>
      </c>
      <c r="F287" s="5">
        <v>39892</v>
      </c>
      <c r="G287">
        <v>903</v>
      </c>
      <c r="H287" s="4" t="s">
        <v>110</v>
      </c>
      <c r="I287" s="4" t="s">
        <v>109</v>
      </c>
      <c r="J287" s="4" t="str">
        <f t="shared" si="4"/>
        <v>u_rem.c_rem</v>
      </c>
      <c r="K287" s="5">
        <v>1</v>
      </c>
      <c r="L287" s="1">
        <v>0</v>
      </c>
      <c r="M287" s="1">
        <v>2.9533372711163616E-2</v>
      </c>
      <c r="N287" s="1">
        <v>0.30124040165386884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3.5440047253396341E-2</v>
      </c>
      <c r="Z287" s="1">
        <v>0</v>
      </c>
      <c r="AA287" s="1">
        <v>0</v>
      </c>
      <c r="AB287" s="1">
        <v>0</v>
      </c>
      <c r="AC287" s="1">
        <v>1.1813349084465448E-2</v>
      </c>
      <c r="AD287" s="1">
        <v>0</v>
      </c>
      <c r="AE287" s="1">
        <v>0</v>
      </c>
      <c r="AF287" s="1">
        <v>0</v>
      </c>
      <c r="AG287" s="1">
        <v>0</v>
      </c>
      <c r="AH287" s="1">
        <v>5.9066745422327238E-3</v>
      </c>
      <c r="AI287" s="1">
        <v>6.4973419964559964E-2</v>
      </c>
      <c r="AJ287" s="1">
        <v>0</v>
      </c>
      <c r="AK287" s="1">
        <v>0</v>
      </c>
      <c r="AL287" s="1">
        <v>0</v>
      </c>
      <c r="AM287" s="1">
        <v>0</v>
      </c>
      <c r="AN287" s="1">
        <v>4.8139397519196693E-2</v>
      </c>
      <c r="AO287" s="1">
        <v>1.2108682811577082E-2</v>
      </c>
      <c r="AP287" s="1">
        <v>0</v>
      </c>
      <c r="AQ287" s="1">
        <v>0</v>
      </c>
      <c r="AR287" s="1">
        <v>0</v>
      </c>
      <c r="AS287" s="1">
        <v>1.1813349084465448E-2</v>
      </c>
      <c r="AT287" s="1">
        <v>1.1813349084465448E-2</v>
      </c>
      <c r="AU287" s="1">
        <v>8.2693443591258117E-2</v>
      </c>
      <c r="AV287" s="1">
        <v>0</v>
      </c>
      <c r="AW287" s="1">
        <v>1.772002362669817E-2</v>
      </c>
      <c r="AX287" s="1">
        <v>5.9066745422327238E-3</v>
      </c>
      <c r="AY287" s="1">
        <v>0</v>
      </c>
      <c r="AZ287" s="1">
        <v>0</v>
      </c>
      <c r="BA287" s="1">
        <v>0.13053750738334324</v>
      </c>
      <c r="BB287" s="1">
        <v>0</v>
      </c>
      <c r="BC287" s="1">
        <v>0</v>
      </c>
      <c r="BD287" s="1">
        <v>0</v>
      </c>
      <c r="BE287" s="1">
        <v>0.1476668635558181</v>
      </c>
      <c r="BF287" s="1">
        <v>0</v>
      </c>
      <c r="BG287" s="1">
        <v>0</v>
      </c>
      <c r="BH287" s="1">
        <v>0</v>
      </c>
      <c r="BI287" s="1">
        <v>3.5440047253396334E-2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5.9066745422327238E-3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4.1346721795629059E-2</v>
      </c>
      <c r="CB287" s="1">
        <v>0</v>
      </c>
    </row>
    <row r="288" spans="1:80">
      <c r="A288">
        <v>287</v>
      </c>
      <c r="B288" t="s">
        <v>104</v>
      </c>
      <c r="C288" s="4" t="s">
        <v>176</v>
      </c>
      <c r="D288" s="4" t="s">
        <v>118</v>
      </c>
      <c r="E288" s="5">
        <v>39892</v>
      </c>
      <c r="F288" s="5">
        <v>39892</v>
      </c>
      <c r="G288">
        <v>903</v>
      </c>
      <c r="H288" s="4" t="s">
        <v>110</v>
      </c>
      <c r="I288" s="4" t="s">
        <v>108</v>
      </c>
      <c r="J288" s="4" t="str">
        <f t="shared" si="4"/>
        <v>u_rem.c_con</v>
      </c>
      <c r="K288" s="5">
        <v>8</v>
      </c>
      <c r="L288">
        <v>4.5610034207525657E-3</v>
      </c>
      <c r="M288">
        <v>0.1509692132269099</v>
      </c>
      <c r="N288">
        <v>5.9521094640820983E-2</v>
      </c>
      <c r="O288">
        <v>0</v>
      </c>
      <c r="P288">
        <v>4.5610034207525657E-3</v>
      </c>
      <c r="Q288">
        <v>4.5610034207525657E-3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4.5610034207525657E-3</v>
      </c>
      <c r="AF288">
        <v>0</v>
      </c>
      <c r="AG288">
        <v>0</v>
      </c>
      <c r="AH288">
        <v>4.5610034207525657E-3</v>
      </c>
      <c r="AI288">
        <v>1.3683010262257699E-2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0.17331812998859747</v>
      </c>
      <c r="AP288">
        <v>0</v>
      </c>
      <c r="AQ288">
        <v>3.1927023945267953E-2</v>
      </c>
      <c r="AR288">
        <v>0</v>
      </c>
      <c r="AS288">
        <v>0</v>
      </c>
      <c r="AT288">
        <v>0</v>
      </c>
      <c r="AU288">
        <v>0</v>
      </c>
      <c r="AV288">
        <v>4.5610034207525657E-3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2.2805017103762829E-2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2.2805017103762827E-4</v>
      </c>
      <c r="BQ288">
        <v>4.5610034207525657E-3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4.5610034207525657E-2</v>
      </c>
      <c r="CA288">
        <v>0.30558722919042186</v>
      </c>
      <c r="CB288">
        <v>0</v>
      </c>
    </row>
    <row r="289" spans="1:80">
      <c r="A289">
        <v>288</v>
      </c>
      <c r="B289" t="s">
        <v>105</v>
      </c>
      <c r="C289" s="4" t="s">
        <v>176</v>
      </c>
      <c r="D289" s="4" t="s">
        <v>118</v>
      </c>
      <c r="E289" s="5">
        <v>39892</v>
      </c>
      <c r="F289" s="5">
        <v>39892</v>
      </c>
      <c r="G289">
        <v>903</v>
      </c>
      <c r="H289" s="4" t="s">
        <v>110</v>
      </c>
      <c r="I289" s="4" t="s">
        <v>109</v>
      </c>
      <c r="J289" s="4" t="str">
        <f t="shared" si="4"/>
        <v>u_rem.c_rem</v>
      </c>
      <c r="K289" s="5">
        <v>1</v>
      </c>
      <c r="L289" s="1">
        <v>5.4495912806539534E-3</v>
      </c>
      <c r="M289" s="1">
        <v>5.4495912806539534E-3</v>
      </c>
      <c r="N289" s="1">
        <v>0.1089918256130791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9.8092643051771164E-2</v>
      </c>
      <c r="Z289" s="1">
        <v>0</v>
      </c>
      <c r="AA289" s="1">
        <v>2.1798365122615813E-2</v>
      </c>
      <c r="AB289" s="1">
        <v>0</v>
      </c>
      <c r="AC289" s="1">
        <v>4.359673024523162E-2</v>
      </c>
      <c r="AD289" s="1">
        <v>5.4495912806539523E-2</v>
      </c>
      <c r="AE289" s="1">
        <v>8.1743869209809306E-2</v>
      </c>
      <c r="AF289" s="1">
        <v>0</v>
      </c>
      <c r="AG289" s="1">
        <v>0</v>
      </c>
      <c r="AH289" s="1">
        <v>1.0899182561307907E-2</v>
      </c>
      <c r="AI289" s="1">
        <v>4.9046321525885568E-2</v>
      </c>
      <c r="AJ289" s="1">
        <v>5.4495912806539534E-3</v>
      </c>
      <c r="AK289" s="1">
        <v>0</v>
      </c>
      <c r="AL289" s="1">
        <v>0</v>
      </c>
      <c r="AM289" s="1">
        <v>0</v>
      </c>
      <c r="AN289" s="1">
        <v>0</v>
      </c>
      <c r="AO289" s="1">
        <v>4.9863760217983666E-2</v>
      </c>
      <c r="AP289" s="1">
        <v>0</v>
      </c>
      <c r="AQ289" s="1">
        <v>0</v>
      </c>
      <c r="AR289" s="1">
        <v>0</v>
      </c>
      <c r="AS289" s="1">
        <v>2.7792915531335158E-2</v>
      </c>
      <c r="AT289" s="1">
        <v>0</v>
      </c>
      <c r="AU289" s="1">
        <v>0</v>
      </c>
      <c r="AV289" s="1">
        <v>0</v>
      </c>
      <c r="AW289" s="1">
        <v>3.2697547683923717E-2</v>
      </c>
      <c r="AX289" s="1">
        <v>2.2070844686648508E-2</v>
      </c>
      <c r="AY289" s="1">
        <v>0</v>
      </c>
      <c r="AZ289" s="1">
        <v>0</v>
      </c>
      <c r="BA289" s="1">
        <v>1.7166212534059953E-2</v>
      </c>
      <c r="BB289" s="1">
        <v>0</v>
      </c>
      <c r="BC289" s="1">
        <v>0</v>
      </c>
      <c r="BD289" s="1">
        <v>0</v>
      </c>
      <c r="BE289" s="1">
        <v>0.28337874659400553</v>
      </c>
      <c r="BF289" s="1">
        <v>2.7247956403269761E-4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5.4495912806539534E-3</v>
      </c>
      <c r="BO289" s="1">
        <v>0</v>
      </c>
      <c r="BP289" s="1">
        <v>0</v>
      </c>
      <c r="BQ289" s="1">
        <v>5.4495912806539534E-3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5.4495912806539534E-3</v>
      </c>
      <c r="BY289" s="1">
        <v>0</v>
      </c>
      <c r="BZ289" s="1">
        <v>0</v>
      </c>
      <c r="CA289" s="1">
        <v>6.5395095367847447E-2</v>
      </c>
      <c r="CB289" s="1">
        <v>0</v>
      </c>
    </row>
    <row r="290" spans="1:80">
      <c r="A290">
        <v>289</v>
      </c>
      <c r="B290" t="s">
        <v>35</v>
      </c>
      <c r="C290" s="4" t="s">
        <v>159</v>
      </c>
      <c r="D290" s="4" t="s">
        <v>116</v>
      </c>
      <c r="E290" s="5">
        <v>39934</v>
      </c>
      <c r="F290" s="5">
        <v>39935</v>
      </c>
      <c r="G290">
        <v>905</v>
      </c>
      <c r="H290" s="4" t="s">
        <v>107</v>
      </c>
      <c r="I290" s="4" t="s">
        <v>108</v>
      </c>
      <c r="J290" s="4" t="str">
        <f t="shared" si="4"/>
        <v>u_con.c_con</v>
      </c>
      <c r="K290" s="5">
        <v>19</v>
      </c>
      <c r="L290">
        <v>1.4873574615765987E-2</v>
      </c>
      <c r="M290">
        <v>5.5280118988596923E-2</v>
      </c>
      <c r="N290">
        <v>0.25780862667327714</v>
      </c>
      <c r="O290">
        <v>0</v>
      </c>
      <c r="P290">
        <v>0</v>
      </c>
      <c r="Q290">
        <v>0.1586514625681705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3.4952900347050071E-2</v>
      </c>
      <c r="AA290">
        <v>0</v>
      </c>
      <c r="AB290">
        <v>0</v>
      </c>
      <c r="AC290">
        <v>0</v>
      </c>
      <c r="AD290">
        <v>0</v>
      </c>
      <c r="AE290">
        <v>1.983143282102132E-2</v>
      </c>
      <c r="AF290">
        <v>0</v>
      </c>
      <c r="AG290">
        <v>0</v>
      </c>
      <c r="AH290">
        <v>5.2057511155180966E-3</v>
      </c>
      <c r="AI290">
        <v>3.5200793257312839E-2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2.0327218641546851E-2</v>
      </c>
      <c r="AT290">
        <v>2.4789291026276647E-4</v>
      </c>
      <c r="AU290">
        <v>2.4789291026276647E-4</v>
      </c>
      <c r="AV290">
        <v>0</v>
      </c>
      <c r="AW290">
        <v>9.91571641051066E-3</v>
      </c>
      <c r="AX290">
        <v>4.95785820525533E-3</v>
      </c>
      <c r="AY290">
        <v>0</v>
      </c>
      <c r="AZ290">
        <v>0</v>
      </c>
      <c r="BA290">
        <v>0.11452652454139813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2.5037183936539413E-2</v>
      </c>
      <c r="CA290">
        <v>0.24293505205751106</v>
      </c>
      <c r="CB290">
        <v>0</v>
      </c>
    </row>
    <row r="291" spans="1:80">
      <c r="A291">
        <v>290</v>
      </c>
      <c r="B291" t="s">
        <v>36</v>
      </c>
      <c r="C291" s="4" t="s">
        <v>159</v>
      </c>
      <c r="D291" s="4" t="s">
        <v>116</v>
      </c>
      <c r="E291" s="5">
        <v>39934</v>
      </c>
      <c r="F291" s="5">
        <v>39935</v>
      </c>
      <c r="G291">
        <v>905</v>
      </c>
      <c r="H291" s="4" t="s">
        <v>107</v>
      </c>
      <c r="I291" s="4" t="s">
        <v>109</v>
      </c>
      <c r="J291" s="4" t="str">
        <f t="shared" si="4"/>
        <v>u_con.c_rem</v>
      </c>
      <c r="K291" s="5">
        <v>2</v>
      </c>
      <c r="L291">
        <v>0</v>
      </c>
      <c r="M291">
        <v>2.8729735276010668E-2</v>
      </c>
      <c r="N291">
        <v>0.33654832751898206</v>
      </c>
      <c r="O291">
        <v>2.0726451877693407E-2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0.24625487379437713</v>
      </c>
      <c r="AA291">
        <v>0</v>
      </c>
      <c r="AB291">
        <v>0</v>
      </c>
      <c r="AC291">
        <v>0</v>
      </c>
      <c r="AD291">
        <v>0</v>
      </c>
      <c r="AE291">
        <v>1.6416991586291809E-2</v>
      </c>
      <c r="AF291">
        <v>0</v>
      </c>
      <c r="AG291">
        <v>0</v>
      </c>
      <c r="AH291">
        <v>1.6827416375949106E-2</v>
      </c>
      <c r="AI291">
        <v>3.3244407962240909E-2</v>
      </c>
      <c r="AJ291">
        <v>0</v>
      </c>
      <c r="AK291">
        <v>0</v>
      </c>
      <c r="AL291">
        <v>0</v>
      </c>
      <c r="AM291">
        <v>0</v>
      </c>
      <c r="AN291">
        <v>4.1042478965729523E-4</v>
      </c>
      <c r="AO291">
        <v>0</v>
      </c>
      <c r="AP291">
        <v>0</v>
      </c>
      <c r="AQ291">
        <v>0</v>
      </c>
      <c r="AR291">
        <v>0</v>
      </c>
      <c r="AS291">
        <v>8.4137081879745532E-3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9.0498666119433593E-2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4.1042478965729523E-3</v>
      </c>
      <c r="BZ291">
        <v>1.6827416375949106E-2</v>
      </c>
      <c r="CA291">
        <v>0.18099733223886719</v>
      </c>
      <c r="CB291">
        <v>0</v>
      </c>
    </row>
    <row r="292" spans="1:80">
      <c r="A292">
        <v>291</v>
      </c>
      <c r="B292" t="s">
        <v>37</v>
      </c>
      <c r="C292" s="4" t="s">
        <v>159</v>
      </c>
      <c r="D292" s="4" t="s">
        <v>116</v>
      </c>
      <c r="E292" s="5">
        <v>39934</v>
      </c>
      <c r="F292" s="5">
        <v>39935</v>
      </c>
      <c r="G292">
        <v>905</v>
      </c>
      <c r="H292" s="4" t="s">
        <v>107</v>
      </c>
      <c r="I292" s="4" t="s">
        <v>109</v>
      </c>
      <c r="J292" s="4" t="str">
        <f t="shared" si="4"/>
        <v>u_con.c_rem</v>
      </c>
      <c r="K292" s="5">
        <v>2</v>
      </c>
      <c r="L292">
        <v>0</v>
      </c>
      <c r="M292">
        <v>6.3312469908521921E-2</v>
      </c>
      <c r="N292">
        <v>0.13023591718825231</v>
      </c>
      <c r="O292">
        <v>0</v>
      </c>
      <c r="P292">
        <v>0</v>
      </c>
      <c r="Q292">
        <v>0.32739528165623499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4.8146364949446328E-3</v>
      </c>
      <c r="Y292">
        <v>0</v>
      </c>
      <c r="Z292">
        <v>0.10640346653827638</v>
      </c>
      <c r="AA292">
        <v>0</v>
      </c>
      <c r="AB292">
        <v>0</v>
      </c>
      <c r="AC292">
        <v>2.4073182474723163E-4</v>
      </c>
      <c r="AD292">
        <v>0</v>
      </c>
      <c r="AE292">
        <v>1.4925373134328363E-2</v>
      </c>
      <c r="AF292">
        <v>0</v>
      </c>
      <c r="AG292">
        <v>0</v>
      </c>
      <c r="AH292">
        <v>0</v>
      </c>
      <c r="AI292">
        <v>5.0553683196918643E-3</v>
      </c>
      <c r="AJ292">
        <v>0</v>
      </c>
      <c r="AK292">
        <v>0</v>
      </c>
      <c r="AL292">
        <v>0</v>
      </c>
      <c r="AM292">
        <v>0</v>
      </c>
      <c r="AN292">
        <v>4.8146364949446327E-4</v>
      </c>
      <c r="AO292">
        <v>0</v>
      </c>
      <c r="AP292">
        <v>0</v>
      </c>
      <c r="AQ292">
        <v>0</v>
      </c>
      <c r="AR292">
        <v>0</v>
      </c>
      <c r="AS292">
        <v>1.44439094848339E-2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1.4925373134328363E-2</v>
      </c>
      <c r="CA292">
        <v>0.31776600866634575</v>
      </c>
      <c r="CB292">
        <v>0</v>
      </c>
    </row>
    <row r="293" spans="1:80" s="1" customFormat="1">
      <c r="A293">
        <v>292</v>
      </c>
      <c r="B293" t="s">
        <v>38</v>
      </c>
      <c r="C293" s="4" t="s">
        <v>159</v>
      </c>
      <c r="D293" s="4" t="s">
        <v>116</v>
      </c>
      <c r="E293" s="5">
        <v>39934</v>
      </c>
      <c r="F293" s="5">
        <v>39935</v>
      </c>
      <c r="G293">
        <v>905</v>
      </c>
      <c r="H293" s="4" t="s">
        <v>107</v>
      </c>
      <c r="I293" s="4" t="s">
        <v>108</v>
      </c>
      <c r="J293" s="4" t="str">
        <f t="shared" si="4"/>
        <v>u_con.c_con</v>
      </c>
      <c r="K293" s="5">
        <v>19</v>
      </c>
      <c r="L293">
        <v>0</v>
      </c>
      <c r="M293">
        <v>3.0280830280830284E-2</v>
      </c>
      <c r="N293">
        <v>0.33211233211233204</v>
      </c>
      <c r="O293">
        <v>0</v>
      </c>
      <c r="P293">
        <v>0</v>
      </c>
      <c r="Q293">
        <v>7.3504273504273535E-2</v>
      </c>
      <c r="R293">
        <v>1.4652014652014654E-2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4.8840048840048847E-2</v>
      </c>
      <c r="AA293">
        <v>0</v>
      </c>
      <c r="AB293">
        <v>0</v>
      </c>
      <c r="AC293">
        <v>0</v>
      </c>
      <c r="AD293">
        <v>0</v>
      </c>
      <c r="AE293">
        <v>1.0012210012210015E-2</v>
      </c>
      <c r="AF293">
        <v>0</v>
      </c>
      <c r="AG293">
        <v>0</v>
      </c>
      <c r="AH293">
        <v>9.7680097680097697E-3</v>
      </c>
      <c r="AI293">
        <v>0.10793650793650794</v>
      </c>
      <c r="AJ293">
        <v>0</v>
      </c>
      <c r="AK293">
        <v>0</v>
      </c>
      <c r="AL293">
        <v>0</v>
      </c>
      <c r="AM293">
        <v>0</v>
      </c>
      <c r="AN293">
        <v>1.0012210012210015E-2</v>
      </c>
      <c r="AO293">
        <v>0</v>
      </c>
      <c r="AP293">
        <v>0</v>
      </c>
      <c r="AQ293">
        <v>0</v>
      </c>
      <c r="AR293">
        <v>0</v>
      </c>
      <c r="AS293">
        <v>1.5140415140415144E-2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0.10354090354090356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1.4652014652014655E-2</v>
      </c>
      <c r="CA293">
        <v>0.21489621489621488</v>
      </c>
      <c r="CB293">
        <v>0</v>
      </c>
    </row>
    <row r="294" spans="1:80">
      <c r="A294">
        <v>293</v>
      </c>
      <c r="B294" t="s">
        <v>39</v>
      </c>
      <c r="C294" s="4" t="s">
        <v>160</v>
      </c>
      <c r="D294" s="4" t="s">
        <v>116</v>
      </c>
      <c r="E294" s="5">
        <v>39934</v>
      </c>
      <c r="F294" s="5">
        <v>39935</v>
      </c>
      <c r="G294">
        <v>905</v>
      </c>
      <c r="H294" s="4" t="s">
        <v>110</v>
      </c>
      <c r="I294" s="4" t="s">
        <v>109</v>
      </c>
      <c r="J294" s="4" t="str">
        <f t="shared" si="4"/>
        <v>u_rem.c_rem</v>
      </c>
      <c r="K294" s="5">
        <v>1</v>
      </c>
      <c r="L294">
        <v>0</v>
      </c>
      <c r="M294">
        <v>3.9161934599569217E-4</v>
      </c>
      <c r="N294">
        <v>0.454278441355003</v>
      </c>
      <c r="O294">
        <v>0</v>
      </c>
      <c r="P294">
        <v>0</v>
      </c>
      <c r="Q294">
        <v>1.1748580379870767E-2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3.5833170158605834E-2</v>
      </c>
      <c r="AA294">
        <v>0</v>
      </c>
      <c r="AB294">
        <v>0</v>
      </c>
      <c r="AC294">
        <v>0</v>
      </c>
      <c r="AD294">
        <v>0</v>
      </c>
      <c r="AE294">
        <v>3.9161934599569225E-3</v>
      </c>
      <c r="AF294">
        <v>0</v>
      </c>
      <c r="AG294">
        <v>0</v>
      </c>
      <c r="AH294">
        <v>4.3078128059526139E-3</v>
      </c>
      <c r="AI294">
        <v>8.6156256119052282E-2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1.9580967299784608E-2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0.38378695907577837</v>
      </c>
      <c r="CB294">
        <v>0</v>
      </c>
    </row>
    <row r="295" spans="1:80">
      <c r="A295">
        <v>294</v>
      </c>
      <c r="B295" t="s">
        <v>40</v>
      </c>
      <c r="C295" s="4" t="s">
        <v>160</v>
      </c>
      <c r="D295" s="4" t="s">
        <v>116</v>
      </c>
      <c r="E295" s="5">
        <v>39934</v>
      </c>
      <c r="F295" s="5">
        <v>39935</v>
      </c>
      <c r="G295">
        <v>905</v>
      </c>
      <c r="H295" s="4" t="s">
        <v>110</v>
      </c>
      <c r="I295" s="4" t="s">
        <v>108</v>
      </c>
      <c r="J295" s="4" t="str">
        <f t="shared" si="4"/>
        <v>u_rem.c_con</v>
      </c>
      <c r="K295" s="5">
        <v>8</v>
      </c>
      <c r="L295">
        <v>0</v>
      </c>
      <c r="M295">
        <v>1.6012396694214875E-2</v>
      </c>
      <c r="N295">
        <v>0.29958677685950402</v>
      </c>
      <c r="O295">
        <v>0</v>
      </c>
      <c r="P295">
        <v>0</v>
      </c>
      <c r="Q295">
        <v>0.22210743801652888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2.0919421487603305E-2</v>
      </c>
      <c r="AA295">
        <v>0</v>
      </c>
      <c r="AB295">
        <v>0</v>
      </c>
      <c r="AC295">
        <v>0</v>
      </c>
      <c r="AD295">
        <v>0</v>
      </c>
      <c r="AE295">
        <v>5.1652892561983464E-3</v>
      </c>
      <c r="AF295">
        <v>0</v>
      </c>
      <c r="AG295">
        <v>0</v>
      </c>
      <c r="AH295">
        <v>5.1652892561983464E-3</v>
      </c>
      <c r="AI295">
        <v>3.7190082644628093E-2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5.1652892561983464E-3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6.8181818181818177E-2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1.0330578512396693E-2</v>
      </c>
      <c r="CA295">
        <v>0.30991735537190074</v>
      </c>
      <c r="CB295">
        <v>0</v>
      </c>
    </row>
    <row r="296" spans="1:80">
      <c r="A296">
        <v>295</v>
      </c>
      <c r="B296" t="s">
        <v>41</v>
      </c>
      <c r="C296" s="4" t="s">
        <v>160</v>
      </c>
      <c r="D296" s="4" t="s">
        <v>116</v>
      </c>
      <c r="E296" s="5">
        <v>39934</v>
      </c>
      <c r="F296" s="5">
        <v>39935</v>
      </c>
      <c r="G296">
        <v>905</v>
      </c>
      <c r="H296" s="4" t="s">
        <v>110</v>
      </c>
      <c r="I296" s="4" t="s">
        <v>109</v>
      </c>
      <c r="J296" s="4" t="str">
        <f t="shared" si="4"/>
        <v>u_rem.c_rem</v>
      </c>
      <c r="K296" s="5">
        <v>1</v>
      </c>
      <c r="L296">
        <v>0</v>
      </c>
      <c r="M296">
        <v>1.0660980810234547E-2</v>
      </c>
      <c r="N296">
        <v>0.35536602700781816</v>
      </c>
      <c r="O296">
        <v>0</v>
      </c>
      <c r="P296">
        <v>0</v>
      </c>
      <c r="Q296">
        <v>0.16583747927031511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5.6858564321250915E-2</v>
      </c>
      <c r="Z296">
        <v>3.3167495854063027E-2</v>
      </c>
      <c r="AA296">
        <v>0</v>
      </c>
      <c r="AB296">
        <v>0</v>
      </c>
      <c r="AC296">
        <v>0</v>
      </c>
      <c r="AD296">
        <v>0</v>
      </c>
      <c r="AE296">
        <v>2.3691068467187877E-4</v>
      </c>
      <c r="AF296">
        <v>0</v>
      </c>
      <c r="AG296">
        <v>0</v>
      </c>
      <c r="AH296">
        <v>0</v>
      </c>
      <c r="AI296">
        <v>1.4451551764984607E-2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7.1073205401563631E-4</v>
      </c>
      <c r="AW296">
        <v>0</v>
      </c>
      <c r="AX296">
        <v>0</v>
      </c>
      <c r="AY296">
        <v>0</v>
      </c>
      <c r="AZ296">
        <v>0</v>
      </c>
      <c r="BA296">
        <v>1.8952854773750302E-3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7.1073205401563631E-4</v>
      </c>
      <c r="CA296">
        <v>0.36010424070125568</v>
      </c>
      <c r="CB296">
        <v>0</v>
      </c>
    </row>
    <row r="297" spans="1:80">
      <c r="A297">
        <v>296</v>
      </c>
      <c r="B297" t="s">
        <v>42</v>
      </c>
      <c r="C297" s="4" t="s">
        <v>160</v>
      </c>
      <c r="D297" s="4" t="s">
        <v>116</v>
      </c>
      <c r="E297" s="5">
        <v>39934</v>
      </c>
      <c r="F297" s="5">
        <v>39935</v>
      </c>
      <c r="G297">
        <v>905</v>
      </c>
      <c r="H297" s="4" t="s">
        <v>110</v>
      </c>
      <c r="I297" s="4" t="s">
        <v>108</v>
      </c>
      <c r="J297" s="4" t="str">
        <f t="shared" si="4"/>
        <v>u_rem.c_con</v>
      </c>
      <c r="K297" s="5">
        <v>8</v>
      </c>
      <c r="L297">
        <v>0</v>
      </c>
      <c r="M297">
        <v>4.5900271228875448E-3</v>
      </c>
      <c r="N297">
        <v>0.29209263509284361</v>
      </c>
      <c r="O297">
        <v>0</v>
      </c>
      <c r="P297">
        <v>0</v>
      </c>
      <c r="Q297">
        <v>4.5900271228875448E-3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1.3144168579177971E-2</v>
      </c>
      <c r="AF297">
        <v>0</v>
      </c>
      <c r="AG297">
        <v>0</v>
      </c>
      <c r="AH297">
        <v>1.2726893386188194E-2</v>
      </c>
      <c r="AI297">
        <v>5.049029835176299E-2</v>
      </c>
      <c r="AJ297">
        <v>0</v>
      </c>
      <c r="AK297">
        <v>0</v>
      </c>
      <c r="AL297">
        <v>0</v>
      </c>
      <c r="AM297">
        <v>0.39223868141039026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2.0863759649488837E-2</v>
      </c>
      <c r="AT297">
        <v>4.5900271228875448E-3</v>
      </c>
      <c r="AU297">
        <v>0</v>
      </c>
      <c r="AV297">
        <v>0</v>
      </c>
      <c r="AW297">
        <v>0</v>
      </c>
      <c r="AX297">
        <v>2.0863759649488838E-4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4.1727519298977679E-3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8.3455038597955358E-3</v>
      </c>
      <c r="CA297">
        <v>0.19194658877529733</v>
      </c>
      <c r="CB297">
        <v>0</v>
      </c>
    </row>
    <row r="298" spans="1:80" s="1" customFormat="1">
      <c r="A298">
        <v>297</v>
      </c>
      <c r="B298" t="s">
        <v>43</v>
      </c>
      <c r="C298" s="4" t="s">
        <v>161</v>
      </c>
      <c r="D298" s="4" t="s">
        <v>116</v>
      </c>
      <c r="E298" s="5">
        <v>39934</v>
      </c>
      <c r="F298" s="5">
        <v>39935</v>
      </c>
      <c r="G298">
        <v>905</v>
      </c>
      <c r="H298" s="4" t="s">
        <v>107</v>
      </c>
      <c r="I298" s="4" t="s">
        <v>109</v>
      </c>
      <c r="J298" s="4" t="str">
        <f t="shared" si="4"/>
        <v>u_con.c_rem</v>
      </c>
      <c r="K298" s="5">
        <v>2</v>
      </c>
      <c r="L298">
        <v>0</v>
      </c>
      <c r="M298">
        <v>9.5945605640896506E-2</v>
      </c>
      <c r="N298">
        <v>0.22664316293125156</v>
      </c>
      <c r="O298">
        <v>0</v>
      </c>
      <c r="P298">
        <v>0</v>
      </c>
      <c r="Q298">
        <v>5.03651473180559E-2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0.12591286829513978</v>
      </c>
      <c r="Z298">
        <v>2.0901536136993203E-2</v>
      </c>
      <c r="AA298">
        <v>0</v>
      </c>
      <c r="AB298">
        <v>0</v>
      </c>
      <c r="AC298">
        <v>0</v>
      </c>
      <c r="AD298">
        <v>0</v>
      </c>
      <c r="AE298">
        <v>7.5547720977083856E-4</v>
      </c>
      <c r="AF298">
        <v>0</v>
      </c>
      <c r="AG298">
        <v>0</v>
      </c>
      <c r="AH298">
        <v>5.2883404683958706E-3</v>
      </c>
      <c r="AI298">
        <v>2.5686225132208512E-2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5.5653487786451773E-2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5.0365147318055907E-3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5.0365147318055907E-3</v>
      </c>
      <c r="CA298">
        <v>0.38277511961722482</v>
      </c>
      <c r="CB298">
        <v>0</v>
      </c>
    </row>
    <row r="299" spans="1:80" s="1" customFormat="1">
      <c r="A299">
        <v>298</v>
      </c>
      <c r="B299" t="s">
        <v>44</v>
      </c>
      <c r="C299" s="4" t="s">
        <v>161</v>
      </c>
      <c r="D299" s="4" t="s">
        <v>116</v>
      </c>
      <c r="E299" s="5">
        <v>39934</v>
      </c>
      <c r="F299" s="5">
        <v>39935</v>
      </c>
      <c r="G299">
        <v>905</v>
      </c>
      <c r="H299" s="4" t="s">
        <v>107</v>
      </c>
      <c r="I299" s="4" t="s">
        <v>109</v>
      </c>
      <c r="J299" s="4" t="str">
        <f t="shared" si="4"/>
        <v>u_con.c_rem</v>
      </c>
      <c r="K299" s="5">
        <v>2</v>
      </c>
      <c r="L299">
        <v>0</v>
      </c>
      <c r="M299">
        <v>4.9231454666963687E-2</v>
      </c>
      <c r="N299">
        <v>0.31632880374248168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8.910670527957229E-3</v>
      </c>
      <c r="Z299">
        <v>0.1292047226553798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4.0320784139006458E-2</v>
      </c>
      <c r="AJ299">
        <v>0</v>
      </c>
      <c r="AK299">
        <v>0</v>
      </c>
      <c r="AL299">
        <v>0</v>
      </c>
      <c r="AM299">
        <v>0</v>
      </c>
      <c r="AN299">
        <v>4.4553352639786146E-4</v>
      </c>
      <c r="AO299">
        <v>0</v>
      </c>
      <c r="AP299">
        <v>0</v>
      </c>
      <c r="AQ299">
        <v>0</v>
      </c>
      <c r="AR299">
        <v>0</v>
      </c>
      <c r="AS299">
        <v>1.3588772555134776E-2</v>
      </c>
      <c r="AT299">
        <v>2.2276676319893073E-4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6.6830028959679211E-4</v>
      </c>
      <c r="CA299">
        <v>0.44107819113388291</v>
      </c>
      <c r="CB299">
        <v>0</v>
      </c>
    </row>
    <row r="300" spans="1:80">
      <c r="A300">
        <v>299</v>
      </c>
      <c r="B300" t="s">
        <v>45</v>
      </c>
      <c r="C300" s="4" t="s">
        <v>161</v>
      </c>
      <c r="D300" s="4" t="s">
        <v>116</v>
      </c>
      <c r="E300" s="5">
        <v>39934</v>
      </c>
      <c r="F300" s="5">
        <v>39935</v>
      </c>
      <c r="G300">
        <v>905</v>
      </c>
      <c r="H300" s="4" t="s">
        <v>107</v>
      </c>
      <c r="I300" s="4" t="s">
        <v>108</v>
      </c>
      <c r="J300" s="4" t="str">
        <f t="shared" si="4"/>
        <v>u_con.c_con</v>
      </c>
      <c r="K300" s="5">
        <v>19</v>
      </c>
      <c r="L300">
        <v>0</v>
      </c>
      <c r="M300">
        <v>4.5773195876288662E-2</v>
      </c>
      <c r="N300">
        <v>0.21876288659793811</v>
      </c>
      <c r="O300">
        <v>0</v>
      </c>
      <c r="P300">
        <v>0</v>
      </c>
      <c r="Q300">
        <v>2.0618556701030929E-4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0.28474226804123709</v>
      </c>
      <c r="AA300">
        <v>0</v>
      </c>
      <c r="AB300">
        <v>0</v>
      </c>
      <c r="AC300">
        <v>0</v>
      </c>
      <c r="AD300">
        <v>0</v>
      </c>
      <c r="AE300">
        <v>4.1237113402061857E-3</v>
      </c>
      <c r="AF300">
        <v>0</v>
      </c>
      <c r="AG300">
        <v>0</v>
      </c>
      <c r="AH300">
        <v>0</v>
      </c>
      <c r="AI300">
        <v>4.3298969072164952E-3</v>
      </c>
      <c r="AJ300">
        <v>0</v>
      </c>
      <c r="AK300">
        <v>0</v>
      </c>
      <c r="AL300">
        <v>0</v>
      </c>
      <c r="AM300">
        <v>0</v>
      </c>
      <c r="AN300">
        <v>2.0618556701030929E-4</v>
      </c>
      <c r="AO300">
        <v>0</v>
      </c>
      <c r="AP300">
        <v>0</v>
      </c>
      <c r="AQ300">
        <v>0</v>
      </c>
      <c r="AR300">
        <v>0</v>
      </c>
      <c r="AS300">
        <v>9.0927835051546391E-2</v>
      </c>
      <c r="AT300">
        <v>1.2371134020618558E-2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1.2783505154639177E-2</v>
      </c>
      <c r="CA300">
        <v>0.32164948453608244</v>
      </c>
      <c r="CB300">
        <v>4.1237113402061857E-3</v>
      </c>
    </row>
    <row r="301" spans="1:80">
      <c r="A301">
        <v>300</v>
      </c>
      <c r="B301" t="s">
        <v>46</v>
      </c>
      <c r="C301" s="4" t="s">
        <v>161</v>
      </c>
      <c r="D301" s="4" t="s">
        <v>116</v>
      </c>
      <c r="E301" s="5">
        <v>39934</v>
      </c>
      <c r="F301" s="5">
        <v>39935</v>
      </c>
      <c r="G301">
        <v>905</v>
      </c>
      <c r="H301" s="4" t="s">
        <v>107</v>
      </c>
      <c r="I301" s="4" t="s">
        <v>108</v>
      </c>
      <c r="J301" s="4" t="str">
        <f t="shared" si="4"/>
        <v>u_con.c_con</v>
      </c>
      <c r="K301" s="5">
        <v>19</v>
      </c>
      <c r="L301">
        <v>0</v>
      </c>
      <c r="M301">
        <v>0.10018484288354897</v>
      </c>
      <c r="N301">
        <v>0.40665434380776339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3.6968576709796672E-3</v>
      </c>
      <c r="AA301">
        <v>0</v>
      </c>
      <c r="AB301">
        <v>0</v>
      </c>
      <c r="AC301">
        <v>0</v>
      </c>
      <c r="AD301">
        <v>0</v>
      </c>
      <c r="AE301">
        <v>3.8817005545286509E-3</v>
      </c>
      <c r="AF301">
        <v>0</v>
      </c>
      <c r="AG301">
        <v>0</v>
      </c>
      <c r="AH301">
        <v>1.1090573012939002E-2</v>
      </c>
      <c r="AI301">
        <v>3.3641404805914966E-2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2.9759704251386319E-2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3.8817005545286509E-3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3.752310536044362E-2</v>
      </c>
      <c r="CA301">
        <v>0.35489833641404794</v>
      </c>
      <c r="CB301">
        <v>1.4787430683918669E-2</v>
      </c>
    </row>
    <row r="302" spans="1:80">
      <c r="A302">
        <v>301</v>
      </c>
      <c r="B302" t="s">
        <v>47</v>
      </c>
      <c r="C302" s="4" t="s">
        <v>162</v>
      </c>
      <c r="D302" s="4" t="s">
        <v>116</v>
      </c>
      <c r="E302" s="5">
        <v>39934</v>
      </c>
      <c r="F302" s="5">
        <v>39935</v>
      </c>
      <c r="G302">
        <v>905</v>
      </c>
      <c r="H302" s="4" t="s">
        <v>110</v>
      </c>
      <c r="I302" s="4" t="s">
        <v>108</v>
      </c>
      <c r="J302" s="4" t="str">
        <f t="shared" si="4"/>
        <v>u_rem.c_con</v>
      </c>
      <c r="K302" s="5">
        <v>8</v>
      </c>
      <c r="L302">
        <v>0</v>
      </c>
      <c r="M302">
        <v>0.14524914262658867</v>
      </c>
      <c r="N302">
        <v>0.1694573330643534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4.8618115795844262E-2</v>
      </c>
      <c r="AF302">
        <v>0</v>
      </c>
      <c r="AG302">
        <v>0</v>
      </c>
      <c r="AH302">
        <v>0.18983256001613877</v>
      </c>
      <c r="AI302">
        <v>3.2479322170667742E-2</v>
      </c>
      <c r="AJ302">
        <v>0</v>
      </c>
      <c r="AK302">
        <v>0</v>
      </c>
      <c r="AL302">
        <v>0</v>
      </c>
      <c r="AM302">
        <v>0</v>
      </c>
      <c r="AN302">
        <v>6.0923945935041364E-2</v>
      </c>
      <c r="AO302">
        <v>0</v>
      </c>
      <c r="AP302">
        <v>0</v>
      </c>
      <c r="AQ302">
        <v>0</v>
      </c>
      <c r="AR302">
        <v>0</v>
      </c>
      <c r="AS302">
        <v>3.6514020576961868E-2</v>
      </c>
      <c r="AT302">
        <v>8.0693968125882601E-3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5.7090982449061932E-2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5.0030260238047207E-2</v>
      </c>
      <c r="CA302">
        <v>0.20173492031470641</v>
      </c>
      <c r="CB302">
        <v>0</v>
      </c>
    </row>
    <row r="303" spans="1:80" s="1" customFormat="1">
      <c r="A303">
        <v>302</v>
      </c>
      <c r="B303" t="s">
        <v>48</v>
      </c>
      <c r="C303" s="4" t="s">
        <v>162</v>
      </c>
      <c r="D303" s="4" t="s">
        <v>116</v>
      </c>
      <c r="E303" s="5">
        <v>39934</v>
      </c>
      <c r="F303" s="5">
        <v>39935</v>
      </c>
      <c r="G303">
        <v>905</v>
      </c>
      <c r="H303" s="4" t="s">
        <v>110</v>
      </c>
      <c r="I303" s="4" t="s">
        <v>108</v>
      </c>
      <c r="J303" s="4" t="str">
        <f t="shared" si="4"/>
        <v>u_rem.c_con</v>
      </c>
      <c r="K303" s="5">
        <v>8</v>
      </c>
      <c r="L303">
        <v>0</v>
      </c>
      <c r="M303">
        <v>0.16727716727716724</v>
      </c>
      <c r="N303">
        <v>0.20777370777370771</v>
      </c>
      <c r="O303">
        <v>0</v>
      </c>
      <c r="P303">
        <v>0</v>
      </c>
      <c r="Q303">
        <v>4.0700040700040697E-3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0.17114367114367113</v>
      </c>
      <c r="AA303">
        <v>0</v>
      </c>
      <c r="AB303">
        <v>0</v>
      </c>
      <c r="AC303">
        <v>4.0700040700040697E-3</v>
      </c>
      <c r="AD303">
        <v>0</v>
      </c>
      <c r="AE303">
        <v>0</v>
      </c>
      <c r="AF303">
        <v>0</v>
      </c>
      <c r="AG303">
        <v>0</v>
      </c>
      <c r="AH303">
        <v>5.3113553113553105E-2</v>
      </c>
      <c r="AI303">
        <v>3.2763532763532756E-2</v>
      </c>
      <c r="AJ303">
        <v>4.2735042735042731E-3</v>
      </c>
      <c r="AK303">
        <v>0</v>
      </c>
      <c r="AL303">
        <v>0</v>
      </c>
      <c r="AM303">
        <v>0</v>
      </c>
      <c r="AN303">
        <v>3.0118030118030114E-2</v>
      </c>
      <c r="AO303">
        <v>0</v>
      </c>
      <c r="AP303">
        <v>0</v>
      </c>
      <c r="AQ303">
        <v>0</v>
      </c>
      <c r="AR303">
        <v>0</v>
      </c>
      <c r="AS303">
        <v>8.1400081400081394E-3</v>
      </c>
      <c r="AT303">
        <v>2.5844525844525842E-2</v>
      </c>
      <c r="AU303">
        <v>0</v>
      </c>
      <c r="AV303">
        <v>0</v>
      </c>
      <c r="AW303">
        <v>8.1400081400081394E-3</v>
      </c>
      <c r="AX303">
        <v>0</v>
      </c>
      <c r="AY303">
        <v>0</v>
      </c>
      <c r="AZ303">
        <v>0</v>
      </c>
      <c r="BA303">
        <v>0.1184371184371184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1.0175010175010173E-2</v>
      </c>
      <c r="CA303">
        <v>0.15466015466015465</v>
      </c>
      <c r="CB303">
        <v>0</v>
      </c>
    </row>
    <row r="304" spans="1:80">
      <c r="A304">
        <v>303</v>
      </c>
      <c r="B304" t="s">
        <v>49</v>
      </c>
      <c r="C304" s="4" t="s">
        <v>162</v>
      </c>
      <c r="D304" s="4" t="s">
        <v>116</v>
      </c>
      <c r="E304" s="5">
        <v>39934</v>
      </c>
      <c r="F304" s="5">
        <v>39935</v>
      </c>
      <c r="G304">
        <v>905</v>
      </c>
      <c r="H304" s="4" t="s">
        <v>110</v>
      </c>
      <c r="I304" s="4" t="s">
        <v>109</v>
      </c>
      <c r="J304" s="4" t="str">
        <f t="shared" si="4"/>
        <v>u_rem.c_rem</v>
      </c>
      <c r="K304" s="5">
        <v>1</v>
      </c>
      <c r="L304">
        <v>0</v>
      </c>
      <c r="M304">
        <v>0.26945729911653338</v>
      </c>
      <c r="N304">
        <v>0.18510727808161542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0.10517458981909969</v>
      </c>
      <c r="AA304">
        <v>0</v>
      </c>
      <c r="AB304">
        <v>0</v>
      </c>
      <c r="AC304">
        <v>0</v>
      </c>
      <c r="AD304">
        <v>0</v>
      </c>
      <c r="AE304">
        <v>4.838031131678586E-3</v>
      </c>
      <c r="AF304">
        <v>0</v>
      </c>
      <c r="AG304">
        <v>0</v>
      </c>
      <c r="AH304">
        <v>6.352545225073622E-2</v>
      </c>
      <c r="AI304">
        <v>8.8346655448043755E-3</v>
      </c>
      <c r="AJ304">
        <v>0</v>
      </c>
      <c r="AK304">
        <v>0</v>
      </c>
      <c r="AL304">
        <v>0</v>
      </c>
      <c r="AM304">
        <v>0</v>
      </c>
      <c r="AN304">
        <v>7.3201514514093388E-2</v>
      </c>
      <c r="AO304">
        <v>0</v>
      </c>
      <c r="AP304">
        <v>0</v>
      </c>
      <c r="AQ304">
        <v>0</v>
      </c>
      <c r="AR304">
        <v>0</v>
      </c>
      <c r="AS304">
        <v>8.4139671855279763E-3</v>
      </c>
      <c r="AT304">
        <v>1.1358855700462767E-2</v>
      </c>
      <c r="AU304">
        <v>0</v>
      </c>
      <c r="AV304">
        <v>0</v>
      </c>
      <c r="AW304">
        <v>0</v>
      </c>
      <c r="AX304">
        <v>8.4139671855279763E-3</v>
      </c>
      <c r="AY304">
        <v>0</v>
      </c>
      <c r="AZ304">
        <v>0</v>
      </c>
      <c r="BA304">
        <v>0.11421960454354228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0.14745477492637779</v>
      </c>
      <c r="CB304">
        <v>0</v>
      </c>
    </row>
    <row r="305" spans="1:80">
      <c r="A305">
        <v>304</v>
      </c>
      <c r="B305" t="s">
        <v>50</v>
      </c>
      <c r="C305" s="4" t="s">
        <v>162</v>
      </c>
      <c r="D305" s="4" t="s">
        <v>116</v>
      </c>
      <c r="E305" s="5">
        <v>39934</v>
      </c>
      <c r="F305" s="5">
        <v>39935</v>
      </c>
      <c r="G305">
        <v>905</v>
      </c>
      <c r="H305" s="4" t="s">
        <v>110</v>
      </c>
      <c r="I305" s="4" t="s">
        <v>109</v>
      </c>
      <c r="J305" s="4" t="str">
        <f t="shared" si="4"/>
        <v>u_rem.c_rem</v>
      </c>
      <c r="K305" s="5">
        <v>1</v>
      </c>
      <c r="L305">
        <v>0</v>
      </c>
      <c r="M305">
        <v>0.16351232394366194</v>
      </c>
      <c r="N305">
        <v>0.1584507042253521</v>
      </c>
      <c r="O305">
        <v>0</v>
      </c>
      <c r="P305">
        <v>0</v>
      </c>
      <c r="Q305">
        <v>2.2227112676056336E-2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0.12830105633802813</v>
      </c>
      <c r="AA305">
        <v>0</v>
      </c>
      <c r="AB305">
        <v>0</v>
      </c>
      <c r="AC305">
        <v>0</v>
      </c>
      <c r="AD305">
        <v>0</v>
      </c>
      <c r="AE305">
        <v>4.6214788732394365E-3</v>
      </c>
      <c r="AF305">
        <v>0</v>
      </c>
      <c r="AG305">
        <v>0</v>
      </c>
      <c r="AH305">
        <v>4.6214788732394365E-3</v>
      </c>
      <c r="AI305">
        <v>1.3204225352112676E-2</v>
      </c>
      <c r="AJ305">
        <v>0.13226232394366197</v>
      </c>
      <c r="AK305">
        <v>0</v>
      </c>
      <c r="AL305">
        <v>0</v>
      </c>
      <c r="AM305">
        <v>0</v>
      </c>
      <c r="AN305">
        <v>2.3327464788732395E-2</v>
      </c>
      <c r="AO305">
        <v>0</v>
      </c>
      <c r="AP305">
        <v>0</v>
      </c>
      <c r="AQ305">
        <v>0</v>
      </c>
      <c r="AR305">
        <v>0</v>
      </c>
      <c r="AS305">
        <v>9.2429577464788731E-3</v>
      </c>
      <c r="AT305">
        <v>2.2007042253521125E-4</v>
      </c>
      <c r="AU305">
        <v>1.3204225352112676E-2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4.0052816901408446E-2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6.6021126760563368E-4</v>
      </c>
      <c r="CA305">
        <v>0.27288732394366183</v>
      </c>
      <c r="CB305">
        <v>1.3204225352112676E-2</v>
      </c>
    </row>
    <row r="306" spans="1:80">
      <c r="A306">
        <v>305</v>
      </c>
      <c r="B306" t="s">
        <v>51</v>
      </c>
      <c r="C306" s="4" t="s">
        <v>163</v>
      </c>
      <c r="D306" s="4" t="s">
        <v>116</v>
      </c>
      <c r="E306" s="5">
        <v>39934</v>
      </c>
      <c r="F306" s="5">
        <v>39935</v>
      </c>
      <c r="G306">
        <v>905</v>
      </c>
      <c r="H306" s="4" t="s">
        <v>107</v>
      </c>
      <c r="I306" s="4" t="s">
        <v>109</v>
      </c>
      <c r="J306" s="4" t="str">
        <f t="shared" si="4"/>
        <v>u_con.c_rem</v>
      </c>
      <c r="K306" s="5">
        <v>2</v>
      </c>
      <c r="L306">
        <v>0</v>
      </c>
      <c r="M306">
        <v>1.3308763308763311E-2</v>
      </c>
      <c r="N306">
        <v>0.28665028665028658</v>
      </c>
      <c r="O306">
        <v>0</v>
      </c>
      <c r="P306">
        <v>0</v>
      </c>
      <c r="Q306">
        <v>4.095004095004095E-3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7.3710073710073709E-2</v>
      </c>
      <c r="AA306">
        <v>0</v>
      </c>
      <c r="AB306">
        <v>0</v>
      </c>
      <c r="AC306">
        <v>4.095004095004095E-3</v>
      </c>
      <c r="AD306">
        <v>0</v>
      </c>
      <c r="AE306">
        <v>0</v>
      </c>
      <c r="AF306">
        <v>0</v>
      </c>
      <c r="AG306">
        <v>0</v>
      </c>
      <c r="AH306">
        <v>1.2285012285012286E-2</v>
      </c>
      <c r="AI306">
        <v>3.7264537264537261E-2</v>
      </c>
      <c r="AJ306">
        <v>4.9344799344799344E-2</v>
      </c>
      <c r="AK306">
        <v>0</v>
      </c>
      <c r="AL306">
        <v>0</v>
      </c>
      <c r="AM306">
        <v>0</v>
      </c>
      <c r="AN306">
        <v>5.1187551187551186E-3</v>
      </c>
      <c r="AO306">
        <v>0</v>
      </c>
      <c r="AP306">
        <v>0</v>
      </c>
      <c r="AQ306">
        <v>0</v>
      </c>
      <c r="AR306">
        <v>0</v>
      </c>
      <c r="AS306">
        <v>7.0434070434070434E-2</v>
      </c>
      <c r="AT306">
        <v>4.0950040950040947E-4</v>
      </c>
      <c r="AU306">
        <v>3.6855036855036848E-2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1.3308763308763311E-2</v>
      </c>
      <c r="CA306">
        <v>0.31941031941031933</v>
      </c>
      <c r="CB306">
        <v>7.3710073710073709E-2</v>
      </c>
    </row>
    <row r="307" spans="1:80">
      <c r="A307">
        <v>306</v>
      </c>
      <c r="B307" t="s">
        <v>52</v>
      </c>
      <c r="C307" s="4" t="s">
        <v>163</v>
      </c>
      <c r="D307" s="4" t="s">
        <v>116</v>
      </c>
      <c r="E307" s="5">
        <v>39934</v>
      </c>
      <c r="F307" s="5">
        <v>39935</v>
      </c>
      <c r="G307">
        <v>905</v>
      </c>
      <c r="H307" s="4" t="s">
        <v>107</v>
      </c>
      <c r="I307" s="4" t="s">
        <v>109</v>
      </c>
      <c r="J307" s="4" t="str">
        <f t="shared" si="4"/>
        <v>u_con.c_rem</v>
      </c>
      <c r="K307" s="5">
        <v>2</v>
      </c>
      <c r="L307">
        <v>0</v>
      </c>
      <c r="M307">
        <v>6.500607533414339E-2</v>
      </c>
      <c r="N307">
        <v>0.27541514783313081</v>
      </c>
      <c r="O307">
        <v>0</v>
      </c>
      <c r="P307">
        <v>0</v>
      </c>
      <c r="Q307">
        <v>1.2555690562980967E-2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0.15390846496557312</v>
      </c>
      <c r="AA307">
        <v>0</v>
      </c>
      <c r="AB307">
        <v>0</v>
      </c>
      <c r="AC307">
        <v>0</v>
      </c>
      <c r="AD307">
        <v>0</v>
      </c>
      <c r="AE307">
        <v>1.235317942486837E-2</v>
      </c>
      <c r="AF307">
        <v>0</v>
      </c>
      <c r="AG307">
        <v>0</v>
      </c>
      <c r="AH307">
        <v>0</v>
      </c>
      <c r="AI307">
        <v>3.7059538274605106E-2</v>
      </c>
      <c r="AJ307">
        <v>7.3511543134872431E-2</v>
      </c>
      <c r="AK307">
        <v>0</v>
      </c>
      <c r="AL307">
        <v>0</v>
      </c>
      <c r="AM307">
        <v>0</v>
      </c>
      <c r="AN307">
        <v>5.3665451599837995E-2</v>
      </c>
      <c r="AO307">
        <v>0</v>
      </c>
      <c r="AP307">
        <v>0</v>
      </c>
      <c r="AQ307">
        <v>0</v>
      </c>
      <c r="AR307">
        <v>0</v>
      </c>
      <c r="AS307">
        <v>2.8351559335763468E-2</v>
      </c>
      <c r="AT307">
        <v>0</v>
      </c>
      <c r="AU307">
        <v>2.4301336573511551E-2</v>
      </c>
      <c r="AV307">
        <v>0</v>
      </c>
      <c r="AW307">
        <v>4.0502227622519248E-3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1.2758201701093564E-2</v>
      </c>
      <c r="CA307">
        <v>0.22681247468610771</v>
      </c>
      <c r="CB307">
        <v>2.025111381125962E-2</v>
      </c>
    </row>
    <row r="308" spans="1:80">
      <c r="A308">
        <v>307</v>
      </c>
      <c r="B308" t="s">
        <v>53</v>
      </c>
      <c r="C308" s="4" t="s">
        <v>163</v>
      </c>
      <c r="D308" s="4" t="s">
        <v>116</v>
      </c>
      <c r="E308" s="5">
        <v>39934</v>
      </c>
      <c r="F308" s="5">
        <v>39935</v>
      </c>
      <c r="G308">
        <v>905</v>
      </c>
      <c r="H308" s="4" t="s">
        <v>107</v>
      </c>
      <c r="I308" s="4" t="s">
        <v>108</v>
      </c>
      <c r="J308" s="4" t="str">
        <f t="shared" si="4"/>
        <v>u_con.c_con</v>
      </c>
      <c r="K308" s="5">
        <v>19</v>
      </c>
      <c r="L308">
        <v>0</v>
      </c>
      <c r="M308">
        <v>3.9555270472525127E-2</v>
      </c>
      <c r="N308">
        <v>0.25657472738935211</v>
      </c>
      <c r="O308">
        <v>0</v>
      </c>
      <c r="P308">
        <v>0</v>
      </c>
      <c r="Q308">
        <v>2.1595039555270479E-2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0.15480008552490915</v>
      </c>
      <c r="AA308">
        <v>0</v>
      </c>
      <c r="AB308">
        <v>0</v>
      </c>
      <c r="AC308">
        <v>0</v>
      </c>
      <c r="AD308">
        <v>0</v>
      </c>
      <c r="AE308">
        <v>1.3470173187940993E-2</v>
      </c>
      <c r="AF308">
        <v>0</v>
      </c>
      <c r="AG308">
        <v>0</v>
      </c>
      <c r="AH308">
        <v>9.407740004276249E-3</v>
      </c>
      <c r="AI308">
        <v>4.3190079110540958E-2</v>
      </c>
      <c r="AJ308">
        <v>4.2762454564892034E-2</v>
      </c>
      <c r="AK308">
        <v>0</v>
      </c>
      <c r="AL308">
        <v>0</v>
      </c>
      <c r="AM308">
        <v>0</v>
      </c>
      <c r="AN308">
        <v>1.8174043190079116E-2</v>
      </c>
      <c r="AO308">
        <v>0</v>
      </c>
      <c r="AP308">
        <v>0</v>
      </c>
      <c r="AQ308">
        <v>0</v>
      </c>
      <c r="AR308">
        <v>0</v>
      </c>
      <c r="AS308">
        <v>1.7960230917254655E-2</v>
      </c>
      <c r="AT308">
        <v>4.4900577293136637E-3</v>
      </c>
      <c r="AU308">
        <v>1.3256360915116533E-2</v>
      </c>
      <c r="AV308">
        <v>0</v>
      </c>
      <c r="AW308">
        <v>4.2762454564892038E-3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3.5492837288860386E-2</v>
      </c>
      <c r="CA308">
        <v>0.3249946546931794</v>
      </c>
      <c r="CB308">
        <v>0</v>
      </c>
    </row>
    <row r="309" spans="1:80">
      <c r="A309">
        <v>308</v>
      </c>
      <c r="B309" t="s">
        <v>54</v>
      </c>
      <c r="C309" s="4" t="s">
        <v>163</v>
      </c>
      <c r="D309" s="4" t="s">
        <v>116</v>
      </c>
      <c r="E309" s="5">
        <v>39934</v>
      </c>
      <c r="F309" s="5">
        <v>39935</v>
      </c>
      <c r="G309">
        <v>905</v>
      </c>
      <c r="H309" s="4" t="s">
        <v>107</v>
      </c>
      <c r="I309" s="4" t="s">
        <v>108</v>
      </c>
      <c r="J309" s="4" t="str">
        <f t="shared" si="4"/>
        <v>u_con.c_con</v>
      </c>
      <c r="K309" s="5">
        <v>19</v>
      </c>
      <c r="L309">
        <v>0</v>
      </c>
      <c r="M309">
        <v>2.6666666666666668E-2</v>
      </c>
      <c r="N309">
        <v>0.122962962962963</v>
      </c>
      <c r="O309">
        <v>0</v>
      </c>
      <c r="P309">
        <v>0</v>
      </c>
      <c r="Q309">
        <v>6.4550264550264552E-2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0.31386243386243384</v>
      </c>
      <c r="AA309">
        <v>0</v>
      </c>
      <c r="AB309">
        <v>0</v>
      </c>
      <c r="AC309">
        <v>4.2328042328042331E-3</v>
      </c>
      <c r="AD309">
        <v>0</v>
      </c>
      <c r="AE309">
        <v>0</v>
      </c>
      <c r="AF309">
        <v>0</v>
      </c>
      <c r="AG309">
        <v>0</v>
      </c>
      <c r="AH309">
        <v>8.4656084656084662E-3</v>
      </c>
      <c r="AI309">
        <v>4.4444444444444444E-3</v>
      </c>
      <c r="AJ309">
        <v>0</v>
      </c>
      <c r="AK309">
        <v>0</v>
      </c>
      <c r="AL309">
        <v>0</v>
      </c>
      <c r="AM309">
        <v>0</v>
      </c>
      <c r="AN309">
        <v>3.4074074074074069E-2</v>
      </c>
      <c r="AO309">
        <v>0</v>
      </c>
      <c r="AP309">
        <v>0</v>
      </c>
      <c r="AQ309">
        <v>0</v>
      </c>
      <c r="AR309">
        <v>0</v>
      </c>
      <c r="AS309">
        <v>2.6243386243386242E-2</v>
      </c>
      <c r="AT309">
        <v>0</v>
      </c>
      <c r="AU309">
        <v>8.4656084656084662E-3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2.2010582010582012E-2</v>
      </c>
      <c r="CA309">
        <v>0.36402116402116408</v>
      </c>
      <c r="CB309">
        <v>0</v>
      </c>
    </row>
    <row r="310" spans="1:80">
      <c r="A310">
        <v>309</v>
      </c>
      <c r="B310" t="s">
        <v>55</v>
      </c>
      <c r="C310" s="4" t="s">
        <v>164</v>
      </c>
      <c r="D310" s="4" t="s">
        <v>116</v>
      </c>
      <c r="E310" s="5">
        <v>39934</v>
      </c>
      <c r="F310" s="5">
        <v>39935</v>
      </c>
      <c r="G310">
        <v>905</v>
      </c>
      <c r="H310" s="4" t="s">
        <v>110</v>
      </c>
      <c r="I310" s="4" t="s">
        <v>108</v>
      </c>
      <c r="J310" s="4" t="str">
        <f t="shared" si="4"/>
        <v>u_rem.c_con</v>
      </c>
      <c r="K310" s="5">
        <v>8</v>
      </c>
      <c r="L310">
        <v>0</v>
      </c>
      <c r="M310">
        <v>2.0989505247376312E-2</v>
      </c>
      <c r="N310">
        <v>0.14992503748125938</v>
      </c>
      <c r="O310">
        <v>0</v>
      </c>
      <c r="P310">
        <v>0</v>
      </c>
      <c r="Q310">
        <v>6.4967516241879061E-2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1.5992003998001002E-2</v>
      </c>
      <c r="AF310">
        <v>0</v>
      </c>
      <c r="AG310">
        <v>0</v>
      </c>
      <c r="AH310">
        <v>4.9975012493753126E-3</v>
      </c>
      <c r="AI310">
        <v>0</v>
      </c>
      <c r="AJ310">
        <v>0</v>
      </c>
      <c r="AK310">
        <v>0</v>
      </c>
      <c r="AL310">
        <v>0.14017991004497751</v>
      </c>
      <c r="AM310">
        <v>0</v>
      </c>
      <c r="AN310">
        <v>3.1234382808595699E-2</v>
      </c>
      <c r="AO310">
        <v>0</v>
      </c>
      <c r="AP310">
        <v>0</v>
      </c>
      <c r="AQ310">
        <v>0</v>
      </c>
      <c r="AR310">
        <v>0</v>
      </c>
      <c r="AS310">
        <v>4.6226886556721629E-2</v>
      </c>
      <c r="AT310">
        <v>0</v>
      </c>
      <c r="AU310">
        <v>4.9975012493753126E-3</v>
      </c>
      <c r="AV310">
        <v>0</v>
      </c>
      <c r="AW310">
        <v>4.9975012493753126E-3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7.4962518740629672E-4</v>
      </c>
      <c r="CA310">
        <v>0.51474262868565712</v>
      </c>
      <c r="CB310">
        <v>0</v>
      </c>
    </row>
    <row r="311" spans="1:80">
      <c r="A311">
        <v>310</v>
      </c>
      <c r="B311" t="s">
        <v>56</v>
      </c>
      <c r="C311" s="4" t="s">
        <v>164</v>
      </c>
      <c r="D311" s="4" t="s">
        <v>116</v>
      </c>
      <c r="E311" s="5">
        <v>39934</v>
      </c>
      <c r="F311" s="5">
        <v>39935</v>
      </c>
      <c r="G311">
        <v>905</v>
      </c>
      <c r="H311" s="4" t="s">
        <v>110</v>
      </c>
      <c r="I311" s="4" t="s">
        <v>109</v>
      </c>
      <c r="J311" s="4" t="str">
        <f t="shared" si="4"/>
        <v>u_rem.c_rem</v>
      </c>
      <c r="K311" s="5">
        <v>1</v>
      </c>
      <c r="L311">
        <v>0</v>
      </c>
      <c r="M311">
        <v>8.0927974103048284E-4</v>
      </c>
      <c r="N311">
        <v>0.19989209603452929</v>
      </c>
      <c r="O311">
        <v>0</v>
      </c>
      <c r="P311">
        <v>0</v>
      </c>
      <c r="Q311">
        <v>9.1988130563798232E-2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4.855678446182897E-2</v>
      </c>
      <c r="Z311">
        <v>0.10277852711087132</v>
      </c>
      <c r="AA311">
        <v>0</v>
      </c>
      <c r="AB311">
        <v>0</v>
      </c>
      <c r="AC311">
        <v>0</v>
      </c>
      <c r="AD311">
        <v>0</v>
      </c>
      <c r="AE311">
        <v>1.1329916374426761E-2</v>
      </c>
      <c r="AF311">
        <v>0</v>
      </c>
      <c r="AG311">
        <v>0</v>
      </c>
      <c r="AH311">
        <v>3.2910709468572968E-2</v>
      </c>
      <c r="AI311">
        <v>1.1329916374426761E-2</v>
      </c>
      <c r="AJ311">
        <v>0</v>
      </c>
      <c r="AK311">
        <v>0</v>
      </c>
      <c r="AL311">
        <v>3.803614782843269E-2</v>
      </c>
      <c r="AM311">
        <v>0</v>
      </c>
      <c r="AN311">
        <v>1.2678715942810899E-2</v>
      </c>
      <c r="AO311">
        <v>0</v>
      </c>
      <c r="AP311">
        <v>0</v>
      </c>
      <c r="AQ311">
        <v>0</v>
      </c>
      <c r="AR311">
        <v>0</v>
      </c>
      <c r="AS311">
        <v>4.9096304289182623E-2</v>
      </c>
      <c r="AT311">
        <v>2.6975991367682761E-4</v>
      </c>
      <c r="AU311">
        <v>5.3951982735365531E-3</v>
      </c>
      <c r="AV311">
        <v>0</v>
      </c>
      <c r="AW311">
        <v>1.0790396547073106E-2</v>
      </c>
      <c r="AX311">
        <v>0</v>
      </c>
      <c r="AY311">
        <v>0</v>
      </c>
      <c r="AZ311">
        <v>0</v>
      </c>
      <c r="BA311">
        <v>5.3951982735365531E-3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2.6975991367682761E-4</v>
      </c>
      <c r="BZ311">
        <v>2.2390072835176696E-2</v>
      </c>
      <c r="CA311">
        <v>0.3345022929592662</v>
      </c>
      <c r="CB311">
        <v>2.1580793094146213E-2</v>
      </c>
    </row>
    <row r="312" spans="1:80">
      <c r="A312">
        <v>311</v>
      </c>
      <c r="B312" t="s">
        <v>57</v>
      </c>
      <c r="C312" s="4" t="s">
        <v>164</v>
      </c>
      <c r="D312" s="4" t="s">
        <v>116</v>
      </c>
      <c r="E312" s="5">
        <v>39934</v>
      </c>
      <c r="F312" s="5">
        <v>39935</v>
      </c>
      <c r="G312">
        <v>905</v>
      </c>
      <c r="H312" s="4" t="s">
        <v>110</v>
      </c>
      <c r="I312" s="4" t="s">
        <v>108</v>
      </c>
      <c r="J312" s="4" t="str">
        <f t="shared" si="4"/>
        <v>u_rem.c_con</v>
      </c>
      <c r="K312" s="5">
        <v>8</v>
      </c>
      <c r="L312">
        <v>0</v>
      </c>
      <c r="M312">
        <v>3.380222548813773E-2</v>
      </c>
      <c r="N312">
        <v>0.17216040310728534</v>
      </c>
      <c r="O312">
        <v>0</v>
      </c>
      <c r="P312">
        <v>0</v>
      </c>
      <c r="Q312">
        <v>3.380222548813773E-2</v>
      </c>
      <c r="R312">
        <v>0</v>
      </c>
      <c r="S312">
        <v>0</v>
      </c>
      <c r="T312">
        <v>0</v>
      </c>
      <c r="U312">
        <v>2.0995171110644553E-4</v>
      </c>
      <c r="V312">
        <v>0</v>
      </c>
      <c r="W312">
        <v>2.0995171110644553E-4</v>
      </c>
      <c r="X312">
        <v>6.298551333193366E-4</v>
      </c>
      <c r="Y312">
        <v>2.5194205332773469E-2</v>
      </c>
      <c r="Z312">
        <v>0.10497585555322277</v>
      </c>
      <c r="AA312">
        <v>0</v>
      </c>
      <c r="AB312">
        <v>0</v>
      </c>
      <c r="AC312">
        <v>0</v>
      </c>
      <c r="AD312">
        <v>0</v>
      </c>
      <c r="AE312">
        <v>1.7006088599622091E-2</v>
      </c>
      <c r="AF312">
        <v>0</v>
      </c>
      <c r="AG312">
        <v>0</v>
      </c>
      <c r="AH312">
        <v>1.6796136888515643E-2</v>
      </c>
      <c r="AI312">
        <v>1.2807054377493179E-2</v>
      </c>
      <c r="AJ312">
        <v>0</v>
      </c>
      <c r="AK312">
        <v>0</v>
      </c>
      <c r="AL312">
        <v>2.9603191266008824E-2</v>
      </c>
      <c r="AM312">
        <v>0</v>
      </c>
      <c r="AN312">
        <v>9.0279235775771599E-3</v>
      </c>
      <c r="AO312">
        <v>0</v>
      </c>
      <c r="AP312">
        <v>0</v>
      </c>
      <c r="AQ312">
        <v>0</v>
      </c>
      <c r="AR312">
        <v>0</v>
      </c>
      <c r="AS312">
        <v>2.9813142977115265E-2</v>
      </c>
      <c r="AT312">
        <v>4.1990342221289107E-4</v>
      </c>
      <c r="AU312">
        <v>8.6080201553642675E-3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8.3980684442578214E-3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4.1990342221289107E-3</v>
      </c>
      <c r="BX312">
        <v>0</v>
      </c>
      <c r="BY312">
        <v>0</v>
      </c>
      <c r="BZ312">
        <v>2.2044929666176782E-2</v>
      </c>
      <c r="CA312">
        <v>0.47029183287843795</v>
      </c>
      <c r="CB312">
        <v>0</v>
      </c>
    </row>
    <row r="313" spans="1:80">
      <c r="A313">
        <v>312</v>
      </c>
      <c r="B313" t="s">
        <v>58</v>
      </c>
      <c r="C313" s="4" t="s">
        <v>164</v>
      </c>
      <c r="D313" s="4" t="s">
        <v>116</v>
      </c>
      <c r="E313" s="5">
        <v>39934</v>
      </c>
      <c r="F313" s="5">
        <v>39935</v>
      </c>
      <c r="G313">
        <v>905</v>
      </c>
      <c r="H313" s="4" t="s">
        <v>110</v>
      </c>
      <c r="I313" s="4" t="s">
        <v>109</v>
      </c>
      <c r="J313" s="4" t="str">
        <f t="shared" si="4"/>
        <v>u_rem.c_rem</v>
      </c>
      <c r="K313" s="5">
        <v>1</v>
      </c>
      <c r="L313">
        <v>0</v>
      </c>
      <c r="M313">
        <v>8.3073727933541033E-3</v>
      </c>
      <c r="N313">
        <v>0.14122533748701976</v>
      </c>
      <c r="O313">
        <v>0</v>
      </c>
      <c r="P313">
        <v>0</v>
      </c>
      <c r="Q313">
        <v>5.8359293873312588E-2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0.13333333333333336</v>
      </c>
      <c r="AA313">
        <v>0</v>
      </c>
      <c r="AB313">
        <v>0</v>
      </c>
      <c r="AC313">
        <v>0</v>
      </c>
      <c r="AD313">
        <v>0</v>
      </c>
      <c r="AE313">
        <v>3.343717549325026E-2</v>
      </c>
      <c r="AF313">
        <v>0</v>
      </c>
      <c r="AG313">
        <v>0</v>
      </c>
      <c r="AH313">
        <v>0</v>
      </c>
      <c r="AI313">
        <v>1.2668743509865009E-2</v>
      </c>
      <c r="AJ313">
        <v>0</v>
      </c>
      <c r="AK313">
        <v>0</v>
      </c>
      <c r="AL313">
        <v>0</v>
      </c>
      <c r="AM313">
        <v>0</v>
      </c>
      <c r="AN313">
        <v>9.7611630321910725E-3</v>
      </c>
      <c r="AO313">
        <v>0</v>
      </c>
      <c r="AP313">
        <v>0</v>
      </c>
      <c r="AQ313">
        <v>0</v>
      </c>
      <c r="AR313">
        <v>0</v>
      </c>
      <c r="AS313">
        <v>2.9075804776739361E-2</v>
      </c>
      <c r="AT313">
        <v>0</v>
      </c>
      <c r="AU313">
        <v>2.1183800623052963E-2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8.3073727933541033E-3</v>
      </c>
      <c r="BZ313">
        <v>2.076843198338526E-4</v>
      </c>
      <c r="CA313">
        <v>0.53997923156801653</v>
      </c>
      <c r="CB313">
        <v>4.1536863966770516E-3</v>
      </c>
    </row>
    <row r="314" spans="1:80">
      <c r="A314">
        <v>313</v>
      </c>
      <c r="B314" t="s">
        <v>59</v>
      </c>
      <c r="C314" s="4" t="s">
        <v>165</v>
      </c>
      <c r="D314" s="4" t="s">
        <v>117</v>
      </c>
      <c r="E314" s="5">
        <v>39935</v>
      </c>
      <c r="F314" s="5">
        <v>39935</v>
      </c>
      <c r="G314">
        <v>905</v>
      </c>
      <c r="H314" s="4" t="s">
        <v>107</v>
      </c>
      <c r="I314" s="4" t="s">
        <v>109</v>
      </c>
      <c r="J314" s="4" t="str">
        <f t="shared" si="4"/>
        <v>u_con.c_rem</v>
      </c>
      <c r="K314" s="5">
        <v>2</v>
      </c>
      <c r="L314">
        <v>0</v>
      </c>
      <c r="M314">
        <v>0.13621418506341004</v>
      </c>
      <c r="N314">
        <v>0.11319868482855797</v>
      </c>
      <c r="O314">
        <v>0</v>
      </c>
      <c r="P314">
        <v>1.4091122592766552E-2</v>
      </c>
      <c r="Q314">
        <v>6.5758572099577237E-2</v>
      </c>
      <c r="R314">
        <v>0.13151714419915447</v>
      </c>
      <c r="S314">
        <v>0</v>
      </c>
      <c r="T314">
        <v>0</v>
      </c>
      <c r="U314">
        <v>7.0455612963832759E-4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9.6289337717238126E-3</v>
      </c>
      <c r="AD314">
        <v>0</v>
      </c>
      <c r="AE314">
        <v>5.8713010803193967E-3</v>
      </c>
      <c r="AF314">
        <v>0</v>
      </c>
      <c r="AG314">
        <v>0</v>
      </c>
      <c r="AH314">
        <v>0</v>
      </c>
      <c r="AI314">
        <v>9.6289337717238126E-3</v>
      </c>
      <c r="AJ314">
        <v>0.14584311883513384</v>
      </c>
      <c r="AK314">
        <v>0</v>
      </c>
      <c r="AL314">
        <v>4.6970408642555183E-3</v>
      </c>
      <c r="AM314">
        <v>0</v>
      </c>
      <c r="AN314">
        <v>9.6289337717238126E-3</v>
      </c>
      <c r="AO314">
        <v>0</v>
      </c>
      <c r="AP314">
        <v>0</v>
      </c>
      <c r="AQ314">
        <v>0</v>
      </c>
      <c r="AR314">
        <v>0</v>
      </c>
      <c r="AS314">
        <v>9.8637858149365886E-3</v>
      </c>
      <c r="AT314">
        <v>2.3485204321277588E-4</v>
      </c>
      <c r="AU314">
        <v>0</v>
      </c>
      <c r="AV314">
        <v>0</v>
      </c>
      <c r="AW314">
        <v>9.3940817285110365E-3</v>
      </c>
      <c r="AX314">
        <v>4.6970408642555183E-3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1.4325974635979332E-2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4.6970408642555183E-3</v>
      </c>
      <c r="BZ314">
        <v>9.3940817285110365E-3</v>
      </c>
      <c r="CA314">
        <v>0.30061061531235306</v>
      </c>
      <c r="CB314">
        <v>0</v>
      </c>
    </row>
    <row r="315" spans="1:80">
      <c r="A315">
        <v>314</v>
      </c>
      <c r="B315" t="s">
        <v>60</v>
      </c>
      <c r="C315" s="4" t="s">
        <v>165</v>
      </c>
      <c r="D315" s="4" t="s">
        <v>117</v>
      </c>
      <c r="E315" s="5">
        <v>39935</v>
      </c>
      <c r="F315" s="5">
        <v>39935</v>
      </c>
      <c r="G315">
        <v>905</v>
      </c>
      <c r="H315" s="4" t="s">
        <v>107</v>
      </c>
      <c r="I315" s="4" t="s">
        <v>108</v>
      </c>
      <c r="J315" s="4" t="str">
        <f t="shared" si="4"/>
        <v>u_con.c_con</v>
      </c>
      <c r="K315" s="5">
        <v>19</v>
      </c>
      <c r="L315">
        <v>0</v>
      </c>
      <c r="M315">
        <v>0.44198895027624313</v>
      </c>
      <c r="N315">
        <v>3.7523020257826882E-2</v>
      </c>
      <c r="O315">
        <v>0</v>
      </c>
      <c r="P315">
        <v>0</v>
      </c>
      <c r="Q315">
        <v>7.3895027624309398E-2</v>
      </c>
      <c r="R315">
        <v>8.7937384898710849E-2</v>
      </c>
      <c r="S315">
        <v>0</v>
      </c>
      <c r="T315">
        <v>1.4042357274401474E-2</v>
      </c>
      <c r="U315">
        <v>2.3020257826887659E-4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4.6040515653775317E-3</v>
      </c>
      <c r="AD315">
        <v>0</v>
      </c>
      <c r="AE315">
        <v>1.4502762430939228E-2</v>
      </c>
      <c r="AF315">
        <v>0</v>
      </c>
      <c r="AG315">
        <v>0</v>
      </c>
      <c r="AH315">
        <v>2.3020257826887659E-4</v>
      </c>
      <c r="AI315">
        <v>6.906077348066297E-4</v>
      </c>
      <c r="AJ315">
        <v>1.8416206261510127E-2</v>
      </c>
      <c r="AK315">
        <v>0</v>
      </c>
      <c r="AL315">
        <v>5.547882136279926E-2</v>
      </c>
      <c r="AM315">
        <v>0</v>
      </c>
      <c r="AN315">
        <v>5.0644567219152855E-3</v>
      </c>
      <c r="AO315">
        <v>0</v>
      </c>
      <c r="AP315">
        <v>0</v>
      </c>
      <c r="AQ315">
        <v>0</v>
      </c>
      <c r="AR315">
        <v>0</v>
      </c>
      <c r="AS315">
        <v>1.4042357274401474E-2</v>
      </c>
      <c r="AT315">
        <v>0</v>
      </c>
      <c r="AU315">
        <v>0</v>
      </c>
      <c r="AV315">
        <v>0</v>
      </c>
      <c r="AW315">
        <v>2.3020257826887659E-4</v>
      </c>
      <c r="AX315">
        <v>5.0644567219152855E-3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9.2081031307550635E-3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4.6040515653775317E-3</v>
      </c>
      <c r="BP315">
        <v>0</v>
      </c>
      <c r="BQ315">
        <v>0</v>
      </c>
      <c r="BR315">
        <v>4.8342541436464086E-3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1.4042357274401474E-2</v>
      </c>
      <c r="CA315">
        <v>0.1933701657458563</v>
      </c>
      <c r="CB315">
        <v>0</v>
      </c>
    </row>
    <row r="316" spans="1:80">
      <c r="A316">
        <v>315</v>
      </c>
      <c r="B316" t="s">
        <v>61</v>
      </c>
      <c r="C316" s="4" t="s">
        <v>165</v>
      </c>
      <c r="D316" s="4" t="s">
        <v>117</v>
      </c>
      <c r="E316" s="5">
        <v>39935</v>
      </c>
      <c r="F316" s="5">
        <v>39935</v>
      </c>
      <c r="G316">
        <v>905</v>
      </c>
      <c r="H316" s="4" t="s">
        <v>107</v>
      </c>
      <c r="I316" s="4" t="s">
        <v>109</v>
      </c>
      <c r="J316" s="4" t="str">
        <f t="shared" si="4"/>
        <v>u_con.c_rem</v>
      </c>
      <c r="K316" s="5">
        <v>2</v>
      </c>
      <c r="L316">
        <v>0</v>
      </c>
      <c r="M316">
        <v>0.258762322015334</v>
      </c>
      <c r="N316">
        <v>0.12677984665936473</v>
      </c>
      <c r="O316">
        <v>0</v>
      </c>
      <c r="P316">
        <v>0</v>
      </c>
      <c r="Q316">
        <v>0.11610076670317632</v>
      </c>
      <c r="R316">
        <v>6.051478641840087E-2</v>
      </c>
      <c r="S316">
        <v>0</v>
      </c>
      <c r="T316">
        <v>1.0952902519167579E-2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5.4764512595837896E-3</v>
      </c>
      <c r="AD316">
        <v>0</v>
      </c>
      <c r="AE316">
        <v>1.1774370208105149E-2</v>
      </c>
      <c r="AF316">
        <v>0</v>
      </c>
      <c r="AG316">
        <v>0</v>
      </c>
      <c r="AH316">
        <v>2.7382256297918948E-4</v>
      </c>
      <c r="AI316">
        <v>1.7250821467688939E-2</v>
      </c>
      <c r="AJ316">
        <v>6.6265060240963847E-2</v>
      </c>
      <c r="AK316">
        <v>0</v>
      </c>
      <c r="AL316">
        <v>0</v>
      </c>
      <c r="AM316">
        <v>0</v>
      </c>
      <c r="AN316">
        <v>6.024096385542169E-3</v>
      </c>
      <c r="AO316">
        <v>0</v>
      </c>
      <c r="AP316">
        <v>0</v>
      </c>
      <c r="AQ316">
        <v>0</v>
      </c>
      <c r="AR316">
        <v>0</v>
      </c>
      <c r="AS316">
        <v>5.4764512595837896E-4</v>
      </c>
      <c r="AT316">
        <v>6.5717415115005484E-3</v>
      </c>
      <c r="AU316">
        <v>0</v>
      </c>
      <c r="AV316">
        <v>0</v>
      </c>
      <c r="AW316">
        <v>0</v>
      </c>
      <c r="AX316">
        <v>2.1905805038335158E-2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2.7382256297918948E-4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0.29052573932092002</v>
      </c>
      <c r="CB316">
        <v>0</v>
      </c>
    </row>
    <row r="317" spans="1:80">
      <c r="A317">
        <v>316</v>
      </c>
      <c r="B317" t="s">
        <v>62</v>
      </c>
      <c r="C317" s="4" t="s">
        <v>165</v>
      </c>
      <c r="D317" s="4" t="s">
        <v>117</v>
      </c>
      <c r="E317" s="5">
        <v>39935</v>
      </c>
      <c r="F317" s="5">
        <v>39935</v>
      </c>
      <c r="G317">
        <v>905</v>
      </c>
      <c r="H317" s="4" t="s">
        <v>107</v>
      </c>
      <c r="I317" s="4" t="s">
        <v>108</v>
      </c>
      <c r="J317" s="4" t="str">
        <f t="shared" si="4"/>
        <v>u_con.c_con</v>
      </c>
      <c r="K317" s="5">
        <v>19</v>
      </c>
      <c r="L317">
        <v>0</v>
      </c>
      <c r="M317">
        <v>9.5495495495495505E-2</v>
      </c>
      <c r="N317">
        <v>0.1621621621621622</v>
      </c>
      <c r="O317">
        <v>4.5045045045045045E-3</v>
      </c>
      <c r="P317">
        <v>0</v>
      </c>
      <c r="Q317">
        <v>9.9324324324324337E-2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9.45945945945946E-3</v>
      </c>
      <c r="Y317">
        <v>0</v>
      </c>
      <c r="Z317">
        <v>2.2522522522522523E-4</v>
      </c>
      <c r="AA317">
        <v>0</v>
      </c>
      <c r="AB317">
        <v>0</v>
      </c>
      <c r="AC317">
        <v>0</v>
      </c>
      <c r="AD317">
        <v>0</v>
      </c>
      <c r="AE317">
        <v>2.3198198198198201E-2</v>
      </c>
      <c r="AF317">
        <v>0</v>
      </c>
      <c r="AG317">
        <v>0</v>
      </c>
      <c r="AH317">
        <v>1.3738738738738741E-2</v>
      </c>
      <c r="AI317">
        <v>1.8018018018018018E-2</v>
      </c>
      <c r="AJ317">
        <v>0</v>
      </c>
      <c r="AK317">
        <v>0</v>
      </c>
      <c r="AL317">
        <v>6.8018018018018017E-2</v>
      </c>
      <c r="AM317">
        <v>0</v>
      </c>
      <c r="AN317">
        <v>1.9144144144144146E-2</v>
      </c>
      <c r="AO317">
        <v>0</v>
      </c>
      <c r="AP317">
        <v>0</v>
      </c>
      <c r="AQ317">
        <v>0</v>
      </c>
      <c r="AR317">
        <v>0</v>
      </c>
      <c r="AS317">
        <v>9.0090090090090089E-3</v>
      </c>
      <c r="AT317">
        <v>2.2522522522522523E-4</v>
      </c>
      <c r="AU317">
        <v>0</v>
      </c>
      <c r="AV317">
        <v>0</v>
      </c>
      <c r="AW317">
        <v>0</v>
      </c>
      <c r="AX317">
        <v>9.0090090090090089E-3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0.46846846846846851</v>
      </c>
      <c r="CB317">
        <v>0</v>
      </c>
    </row>
    <row r="318" spans="1:80">
      <c r="A318">
        <v>317</v>
      </c>
      <c r="B318" t="s">
        <v>106</v>
      </c>
      <c r="C318" s="4" t="s">
        <v>166</v>
      </c>
      <c r="D318" s="4" t="s">
        <v>117</v>
      </c>
      <c r="E318" s="5">
        <v>39935</v>
      </c>
      <c r="F318" s="5">
        <v>39935</v>
      </c>
      <c r="G318">
        <v>905</v>
      </c>
      <c r="H318" s="4" t="s">
        <v>110</v>
      </c>
      <c r="I318" s="4" t="s">
        <v>109</v>
      </c>
      <c r="J318" s="4" t="str">
        <f t="shared" si="4"/>
        <v>u_rem.c_rem</v>
      </c>
      <c r="K318" s="5">
        <v>1</v>
      </c>
      <c r="L318">
        <v>1.9757200666507973E-2</v>
      </c>
      <c r="M318">
        <v>4.4037134015710536E-2</v>
      </c>
      <c r="N318">
        <v>0.37134015710545099</v>
      </c>
      <c r="O318">
        <v>0</v>
      </c>
      <c r="P318">
        <v>0</v>
      </c>
      <c r="Q318">
        <v>4.76077124494168E-4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2.38038562247084E-4</v>
      </c>
      <c r="AA318">
        <v>0</v>
      </c>
      <c r="AB318">
        <v>0</v>
      </c>
      <c r="AC318">
        <v>0</v>
      </c>
      <c r="AD318">
        <v>0</v>
      </c>
      <c r="AE318">
        <v>1.0235658176624612E-2</v>
      </c>
      <c r="AF318">
        <v>0</v>
      </c>
      <c r="AG318">
        <v>0</v>
      </c>
      <c r="AH318">
        <v>0</v>
      </c>
      <c r="AI318">
        <v>2.38038562247084E-4</v>
      </c>
      <c r="AJ318">
        <v>5.7367293501547234E-2</v>
      </c>
      <c r="AK318">
        <v>0</v>
      </c>
      <c r="AL318">
        <v>0</v>
      </c>
      <c r="AM318">
        <v>0</v>
      </c>
      <c r="AN318">
        <v>4.76077124494168E-4</v>
      </c>
      <c r="AO318">
        <v>0</v>
      </c>
      <c r="AP318">
        <v>0</v>
      </c>
      <c r="AQ318">
        <v>0</v>
      </c>
      <c r="AR318">
        <v>0</v>
      </c>
      <c r="AS318">
        <v>2.38038562247084E-4</v>
      </c>
      <c r="AT318">
        <v>2.38038562247084E-4</v>
      </c>
      <c r="AU318">
        <v>0</v>
      </c>
      <c r="AV318">
        <v>0</v>
      </c>
      <c r="AW318">
        <v>0</v>
      </c>
      <c r="AX318">
        <v>2.8802666031897163E-2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0.4665555820042846</v>
      </c>
      <c r="CB318">
        <v>0</v>
      </c>
    </row>
    <row r="319" spans="1:80">
      <c r="A319">
        <v>318</v>
      </c>
      <c r="B319" t="s">
        <v>63</v>
      </c>
      <c r="C319" s="4" t="s">
        <v>166</v>
      </c>
      <c r="D319" s="4" t="s">
        <v>117</v>
      </c>
      <c r="E319" s="5">
        <v>39935</v>
      </c>
      <c r="F319" s="5">
        <v>39935</v>
      </c>
      <c r="G319">
        <v>905</v>
      </c>
      <c r="H319" s="4" t="s">
        <v>110</v>
      </c>
      <c r="I319" s="4" t="s">
        <v>108</v>
      </c>
      <c r="J319" s="4" t="str">
        <f t="shared" si="4"/>
        <v>u_rem.c_con</v>
      </c>
      <c r="K319" s="5">
        <v>8</v>
      </c>
      <c r="L319">
        <v>0</v>
      </c>
      <c r="M319">
        <v>9.1556899157849286E-2</v>
      </c>
      <c r="N319">
        <v>0.36277261930468585</v>
      </c>
      <c r="O319">
        <v>0</v>
      </c>
      <c r="P319">
        <v>0</v>
      </c>
      <c r="Q319">
        <v>2.1809544374865042E-2</v>
      </c>
      <c r="R319">
        <v>1.3172101058086808E-2</v>
      </c>
      <c r="S319">
        <v>0</v>
      </c>
      <c r="T319">
        <v>1.3388037141006266E-2</v>
      </c>
      <c r="U319">
        <v>0</v>
      </c>
      <c r="V319">
        <v>0</v>
      </c>
      <c r="W319">
        <v>0</v>
      </c>
      <c r="X319">
        <v>4.7505938242280296E-3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3.0446987691643276E-2</v>
      </c>
      <c r="AE319">
        <v>9.7171237313755151E-3</v>
      </c>
      <c r="AF319">
        <v>0</v>
      </c>
      <c r="AG319">
        <v>0</v>
      </c>
      <c r="AH319">
        <v>4.5346577413085737E-3</v>
      </c>
      <c r="AI319">
        <v>0</v>
      </c>
      <c r="AJ319">
        <v>3.9732239257179877E-2</v>
      </c>
      <c r="AK319">
        <v>0</v>
      </c>
      <c r="AL319">
        <v>0</v>
      </c>
      <c r="AM319">
        <v>0</v>
      </c>
      <c r="AN319">
        <v>2.1593608291945588E-4</v>
      </c>
      <c r="AO319">
        <v>0</v>
      </c>
      <c r="AP319">
        <v>0</v>
      </c>
      <c r="AQ319">
        <v>0</v>
      </c>
      <c r="AR319">
        <v>0</v>
      </c>
      <c r="AS319">
        <v>9.2852515655366032E-3</v>
      </c>
      <c r="AT319">
        <v>6.4780824875836757E-4</v>
      </c>
      <c r="AU319">
        <v>0</v>
      </c>
      <c r="AV319">
        <v>0</v>
      </c>
      <c r="AW319">
        <v>0</v>
      </c>
      <c r="AX319">
        <v>4.7505938242280296E-3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4.3187216583891177E-3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2.1593608291945588E-4</v>
      </c>
      <c r="BY319">
        <v>0</v>
      </c>
      <c r="BZ319">
        <v>0</v>
      </c>
      <c r="CA319">
        <v>0.38868494925502056</v>
      </c>
      <c r="CB319">
        <v>0</v>
      </c>
    </row>
    <row r="320" spans="1:80">
      <c r="A320">
        <v>319</v>
      </c>
      <c r="B320" t="s">
        <v>64</v>
      </c>
      <c r="C320" s="4" t="s">
        <v>166</v>
      </c>
      <c r="D320" s="4" t="s">
        <v>117</v>
      </c>
      <c r="E320" s="5">
        <v>39935</v>
      </c>
      <c r="F320" s="5">
        <v>39935</v>
      </c>
      <c r="G320">
        <v>905</v>
      </c>
      <c r="H320" s="4" t="s">
        <v>110</v>
      </c>
      <c r="I320" s="4" t="s">
        <v>109</v>
      </c>
      <c r="J320" s="4" t="str">
        <f t="shared" si="4"/>
        <v>u_rem.c_rem</v>
      </c>
      <c r="K320" s="5">
        <v>1</v>
      </c>
      <c r="L320">
        <v>4.569055036344756E-3</v>
      </c>
      <c r="M320">
        <v>4.6936656282450674E-2</v>
      </c>
      <c r="N320">
        <v>0.44859813084112138</v>
      </c>
      <c r="O320">
        <v>0</v>
      </c>
      <c r="P320">
        <v>0</v>
      </c>
      <c r="Q320">
        <v>8.7227414330218085E-3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2.0768431983385254E-4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4.1536863966770516E-3</v>
      </c>
      <c r="AF320">
        <v>0</v>
      </c>
      <c r="AG320">
        <v>0</v>
      </c>
      <c r="AH320">
        <v>0</v>
      </c>
      <c r="AI320">
        <v>0</v>
      </c>
      <c r="AJ320">
        <v>4.1536863966770504E-2</v>
      </c>
      <c r="AK320">
        <v>0</v>
      </c>
      <c r="AL320">
        <v>0</v>
      </c>
      <c r="AM320">
        <v>0</v>
      </c>
      <c r="AN320">
        <v>4.569055036344756E-3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2.0768431983385254E-4</v>
      </c>
      <c r="AU320">
        <v>0</v>
      </c>
      <c r="AV320">
        <v>0</v>
      </c>
      <c r="AW320">
        <v>0</v>
      </c>
      <c r="AX320">
        <v>0</v>
      </c>
      <c r="AY320">
        <v>2.0768431983385254E-4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0.44029075804776746</v>
      </c>
      <c r="CB320">
        <v>0</v>
      </c>
    </row>
    <row r="321" spans="1:80">
      <c r="A321">
        <v>320</v>
      </c>
      <c r="B321" t="s">
        <v>65</v>
      </c>
      <c r="C321" s="4" t="s">
        <v>166</v>
      </c>
      <c r="D321" s="4" t="s">
        <v>117</v>
      </c>
      <c r="E321" s="5">
        <v>39935</v>
      </c>
      <c r="F321" s="5">
        <v>39935</v>
      </c>
      <c r="G321">
        <v>905</v>
      </c>
      <c r="H321" s="4" t="s">
        <v>110</v>
      </c>
      <c r="I321" s="4" t="s">
        <v>108</v>
      </c>
      <c r="J321" s="4" t="str">
        <f t="shared" si="4"/>
        <v>u_rem.c_con</v>
      </c>
      <c r="K321" s="5">
        <v>8</v>
      </c>
      <c r="L321">
        <v>0</v>
      </c>
      <c r="M321">
        <v>0.12789641072239891</v>
      </c>
      <c r="N321">
        <v>0.21808268968650618</v>
      </c>
      <c r="O321">
        <v>0</v>
      </c>
      <c r="P321">
        <v>0</v>
      </c>
      <c r="Q321">
        <v>7.2921399363925499E-2</v>
      </c>
      <c r="R321">
        <v>0</v>
      </c>
      <c r="S321">
        <v>0</v>
      </c>
      <c r="T321">
        <v>2.7487505679236711E-2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4.7705588368923222E-3</v>
      </c>
      <c r="AE321">
        <v>1.0449795547478422E-2</v>
      </c>
      <c r="AF321">
        <v>0</v>
      </c>
      <c r="AG321">
        <v>0</v>
      </c>
      <c r="AH321">
        <v>0</v>
      </c>
      <c r="AI321">
        <v>2.2716946842344391E-4</v>
      </c>
      <c r="AJ321">
        <v>6.3834620626987748E-2</v>
      </c>
      <c r="AK321">
        <v>0</v>
      </c>
      <c r="AL321">
        <v>0</v>
      </c>
      <c r="AM321">
        <v>0</v>
      </c>
      <c r="AN321">
        <v>1.8855065879145847E-2</v>
      </c>
      <c r="AO321">
        <v>0</v>
      </c>
      <c r="AP321">
        <v>0</v>
      </c>
      <c r="AQ321">
        <v>0</v>
      </c>
      <c r="AR321">
        <v>0</v>
      </c>
      <c r="AS321">
        <v>9.5411176737846444E-3</v>
      </c>
      <c r="AT321">
        <v>4.7705588368923222E-3</v>
      </c>
      <c r="AU321">
        <v>0</v>
      </c>
      <c r="AV321">
        <v>0</v>
      </c>
      <c r="AW321">
        <v>0</v>
      </c>
      <c r="AX321">
        <v>4.9977283053157656E-3</v>
      </c>
      <c r="AY321">
        <v>4.5433893684688788E-3</v>
      </c>
      <c r="AZ321">
        <v>4.5433893684688788E-3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1.8173557473875515E-2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0.40890504316219906</v>
      </c>
      <c r="CB321">
        <v>0</v>
      </c>
    </row>
    <row r="322" spans="1:80" s="1" customFormat="1">
      <c r="A322">
        <v>321</v>
      </c>
      <c r="B322" t="s">
        <v>66</v>
      </c>
      <c r="C322" s="4" t="s">
        <v>167</v>
      </c>
      <c r="D322" s="4" t="s">
        <v>117</v>
      </c>
      <c r="E322" s="5">
        <v>39935</v>
      </c>
      <c r="F322" s="5">
        <v>39935</v>
      </c>
      <c r="G322">
        <v>905</v>
      </c>
      <c r="H322" s="4" t="s">
        <v>107</v>
      </c>
      <c r="I322" s="4" t="s">
        <v>108</v>
      </c>
      <c r="J322" s="4" t="str">
        <f t="shared" ref="J322:J385" si="5">CONCATENATE(H322,".",I322)</f>
        <v>u_con.c_con</v>
      </c>
      <c r="K322" s="5">
        <v>19</v>
      </c>
      <c r="L322">
        <v>0</v>
      </c>
      <c r="M322">
        <v>0.33188761078634732</v>
      </c>
      <c r="N322">
        <v>0.23760135772204405</v>
      </c>
      <c r="O322">
        <v>0</v>
      </c>
      <c r="P322">
        <v>0</v>
      </c>
      <c r="Q322">
        <v>6.4114652083726201E-2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1.5085800490288516E-2</v>
      </c>
      <c r="AF322">
        <v>0</v>
      </c>
      <c r="AG322">
        <v>0</v>
      </c>
      <c r="AH322">
        <v>0</v>
      </c>
      <c r="AI322">
        <v>0</v>
      </c>
      <c r="AJ322">
        <v>3.0171600980577029E-2</v>
      </c>
      <c r="AK322">
        <v>0</v>
      </c>
      <c r="AL322">
        <v>3.7714501225721291E-3</v>
      </c>
      <c r="AM322">
        <v>0</v>
      </c>
      <c r="AN322">
        <v>1.1502922873844995E-2</v>
      </c>
      <c r="AO322">
        <v>0</v>
      </c>
      <c r="AP322">
        <v>0</v>
      </c>
      <c r="AQ322">
        <v>0</v>
      </c>
      <c r="AR322">
        <v>0</v>
      </c>
      <c r="AS322">
        <v>3.9600226287007361E-3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3.7714501225721291E-3</v>
      </c>
      <c r="BF322">
        <v>1.1502922873844995E-2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0.28663020931548178</v>
      </c>
      <c r="CB322">
        <v>0</v>
      </c>
    </row>
    <row r="323" spans="1:80" s="1" customFormat="1">
      <c r="A323">
        <v>322</v>
      </c>
      <c r="B323" t="s">
        <v>67</v>
      </c>
      <c r="C323" s="4" t="s">
        <v>167</v>
      </c>
      <c r="D323" s="4" t="s">
        <v>117</v>
      </c>
      <c r="E323" s="5">
        <v>39935</v>
      </c>
      <c r="F323" s="5">
        <v>39935</v>
      </c>
      <c r="G323">
        <v>905</v>
      </c>
      <c r="H323" s="4" t="s">
        <v>107</v>
      </c>
      <c r="I323" s="4" t="s">
        <v>109</v>
      </c>
      <c r="J323" s="4" t="str">
        <f t="shared" si="5"/>
        <v>u_con.c_rem</v>
      </c>
      <c r="K323" s="5">
        <v>2</v>
      </c>
      <c r="L323">
        <v>0</v>
      </c>
      <c r="M323">
        <v>8.377933305887196E-2</v>
      </c>
      <c r="N323">
        <v>0.5104981473857555</v>
      </c>
      <c r="O323">
        <v>0</v>
      </c>
      <c r="P323">
        <v>0</v>
      </c>
      <c r="Q323">
        <v>3.7258130918073284E-2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4.1169205434335122E-3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8.2338410868670244E-3</v>
      </c>
      <c r="AF323">
        <v>0</v>
      </c>
      <c r="AG323">
        <v>0</v>
      </c>
      <c r="AH323">
        <v>0</v>
      </c>
      <c r="AI323">
        <v>4.3227665706051877E-3</v>
      </c>
      <c r="AJ323">
        <v>1.6467682173734049E-2</v>
      </c>
      <c r="AK323">
        <v>0</v>
      </c>
      <c r="AL323">
        <v>0</v>
      </c>
      <c r="AM323">
        <v>0</v>
      </c>
      <c r="AN323">
        <v>4.1169205434335122E-3</v>
      </c>
      <c r="AO323">
        <v>0</v>
      </c>
      <c r="AP323">
        <v>0</v>
      </c>
      <c r="AQ323">
        <v>4.3227665706051877E-3</v>
      </c>
      <c r="AR323">
        <v>0</v>
      </c>
      <c r="AS323">
        <v>4.1169205434335122E-3</v>
      </c>
      <c r="AT323">
        <v>2.0584602717167559E-4</v>
      </c>
      <c r="AU323">
        <v>0</v>
      </c>
      <c r="AV323">
        <v>0</v>
      </c>
      <c r="AW323">
        <v>0</v>
      </c>
      <c r="AX323">
        <v>8.6455331412103754E-3</v>
      </c>
      <c r="AY323">
        <v>0</v>
      </c>
      <c r="AZ323">
        <v>0</v>
      </c>
      <c r="BA323">
        <v>8.2338410868670244E-3</v>
      </c>
      <c r="BB323">
        <v>0</v>
      </c>
      <c r="BC323">
        <v>0</v>
      </c>
      <c r="BD323">
        <v>0</v>
      </c>
      <c r="BE323">
        <v>8.8513791683820509E-3</v>
      </c>
      <c r="BF323">
        <v>4.1169205434335118E-4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0.2964182791272128</v>
      </c>
      <c r="CB323">
        <v>0</v>
      </c>
    </row>
    <row r="324" spans="1:80">
      <c r="A324">
        <v>323</v>
      </c>
      <c r="B324" t="s">
        <v>68</v>
      </c>
      <c r="C324" s="4" t="s">
        <v>167</v>
      </c>
      <c r="D324" s="4" t="s">
        <v>117</v>
      </c>
      <c r="E324" s="5">
        <v>39935</v>
      </c>
      <c r="F324" s="5">
        <v>39935</v>
      </c>
      <c r="G324">
        <v>905</v>
      </c>
      <c r="H324" s="4" t="s">
        <v>107</v>
      </c>
      <c r="I324" s="4" t="s">
        <v>108</v>
      </c>
      <c r="J324" s="4" t="str">
        <f t="shared" si="5"/>
        <v>u_con.c_con</v>
      </c>
      <c r="K324" s="5">
        <v>19</v>
      </c>
      <c r="L324">
        <v>0</v>
      </c>
      <c r="M324">
        <v>0.1314318751204471</v>
      </c>
      <c r="N324">
        <v>0.27751011755636923</v>
      </c>
      <c r="O324">
        <v>0</v>
      </c>
      <c r="P324">
        <v>0</v>
      </c>
      <c r="Q324">
        <v>8.0940450953941052E-3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1.2333783002505304E-2</v>
      </c>
      <c r="AF324">
        <v>0</v>
      </c>
      <c r="AG324">
        <v>0</v>
      </c>
      <c r="AH324">
        <v>0</v>
      </c>
      <c r="AI324">
        <v>7.708614376565814E-3</v>
      </c>
      <c r="AJ324">
        <v>1.9271535941414532E-2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1.5609944112545774E-2</v>
      </c>
      <c r="AT324">
        <v>0</v>
      </c>
      <c r="AU324">
        <v>0</v>
      </c>
      <c r="AV324">
        <v>0</v>
      </c>
      <c r="AW324">
        <v>0</v>
      </c>
      <c r="AX324">
        <v>3.854307188282907E-3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7.708614376565814E-3</v>
      </c>
      <c r="BF324">
        <v>1.9271535941414532E-2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3.854307188282907E-3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0.48564270572364615</v>
      </c>
      <c r="CB324">
        <v>3.854307188282907E-3</v>
      </c>
    </row>
    <row r="325" spans="1:80">
      <c r="A325">
        <v>324</v>
      </c>
      <c r="B325" s="2" t="s">
        <v>69</v>
      </c>
      <c r="C325" s="4" t="s">
        <v>167</v>
      </c>
      <c r="D325" s="4" t="s">
        <v>117</v>
      </c>
      <c r="E325" s="5">
        <v>39935</v>
      </c>
      <c r="F325" s="5">
        <v>39935</v>
      </c>
      <c r="G325">
        <v>905</v>
      </c>
      <c r="H325" s="4" t="s">
        <v>107</v>
      </c>
      <c r="I325" s="4" t="s">
        <v>109</v>
      </c>
      <c r="J325" s="4" t="str">
        <f t="shared" si="5"/>
        <v>u_con.c_rem</v>
      </c>
      <c r="K325" s="5">
        <v>2</v>
      </c>
      <c r="L325">
        <v>0</v>
      </c>
      <c r="M325">
        <v>0.10218093699515347</v>
      </c>
      <c r="N325">
        <v>0.26655896607431334</v>
      </c>
      <c r="O325">
        <v>0</v>
      </c>
      <c r="P325">
        <v>0</v>
      </c>
      <c r="Q325">
        <v>1.231825525040388E-2</v>
      </c>
      <c r="R325">
        <v>0</v>
      </c>
      <c r="S325">
        <v>0</v>
      </c>
      <c r="T325">
        <v>1.2116316639741519E-2</v>
      </c>
      <c r="U325">
        <v>0</v>
      </c>
      <c r="V325">
        <v>0</v>
      </c>
      <c r="W325">
        <v>0</v>
      </c>
      <c r="X325">
        <v>6.0581583198707591E-4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1.3327948303715675E-2</v>
      </c>
      <c r="AF325">
        <v>0</v>
      </c>
      <c r="AG325">
        <v>0</v>
      </c>
      <c r="AH325">
        <v>0</v>
      </c>
      <c r="AI325">
        <v>0</v>
      </c>
      <c r="AJ325">
        <v>7.2899838449111506E-2</v>
      </c>
      <c r="AK325">
        <v>0</v>
      </c>
      <c r="AL325">
        <v>2.0193861066235866E-4</v>
      </c>
      <c r="AM325">
        <v>0</v>
      </c>
      <c r="AN325">
        <v>4.6445880452342502E-3</v>
      </c>
      <c r="AO325">
        <v>0</v>
      </c>
      <c r="AP325">
        <v>0</v>
      </c>
      <c r="AQ325">
        <v>0</v>
      </c>
      <c r="AR325">
        <v>0</v>
      </c>
      <c r="AS325">
        <v>4.8465266558966082E-3</v>
      </c>
      <c r="AT325">
        <v>0</v>
      </c>
      <c r="AU325">
        <v>0</v>
      </c>
      <c r="AV325">
        <v>0</v>
      </c>
      <c r="AW325">
        <v>0</v>
      </c>
      <c r="AX325">
        <v>2.0193861066235866E-4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3.2512116316639743E-2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2.0193861066235866E-4</v>
      </c>
      <c r="BY325">
        <v>0</v>
      </c>
      <c r="BZ325">
        <v>0</v>
      </c>
      <c r="CA325">
        <v>0.46042003231017781</v>
      </c>
      <c r="CB325">
        <v>1.696284329563813E-2</v>
      </c>
    </row>
    <row r="326" spans="1:80">
      <c r="A326">
        <v>325</v>
      </c>
      <c r="B326" t="s">
        <v>71</v>
      </c>
      <c r="C326" s="4" t="s">
        <v>168</v>
      </c>
      <c r="D326" s="4" t="s">
        <v>117</v>
      </c>
      <c r="E326" s="5">
        <v>39935</v>
      </c>
      <c r="F326" s="5">
        <v>39935</v>
      </c>
      <c r="G326">
        <v>905</v>
      </c>
      <c r="H326" s="4" t="s">
        <v>110</v>
      </c>
      <c r="I326" s="4" t="s">
        <v>108</v>
      </c>
      <c r="J326" s="4" t="str">
        <f t="shared" si="5"/>
        <v>u_rem.c_con</v>
      </c>
      <c r="K326" s="5">
        <v>8</v>
      </c>
      <c r="L326">
        <v>1.1342155009451798E-2</v>
      </c>
      <c r="M326">
        <v>0.21209829867674851</v>
      </c>
      <c r="N326">
        <v>0.27221172022684309</v>
      </c>
      <c r="O326">
        <v>0</v>
      </c>
      <c r="P326">
        <v>0</v>
      </c>
      <c r="Q326">
        <v>7.977315689981096E-2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4.3478260869565227E-3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1.9092627599243857E-2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1.8903591682419661E-4</v>
      </c>
      <c r="AY326">
        <v>0</v>
      </c>
      <c r="AZ326">
        <v>0</v>
      </c>
      <c r="BA326">
        <v>0.18147448015122869</v>
      </c>
      <c r="BB326">
        <v>0</v>
      </c>
      <c r="BC326">
        <v>0</v>
      </c>
      <c r="BD326">
        <v>0</v>
      </c>
      <c r="BE326">
        <v>1.8903591682419661E-4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0.21928166351606798</v>
      </c>
      <c r="CB326">
        <v>0</v>
      </c>
    </row>
    <row r="327" spans="1:80" s="1" customFormat="1">
      <c r="A327">
        <v>326</v>
      </c>
      <c r="B327" t="s">
        <v>70</v>
      </c>
      <c r="C327" s="4" t="s">
        <v>168</v>
      </c>
      <c r="D327" s="4" t="s">
        <v>117</v>
      </c>
      <c r="E327" s="5">
        <v>39935</v>
      </c>
      <c r="F327" s="5">
        <v>39935</v>
      </c>
      <c r="G327">
        <v>905</v>
      </c>
      <c r="H327" s="4" t="s">
        <v>110</v>
      </c>
      <c r="I327" s="4" t="s">
        <v>109</v>
      </c>
      <c r="J327" s="4" t="str">
        <f t="shared" si="5"/>
        <v>u_rem.c_rem</v>
      </c>
      <c r="K327" s="5">
        <v>1</v>
      </c>
      <c r="L327">
        <v>0</v>
      </c>
      <c r="M327">
        <v>9.8840636667321694E-2</v>
      </c>
      <c r="N327">
        <v>0.51090587541756727</v>
      </c>
      <c r="O327">
        <v>0</v>
      </c>
      <c r="P327">
        <v>0</v>
      </c>
      <c r="Q327">
        <v>1.2183140106111223E-2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4.1265474552957364E-3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1.1790135586559244E-2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1.9650225977598743E-4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0.24366280212222435</v>
      </c>
      <c r="BB327">
        <v>0</v>
      </c>
      <c r="BC327">
        <v>0</v>
      </c>
      <c r="BD327">
        <v>0</v>
      </c>
      <c r="BE327">
        <v>8.0565926508154844E-3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0.11023776773432895</v>
      </c>
      <c r="CB327">
        <v>0</v>
      </c>
    </row>
    <row r="328" spans="1:80">
      <c r="A328">
        <v>327</v>
      </c>
      <c r="B328" t="s">
        <v>72</v>
      </c>
      <c r="C328" s="4" t="s">
        <v>168</v>
      </c>
      <c r="D328" s="4" t="s">
        <v>117</v>
      </c>
      <c r="E328" s="5">
        <v>39935</v>
      </c>
      <c r="F328" s="5">
        <v>39935</v>
      </c>
      <c r="G328">
        <v>905</v>
      </c>
      <c r="H328" s="4" t="s">
        <v>110</v>
      </c>
      <c r="I328" s="4" t="s">
        <v>108</v>
      </c>
      <c r="J328" s="4" t="str">
        <f t="shared" si="5"/>
        <v>u_rem.c_con</v>
      </c>
      <c r="K328" s="5">
        <v>8</v>
      </c>
      <c r="L328">
        <v>0</v>
      </c>
      <c r="M328">
        <v>0.17324314167606156</v>
      </c>
      <c r="N328">
        <v>0.36828260052611811</v>
      </c>
      <c r="O328">
        <v>0</v>
      </c>
      <c r="P328">
        <v>0</v>
      </c>
      <c r="Q328">
        <v>7.1401728673431059E-2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2.3487410747839162E-2</v>
      </c>
      <c r="AF328">
        <v>0</v>
      </c>
      <c r="AG328">
        <v>0</v>
      </c>
      <c r="AH328">
        <v>0</v>
      </c>
      <c r="AI328">
        <v>7.8917700112739585E-3</v>
      </c>
      <c r="AJ328">
        <v>0</v>
      </c>
      <c r="AK328">
        <v>0</v>
      </c>
      <c r="AL328">
        <v>0</v>
      </c>
      <c r="AM328">
        <v>0</v>
      </c>
      <c r="AN328">
        <v>1.9729425028184897E-2</v>
      </c>
      <c r="AO328">
        <v>0</v>
      </c>
      <c r="AP328">
        <v>0</v>
      </c>
      <c r="AQ328">
        <v>3.757985719654266E-3</v>
      </c>
      <c r="AR328">
        <v>0</v>
      </c>
      <c r="AS328">
        <v>3.9458850056369793E-3</v>
      </c>
      <c r="AT328">
        <v>1.8789928598271331E-4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0.135663284479519</v>
      </c>
      <c r="BB328">
        <v>0</v>
      </c>
      <c r="BC328">
        <v>0</v>
      </c>
      <c r="BD328">
        <v>0</v>
      </c>
      <c r="BE328">
        <v>7.8917700112739585E-3</v>
      </c>
      <c r="BF328">
        <v>3.9458850056369793E-3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3.757985719654266E-3</v>
      </c>
      <c r="BP328">
        <v>0</v>
      </c>
      <c r="BQ328">
        <v>3.9458850056369793E-3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0.17286734310409618</v>
      </c>
      <c r="CB328">
        <v>0</v>
      </c>
    </row>
    <row r="329" spans="1:80">
      <c r="A329">
        <v>328</v>
      </c>
      <c r="B329" t="s">
        <v>73</v>
      </c>
      <c r="C329" s="4" t="s">
        <v>168</v>
      </c>
      <c r="D329" s="4" t="s">
        <v>117</v>
      </c>
      <c r="E329" s="5">
        <v>39935</v>
      </c>
      <c r="F329" s="5">
        <v>39935</v>
      </c>
      <c r="G329">
        <v>905</v>
      </c>
      <c r="H329" s="4" t="s">
        <v>110</v>
      </c>
      <c r="I329" s="4" t="s">
        <v>109</v>
      </c>
      <c r="J329" s="4" t="str">
        <f t="shared" si="5"/>
        <v>u_rem.c_rem</v>
      </c>
      <c r="K329" s="5">
        <v>1</v>
      </c>
      <c r="L329">
        <v>3.7112636852848395E-3</v>
      </c>
      <c r="M329">
        <v>0.15624420115049173</v>
      </c>
      <c r="N329">
        <v>0.40081647801076264</v>
      </c>
      <c r="O329">
        <v>0</v>
      </c>
      <c r="P329">
        <v>0</v>
      </c>
      <c r="Q329">
        <v>4.1009463722397464E-2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3.896826869549082E-3</v>
      </c>
      <c r="AF329">
        <v>0</v>
      </c>
      <c r="AG329">
        <v>0</v>
      </c>
      <c r="AH329">
        <v>0</v>
      </c>
      <c r="AI329">
        <v>5.5668955279272595E-4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3.7112636852848395E-3</v>
      </c>
      <c r="BA329">
        <v>0.12284282798292818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0.26721098534050841</v>
      </c>
      <c r="CB329">
        <v>0</v>
      </c>
    </row>
    <row r="330" spans="1:80">
      <c r="A330">
        <v>329</v>
      </c>
      <c r="B330" t="s">
        <v>74</v>
      </c>
      <c r="C330" s="4" t="s">
        <v>169</v>
      </c>
      <c r="D330" s="4" t="s">
        <v>117</v>
      </c>
      <c r="E330" s="5">
        <v>39935</v>
      </c>
      <c r="F330" s="5">
        <v>39935</v>
      </c>
      <c r="G330">
        <v>905</v>
      </c>
      <c r="H330" s="4" t="s">
        <v>110</v>
      </c>
      <c r="I330" s="4" t="s">
        <v>108</v>
      </c>
      <c r="J330" s="4" t="str">
        <f t="shared" si="5"/>
        <v>u_rem.c_con</v>
      </c>
      <c r="K330" s="5">
        <v>8</v>
      </c>
      <c r="L330">
        <v>6.4056939501779375E-2</v>
      </c>
      <c r="M330">
        <v>0.21015171380408318</v>
      </c>
      <c r="N330">
        <v>0.30717362802022852</v>
      </c>
      <c r="O330">
        <v>0</v>
      </c>
      <c r="P330">
        <v>0</v>
      </c>
      <c r="Q330">
        <v>7.866641693200975E-2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1.8730099269526131E-4</v>
      </c>
      <c r="AA330">
        <v>0</v>
      </c>
      <c r="AB330">
        <v>0</v>
      </c>
      <c r="AC330">
        <v>0</v>
      </c>
      <c r="AD330">
        <v>0</v>
      </c>
      <c r="AE330">
        <v>3.9333208466004882E-3</v>
      </c>
      <c r="AF330">
        <v>0</v>
      </c>
      <c r="AG330">
        <v>0</v>
      </c>
      <c r="AH330">
        <v>1.1238059561715681E-2</v>
      </c>
      <c r="AI330">
        <v>3.8209402509833297E-2</v>
      </c>
      <c r="AJ330">
        <v>7.4920397078104524E-3</v>
      </c>
      <c r="AK330">
        <v>0</v>
      </c>
      <c r="AL330">
        <v>0</v>
      </c>
      <c r="AM330">
        <v>0</v>
      </c>
      <c r="AN330">
        <v>1.5920584379097213E-2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5.6190297808578389E-4</v>
      </c>
      <c r="AU330">
        <v>0</v>
      </c>
      <c r="AV330">
        <v>0</v>
      </c>
      <c r="AW330">
        <v>0</v>
      </c>
      <c r="AX330">
        <v>1.1238059561715677E-2</v>
      </c>
      <c r="AY330">
        <v>0</v>
      </c>
      <c r="AZ330">
        <v>0</v>
      </c>
      <c r="BA330">
        <v>7.679340700505714E-3</v>
      </c>
      <c r="BB330">
        <v>0</v>
      </c>
      <c r="BC330">
        <v>0</v>
      </c>
      <c r="BD330">
        <v>0</v>
      </c>
      <c r="BE330">
        <v>3.7460198539052262E-3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3.7460198539052262E-3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3.7460198539052262E-3</v>
      </c>
      <c r="BY330">
        <v>0</v>
      </c>
      <c r="BZ330">
        <v>0</v>
      </c>
      <c r="CA330">
        <v>0.23225323094212402</v>
      </c>
      <c r="CB330">
        <v>0</v>
      </c>
    </row>
    <row r="331" spans="1:80">
      <c r="A331">
        <v>330</v>
      </c>
      <c r="B331" t="s">
        <v>75</v>
      </c>
      <c r="C331" s="4" t="s">
        <v>169</v>
      </c>
      <c r="D331" s="4" t="s">
        <v>117</v>
      </c>
      <c r="E331" s="5">
        <v>39935</v>
      </c>
      <c r="F331" s="5">
        <v>39935</v>
      </c>
      <c r="G331">
        <v>905</v>
      </c>
      <c r="H331" s="4" t="s">
        <v>110</v>
      </c>
      <c r="I331" s="4" t="s">
        <v>108</v>
      </c>
      <c r="J331" s="4" t="str">
        <f t="shared" si="5"/>
        <v>u_rem.c_con</v>
      </c>
      <c r="K331" s="5">
        <v>8</v>
      </c>
      <c r="L331">
        <v>0</v>
      </c>
      <c r="M331">
        <v>0.18856744510282328</v>
      </c>
      <c r="N331">
        <v>0.28581387242941786</v>
      </c>
      <c r="O331">
        <v>0</v>
      </c>
      <c r="P331">
        <v>0</v>
      </c>
      <c r="Q331">
        <v>3.4855350296270474E-2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1.7427675148135239E-4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2.1087486929243636E-2</v>
      </c>
      <c r="AF331">
        <v>0</v>
      </c>
      <c r="AG331">
        <v>0</v>
      </c>
      <c r="AH331">
        <v>0</v>
      </c>
      <c r="AI331">
        <v>1.4290693621470896E-2</v>
      </c>
      <c r="AJ331">
        <v>0</v>
      </c>
      <c r="AK331">
        <v>0</v>
      </c>
      <c r="AL331">
        <v>0</v>
      </c>
      <c r="AM331">
        <v>0</v>
      </c>
      <c r="AN331">
        <v>2.5618682467758801E-2</v>
      </c>
      <c r="AO331">
        <v>0</v>
      </c>
      <c r="AP331">
        <v>0</v>
      </c>
      <c r="AQ331">
        <v>0</v>
      </c>
      <c r="AR331">
        <v>0</v>
      </c>
      <c r="AS331">
        <v>3.4855350296270479E-3</v>
      </c>
      <c r="AT331">
        <v>1.7427675148135239E-4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0.24050191704426624</v>
      </c>
      <c r="BB331">
        <v>0</v>
      </c>
      <c r="BC331">
        <v>0</v>
      </c>
      <c r="BD331">
        <v>0</v>
      </c>
      <c r="BE331">
        <v>3.8340885325897525E-3</v>
      </c>
      <c r="BF331">
        <v>3.6598117811084004E-3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1.7427675148135239E-4</v>
      </c>
      <c r="BO331">
        <v>3.4855350296270479E-3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0.17427675148135235</v>
      </c>
      <c r="CB331">
        <v>0</v>
      </c>
    </row>
    <row r="332" spans="1:80">
      <c r="A332">
        <v>331</v>
      </c>
      <c r="B332" t="s">
        <v>76</v>
      </c>
      <c r="C332" s="4" t="s">
        <v>169</v>
      </c>
      <c r="D332" s="4" t="s">
        <v>117</v>
      </c>
      <c r="E332" s="5">
        <v>39935</v>
      </c>
      <c r="F332" s="5">
        <v>39935</v>
      </c>
      <c r="G332">
        <v>905</v>
      </c>
      <c r="H332" s="4" t="s">
        <v>110</v>
      </c>
      <c r="I332" s="4" t="s">
        <v>109</v>
      </c>
      <c r="J332" s="4" t="str">
        <f t="shared" si="5"/>
        <v>u_rem.c_rem</v>
      </c>
      <c r="K332" s="5">
        <v>1</v>
      </c>
      <c r="L332">
        <v>6.2034739454094302E-2</v>
      </c>
      <c r="M332">
        <v>0.58726220016542596</v>
      </c>
      <c r="N332">
        <v>0.19023986765922246</v>
      </c>
      <c r="O332">
        <v>0</v>
      </c>
      <c r="P332">
        <v>0</v>
      </c>
      <c r="Q332">
        <v>3.3912324234904881E-2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2.0678246484698098E-4</v>
      </c>
      <c r="AF332">
        <v>0</v>
      </c>
      <c r="AG332">
        <v>0</v>
      </c>
      <c r="AH332">
        <v>0</v>
      </c>
      <c r="AI332">
        <v>2.0678246484698098E-4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9.553349875930521E-2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3.0603804797353185E-2</v>
      </c>
      <c r="CB332">
        <v>0</v>
      </c>
    </row>
    <row r="333" spans="1:80">
      <c r="A333">
        <v>332</v>
      </c>
      <c r="B333" t="s">
        <v>77</v>
      </c>
      <c r="C333" s="4" t="s">
        <v>169</v>
      </c>
      <c r="D333" s="4" t="s">
        <v>117</v>
      </c>
      <c r="E333" s="5">
        <v>39935</v>
      </c>
      <c r="F333" s="5">
        <v>39935</v>
      </c>
      <c r="G333">
        <v>905</v>
      </c>
      <c r="H333" s="4" t="s">
        <v>110</v>
      </c>
      <c r="I333" s="4" t="s">
        <v>109</v>
      </c>
      <c r="J333" s="4" t="str">
        <f t="shared" si="5"/>
        <v>u_rem.c_rem</v>
      </c>
      <c r="K333" s="5">
        <v>1</v>
      </c>
      <c r="L333">
        <v>0</v>
      </c>
      <c r="M333">
        <v>0.14046039797112758</v>
      </c>
      <c r="N333">
        <v>0.24970737417089348</v>
      </c>
      <c r="O333">
        <v>0</v>
      </c>
      <c r="P333">
        <v>0</v>
      </c>
      <c r="Q333">
        <v>3.5115099492781895E-2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2.3605150214592276E-2</v>
      </c>
      <c r="AJ333">
        <v>0</v>
      </c>
      <c r="AK333">
        <v>0</v>
      </c>
      <c r="AL333">
        <v>1.1705033164260635E-2</v>
      </c>
      <c r="AM333">
        <v>0</v>
      </c>
      <c r="AN333">
        <v>8.3886071010534548E-3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1.9508388607101054E-4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0.30433086227077638</v>
      </c>
      <c r="BB333">
        <v>0</v>
      </c>
      <c r="BC333">
        <v>0</v>
      </c>
      <c r="BD333">
        <v>0</v>
      </c>
      <c r="BE333">
        <v>2.3605150214592276E-2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0.20288724151385093</v>
      </c>
      <c r="CB333">
        <v>0</v>
      </c>
    </row>
    <row r="334" spans="1:80">
      <c r="A334">
        <v>333</v>
      </c>
      <c r="B334" t="s">
        <v>78</v>
      </c>
      <c r="C334" s="4" t="s">
        <v>170</v>
      </c>
      <c r="D334" s="4" t="s">
        <v>117</v>
      </c>
      <c r="E334" s="5">
        <v>39935</v>
      </c>
      <c r="F334" s="5">
        <v>39935</v>
      </c>
      <c r="G334">
        <v>905</v>
      </c>
      <c r="H334" s="4" t="s">
        <v>107</v>
      </c>
      <c r="I334" s="4" t="s">
        <v>109</v>
      </c>
      <c r="J334" s="4" t="str">
        <f t="shared" si="5"/>
        <v>u_con.c_rem</v>
      </c>
      <c r="K334" s="5">
        <v>2</v>
      </c>
      <c r="L334">
        <v>1.2165935380933388E-2</v>
      </c>
      <c r="M334">
        <v>0.22357399282010365</v>
      </c>
      <c r="N334">
        <v>0.25528520143597921</v>
      </c>
      <c r="O334">
        <v>0</v>
      </c>
      <c r="P334">
        <v>0</v>
      </c>
      <c r="Q334">
        <v>1.994415636218588E-2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2.0343039489429598E-2</v>
      </c>
      <c r="AJ334">
        <v>6.0031910650179494E-2</v>
      </c>
      <c r="AK334">
        <v>0</v>
      </c>
      <c r="AL334">
        <v>0</v>
      </c>
      <c r="AM334">
        <v>0</v>
      </c>
      <c r="AN334">
        <v>8.3765456721180704E-3</v>
      </c>
      <c r="AO334">
        <v>0</v>
      </c>
      <c r="AP334">
        <v>0</v>
      </c>
      <c r="AQ334">
        <v>0</v>
      </c>
      <c r="AR334">
        <v>0</v>
      </c>
      <c r="AS334">
        <v>8.1771041084962113E-3</v>
      </c>
      <c r="AT334">
        <v>3.9888312724371762E-4</v>
      </c>
      <c r="AU334">
        <v>0</v>
      </c>
      <c r="AV334">
        <v>0</v>
      </c>
      <c r="AW334">
        <v>0</v>
      </c>
      <c r="AX334">
        <v>4.1882728360590352E-3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4.1882728360590352E-3</v>
      </c>
      <c r="BF334">
        <v>1.9944156362185881E-4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1.9944156362185881E-4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0.38292780215396888</v>
      </c>
      <c r="CB334">
        <v>0</v>
      </c>
    </row>
    <row r="335" spans="1:80">
      <c r="A335">
        <v>334</v>
      </c>
      <c r="B335" t="s">
        <v>79</v>
      </c>
      <c r="C335" s="4" t="s">
        <v>170</v>
      </c>
      <c r="D335" s="4" t="s">
        <v>117</v>
      </c>
      <c r="E335" s="5">
        <v>39935</v>
      </c>
      <c r="F335" s="5">
        <v>39935</v>
      </c>
      <c r="G335">
        <v>905</v>
      </c>
      <c r="H335" s="4" t="s">
        <v>107</v>
      </c>
      <c r="I335" s="4" t="s">
        <v>108</v>
      </c>
      <c r="J335" s="4" t="str">
        <f t="shared" si="5"/>
        <v>u_con.c_con</v>
      </c>
      <c r="K335" s="5">
        <v>19</v>
      </c>
      <c r="L335">
        <v>2.3218017181332717E-4</v>
      </c>
      <c r="M335">
        <v>0.10749941954957049</v>
      </c>
      <c r="N335">
        <v>0.19503134432319483</v>
      </c>
      <c r="O335">
        <v>0</v>
      </c>
      <c r="P335">
        <v>0</v>
      </c>
      <c r="Q335">
        <v>1.8806593916879503E-2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1.4395170652426287E-2</v>
      </c>
      <c r="AF335">
        <v>0</v>
      </c>
      <c r="AG335">
        <v>0</v>
      </c>
      <c r="AH335">
        <v>1.0215927559786397E-2</v>
      </c>
      <c r="AI335">
        <v>6.5242628279544954E-2</v>
      </c>
      <c r="AJ335">
        <v>0.17645693057812864</v>
      </c>
      <c r="AK335">
        <v>0</v>
      </c>
      <c r="AL335">
        <v>0</v>
      </c>
      <c r="AM335">
        <v>0</v>
      </c>
      <c r="AN335">
        <v>5.8045042953331792E-3</v>
      </c>
      <c r="AO335">
        <v>0</v>
      </c>
      <c r="AP335">
        <v>0</v>
      </c>
      <c r="AQ335">
        <v>0</v>
      </c>
      <c r="AR335">
        <v>0</v>
      </c>
      <c r="AS335">
        <v>2.3914557696772702E-2</v>
      </c>
      <c r="AT335">
        <v>4.6436034362665435E-4</v>
      </c>
      <c r="AU335">
        <v>0</v>
      </c>
      <c r="AV335">
        <v>0</v>
      </c>
      <c r="AW335">
        <v>2.3218017181332717E-4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9.9837473879730698E-3</v>
      </c>
      <c r="BF335">
        <v>4.6436034362665442E-3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0.36684467146505689</v>
      </c>
      <c r="CB335">
        <v>2.3218017181332717E-4</v>
      </c>
    </row>
    <row r="336" spans="1:80">
      <c r="A336">
        <v>335</v>
      </c>
      <c r="B336" t="s">
        <v>80</v>
      </c>
      <c r="C336" s="4" t="s">
        <v>170</v>
      </c>
      <c r="D336" s="4" t="s">
        <v>117</v>
      </c>
      <c r="E336" s="5">
        <v>39935</v>
      </c>
      <c r="F336" s="5">
        <v>39935</v>
      </c>
      <c r="G336">
        <v>905</v>
      </c>
      <c r="H336" s="4" t="s">
        <v>107</v>
      </c>
      <c r="I336" s="4" t="s">
        <v>109</v>
      </c>
      <c r="J336" s="4" t="str">
        <f t="shared" si="5"/>
        <v>u_con.c_rem</v>
      </c>
      <c r="K336" s="5">
        <v>2</v>
      </c>
      <c r="L336">
        <v>4.7449584816132871E-3</v>
      </c>
      <c r="M336">
        <v>0.1523131672597865</v>
      </c>
      <c r="N336">
        <v>0.42230130486358253</v>
      </c>
      <c r="O336">
        <v>0</v>
      </c>
      <c r="P336">
        <v>0</v>
      </c>
      <c r="Q336">
        <v>1.4234875444839862E-2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1.9691577698695142E-2</v>
      </c>
      <c r="AJ336">
        <v>0.21850533807829184</v>
      </c>
      <c r="AK336">
        <v>0</v>
      </c>
      <c r="AL336">
        <v>0</v>
      </c>
      <c r="AM336">
        <v>0</v>
      </c>
      <c r="AN336">
        <v>4.7449584816132868E-4</v>
      </c>
      <c r="AO336">
        <v>0</v>
      </c>
      <c r="AP336">
        <v>0</v>
      </c>
      <c r="AQ336">
        <v>0</v>
      </c>
      <c r="AR336">
        <v>0</v>
      </c>
      <c r="AS336">
        <v>2.3724792408066434E-4</v>
      </c>
      <c r="AT336">
        <v>5.4567022538552805E-3</v>
      </c>
      <c r="AU336">
        <v>0</v>
      </c>
      <c r="AV336">
        <v>0</v>
      </c>
      <c r="AW336">
        <v>4.9822064056939518E-3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2.3724792408066434E-4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0.15682087781731913</v>
      </c>
      <c r="CB336">
        <v>0</v>
      </c>
    </row>
    <row r="337" spans="1:80">
      <c r="A337">
        <v>336</v>
      </c>
      <c r="B337" t="s">
        <v>81</v>
      </c>
      <c r="C337" s="4" t="s">
        <v>170</v>
      </c>
      <c r="D337" s="4" t="s">
        <v>117</v>
      </c>
      <c r="E337" s="5">
        <v>39935</v>
      </c>
      <c r="F337" s="5">
        <v>39935</v>
      </c>
      <c r="G337">
        <v>905</v>
      </c>
      <c r="H337" s="4" t="s">
        <v>107</v>
      </c>
      <c r="I337" s="4" t="s">
        <v>108</v>
      </c>
      <c r="J337" s="4" t="str">
        <f t="shared" si="5"/>
        <v>u_con.c_con</v>
      </c>
      <c r="K337" s="5">
        <v>19</v>
      </c>
      <c r="L337">
        <v>4.6072333563695004E-3</v>
      </c>
      <c r="M337">
        <v>4.7454503570605849E-2</v>
      </c>
      <c r="N337">
        <v>0.27643400138216995</v>
      </c>
      <c r="O337">
        <v>0</v>
      </c>
      <c r="P337">
        <v>0</v>
      </c>
      <c r="Q337">
        <v>2.30361667818475E-4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4.8375950241879755E-3</v>
      </c>
      <c r="AF337">
        <v>0</v>
      </c>
      <c r="AG337">
        <v>0</v>
      </c>
      <c r="AH337">
        <v>4.6072333563695E-4</v>
      </c>
      <c r="AI337">
        <v>0.101359133840129</v>
      </c>
      <c r="AJ337">
        <v>0.20755586270444587</v>
      </c>
      <c r="AK337">
        <v>0</v>
      </c>
      <c r="AL337">
        <v>0</v>
      </c>
      <c r="AM337">
        <v>0</v>
      </c>
      <c r="AN337">
        <v>5.0679566920064506E-3</v>
      </c>
      <c r="AO337">
        <v>0</v>
      </c>
      <c r="AP337">
        <v>0</v>
      </c>
      <c r="AQ337">
        <v>0</v>
      </c>
      <c r="AR337">
        <v>0</v>
      </c>
      <c r="AS337">
        <v>9.9055517161944252E-3</v>
      </c>
      <c r="AT337">
        <v>5.0679566920064506E-3</v>
      </c>
      <c r="AU337">
        <v>0</v>
      </c>
      <c r="AV337">
        <v>0</v>
      </c>
      <c r="AW337">
        <v>2.30361667818475E-4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2.30361667818475E-4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2.30361667818475E-4</v>
      </c>
      <c r="BO337">
        <v>0</v>
      </c>
      <c r="BP337">
        <v>0</v>
      </c>
      <c r="BQ337">
        <v>4.6072333563695004E-3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0.33172080165860396</v>
      </c>
      <c r="CB337">
        <v>0</v>
      </c>
    </row>
    <row r="338" spans="1:80" s="1" customFormat="1">
      <c r="A338">
        <v>337</v>
      </c>
      <c r="B338" t="s">
        <v>82</v>
      </c>
      <c r="C338" s="4" t="s">
        <v>171</v>
      </c>
      <c r="D338" s="4" t="s">
        <v>118</v>
      </c>
      <c r="E338" s="5">
        <v>39936</v>
      </c>
      <c r="F338" s="5">
        <v>39935</v>
      </c>
      <c r="G338">
        <v>905</v>
      </c>
      <c r="H338" s="4" t="s">
        <v>110</v>
      </c>
      <c r="I338" s="4" t="s">
        <v>109</v>
      </c>
      <c r="J338" s="4" t="str">
        <f t="shared" si="5"/>
        <v>u_rem.c_rem</v>
      </c>
      <c r="K338" s="5">
        <v>1</v>
      </c>
      <c r="L338">
        <v>0</v>
      </c>
      <c r="M338">
        <v>0.11511268228015907</v>
      </c>
      <c r="N338">
        <v>6.6504639858594783E-2</v>
      </c>
      <c r="O338">
        <v>0</v>
      </c>
      <c r="P338">
        <v>0</v>
      </c>
      <c r="Q338">
        <v>0.14184710561201944</v>
      </c>
      <c r="R338">
        <v>0</v>
      </c>
      <c r="S338">
        <v>0</v>
      </c>
      <c r="T338">
        <v>8.8378258948298722E-3</v>
      </c>
      <c r="U338">
        <v>4.6398585947856827E-3</v>
      </c>
      <c r="V338">
        <v>0</v>
      </c>
      <c r="W338">
        <v>0</v>
      </c>
      <c r="X338">
        <v>4.4189129474149361E-3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9.0587715422006179E-3</v>
      </c>
      <c r="AF338">
        <v>0</v>
      </c>
      <c r="AG338">
        <v>0</v>
      </c>
      <c r="AH338">
        <v>0</v>
      </c>
      <c r="AI338">
        <v>2.2094564737074678E-4</v>
      </c>
      <c r="AJ338">
        <v>0</v>
      </c>
      <c r="AK338">
        <v>0</v>
      </c>
      <c r="AL338">
        <v>0</v>
      </c>
      <c r="AM338">
        <v>0</v>
      </c>
      <c r="AN338">
        <v>3.2037118868758284E-2</v>
      </c>
      <c r="AO338">
        <v>0</v>
      </c>
      <c r="AP338">
        <v>0</v>
      </c>
      <c r="AQ338">
        <v>4.4189129474149361E-3</v>
      </c>
      <c r="AR338">
        <v>0</v>
      </c>
      <c r="AS338">
        <v>1.391957578435705E-2</v>
      </c>
      <c r="AT338">
        <v>4.4189129474149356E-4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0.13742819266460449</v>
      </c>
      <c r="BB338">
        <v>0.22580645161290314</v>
      </c>
      <c r="BC338">
        <v>0</v>
      </c>
      <c r="BD338">
        <v>0</v>
      </c>
      <c r="BE338">
        <v>0.12925320371188687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4.4189129474149361E-3</v>
      </c>
      <c r="BO338">
        <v>0</v>
      </c>
      <c r="BP338">
        <v>4.4189129474149361E-3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9.7216084843128589E-2</v>
      </c>
      <c r="CB338">
        <v>0</v>
      </c>
    </row>
    <row r="339" spans="1:80" s="1" customFormat="1">
      <c r="A339">
        <v>338</v>
      </c>
      <c r="B339" t="s">
        <v>83</v>
      </c>
      <c r="C339" s="4" t="s">
        <v>171</v>
      </c>
      <c r="D339" s="4" t="s">
        <v>118</v>
      </c>
      <c r="E339" s="5">
        <v>39936</v>
      </c>
      <c r="F339" s="5">
        <v>39935</v>
      </c>
      <c r="G339">
        <v>905</v>
      </c>
      <c r="H339" s="4" t="s">
        <v>110</v>
      </c>
      <c r="I339" s="4" t="s">
        <v>108</v>
      </c>
      <c r="J339" s="4" t="str">
        <f t="shared" si="5"/>
        <v>u_rem.c_con</v>
      </c>
      <c r="K339" s="5">
        <v>8</v>
      </c>
      <c r="L339">
        <v>0</v>
      </c>
      <c r="M339">
        <v>0.18050065876152824</v>
      </c>
      <c r="N339">
        <v>9.2226613965744414E-2</v>
      </c>
      <c r="O339">
        <v>4.61133069828722E-3</v>
      </c>
      <c r="P339">
        <v>0</v>
      </c>
      <c r="Q339">
        <v>0.26350461133069819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1.339481774264383E-2</v>
      </c>
      <c r="Y339">
        <v>1.3175230566534912E-2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4.3917435221783041E-3</v>
      </c>
      <c r="AF339">
        <v>0</v>
      </c>
      <c r="AG339">
        <v>0</v>
      </c>
      <c r="AH339">
        <v>4.3917435221783041E-3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1.3175230566534914E-2</v>
      </c>
      <c r="AO339">
        <v>0</v>
      </c>
      <c r="AP339">
        <v>0</v>
      </c>
      <c r="AQ339">
        <v>2.1958717610891522E-4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5.731225296442688E-2</v>
      </c>
      <c r="BB339">
        <v>0.24615722441809393</v>
      </c>
      <c r="BC339">
        <v>0</v>
      </c>
      <c r="BD339">
        <v>0</v>
      </c>
      <c r="BE339">
        <v>4.0623627580149313E-2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9.22266139657444E-3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5.7092665788317974E-2</v>
      </c>
      <c r="CB339">
        <v>0</v>
      </c>
    </row>
    <row r="340" spans="1:80">
      <c r="A340">
        <v>339</v>
      </c>
      <c r="B340" t="s">
        <v>84</v>
      </c>
      <c r="C340" s="4" t="s">
        <v>171</v>
      </c>
      <c r="D340" s="4" t="s">
        <v>118</v>
      </c>
      <c r="E340" s="5">
        <v>39936</v>
      </c>
      <c r="F340" s="5">
        <v>39935</v>
      </c>
      <c r="G340">
        <v>905</v>
      </c>
      <c r="H340" s="4" t="s">
        <v>110</v>
      </c>
      <c r="I340" s="4" t="s">
        <v>109</v>
      </c>
      <c r="J340" s="4" t="str">
        <f t="shared" si="5"/>
        <v>u_rem.c_rem</v>
      </c>
      <c r="K340" s="5">
        <v>1</v>
      </c>
      <c r="L340">
        <v>2.6322716504343253E-4</v>
      </c>
      <c r="M340">
        <v>0.12292708607528297</v>
      </c>
      <c r="N340">
        <v>0.10555409318241646</v>
      </c>
      <c r="O340">
        <v>1.5793629902605952E-2</v>
      </c>
      <c r="P340">
        <v>0</v>
      </c>
      <c r="Q340">
        <v>0.15819952619110297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2.6322716504343253E-4</v>
      </c>
      <c r="Y340">
        <v>0</v>
      </c>
      <c r="Z340">
        <v>5.2645433008686503E-3</v>
      </c>
      <c r="AA340">
        <v>0</v>
      </c>
      <c r="AB340">
        <v>0</v>
      </c>
      <c r="AC340">
        <v>0</v>
      </c>
      <c r="AD340">
        <v>0</v>
      </c>
      <c r="AE340">
        <v>5.5277704659120836E-3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6.5806791260858127E-3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2.6322716504343253E-4</v>
      </c>
      <c r="AU340">
        <v>0</v>
      </c>
      <c r="AV340">
        <v>0</v>
      </c>
      <c r="AW340">
        <v>0</v>
      </c>
      <c r="AX340">
        <v>5.2645433008686503E-3</v>
      </c>
      <c r="AY340">
        <v>0</v>
      </c>
      <c r="AZ340">
        <v>0</v>
      </c>
      <c r="BA340">
        <v>0.13161358252171629</v>
      </c>
      <c r="BB340">
        <v>0.1213477230850224</v>
      </c>
      <c r="BC340">
        <v>0</v>
      </c>
      <c r="BD340">
        <v>0</v>
      </c>
      <c r="BE340">
        <v>0.17899447222953416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5.2645433008686503E-3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0.13687812582258491</v>
      </c>
      <c r="CB340">
        <v>0</v>
      </c>
    </row>
    <row r="341" spans="1:80">
      <c r="A341">
        <v>340</v>
      </c>
      <c r="B341" t="s">
        <v>85</v>
      </c>
      <c r="C341" s="4" t="s">
        <v>171</v>
      </c>
      <c r="D341" s="4" t="s">
        <v>118</v>
      </c>
      <c r="E341" s="5">
        <v>39936</v>
      </c>
      <c r="F341" s="5">
        <v>39935</v>
      </c>
      <c r="G341">
        <v>905</v>
      </c>
      <c r="H341" s="4" t="s">
        <v>110</v>
      </c>
      <c r="I341" s="4" t="s">
        <v>108</v>
      </c>
      <c r="J341" s="4" t="str">
        <f t="shared" si="5"/>
        <v>u_rem.c_con</v>
      </c>
      <c r="K341" s="5">
        <v>8</v>
      </c>
      <c r="L341">
        <v>1.681997371879107E-2</v>
      </c>
      <c r="M341">
        <v>4.8357424441524313E-2</v>
      </c>
      <c r="N341">
        <v>0.14191852825229964</v>
      </c>
      <c r="O341">
        <v>0</v>
      </c>
      <c r="P341">
        <v>2.1024967148488834E-2</v>
      </c>
      <c r="Q341">
        <v>0.29434954007884362</v>
      </c>
      <c r="R341">
        <v>0</v>
      </c>
      <c r="S341">
        <v>1.5768725361366625E-2</v>
      </c>
      <c r="T341">
        <v>2.1550591327201055E-2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1.1563731931668859E-2</v>
      </c>
      <c r="AF341">
        <v>0</v>
      </c>
      <c r="AG341">
        <v>0</v>
      </c>
      <c r="AH341">
        <v>0</v>
      </c>
      <c r="AI341">
        <v>5.2562417871222084E-4</v>
      </c>
      <c r="AJ341">
        <v>0</v>
      </c>
      <c r="AK341">
        <v>0</v>
      </c>
      <c r="AL341">
        <v>0</v>
      </c>
      <c r="AM341">
        <v>0</v>
      </c>
      <c r="AN341">
        <v>2.6281208935611042E-4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5.5190538764783191E-3</v>
      </c>
      <c r="AU341">
        <v>0</v>
      </c>
      <c r="AV341">
        <v>0</v>
      </c>
      <c r="AW341">
        <v>0</v>
      </c>
      <c r="AX341">
        <v>5.2562417871222086E-3</v>
      </c>
      <c r="AY341">
        <v>0</v>
      </c>
      <c r="AZ341">
        <v>0</v>
      </c>
      <c r="BA341">
        <v>5.7818659658344295E-3</v>
      </c>
      <c r="BB341">
        <v>0</v>
      </c>
      <c r="BC341">
        <v>0</v>
      </c>
      <c r="BD341">
        <v>0</v>
      </c>
      <c r="BE341">
        <v>3.2063074901445471E-2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7.884362680683312E-4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1.0512483574244417E-2</v>
      </c>
      <c r="BX341">
        <v>0</v>
      </c>
      <c r="BY341">
        <v>0</v>
      </c>
      <c r="BZ341">
        <v>0</v>
      </c>
      <c r="CA341">
        <v>0.36793692509855447</v>
      </c>
      <c r="CB341">
        <v>0</v>
      </c>
    </row>
    <row r="342" spans="1:80">
      <c r="A342">
        <v>341</v>
      </c>
      <c r="B342" t="s">
        <v>86</v>
      </c>
      <c r="C342" s="4" t="s">
        <v>172</v>
      </c>
      <c r="D342" s="4" t="s">
        <v>118</v>
      </c>
      <c r="E342" s="5">
        <v>39936</v>
      </c>
      <c r="F342" s="5">
        <v>39935</v>
      </c>
      <c r="G342">
        <v>905</v>
      </c>
      <c r="H342" s="4" t="s">
        <v>107</v>
      </c>
      <c r="I342" s="4" t="s">
        <v>108</v>
      </c>
      <c r="J342" s="4" t="str">
        <f t="shared" si="5"/>
        <v>u_con.c_con</v>
      </c>
      <c r="K342" s="5">
        <v>19</v>
      </c>
      <c r="L342">
        <v>0</v>
      </c>
      <c r="M342">
        <v>3.2165271966527201E-2</v>
      </c>
      <c r="N342">
        <v>7.8974895397489558E-2</v>
      </c>
      <c r="O342">
        <v>0</v>
      </c>
      <c r="P342">
        <v>0</v>
      </c>
      <c r="Q342">
        <v>5.2301255230125529E-4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0.12029288702928874</v>
      </c>
      <c r="Z342">
        <v>0</v>
      </c>
      <c r="AA342">
        <v>0</v>
      </c>
      <c r="AB342">
        <v>0</v>
      </c>
      <c r="AC342">
        <v>5.2301255230125529E-3</v>
      </c>
      <c r="AD342">
        <v>0</v>
      </c>
      <c r="AE342">
        <v>0</v>
      </c>
      <c r="AF342">
        <v>0</v>
      </c>
      <c r="AG342">
        <v>5.2301255230125529E-3</v>
      </c>
      <c r="AH342">
        <v>0</v>
      </c>
      <c r="AI342">
        <v>5.7531380753138087E-3</v>
      </c>
      <c r="AJ342">
        <v>0</v>
      </c>
      <c r="AK342">
        <v>0</v>
      </c>
      <c r="AL342">
        <v>0</v>
      </c>
      <c r="AM342">
        <v>0</v>
      </c>
      <c r="AN342">
        <v>6.2761506276150644E-3</v>
      </c>
      <c r="AO342">
        <v>0</v>
      </c>
      <c r="AP342">
        <v>0</v>
      </c>
      <c r="AQ342">
        <v>0</v>
      </c>
      <c r="AR342">
        <v>0</v>
      </c>
      <c r="AS342">
        <v>2.6150627615062764E-2</v>
      </c>
      <c r="AT342">
        <v>2.6150627615062765E-4</v>
      </c>
      <c r="AU342">
        <v>0</v>
      </c>
      <c r="AV342">
        <v>2.6150627615062765E-4</v>
      </c>
      <c r="AW342">
        <v>5.2301255230125529E-3</v>
      </c>
      <c r="AX342">
        <v>5.2301255230125529E-3</v>
      </c>
      <c r="AY342">
        <v>0</v>
      </c>
      <c r="AZ342">
        <v>0</v>
      </c>
      <c r="BA342">
        <v>7.8974895397489572E-2</v>
      </c>
      <c r="BB342">
        <v>8.8912133891213413E-2</v>
      </c>
      <c r="BC342">
        <v>0</v>
      </c>
      <c r="BD342">
        <v>0</v>
      </c>
      <c r="BE342">
        <v>0.17364016736401675</v>
      </c>
      <c r="BF342">
        <v>5.2301255230125529E-4</v>
      </c>
      <c r="BG342">
        <v>0</v>
      </c>
      <c r="BH342">
        <v>0</v>
      </c>
      <c r="BI342">
        <v>0</v>
      </c>
      <c r="BJ342">
        <v>0</v>
      </c>
      <c r="BK342">
        <v>5.2301255230125529E-3</v>
      </c>
      <c r="BL342">
        <v>0</v>
      </c>
      <c r="BM342">
        <v>0</v>
      </c>
      <c r="BN342">
        <v>1.0460251046025106E-2</v>
      </c>
      <c r="BO342">
        <v>0</v>
      </c>
      <c r="BP342">
        <v>1.0460251046025106E-2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0.33995815899581594</v>
      </c>
      <c r="CB342">
        <v>0</v>
      </c>
    </row>
    <row r="343" spans="1:80" s="1" customFormat="1">
      <c r="A343">
        <v>342</v>
      </c>
      <c r="B343" t="s">
        <v>87</v>
      </c>
      <c r="C343" s="4" t="s">
        <v>172</v>
      </c>
      <c r="D343" s="4" t="s">
        <v>118</v>
      </c>
      <c r="E343" s="5">
        <v>39936</v>
      </c>
      <c r="F343" s="5">
        <v>39935</v>
      </c>
      <c r="G343">
        <v>905</v>
      </c>
      <c r="H343" s="4" t="s">
        <v>107</v>
      </c>
      <c r="I343" s="4" t="s">
        <v>109</v>
      </c>
      <c r="J343" s="4" t="str">
        <f t="shared" si="5"/>
        <v>u_con.c_rem</v>
      </c>
      <c r="K343" s="5">
        <v>2</v>
      </c>
      <c r="L343">
        <v>0</v>
      </c>
      <c r="M343">
        <v>3.0597014925373131E-2</v>
      </c>
      <c r="N343">
        <v>0.10447761194029853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2.4875621890547261E-2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0.12960199004975123</v>
      </c>
      <c r="AF343">
        <v>0</v>
      </c>
      <c r="AG343">
        <v>0</v>
      </c>
      <c r="AH343">
        <v>0</v>
      </c>
      <c r="AI343">
        <v>1.492537313432836E-2</v>
      </c>
      <c r="AJ343">
        <v>0</v>
      </c>
      <c r="AK343">
        <v>0</v>
      </c>
      <c r="AL343">
        <v>0</v>
      </c>
      <c r="AM343">
        <v>6.5174129353233842E-2</v>
      </c>
      <c r="AN343">
        <v>5.4726368159203984E-3</v>
      </c>
      <c r="AO343">
        <v>0</v>
      </c>
      <c r="AP343">
        <v>0</v>
      </c>
      <c r="AQ343">
        <v>0</v>
      </c>
      <c r="AR343">
        <v>0</v>
      </c>
      <c r="AS343">
        <v>1.0199004975124378E-2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0.12960199004975123</v>
      </c>
      <c r="BB343">
        <v>0.11990049751243781</v>
      </c>
      <c r="BC343">
        <v>0</v>
      </c>
      <c r="BD343">
        <v>0</v>
      </c>
      <c r="BE343">
        <v>8.532338308457714E-2</v>
      </c>
      <c r="BF343">
        <v>5.7213930348258705E-3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2.4875621890547261E-2</v>
      </c>
      <c r="BO343">
        <v>0</v>
      </c>
      <c r="BP343">
        <v>1.5422885572139305E-2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0.22885572139303478</v>
      </c>
      <c r="CB343">
        <v>4.9751243781094526E-3</v>
      </c>
    </row>
    <row r="344" spans="1:80">
      <c r="A344">
        <v>343</v>
      </c>
      <c r="B344" t="s">
        <v>88</v>
      </c>
      <c r="C344" s="4" t="s">
        <v>172</v>
      </c>
      <c r="D344" s="4" t="s">
        <v>118</v>
      </c>
      <c r="E344" s="5">
        <v>39936</v>
      </c>
      <c r="F344" s="5">
        <v>39935</v>
      </c>
      <c r="G344">
        <v>905</v>
      </c>
      <c r="H344" s="4" t="s">
        <v>107</v>
      </c>
      <c r="I344" s="4" t="s">
        <v>109</v>
      </c>
      <c r="J344" s="4" t="str">
        <f t="shared" si="5"/>
        <v>u_con.c_rem</v>
      </c>
      <c r="K344" s="5">
        <v>2</v>
      </c>
      <c r="L344">
        <v>0</v>
      </c>
      <c r="M344">
        <v>2.3521351906828043E-2</v>
      </c>
      <c r="N344">
        <v>0.21922813427723217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4.7956154373144559E-3</v>
      </c>
      <c r="Y344">
        <v>6.8508791961635077E-2</v>
      </c>
      <c r="Z344">
        <v>9.1345055948846773E-3</v>
      </c>
      <c r="AA344">
        <v>0</v>
      </c>
      <c r="AB344">
        <v>0</v>
      </c>
      <c r="AC344">
        <v>0</v>
      </c>
      <c r="AD344">
        <v>0</v>
      </c>
      <c r="AE344">
        <v>1.4158483672071249E-2</v>
      </c>
      <c r="AF344">
        <v>0</v>
      </c>
      <c r="AG344">
        <v>0</v>
      </c>
      <c r="AH344">
        <v>0</v>
      </c>
      <c r="AI344">
        <v>1.8725736469513591E-2</v>
      </c>
      <c r="AJ344">
        <v>0</v>
      </c>
      <c r="AK344">
        <v>0</v>
      </c>
      <c r="AL344">
        <v>0</v>
      </c>
      <c r="AM344">
        <v>6.9193879881251433E-2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3.2199132221968484E-2</v>
      </c>
      <c r="AT344">
        <v>4.5672527974423387E-3</v>
      </c>
      <c r="AU344">
        <v>0</v>
      </c>
      <c r="AV344">
        <v>0</v>
      </c>
      <c r="AW344">
        <v>0</v>
      </c>
      <c r="AX344">
        <v>0</v>
      </c>
      <c r="AY344">
        <v>2.2836263987211693E-4</v>
      </c>
      <c r="AZ344">
        <v>4.5672527974423387E-3</v>
      </c>
      <c r="BA344">
        <v>0.1963918702900205</v>
      </c>
      <c r="BB344">
        <v>3.6766385019410826E-2</v>
      </c>
      <c r="BC344">
        <v>0</v>
      </c>
      <c r="BD344">
        <v>0</v>
      </c>
      <c r="BE344">
        <v>6.0059374286366762E-2</v>
      </c>
      <c r="BF344">
        <v>5.0239780771865724E-3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9.1345055948846773E-3</v>
      </c>
      <c r="BO344">
        <v>4.5672527974423387E-3</v>
      </c>
      <c r="BP344">
        <v>2.7403516784654029E-2</v>
      </c>
      <c r="BQ344">
        <v>4.5672527974423387E-3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4.5672527974423387E-3</v>
      </c>
      <c r="CA344">
        <v>0.18269011189769355</v>
      </c>
      <c r="CB344">
        <v>0</v>
      </c>
    </row>
    <row r="345" spans="1:80">
      <c r="A345">
        <v>344</v>
      </c>
      <c r="B345" t="s">
        <v>89</v>
      </c>
      <c r="C345" s="4" t="s">
        <v>172</v>
      </c>
      <c r="D345" s="4" t="s">
        <v>118</v>
      </c>
      <c r="E345" s="5">
        <v>39936</v>
      </c>
      <c r="F345" s="5">
        <v>39935</v>
      </c>
      <c r="G345">
        <v>905</v>
      </c>
      <c r="H345" s="4" t="s">
        <v>107</v>
      </c>
      <c r="I345" s="4" t="s">
        <v>108</v>
      </c>
      <c r="J345" s="4" t="str">
        <f t="shared" si="5"/>
        <v>u_con.c_con</v>
      </c>
      <c r="K345" s="5">
        <v>19</v>
      </c>
      <c r="L345">
        <v>0</v>
      </c>
      <c r="M345">
        <v>2.3974638399048943E-2</v>
      </c>
      <c r="N345">
        <v>0.19813750743015648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8.3217753120665757E-3</v>
      </c>
      <c r="Y345">
        <v>3.9627501486031315E-2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5.5676639587873993E-2</v>
      </c>
      <c r="AF345">
        <v>0</v>
      </c>
      <c r="AG345">
        <v>0</v>
      </c>
      <c r="AH345">
        <v>4.1608876560332879E-3</v>
      </c>
      <c r="AI345">
        <v>1.6247275609272839E-2</v>
      </c>
      <c r="AJ345">
        <v>0</v>
      </c>
      <c r="AK345">
        <v>0</v>
      </c>
      <c r="AL345">
        <v>0</v>
      </c>
      <c r="AM345">
        <v>8.7378640776699046E-2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2.4172775906479104E-2</v>
      </c>
      <c r="AT345">
        <v>3.9627501486031314E-4</v>
      </c>
      <c r="AU345">
        <v>0</v>
      </c>
      <c r="AV345">
        <v>0</v>
      </c>
      <c r="AW345">
        <v>4.1608876560332879E-3</v>
      </c>
      <c r="AX345">
        <v>0</v>
      </c>
      <c r="AY345">
        <v>0</v>
      </c>
      <c r="AZ345">
        <v>0</v>
      </c>
      <c r="BA345">
        <v>0.16643550624133152</v>
      </c>
      <c r="BB345">
        <v>0.10382405389340205</v>
      </c>
      <c r="BC345">
        <v>0</v>
      </c>
      <c r="BD345">
        <v>0</v>
      </c>
      <c r="BE345">
        <v>4.4977214186645541E-2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4.3590251634634449E-3</v>
      </c>
      <c r="BO345">
        <v>0</v>
      </c>
      <c r="BP345">
        <v>3.9627501486031317E-3</v>
      </c>
      <c r="BQ345">
        <v>0</v>
      </c>
      <c r="BR345">
        <v>0</v>
      </c>
      <c r="BS345">
        <v>0</v>
      </c>
      <c r="BT345">
        <v>1.2086387953239552E-2</v>
      </c>
      <c r="BU345">
        <v>0</v>
      </c>
      <c r="BV345">
        <v>0</v>
      </c>
      <c r="BW345">
        <v>3.9627501486031317E-3</v>
      </c>
      <c r="BX345">
        <v>0</v>
      </c>
      <c r="BY345">
        <v>0</v>
      </c>
      <c r="BZ345">
        <v>0</v>
      </c>
      <c r="CA345">
        <v>0.19813750743015648</v>
      </c>
      <c r="CB345">
        <v>0</v>
      </c>
    </row>
    <row r="346" spans="1:80" s="1" customFormat="1">
      <c r="A346">
        <v>345</v>
      </c>
      <c r="B346" t="s">
        <v>90</v>
      </c>
      <c r="C346" s="4" t="s">
        <v>173</v>
      </c>
      <c r="D346" s="4" t="s">
        <v>118</v>
      </c>
      <c r="E346" s="5">
        <v>39936</v>
      </c>
      <c r="F346" s="5">
        <v>39935</v>
      </c>
      <c r="G346">
        <v>905</v>
      </c>
      <c r="H346" s="4" t="s">
        <v>107</v>
      </c>
      <c r="I346" s="4" t="s">
        <v>108</v>
      </c>
      <c r="J346" s="4" t="str">
        <f t="shared" si="5"/>
        <v>u_con.c_con</v>
      </c>
      <c r="K346" s="5">
        <v>19</v>
      </c>
      <c r="L346">
        <v>0</v>
      </c>
      <c r="M346">
        <v>2.7367027146325312E-2</v>
      </c>
      <c r="N346">
        <v>0.2118737585521959</v>
      </c>
      <c r="O346">
        <v>2.2070183182520414E-4</v>
      </c>
      <c r="P346">
        <v>0</v>
      </c>
      <c r="Q346">
        <v>4.4361068196866027E-2</v>
      </c>
      <c r="R346">
        <v>2.6484219819024494E-2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2.2070183182520414E-4</v>
      </c>
      <c r="Y346">
        <v>0</v>
      </c>
      <c r="Z346">
        <v>8.8280732730081652E-3</v>
      </c>
      <c r="AA346">
        <v>0</v>
      </c>
      <c r="AB346">
        <v>0</v>
      </c>
      <c r="AC346">
        <v>0</v>
      </c>
      <c r="AD346">
        <v>0</v>
      </c>
      <c r="AE346">
        <v>3.5974398587508276E-2</v>
      </c>
      <c r="AF346">
        <v>0</v>
      </c>
      <c r="AG346">
        <v>8.8280732730081652E-3</v>
      </c>
      <c r="AH346">
        <v>0</v>
      </c>
      <c r="AI346">
        <v>1.4124917236813068E-2</v>
      </c>
      <c r="AJ346">
        <v>0</v>
      </c>
      <c r="AK346">
        <v>0</v>
      </c>
      <c r="AL346">
        <v>4.4140366365040826E-3</v>
      </c>
      <c r="AM346">
        <v>0</v>
      </c>
      <c r="AN346">
        <v>5.076142131979695E-3</v>
      </c>
      <c r="AO346">
        <v>0</v>
      </c>
      <c r="AP346">
        <v>0</v>
      </c>
      <c r="AQ346">
        <v>0</v>
      </c>
      <c r="AR346">
        <v>0</v>
      </c>
      <c r="AS346">
        <v>4.634738468329287E-3</v>
      </c>
      <c r="AT346">
        <v>6.6210549547561243E-4</v>
      </c>
      <c r="AU346">
        <v>0</v>
      </c>
      <c r="AV346">
        <v>0</v>
      </c>
      <c r="AW346">
        <v>0</v>
      </c>
      <c r="AX346">
        <v>8.8280732730081652E-3</v>
      </c>
      <c r="AY346">
        <v>0</v>
      </c>
      <c r="AZ346">
        <v>0</v>
      </c>
      <c r="BA346">
        <v>0.15934672257779739</v>
      </c>
      <c r="BB346">
        <v>0.15471198410946813</v>
      </c>
      <c r="BC346">
        <v>0</v>
      </c>
      <c r="BD346">
        <v>0</v>
      </c>
      <c r="BE346">
        <v>4.8554403001544913E-2</v>
      </c>
      <c r="BF346">
        <v>4.8554403001544915E-3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1.7876848377841537E-2</v>
      </c>
      <c r="BO346">
        <v>4.4140366365040826E-3</v>
      </c>
      <c r="BP346">
        <v>1.3462811741337455E-2</v>
      </c>
      <c r="BQ346">
        <v>0</v>
      </c>
      <c r="BR346">
        <v>2.2070183182520414E-4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4.4140366365040826E-3</v>
      </c>
      <c r="BZ346">
        <v>0</v>
      </c>
      <c r="CA346">
        <v>0.19024497903332596</v>
      </c>
      <c r="CB346">
        <v>0</v>
      </c>
    </row>
    <row r="347" spans="1:80" s="1" customFormat="1">
      <c r="A347">
        <v>346</v>
      </c>
      <c r="B347" t="s">
        <v>91</v>
      </c>
      <c r="C347" s="4" t="s">
        <v>173</v>
      </c>
      <c r="D347" s="4" t="s">
        <v>118</v>
      </c>
      <c r="E347" s="5">
        <v>39936</v>
      </c>
      <c r="F347" s="5">
        <v>39935</v>
      </c>
      <c r="G347">
        <v>905</v>
      </c>
      <c r="H347" s="4" t="s">
        <v>107</v>
      </c>
      <c r="I347" s="4" t="s">
        <v>109</v>
      </c>
      <c r="J347" s="4" t="str">
        <f t="shared" si="5"/>
        <v>u_con.c_rem</v>
      </c>
      <c r="K347" s="5">
        <v>2</v>
      </c>
      <c r="L347">
        <v>3.9254170755642772E-4</v>
      </c>
      <c r="M347">
        <v>0.11089303238469082</v>
      </c>
      <c r="N347">
        <v>0.15721295387634932</v>
      </c>
      <c r="O347">
        <v>1.1776251226692831E-2</v>
      </c>
      <c r="P347">
        <v>0</v>
      </c>
      <c r="Q347">
        <v>3.9646712463199202E-2</v>
      </c>
      <c r="R347">
        <v>8.6555446516192319E-2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1.9627085377821386E-4</v>
      </c>
      <c r="AF347">
        <v>0</v>
      </c>
      <c r="AG347">
        <v>0</v>
      </c>
      <c r="AH347">
        <v>8.2433758586849832E-3</v>
      </c>
      <c r="AI347">
        <v>3.9254170755642772E-4</v>
      </c>
      <c r="AJ347">
        <v>0</v>
      </c>
      <c r="AK347">
        <v>0</v>
      </c>
      <c r="AL347">
        <v>7.8508341511285551E-3</v>
      </c>
      <c r="AM347">
        <v>0</v>
      </c>
      <c r="AN347">
        <v>1.570166830225711E-2</v>
      </c>
      <c r="AO347">
        <v>0</v>
      </c>
      <c r="AP347">
        <v>0</v>
      </c>
      <c r="AQ347">
        <v>0</v>
      </c>
      <c r="AR347">
        <v>0</v>
      </c>
      <c r="AS347">
        <v>3.9254170755642772E-4</v>
      </c>
      <c r="AT347">
        <v>3.9254170755642772E-4</v>
      </c>
      <c r="AU347">
        <v>0</v>
      </c>
      <c r="AV347">
        <v>0</v>
      </c>
      <c r="AW347">
        <v>0</v>
      </c>
      <c r="AX347">
        <v>3.9254170755642775E-3</v>
      </c>
      <c r="AY347">
        <v>0</v>
      </c>
      <c r="AZ347">
        <v>0</v>
      </c>
      <c r="BA347">
        <v>4.4357212953876332E-2</v>
      </c>
      <c r="BB347">
        <v>5.9666339548577023E-2</v>
      </c>
      <c r="BC347">
        <v>0</v>
      </c>
      <c r="BD347">
        <v>0</v>
      </c>
      <c r="BE347">
        <v>0.16113837095191358</v>
      </c>
      <c r="BF347">
        <v>3.199214916584886E-2</v>
      </c>
      <c r="BG347">
        <v>0</v>
      </c>
      <c r="BH347">
        <v>0</v>
      </c>
      <c r="BI347">
        <v>0</v>
      </c>
      <c r="BJ347">
        <v>0</v>
      </c>
      <c r="BK347">
        <v>1.5897939156035323E-2</v>
      </c>
      <c r="BL347">
        <v>0</v>
      </c>
      <c r="BM347">
        <v>0</v>
      </c>
      <c r="BN347">
        <v>3.9254170755642775E-3</v>
      </c>
      <c r="BO347">
        <v>7.8508341511285551E-3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0.22767419038272804</v>
      </c>
      <c r="CB347">
        <v>3.9254170755642775E-3</v>
      </c>
    </row>
    <row r="348" spans="1:80">
      <c r="A348">
        <v>347</v>
      </c>
      <c r="B348" t="s">
        <v>92</v>
      </c>
      <c r="C348" s="4" t="s">
        <v>173</v>
      </c>
      <c r="D348" s="4" t="s">
        <v>118</v>
      </c>
      <c r="E348" s="5">
        <v>39936</v>
      </c>
      <c r="F348" s="5">
        <v>39935</v>
      </c>
      <c r="G348">
        <v>905</v>
      </c>
      <c r="H348" s="4" t="s">
        <v>107</v>
      </c>
      <c r="I348" s="4" t="s">
        <v>108</v>
      </c>
      <c r="J348" s="4" t="str">
        <f t="shared" si="5"/>
        <v>u_con.c_con</v>
      </c>
      <c r="K348" s="5">
        <v>19</v>
      </c>
      <c r="L348">
        <v>0</v>
      </c>
      <c r="M348">
        <v>1.0221889803041636E-2</v>
      </c>
      <c r="N348">
        <v>0.14958863126402397</v>
      </c>
      <c r="O348">
        <v>4.9862877088007983E-3</v>
      </c>
      <c r="P348">
        <v>0</v>
      </c>
      <c r="Q348">
        <v>5.011219147344801E-2</v>
      </c>
      <c r="R348">
        <v>0.10969832959361757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4.9862877088007983E-3</v>
      </c>
      <c r="Y348">
        <v>0.11967090501121914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9.9725754176015965E-3</v>
      </c>
      <c r="AF348">
        <v>0</v>
      </c>
      <c r="AG348">
        <v>0</v>
      </c>
      <c r="AH348">
        <v>2.493143854400399E-4</v>
      </c>
      <c r="AI348">
        <v>2.1441037147843435E-2</v>
      </c>
      <c r="AJ348">
        <v>0</v>
      </c>
      <c r="AK348">
        <v>0</v>
      </c>
      <c r="AL348">
        <v>0</v>
      </c>
      <c r="AM348">
        <v>0</v>
      </c>
      <c r="AN348">
        <v>7.4794315632011965E-4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4.9862877088007981E-4</v>
      </c>
      <c r="AU348">
        <v>0</v>
      </c>
      <c r="AV348">
        <v>0</v>
      </c>
      <c r="AW348">
        <v>0</v>
      </c>
      <c r="AX348">
        <v>4.9862877088007983E-3</v>
      </c>
      <c r="AY348">
        <v>0</v>
      </c>
      <c r="AZ348">
        <v>4.9862877088007983E-3</v>
      </c>
      <c r="BA348">
        <v>0.11094490152081773</v>
      </c>
      <c r="BB348">
        <v>7.0805285464971335E-2</v>
      </c>
      <c r="BC348">
        <v>0</v>
      </c>
      <c r="BD348">
        <v>0</v>
      </c>
      <c r="BE348">
        <v>0.10521067065569682</v>
      </c>
      <c r="BF348">
        <v>1.6454749439042637E-2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4.9862877088007983E-3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4.9862877088007983E-3</v>
      </c>
      <c r="BX348">
        <v>0</v>
      </c>
      <c r="BY348">
        <v>0</v>
      </c>
      <c r="BZ348">
        <v>0</v>
      </c>
      <c r="CA348">
        <v>0.1944652206432311</v>
      </c>
      <c r="CB348">
        <v>0</v>
      </c>
    </row>
    <row r="349" spans="1:80">
      <c r="A349">
        <v>348</v>
      </c>
      <c r="B349" t="s">
        <v>93</v>
      </c>
      <c r="C349" s="4" t="s">
        <v>173</v>
      </c>
      <c r="D349" s="4" t="s">
        <v>118</v>
      </c>
      <c r="E349" s="5">
        <v>39936</v>
      </c>
      <c r="F349" s="5">
        <v>39935</v>
      </c>
      <c r="G349">
        <v>905</v>
      </c>
      <c r="H349" s="4" t="s">
        <v>107</v>
      </c>
      <c r="I349" s="4" t="s">
        <v>109</v>
      </c>
      <c r="J349" s="4" t="str">
        <f t="shared" si="5"/>
        <v>u_con.c_rem</v>
      </c>
      <c r="K349" s="5">
        <v>2</v>
      </c>
      <c r="L349">
        <v>0</v>
      </c>
      <c r="M349">
        <v>3.2340032340032347E-2</v>
      </c>
      <c r="N349">
        <v>7.8771078771078792E-2</v>
      </c>
      <c r="O349">
        <v>6.4911064911064922E-2</v>
      </c>
      <c r="P349">
        <v>0</v>
      </c>
      <c r="Q349">
        <v>2.7951027951027954E-2</v>
      </c>
      <c r="R349">
        <v>0.124971124971125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2.3100023100023105E-4</v>
      </c>
      <c r="Y349">
        <v>1.3860013860013861E-2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1.8480018480018484E-2</v>
      </c>
      <c r="AF349">
        <v>0</v>
      </c>
      <c r="AG349">
        <v>0</v>
      </c>
      <c r="AH349">
        <v>0</v>
      </c>
      <c r="AI349">
        <v>6.9300069300069311E-4</v>
      </c>
      <c r="AJ349">
        <v>0</v>
      </c>
      <c r="AK349">
        <v>0</v>
      </c>
      <c r="AL349">
        <v>0</v>
      </c>
      <c r="AM349">
        <v>0</v>
      </c>
      <c r="AN349">
        <v>9.7020097020097049E-3</v>
      </c>
      <c r="AO349">
        <v>0</v>
      </c>
      <c r="AP349">
        <v>0</v>
      </c>
      <c r="AQ349">
        <v>0</v>
      </c>
      <c r="AR349">
        <v>0</v>
      </c>
      <c r="AS349">
        <v>4.620004620004621E-3</v>
      </c>
      <c r="AT349">
        <v>2.3100023100023105E-4</v>
      </c>
      <c r="AU349">
        <v>0</v>
      </c>
      <c r="AV349">
        <v>0</v>
      </c>
      <c r="AW349">
        <v>0</v>
      </c>
      <c r="AX349">
        <v>4.6200046200046209E-4</v>
      </c>
      <c r="AY349">
        <v>0</v>
      </c>
      <c r="AZ349">
        <v>0</v>
      </c>
      <c r="BA349">
        <v>0.10695310695310697</v>
      </c>
      <c r="BB349">
        <v>8.3622083622083662E-2</v>
      </c>
      <c r="BC349">
        <v>0</v>
      </c>
      <c r="BD349">
        <v>0</v>
      </c>
      <c r="BE349">
        <v>0.1942711942711943</v>
      </c>
      <c r="BF349">
        <v>5.3130053130053144E-3</v>
      </c>
      <c r="BG349">
        <v>0</v>
      </c>
      <c r="BH349">
        <v>0</v>
      </c>
      <c r="BI349">
        <v>0</v>
      </c>
      <c r="BJ349">
        <v>0</v>
      </c>
      <c r="BK349">
        <v>9.2400092400092421E-3</v>
      </c>
      <c r="BL349">
        <v>0</v>
      </c>
      <c r="BM349">
        <v>0</v>
      </c>
      <c r="BN349">
        <v>9.7020097020097049E-3</v>
      </c>
      <c r="BO349">
        <v>0</v>
      </c>
      <c r="BP349">
        <v>5.3130053130053144E-3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2.3100023100023105E-4</v>
      </c>
      <c r="CA349">
        <v>0.20351120351120347</v>
      </c>
      <c r="CB349">
        <v>4.620004620004621E-3</v>
      </c>
    </row>
    <row r="350" spans="1:80">
      <c r="A350">
        <v>349</v>
      </c>
      <c r="B350" t="s">
        <v>94</v>
      </c>
      <c r="C350" s="4" t="s">
        <v>174</v>
      </c>
      <c r="D350" s="4" t="s">
        <v>118</v>
      </c>
      <c r="E350" s="5">
        <v>39936</v>
      </c>
      <c r="F350" s="5">
        <v>39935</v>
      </c>
      <c r="G350">
        <v>905</v>
      </c>
      <c r="H350" s="4" t="s">
        <v>110</v>
      </c>
      <c r="I350" s="4" t="s">
        <v>108</v>
      </c>
      <c r="J350" s="4" t="str">
        <f t="shared" si="5"/>
        <v>u_rem.c_con</v>
      </c>
      <c r="K350" s="5">
        <v>8</v>
      </c>
      <c r="L350">
        <v>0</v>
      </c>
      <c r="M350">
        <v>8.70406189555126E-2</v>
      </c>
      <c r="N350">
        <v>0.51579626047711158</v>
      </c>
      <c r="O350">
        <v>0</v>
      </c>
      <c r="P350">
        <v>0</v>
      </c>
      <c r="Q350">
        <v>8.5966043412851936E-3</v>
      </c>
      <c r="R350">
        <v>0</v>
      </c>
      <c r="S350">
        <v>4.2983021706425966E-4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9.0264345583494533E-3</v>
      </c>
      <c r="AJ350">
        <v>8.8115194498173243E-3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6.4474532559638954E-4</v>
      </c>
      <c r="AU350">
        <v>0</v>
      </c>
      <c r="AV350">
        <v>0</v>
      </c>
      <c r="AW350">
        <v>4.2983021706425968E-3</v>
      </c>
      <c r="AX350">
        <v>0</v>
      </c>
      <c r="AY350">
        <v>0</v>
      </c>
      <c r="AZ350">
        <v>1.2894906511927793E-2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0.35246077799269288</v>
      </c>
      <c r="CB350">
        <v>0</v>
      </c>
    </row>
    <row r="351" spans="1:80" s="1" customFormat="1">
      <c r="A351">
        <v>350</v>
      </c>
      <c r="B351" t="s">
        <v>95</v>
      </c>
      <c r="C351" s="4" t="s">
        <v>174</v>
      </c>
      <c r="D351" s="4" t="s">
        <v>118</v>
      </c>
      <c r="E351" s="5">
        <v>39936</v>
      </c>
      <c r="F351" s="5">
        <v>39935</v>
      </c>
      <c r="G351">
        <v>905</v>
      </c>
      <c r="H351" s="4" t="s">
        <v>110</v>
      </c>
      <c r="I351" s="4" t="s">
        <v>109</v>
      </c>
      <c r="J351" s="4" t="str">
        <f t="shared" si="5"/>
        <v>u_rem.c_rem</v>
      </c>
      <c r="K351" s="5">
        <v>1</v>
      </c>
      <c r="L351">
        <v>3.3816425120772944E-2</v>
      </c>
      <c r="M351">
        <v>6.3526570048309181E-2</v>
      </c>
      <c r="N351">
        <v>0.25120772946859898</v>
      </c>
      <c r="O351">
        <v>8.2125603864734317E-2</v>
      </c>
      <c r="P351">
        <v>0</v>
      </c>
      <c r="Q351">
        <v>0.14516908212560384</v>
      </c>
      <c r="R351">
        <v>0</v>
      </c>
      <c r="S351">
        <v>0</v>
      </c>
      <c r="T351">
        <v>2.4154589371980678E-4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1.9806763285024155E-2</v>
      </c>
      <c r="AA351">
        <v>0</v>
      </c>
      <c r="AB351">
        <v>0</v>
      </c>
      <c r="AC351">
        <v>0</v>
      </c>
      <c r="AD351">
        <v>0</v>
      </c>
      <c r="AE351">
        <v>4.3719806763285018E-2</v>
      </c>
      <c r="AF351">
        <v>0</v>
      </c>
      <c r="AG351">
        <v>0</v>
      </c>
      <c r="AH351">
        <v>1.5458937198067636E-2</v>
      </c>
      <c r="AI351">
        <v>2.5120772946859906E-2</v>
      </c>
      <c r="AJ351">
        <v>2.4154589371980676E-2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4.8309178743961359E-3</v>
      </c>
      <c r="AT351">
        <v>7.246376811594203E-4</v>
      </c>
      <c r="AU351">
        <v>0</v>
      </c>
      <c r="AV351">
        <v>4.8309178743961359E-3</v>
      </c>
      <c r="AW351">
        <v>1.4492753623188406E-2</v>
      </c>
      <c r="AX351">
        <v>0</v>
      </c>
      <c r="AY351">
        <v>0</v>
      </c>
      <c r="AZ351">
        <v>0</v>
      </c>
      <c r="BA351">
        <v>0</v>
      </c>
      <c r="BB351">
        <v>2.4154589371980678E-4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0.2705314009661835</v>
      </c>
      <c r="CB351">
        <v>0</v>
      </c>
    </row>
    <row r="352" spans="1:80">
      <c r="A352">
        <v>351</v>
      </c>
      <c r="B352" t="s">
        <v>96</v>
      </c>
      <c r="C352" s="4" t="s">
        <v>174</v>
      </c>
      <c r="D352" s="4" t="s">
        <v>118</v>
      </c>
      <c r="E352" s="5">
        <v>39936</v>
      </c>
      <c r="F352" s="5">
        <v>39935</v>
      </c>
      <c r="G352">
        <v>905</v>
      </c>
      <c r="H352" s="4" t="s">
        <v>110</v>
      </c>
      <c r="I352" s="4" t="s">
        <v>109</v>
      </c>
      <c r="J352" s="4" t="str">
        <f t="shared" si="5"/>
        <v>u_rem.c_rem</v>
      </c>
      <c r="K352" s="5">
        <v>1</v>
      </c>
      <c r="L352">
        <v>5.6847545219638248E-3</v>
      </c>
      <c r="M352">
        <v>6.8217054263565904E-2</v>
      </c>
      <c r="N352">
        <v>0.41343669250645998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5.4263565891472876E-3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1.6020671834625327E-2</v>
      </c>
      <c r="AF352">
        <v>0</v>
      </c>
      <c r="AG352">
        <v>0</v>
      </c>
      <c r="AH352">
        <v>0</v>
      </c>
      <c r="AI352">
        <v>3.1007751937984499E-2</v>
      </c>
      <c r="AJ352">
        <v>0.24289405684754517</v>
      </c>
      <c r="AK352">
        <v>0</v>
      </c>
      <c r="AL352">
        <v>0</v>
      </c>
      <c r="AM352">
        <v>0</v>
      </c>
      <c r="AN352">
        <v>6.2015503875969009E-3</v>
      </c>
      <c r="AO352">
        <v>0</v>
      </c>
      <c r="AP352">
        <v>0</v>
      </c>
      <c r="AQ352">
        <v>0</v>
      </c>
      <c r="AR352">
        <v>0</v>
      </c>
      <c r="AS352">
        <v>1.6020671834625327E-2</v>
      </c>
      <c r="AT352">
        <v>1.8087855297157625E-2</v>
      </c>
      <c r="AU352">
        <v>0</v>
      </c>
      <c r="AV352">
        <v>0</v>
      </c>
      <c r="AW352">
        <v>2.0671834625323002E-2</v>
      </c>
      <c r="AX352">
        <v>1.5762273901808791E-2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0.14031007751937988</v>
      </c>
      <c r="CB352">
        <v>0</v>
      </c>
    </row>
    <row r="353" spans="1:80">
      <c r="A353">
        <v>352</v>
      </c>
      <c r="B353" t="s">
        <v>97</v>
      </c>
      <c r="C353" s="4" t="s">
        <v>174</v>
      </c>
      <c r="D353" s="4" t="s">
        <v>118</v>
      </c>
      <c r="E353" s="5">
        <v>39936</v>
      </c>
      <c r="F353" s="5">
        <v>39935</v>
      </c>
      <c r="G353">
        <v>905</v>
      </c>
      <c r="H353" s="4" t="s">
        <v>110</v>
      </c>
      <c r="I353" s="4" t="s">
        <v>108</v>
      </c>
      <c r="J353" s="4" t="str">
        <f t="shared" si="5"/>
        <v>u_rem.c_con</v>
      </c>
      <c r="K353" s="5">
        <v>8</v>
      </c>
      <c r="L353">
        <v>0</v>
      </c>
      <c r="M353">
        <v>5.7196880170172541E-2</v>
      </c>
      <c r="N353">
        <v>0.44433939966910885</v>
      </c>
      <c r="O353">
        <v>4.727014890096904E-3</v>
      </c>
      <c r="P353">
        <v>0</v>
      </c>
      <c r="Q353">
        <v>9.4540297801938081E-3</v>
      </c>
      <c r="R353">
        <v>1.418104467029071E-2</v>
      </c>
      <c r="S353">
        <v>0</v>
      </c>
      <c r="T353">
        <v>4.727014890096904E-3</v>
      </c>
      <c r="U353">
        <v>0</v>
      </c>
      <c r="V353">
        <v>0</v>
      </c>
      <c r="W353">
        <v>0</v>
      </c>
      <c r="X353">
        <v>2.3635074450484517E-4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5.1997163791065943E-3</v>
      </c>
      <c r="AF353">
        <v>0</v>
      </c>
      <c r="AG353">
        <v>0</v>
      </c>
      <c r="AH353">
        <v>2.3635074450484517E-4</v>
      </c>
      <c r="AI353">
        <v>9.6903805246986528E-3</v>
      </c>
      <c r="AJ353">
        <v>3.7816119120775225E-2</v>
      </c>
      <c r="AK353">
        <v>0</v>
      </c>
      <c r="AL353">
        <v>1.8908059560387616E-2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2.3871425194989363E-2</v>
      </c>
      <c r="AT353">
        <v>4.7270148900969034E-4</v>
      </c>
      <c r="AU353">
        <v>0</v>
      </c>
      <c r="AV353">
        <v>0</v>
      </c>
      <c r="AW353">
        <v>2.3635074450484517E-4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9.4540297801938081E-3</v>
      </c>
      <c r="BY353">
        <v>0</v>
      </c>
      <c r="BZ353">
        <v>0</v>
      </c>
      <c r="CA353">
        <v>0.35925313164736467</v>
      </c>
      <c r="CB353">
        <v>0</v>
      </c>
    </row>
    <row r="354" spans="1:80">
      <c r="A354">
        <v>353</v>
      </c>
      <c r="B354" t="s">
        <v>98</v>
      </c>
      <c r="C354" s="4" t="s">
        <v>175</v>
      </c>
      <c r="D354" s="4" t="s">
        <v>118</v>
      </c>
      <c r="E354" s="5">
        <v>39936</v>
      </c>
      <c r="F354" s="5">
        <v>39935</v>
      </c>
      <c r="G354">
        <v>905</v>
      </c>
      <c r="H354" s="4" t="s">
        <v>107</v>
      </c>
      <c r="I354" s="4" t="s">
        <v>109</v>
      </c>
      <c r="J354" s="4" t="str">
        <f t="shared" si="5"/>
        <v>u_con.c_rem</v>
      </c>
      <c r="K354" s="5">
        <v>2</v>
      </c>
      <c r="L354">
        <v>0</v>
      </c>
      <c r="M354">
        <v>9.7185470291075299E-2</v>
      </c>
      <c r="N354">
        <v>0.11546788549434692</v>
      </c>
      <c r="O354">
        <v>1.4433485686793363E-2</v>
      </c>
      <c r="P354">
        <v>0</v>
      </c>
      <c r="Q354">
        <v>9.6223237911955747E-3</v>
      </c>
      <c r="R354">
        <v>0</v>
      </c>
      <c r="S354">
        <v>0</v>
      </c>
      <c r="T354">
        <v>4.8111618955977873E-3</v>
      </c>
      <c r="U354">
        <v>0</v>
      </c>
      <c r="V354">
        <v>0</v>
      </c>
      <c r="W354">
        <v>0</v>
      </c>
      <c r="X354">
        <v>4.811161895597787E-4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5.5328361799374549E-3</v>
      </c>
      <c r="AF354">
        <v>0</v>
      </c>
      <c r="AG354">
        <v>0</v>
      </c>
      <c r="AH354">
        <v>0</v>
      </c>
      <c r="AI354">
        <v>2.9107529468366609E-2</v>
      </c>
      <c r="AJ354">
        <v>2.8866971373586719E-2</v>
      </c>
      <c r="AK354">
        <v>0</v>
      </c>
      <c r="AL354">
        <v>0.13952369497233583</v>
      </c>
      <c r="AM354">
        <v>0</v>
      </c>
      <c r="AN354">
        <v>1.0584556170315132E-2</v>
      </c>
      <c r="AO354">
        <v>0</v>
      </c>
      <c r="AP354">
        <v>0</v>
      </c>
      <c r="AQ354">
        <v>0</v>
      </c>
      <c r="AR354">
        <v>0</v>
      </c>
      <c r="AS354">
        <v>2.9588645657926387E-2</v>
      </c>
      <c r="AT354">
        <v>1.4433485686793363E-2</v>
      </c>
      <c r="AU354">
        <v>4.8111618955977873E-3</v>
      </c>
      <c r="AV354">
        <v>0</v>
      </c>
      <c r="AW354">
        <v>4.8111618955977873E-3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0.18763531392831367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0.27904738994467149</v>
      </c>
      <c r="CB354">
        <v>2.4055809477988934E-2</v>
      </c>
    </row>
    <row r="355" spans="1:80">
      <c r="A355">
        <v>354</v>
      </c>
      <c r="B355" t="s">
        <v>99</v>
      </c>
      <c r="C355" s="4" t="s">
        <v>175</v>
      </c>
      <c r="D355" s="4" t="s">
        <v>118</v>
      </c>
      <c r="E355" s="5">
        <v>39936</v>
      </c>
      <c r="F355" s="5">
        <v>39935</v>
      </c>
      <c r="G355">
        <v>905</v>
      </c>
      <c r="H355" s="4" t="s">
        <v>107</v>
      </c>
      <c r="I355" s="4" t="s">
        <v>108</v>
      </c>
      <c r="J355" s="4" t="str">
        <f t="shared" si="5"/>
        <v>u_con.c_con</v>
      </c>
      <c r="K355" s="5">
        <v>19</v>
      </c>
      <c r="L355">
        <v>0</v>
      </c>
      <c r="M355">
        <v>0.15318655851680188</v>
      </c>
      <c r="N355">
        <v>0.20393974507531865</v>
      </c>
      <c r="O355">
        <v>0</v>
      </c>
      <c r="P355">
        <v>0</v>
      </c>
      <c r="Q355">
        <v>4.634994206257243E-3</v>
      </c>
      <c r="R355">
        <v>0</v>
      </c>
      <c r="S355">
        <v>0</v>
      </c>
      <c r="T355">
        <v>4.2178447276940902E-2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2.3174971031286211E-4</v>
      </c>
      <c r="AF355">
        <v>0</v>
      </c>
      <c r="AG355">
        <v>0</v>
      </c>
      <c r="AH355">
        <v>1.390498261877173E-2</v>
      </c>
      <c r="AI355">
        <v>0.11147161066048669</v>
      </c>
      <c r="AJ355">
        <v>3.2444959443800693E-2</v>
      </c>
      <c r="AK355">
        <v>0</v>
      </c>
      <c r="AL355">
        <v>0</v>
      </c>
      <c r="AM355">
        <v>0</v>
      </c>
      <c r="AN355">
        <v>2.3406720741599073E-2</v>
      </c>
      <c r="AO355">
        <v>0</v>
      </c>
      <c r="AP355">
        <v>0</v>
      </c>
      <c r="AQ355">
        <v>0</v>
      </c>
      <c r="AR355">
        <v>0</v>
      </c>
      <c r="AS355">
        <v>1.4600231749710316E-2</v>
      </c>
      <c r="AT355">
        <v>4.6349942062572422E-4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3.3371958285052142E-2</v>
      </c>
      <c r="BB355">
        <v>0</v>
      </c>
      <c r="BC355">
        <v>0</v>
      </c>
      <c r="BD355">
        <v>0</v>
      </c>
      <c r="BE355">
        <v>0.14831981460023178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0.20393974507531859</v>
      </c>
      <c r="CB355">
        <v>1.390498261877173E-2</v>
      </c>
    </row>
    <row r="356" spans="1:80">
      <c r="A356">
        <v>355</v>
      </c>
      <c r="B356" t="s">
        <v>100</v>
      </c>
      <c r="C356" s="4" t="s">
        <v>175</v>
      </c>
      <c r="D356" s="4" t="s">
        <v>118</v>
      </c>
      <c r="E356" s="5">
        <v>39936</v>
      </c>
      <c r="F356" s="5">
        <v>39935</v>
      </c>
      <c r="G356">
        <v>905</v>
      </c>
      <c r="H356" s="4" t="s">
        <v>107</v>
      </c>
      <c r="I356" s="4" t="s">
        <v>109</v>
      </c>
      <c r="J356" s="4" t="str">
        <f t="shared" si="5"/>
        <v>u_con.c_rem</v>
      </c>
      <c r="K356" s="5">
        <v>2</v>
      </c>
      <c r="L356">
        <v>4.5004500450045006E-3</v>
      </c>
      <c r="M356">
        <v>0.16741674167416742</v>
      </c>
      <c r="N356">
        <v>0.20252025202520252</v>
      </c>
      <c r="O356">
        <v>0</v>
      </c>
      <c r="P356">
        <v>0</v>
      </c>
      <c r="Q356">
        <v>1.8001800180018002E-2</v>
      </c>
      <c r="R356">
        <v>0</v>
      </c>
      <c r="S356">
        <v>0</v>
      </c>
      <c r="T356">
        <v>1.3951395139513954E-2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4.7254725472547264E-3</v>
      </c>
      <c r="AE356">
        <v>1.3501350135013504E-2</v>
      </c>
      <c r="AF356">
        <v>0</v>
      </c>
      <c r="AG356">
        <v>0</v>
      </c>
      <c r="AH356">
        <v>2.2502250225022504E-4</v>
      </c>
      <c r="AI356">
        <v>1.0576057605760579E-2</v>
      </c>
      <c r="AJ356">
        <v>9.0009000900090012E-3</v>
      </c>
      <c r="AK356">
        <v>0</v>
      </c>
      <c r="AL356">
        <v>0</v>
      </c>
      <c r="AM356">
        <v>0</v>
      </c>
      <c r="AN356">
        <v>1.8226822682268228E-2</v>
      </c>
      <c r="AO356">
        <v>0</v>
      </c>
      <c r="AP356">
        <v>0</v>
      </c>
      <c r="AQ356">
        <v>0</v>
      </c>
      <c r="AR356">
        <v>0</v>
      </c>
      <c r="AS356">
        <v>2.7677767776777679E-2</v>
      </c>
      <c r="AT356">
        <v>4.5004500450045008E-4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4.7254725472547264E-3</v>
      </c>
      <c r="BB356">
        <v>0</v>
      </c>
      <c r="BC356">
        <v>0</v>
      </c>
      <c r="BD356">
        <v>0</v>
      </c>
      <c r="BE356">
        <v>7.2457245724572461E-2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0.43204320432043214</v>
      </c>
      <c r="CB356">
        <v>0</v>
      </c>
    </row>
    <row r="357" spans="1:80" s="1" customFormat="1">
      <c r="A357">
        <v>356</v>
      </c>
      <c r="B357" t="s">
        <v>101</v>
      </c>
      <c r="C357" s="4" t="s">
        <v>175</v>
      </c>
      <c r="D357" s="4" t="s">
        <v>118</v>
      </c>
      <c r="E357" s="5">
        <v>39936</v>
      </c>
      <c r="F357" s="5">
        <v>39935</v>
      </c>
      <c r="G357">
        <v>905</v>
      </c>
      <c r="H357" s="4" t="s">
        <v>107</v>
      </c>
      <c r="I357" s="4" t="s">
        <v>108</v>
      </c>
      <c r="J357" s="4" t="str">
        <f t="shared" si="5"/>
        <v>u_con.c_con</v>
      </c>
      <c r="K357" s="5">
        <v>19</v>
      </c>
      <c r="L357">
        <v>2.279462046956918E-4</v>
      </c>
      <c r="M357">
        <v>0.11921586505584683</v>
      </c>
      <c r="N357">
        <v>0.15500341919307042</v>
      </c>
      <c r="O357">
        <v>0</v>
      </c>
      <c r="P357">
        <v>0</v>
      </c>
      <c r="Q357">
        <v>5.0148165033052205E-3</v>
      </c>
      <c r="R357">
        <v>0</v>
      </c>
      <c r="S357">
        <v>0</v>
      </c>
      <c r="T357">
        <v>5.516298153635741E-2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2.7809436972874399E-2</v>
      </c>
      <c r="AF357">
        <v>0</v>
      </c>
      <c r="AG357">
        <v>0</v>
      </c>
      <c r="AH357">
        <v>0</v>
      </c>
      <c r="AI357">
        <v>5.0604057442443576E-2</v>
      </c>
      <c r="AJ357">
        <v>2.7353544563483018E-2</v>
      </c>
      <c r="AK357">
        <v>0</v>
      </c>
      <c r="AL357">
        <v>0</v>
      </c>
      <c r="AM357">
        <v>0</v>
      </c>
      <c r="AN357">
        <v>9.1178481878276714E-3</v>
      </c>
      <c r="AO357">
        <v>0</v>
      </c>
      <c r="AP357">
        <v>0</v>
      </c>
      <c r="AQ357">
        <v>0</v>
      </c>
      <c r="AR357">
        <v>0</v>
      </c>
      <c r="AS357">
        <v>4.6273079553225432E-2</v>
      </c>
      <c r="AT357">
        <v>6.6104399361750629E-3</v>
      </c>
      <c r="AU357">
        <v>0</v>
      </c>
      <c r="AV357">
        <v>0</v>
      </c>
      <c r="AW357">
        <v>0</v>
      </c>
      <c r="AX357">
        <v>1.3676772281741509E-2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1.4132664691132894E-2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4.7868702986095281E-3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0.46501025757921116</v>
      </c>
      <c r="CB357">
        <v>0</v>
      </c>
    </row>
    <row r="358" spans="1:80">
      <c r="A358">
        <v>357</v>
      </c>
      <c r="B358" t="s">
        <v>102</v>
      </c>
      <c r="C358" s="4" t="s">
        <v>176</v>
      </c>
      <c r="D358" s="4" t="s">
        <v>118</v>
      </c>
      <c r="E358" s="5">
        <v>39936</v>
      </c>
      <c r="F358" s="5">
        <v>39935</v>
      </c>
      <c r="G358">
        <v>905</v>
      </c>
      <c r="H358" s="4" t="s">
        <v>110</v>
      </c>
      <c r="I358" s="4" t="s">
        <v>108</v>
      </c>
      <c r="J358" s="4" t="str">
        <f t="shared" si="5"/>
        <v>u_rem.c_con</v>
      </c>
      <c r="K358" s="5">
        <v>8</v>
      </c>
      <c r="L358">
        <v>4.776689754000479E-3</v>
      </c>
      <c r="M358">
        <v>3.3914497253403397E-2</v>
      </c>
      <c r="N358">
        <v>6.6873656556006703E-2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2.3883448770002394E-4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0.41079531884404114</v>
      </c>
      <c r="AP358">
        <v>0</v>
      </c>
      <c r="AQ358">
        <v>4.776689754000479E-3</v>
      </c>
      <c r="AR358">
        <v>0</v>
      </c>
      <c r="AS358">
        <v>4.7766897540004789E-4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2.412228325770242E-2</v>
      </c>
      <c r="BF358">
        <v>0</v>
      </c>
      <c r="BG358">
        <v>0</v>
      </c>
      <c r="BH358">
        <v>0</v>
      </c>
      <c r="BI358">
        <v>1.4330069262001435E-2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5.7559111535705774E-2</v>
      </c>
      <c r="CB358">
        <v>0</v>
      </c>
    </row>
    <row r="359" spans="1:80">
      <c r="A359">
        <v>358</v>
      </c>
      <c r="B359" t="s">
        <v>103</v>
      </c>
      <c r="C359" s="4" t="s">
        <v>176</v>
      </c>
      <c r="D359" s="4" t="s">
        <v>118</v>
      </c>
      <c r="E359" s="5">
        <v>39936</v>
      </c>
      <c r="F359" s="5">
        <v>39935</v>
      </c>
      <c r="G359">
        <v>905</v>
      </c>
      <c r="H359" s="4" t="s">
        <v>110</v>
      </c>
      <c r="I359" s="4" t="s">
        <v>109</v>
      </c>
      <c r="J359" s="4" t="str">
        <f t="shared" si="5"/>
        <v>u_rem.c_rem</v>
      </c>
      <c r="K359" s="5">
        <v>1</v>
      </c>
      <c r="L359">
        <v>5.1570557899671826E-3</v>
      </c>
      <c r="M359">
        <v>5.7899671823722423E-2</v>
      </c>
      <c r="N359">
        <v>0.27191748710736052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1.4064697609001408E-2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6.6572902015940003E-2</v>
      </c>
      <c r="AJ359">
        <v>0</v>
      </c>
      <c r="AK359">
        <v>0</v>
      </c>
      <c r="AL359">
        <v>0</v>
      </c>
      <c r="AM359">
        <v>0</v>
      </c>
      <c r="AN359">
        <v>3.4224097515236758E-2</v>
      </c>
      <c r="AO359">
        <v>6.0947022972339436E-3</v>
      </c>
      <c r="AP359">
        <v>0</v>
      </c>
      <c r="AQ359">
        <v>0</v>
      </c>
      <c r="AR359">
        <v>0</v>
      </c>
      <c r="AS359">
        <v>4.9226441631504934E-3</v>
      </c>
      <c r="AT359">
        <v>1.6408813877168311E-3</v>
      </c>
      <c r="AU359">
        <v>2.3441162681669011E-2</v>
      </c>
      <c r="AV359">
        <v>0</v>
      </c>
      <c r="AW359">
        <v>2.8363806844819504E-2</v>
      </c>
      <c r="AX359">
        <v>0</v>
      </c>
      <c r="AY359">
        <v>0</v>
      </c>
      <c r="AZ359">
        <v>4.9226441631504934E-3</v>
      </c>
      <c r="BA359">
        <v>0.14603844350679795</v>
      </c>
      <c r="BB359">
        <v>0</v>
      </c>
      <c r="BC359">
        <v>0</v>
      </c>
      <c r="BD359">
        <v>0</v>
      </c>
      <c r="BE359">
        <v>0.18799812470698546</v>
      </c>
      <c r="BF359">
        <v>0</v>
      </c>
      <c r="BG359">
        <v>0</v>
      </c>
      <c r="BH359">
        <v>0</v>
      </c>
      <c r="BI359">
        <v>2.8832630098452886E-2</v>
      </c>
      <c r="BJ359">
        <v>0</v>
      </c>
      <c r="BK359">
        <v>0</v>
      </c>
      <c r="BL359">
        <v>0</v>
      </c>
      <c r="BM359">
        <v>0</v>
      </c>
      <c r="BN359">
        <v>2.3441162681669012E-4</v>
      </c>
      <c r="BO359">
        <v>0</v>
      </c>
      <c r="BP359">
        <v>9.610876699484296E-3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0.10806375996249415</v>
      </c>
      <c r="CB359">
        <v>0</v>
      </c>
    </row>
    <row r="360" spans="1:80">
      <c r="A360">
        <v>359</v>
      </c>
      <c r="B360" t="s">
        <v>104</v>
      </c>
      <c r="C360" s="4" t="s">
        <v>176</v>
      </c>
      <c r="D360" s="4" t="s">
        <v>118</v>
      </c>
      <c r="E360" s="5">
        <v>39936</v>
      </c>
      <c r="F360" s="5">
        <v>39935</v>
      </c>
      <c r="G360">
        <v>905</v>
      </c>
      <c r="H360" s="4" t="s">
        <v>110</v>
      </c>
      <c r="I360" s="4" t="s">
        <v>108</v>
      </c>
      <c r="J360" s="4" t="str">
        <f t="shared" si="5"/>
        <v>u_rem.c_con</v>
      </c>
      <c r="K360" s="5">
        <v>8</v>
      </c>
      <c r="L360">
        <v>0</v>
      </c>
      <c r="M360">
        <v>0.12794268167860801</v>
      </c>
      <c r="N360">
        <v>4.094165813715455E-2</v>
      </c>
      <c r="O360">
        <v>3.0706243602865915E-2</v>
      </c>
      <c r="P360">
        <v>0</v>
      </c>
      <c r="Q360">
        <v>9.2374616171954971E-2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5.3735926305015363E-3</v>
      </c>
      <c r="AF360">
        <v>0</v>
      </c>
      <c r="AG360">
        <v>0</v>
      </c>
      <c r="AH360">
        <v>2.5588536335721597E-4</v>
      </c>
      <c r="AI360">
        <v>5.3735926305015363E-3</v>
      </c>
      <c r="AJ360">
        <v>0</v>
      </c>
      <c r="AK360">
        <v>0</v>
      </c>
      <c r="AL360">
        <v>5.1177072671443197E-3</v>
      </c>
      <c r="AM360">
        <v>0</v>
      </c>
      <c r="AN360">
        <v>0</v>
      </c>
      <c r="AO360">
        <v>0.13817809621289665</v>
      </c>
      <c r="AP360">
        <v>0</v>
      </c>
      <c r="AQ360">
        <v>2.5844421699078815E-2</v>
      </c>
      <c r="AR360">
        <v>0</v>
      </c>
      <c r="AS360">
        <v>5.1177072671443197E-3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2.5588536335721598E-2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5.3735926305015363E-3</v>
      </c>
      <c r="BQ360">
        <v>5.1177072671443197E-3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6.6530194472876156E-2</v>
      </c>
      <c r="CA360">
        <v>0.31243602865916076</v>
      </c>
      <c r="CB360">
        <v>0</v>
      </c>
    </row>
    <row r="361" spans="1:80">
      <c r="A361">
        <v>360</v>
      </c>
      <c r="B361" t="s">
        <v>105</v>
      </c>
      <c r="C361" s="4" t="s">
        <v>176</v>
      </c>
      <c r="D361" s="4" t="s">
        <v>118</v>
      </c>
      <c r="E361" s="5">
        <v>39936</v>
      </c>
      <c r="F361" s="5">
        <v>39935</v>
      </c>
      <c r="G361">
        <v>905</v>
      </c>
      <c r="H361" s="4" t="s">
        <v>110</v>
      </c>
      <c r="I361" s="4" t="s">
        <v>109</v>
      </c>
      <c r="J361" s="4" t="str">
        <f t="shared" si="5"/>
        <v>u_rem.c_rem</v>
      </c>
      <c r="K361" s="5">
        <v>1</v>
      </c>
      <c r="L361">
        <v>0</v>
      </c>
      <c r="M361">
        <v>5.5137844611528831E-3</v>
      </c>
      <c r="N361">
        <v>6.5664160401002508E-2</v>
      </c>
      <c r="O361">
        <v>0</v>
      </c>
      <c r="P361">
        <v>0</v>
      </c>
      <c r="Q361">
        <v>0</v>
      </c>
      <c r="R361">
        <v>0</v>
      </c>
      <c r="S361">
        <v>5.0125313283208035E-3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1.0526315789473687E-2</v>
      </c>
      <c r="AB361">
        <v>5.2631578947368437E-3</v>
      </c>
      <c r="AC361">
        <v>5.5137844611528826E-2</v>
      </c>
      <c r="AD361">
        <v>5.513784461152884E-2</v>
      </c>
      <c r="AE361">
        <v>7.518796992481204E-2</v>
      </c>
      <c r="AF361">
        <v>0</v>
      </c>
      <c r="AG361">
        <v>0</v>
      </c>
      <c r="AH361">
        <v>2.5062656641604016E-2</v>
      </c>
      <c r="AI361">
        <v>1.0275689223057646E-2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4.1604010025062664E-2</v>
      </c>
      <c r="AP361">
        <v>0</v>
      </c>
      <c r="AQ361">
        <v>0</v>
      </c>
      <c r="AR361">
        <v>1.0025062656641607E-2</v>
      </c>
      <c r="AS361">
        <v>1.0776942355889729E-2</v>
      </c>
      <c r="AT361">
        <v>7.5187969924812045E-4</v>
      </c>
      <c r="AU361">
        <v>0</v>
      </c>
      <c r="AV361">
        <v>2.5062656641604015E-4</v>
      </c>
      <c r="AW361">
        <v>2.5313283208020055E-2</v>
      </c>
      <c r="AX361">
        <v>1.0275689223057646E-2</v>
      </c>
      <c r="AY361">
        <v>0</v>
      </c>
      <c r="AZ361">
        <v>0</v>
      </c>
      <c r="BA361">
        <v>5.7644110275689234E-3</v>
      </c>
      <c r="BB361">
        <v>0</v>
      </c>
      <c r="BC361">
        <v>0</v>
      </c>
      <c r="BD361">
        <v>0</v>
      </c>
      <c r="BE361">
        <v>0.30601503759398507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5.0125313283208035E-3</v>
      </c>
      <c r="BO361">
        <v>0</v>
      </c>
      <c r="BP361">
        <v>5.012531328320803E-4</v>
      </c>
      <c r="BQ361">
        <v>2.5062656641604015E-4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5.0125313283208035E-3</v>
      </c>
      <c r="BY361">
        <v>0</v>
      </c>
      <c r="BZ361">
        <v>0</v>
      </c>
      <c r="CA361">
        <v>0.24561403508771928</v>
      </c>
      <c r="CB361">
        <v>0</v>
      </c>
    </row>
    <row r="362" spans="1:80">
      <c r="A362">
        <v>361</v>
      </c>
      <c r="B362" s="1" t="s">
        <v>35</v>
      </c>
      <c r="C362" s="4" t="s">
        <v>159</v>
      </c>
      <c r="D362" s="4" t="s">
        <v>116</v>
      </c>
      <c r="E362" s="22">
        <v>40080</v>
      </c>
      <c r="F362" s="22">
        <v>40079</v>
      </c>
      <c r="G362" s="1">
        <v>909</v>
      </c>
      <c r="H362" s="4" t="s">
        <v>107</v>
      </c>
      <c r="I362" s="4" t="s">
        <v>108</v>
      </c>
      <c r="J362" s="4" t="str">
        <f t="shared" si="5"/>
        <v>u_con.c_con</v>
      </c>
      <c r="K362" s="5">
        <v>19</v>
      </c>
      <c r="L362" s="1">
        <v>0</v>
      </c>
      <c r="M362" s="1">
        <v>6.4516129032258063E-2</v>
      </c>
      <c r="N362" s="1">
        <v>5.8064516129032254E-2</v>
      </c>
      <c r="O362" s="1">
        <v>6.4516129032258064E-3</v>
      </c>
      <c r="P362" s="1">
        <v>0</v>
      </c>
      <c r="Q362" s="1">
        <v>6.4516129032258063E-2</v>
      </c>
      <c r="R362" s="1">
        <v>0</v>
      </c>
      <c r="S362" s="1">
        <v>1.9354838709677424E-2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0.3806451612903225</v>
      </c>
      <c r="Z362" s="1">
        <v>2.5806451612903226E-2</v>
      </c>
      <c r="AA362" s="1">
        <v>0</v>
      </c>
      <c r="AB362" s="1">
        <v>3.2258064516129031E-2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3.870967741935484E-2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6.4516129032258063E-2</v>
      </c>
      <c r="AT362" s="1">
        <v>5.1612903225806445E-2</v>
      </c>
      <c r="AU362" s="1">
        <v>0</v>
      </c>
      <c r="AV362" s="1">
        <v>1.2903225806451613E-2</v>
      </c>
      <c r="AW362" s="1">
        <v>6.4516129032258064E-3</v>
      </c>
      <c r="AX362" s="1">
        <v>6.4516129032258064E-3</v>
      </c>
      <c r="AY362" s="1">
        <v>0</v>
      </c>
      <c r="AZ362" s="1">
        <v>0</v>
      </c>
      <c r="BA362" s="1">
        <v>0.16774193548387104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</row>
    <row r="363" spans="1:80">
      <c r="A363">
        <v>362</v>
      </c>
      <c r="B363" s="1" t="s">
        <v>36</v>
      </c>
      <c r="C363" s="4" t="s">
        <v>159</v>
      </c>
      <c r="D363" s="4" t="s">
        <v>116</v>
      </c>
      <c r="E363" s="22">
        <v>40080</v>
      </c>
      <c r="F363" s="22">
        <v>40079</v>
      </c>
      <c r="G363" s="1">
        <v>909</v>
      </c>
      <c r="H363" s="4" t="s">
        <v>107</v>
      </c>
      <c r="I363" s="4" t="s">
        <v>109</v>
      </c>
      <c r="J363" s="4" t="str">
        <f t="shared" si="5"/>
        <v>u_con.c_rem</v>
      </c>
      <c r="K363" s="5">
        <v>2</v>
      </c>
      <c r="L363" s="1">
        <v>0</v>
      </c>
      <c r="M363" s="1">
        <v>4.3715846994535519E-2</v>
      </c>
      <c r="N363" s="1">
        <v>2.7322404371584702E-2</v>
      </c>
      <c r="O363" s="1">
        <v>0</v>
      </c>
      <c r="P363" s="1">
        <v>0</v>
      </c>
      <c r="Q363" s="1">
        <v>7.1038251366120228E-2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0.35519125683060104</v>
      </c>
      <c r="Z363" s="1">
        <v>0.27322404371584702</v>
      </c>
      <c r="AA363" s="1">
        <v>0</v>
      </c>
      <c r="AB363" s="1">
        <v>1.6393442622950824E-2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4.3715846994535519E-2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2.1857923497267763E-2</v>
      </c>
      <c r="AO363" s="1">
        <v>0</v>
      </c>
      <c r="AP363" s="1">
        <v>0</v>
      </c>
      <c r="AQ363" s="1">
        <v>0</v>
      </c>
      <c r="AR363" s="1">
        <v>0</v>
      </c>
      <c r="AS363" s="1">
        <v>3.2786885245901641E-2</v>
      </c>
      <c r="AT363" s="1">
        <v>0</v>
      </c>
      <c r="AU363" s="1">
        <v>0</v>
      </c>
      <c r="AV363" s="1">
        <v>2.1857923497267763E-2</v>
      </c>
      <c r="AW363" s="1">
        <v>0</v>
      </c>
      <c r="AX363" s="1">
        <v>0</v>
      </c>
      <c r="AY363" s="1">
        <v>0</v>
      </c>
      <c r="AZ363" s="1">
        <v>0</v>
      </c>
      <c r="BA363" s="1">
        <v>8.743169398907108E-2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5.4644808743169408E-3</v>
      </c>
      <c r="CA363" s="1">
        <v>0</v>
      </c>
      <c r="CB363" s="1">
        <v>0</v>
      </c>
    </row>
    <row r="364" spans="1:80">
      <c r="A364">
        <v>363</v>
      </c>
      <c r="B364" t="s">
        <v>37</v>
      </c>
      <c r="C364" s="4" t="s">
        <v>159</v>
      </c>
      <c r="D364" s="4" t="s">
        <v>116</v>
      </c>
      <c r="E364" s="22">
        <v>40080</v>
      </c>
      <c r="F364" s="22">
        <v>40079</v>
      </c>
      <c r="G364">
        <v>909</v>
      </c>
      <c r="H364" s="4" t="s">
        <v>107</v>
      </c>
      <c r="I364" s="4" t="s">
        <v>109</v>
      </c>
      <c r="J364" s="4" t="str">
        <f t="shared" si="5"/>
        <v>u_con.c_rem</v>
      </c>
      <c r="K364" s="5">
        <v>2</v>
      </c>
      <c r="L364">
        <v>0</v>
      </c>
      <c r="M364">
        <v>0.10330912025827278</v>
      </c>
      <c r="N364">
        <v>0.12913640032284104</v>
      </c>
      <c r="O364">
        <v>5.3806833467850415E-3</v>
      </c>
      <c r="P364">
        <v>0</v>
      </c>
      <c r="Q364">
        <v>7.0217917675544805E-2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0.2800645682001614</v>
      </c>
      <c r="Z364">
        <v>0.15684691955878394</v>
      </c>
      <c r="AA364">
        <v>0</v>
      </c>
      <c r="AB364">
        <v>0</v>
      </c>
      <c r="AC364">
        <v>2.6903416733925207E-4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8.0710250201775622E-4</v>
      </c>
      <c r="AO364">
        <v>0</v>
      </c>
      <c r="AP364">
        <v>0</v>
      </c>
      <c r="AQ364">
        <v>0</v>
      </c>
      <c r="AR364">
        <v>0</v>
      </c>
      <c r="AS364">
        <v>2.7441485068603711E-2</v>
      </c>
      <c r="AT364">
        <v>2.6903416733925207E-4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2.717245090126446E-2</v>
      </c>
      <c r="CA364">
        <v>0.19908528383104654</v>
      </c>
      <c r="CB364">
        <v>0</v>
      </c>
    </row>
    <row r="365" spans="1:80" s="1" customFormat="1">
      <c r="A365">
        <v>364</v>
      </c>
      <c r="B365" t="s">
        <v>38</v>
      </c>
      <c r="C365" s="4" t="s">
        <v>159</v>
      </c>
      <c r="D365" s="4" t="s">
        <v>116</v>
      </c>
      <c r="E365" s="22">
        <v>40080</v>
      </c>
      <c r="F365" s="22">
        <v>40079</v>
      </c>
      <c r="G365">
        <v>909</v>
      </c>
      <c r="H365" s="4" t="s">
        <v>107</v>
      </c>
      <c r="I365" s="4" t="s">
        <v>108</v>
      </c>
      <c r="J365" s="4" t="str">
        <f t="shared" si="5"/>
        <v>u_con.c_con</v>
      </c>
      <c r="K365" s="5">
        <v>19</v>
      </c>
      <c r="L365">
        <v>0</v>
      </c>
      <c r="M365">
        <v>7.0794392523364502E-2</v>
      </c>
      <c r="N365">
        <v>0.23364485981308405</v>
      </c>
      <c r="O365">
        <v>2.8504672897196267E-2</v>
      </c>
      <c r="P365">
        <v>0</v>
      </c>
      <c r="Q365">
        <v>4.2523364485981305E-2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2.3364485981308412E-4</v>
      </c>
      <c r="Y365">
        <v>5.140186915887851E-2</v>
      </c>
      <c r="Z365">
        <v>4.2523364485981305E-2</v>
      </c>
      <c r="AA365">
        <v>0</v>
      </c>
      <c r="AB365">
        <v>0</v>
      </c>
      <c r="AC365">
        <v>0</v>
      </c>
      <c r="AD365">
        <v>0</v>
      </c>
      <c r="AE365">
        <v>4.6728971962616828E-3</v>
      </c>
      <c r="AF365">
        <v>0</v>
      </c>
      <c r="AG365">
        <v>0</v>
      </c>
      <c r="AH365">
        <v>1.8925233644859814E-2</v>
      </c>
      <c r="AI365">
        <v>9.8598130841121512E-2</v>
      </c>
      <c r="AJ365">
        <v>0</v>
      </c>
      <c r="AK365">
        <v>0</v>
      </c>
      <c r="AL365">
        <v>0</v>
      </c>
      <c r="AM365">
        <v>0</v>
      </c>
      <c r="AN365">
        <v>9.5794392523364507E-3</v>
      </c>
      <c r="AO365">
        <v>0</v>
      </c>
      <c r="AP365">
        <v>0</v>
      </c>
      <c r="AQ365">
        <v>0</v>
      </c>
      <c r="AR365">
        <v>0</v>
      </c>
      <c r="AS365">
        <v>1.9158878504672901E-2</v>
      </c>
      <c r="AT365">
        <v>7.0093457943925239E-4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0.23855140186915888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4.6728971962616828E-3</v>
      </c>
      <c r="CA365">
        <v>0.1355140186915888</v>
      </c>
      <c r="CB365">
        <v>0</v>
      </c>
    </row>
    <row r="366" spans="1:80">
      <c r="A366">
        <v>365</v>
      </c>
      <c r="B366" t="s">
        <v>39</v>
      </c>
      <c r="C366" s="4" t="s">
        <v>160</v>
      </c>
      <c r="D366" s="4" t="s">
        <v>116</v>
      </c>
      <c r="E366" s="22">
        <v>40080</v>
      </c>
      <c r="F366" s="22">
        <v>40079</v>
      </c>
      <c r="G366">
        <v>909</v>
      </c>
      <c r="H366" s="4" t="s">
        <v>110</v>
      </c>
      <c r="I366" s="4" t="s">
        <v>109</v>
      </c>
      <c r="J366" s="4" t="str">
        <f t="shared" si="5"/>
        <v>u_rem.c_rem</v>
      </c>
      <c r="K366" s="5">
        <v>1</v>
      </c>
      <c r="L366">
        <v>0</v>
      </c>
      <c r="M366">
        <v>6.5302568567696996E-4</v>
      </c>
      <c r="N366">
        <v>0.35698737483674359</v>
      </c>
      <c r="O366">
        <v>0</v>
      </c>
      <c r="P366">
        <v>0</v>
      </c>
      <c r="Q366">
        <v>2.6774053112755769E-2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0.10013060513713541</v>
      </c>
      <c r="Z366">
        <v>3.9399216369177183E-2</v>
      </c>
      <c r="AA366">
        <v>0</v>
      </c>
      <c r="AB366">
        <v>0</v>
      </c>
      <c r="AC366">
        <v>0</v>
      </c>
      <c r="AD366">
        <v>0</v>
      </c>
      <c r="AE366">
        <v>5.0065302568567706E-3</v>
      </c>
      <c r="AF366">
        <v>0</v>
      </c>
      <c r="AG366">
        <v>0</v>
      </c>
      <c r="AH366">
        <v>0</v>
      </c>
      <c r="AI366">
        <v>7.4009577710056604E-2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0.18306486721811058</v>
      </c>
      <c r="AW366">
        <v>0</v>
      </c>
      <c r="AX366">
        <v>0</v>
      </c>
      <c r="AY366">
        <v>0</v>
      </c>
      <c r="AZ366">
        <v>0</v>
      </c>
      <c r="BA366">
        <v>8.7070091423595997E-3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6.5955594253373981E-2</v>
      </c>
      <c r="CA366">
        <v>0.13931214627775362</v>
      </c>
      <c r="CB366">
        <v>0</v>
      </c>
    </row>
    <row r="367" spans="1:80">
      <c r="A367">
        <v>366</v>
      </c>
      <c r="B367" t="s">
        <v>40</v>
      </c>
      <c r="C367" s="4" t="s">
        <v>160</v>
      </c>
      <c r="D367" s="4" t="s">
        <v>116</v>
      </c>
      <c r="E367" s="22">
        <v>40080</v>
      </c>
      <c r="F367" s="22">
        <v>40079</v>
      </c>
      <c r="G367">
        <v>909</v>
      </c>
      <c r="H367" s="4" t="s">
        <v>110</v>
      </c>
      <c r="I367" s="4" t="s">
        <v>108</v>
      </c>
      <c r="J367" s="4" t="str">
        <f t="shared" si="5"/>
        <v>u_rem.c_con</v>
      </c>
      <c r="K367" s="5">
        <v>8</v>
      </c>
      <c r="L367">
        <v>0</v>
      </c>
      <c r="M367">
        <v>1.9523809523809527E-2</v>
      </c>
      <c r="N367">
        <v>0.33333333333333331</v>
      </c>
      <c r="O367">
        <v>0</v>
      </c>
      <c r="P367">
        <v>0</v>
      </c>
      <c r="Q367">
        <v>5.2380952380952387E-3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0.13333333333333333</v>
      </c>
      <c r="Z367">
        <v>2.9047619047619048E-2</v>
      </c>
      <c r="AA367">
        <v>0</v>
      </c>
      <c r="AB367">
        <v>0</v>
      </c>
      <c r="AC367">
        <v>0</v>
      </c>
      <c r="AD367">
        <v>0</v>
      </c>
      <c r="AE367">
        <v>5.0000000000000001E-3</v>
      </c>
      <c r="AF367">
        <v>0</v>
      </c>
      <c r="AG367">
        <v>0</v>
      </c>
      <c r="AH367">
        <v>0</v>
      </c>
      <c r="AI367">
        <v>6.6904761904761911E-2</v>
      </c>
      <c r="AJ367">
        <v>0</v>
      </c>
      <c r="AK367">
        <v>0</v>
      </c>
      <c r="AL367">
        <v>0.01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2.380952380952381E-4</v>
      </c>
      <c r="AT367">
        <v>0</v>
      </c>
      <c r="AU367">
        <v>0</v>
      </c>
      <c r="AV367">
        <v>0.10547619047619047</v>
      </c>
      <c r="AW367">
        <v>0</v>
      </c>
      <c r="AX367">
        <v>0</v>
      </c>
      <c r="AY367">
        <v>0</v>
      </c>
      <c r="AZ367">
        <v>0</v>
      </c>
      <c r="BA367">
        <v>0.15285714285714289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4.8571428571428571E-2</v>
      </c>
      <c r="CA367">
        <v>9.0476190476190502E-2</v>
      </c>
      <c r="CB367">
        <v>0</v>
      </c>
    </row>
    <row r="368" spans="1:80">
      <c r="A368">
        <v>367</v>
      </c>
      <c r="B368" t="s">
        <v>41</v>
      </c>
      <c r="C368" s="4" t="s">
        <v>160</v>
      </c>
      <c r="D368" s="4" t="s">
        <v>116</v>
      </c>
      <c r="E368" s="22">
        <v>40080</v>
      </c>
      <c r="F368" s="22">
        <v>40079</v>
      </c>
      <c r="G368">
        <v>909</v>
      </c>
      <c r="H368" s="4" t="s">
        <v>110</v>
      </c>
      <c r="I368" s="4" t="s">
        <v>109</v>
      </c>
      <c r="J368" s="4" t="str">
        <f t="shared" si="5"/>
        <v>u_rem.c_rem</v>
      </c>
      <c r="K368" s="5">
        <v>1</v>
      </c>
      <c r="L368">
        <v>0</v>
      </c>
      <c r="M368">
        <v>4.7794916358896381E-3</v>
      </c>
      <c r="N368">
        <v>0.14816424071257878</v>
      </c>
      <c r="O368">
        <v>0</v>
      </c>
      <c r="P368">
        <v>0</v>
      </c>
      <c r="Q368">
        <v>4.3667173582446241E-2</v>
      </c>
      <c r="R368">
        <v>4.3449923962633075E-3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4.3449923962633074E-4</v>
      </c>
      <c r="Y368">
        <v>9.124484032152945E-2</v>
      </c>
      <c r="Z368">
        <v>1.368672604822942E-2</v>
      </c>
      <c r="AA368">
        <v>0</v>
      </c>
      <c r="AB368">
        <v>0</v>
      </c>
      <c r="AC368">
        <v>0</v>
      </c>
      <c r="AD368">
        <v>0</v>
      </c>
      <c r="AE368">
        <v>9.1244840321529457E-3</v>
      </c>
      <c r="AF368">
        <v>0</v>
      </c>
      <c r="AG368">
        <v>0</v>
      </c>
      <c r="AH368">
        <v>0</v>
      </c>
      <c r="AI368">
        <v>2.1942211601129701E-2</v>
      </c>
      <c r="AJ368">
        <v>0</v>
      </c>
      <c r="AK368">
        <v>0</v>
      </c>
      <c r="AL368">
        <v>2.1724961981316537E-4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0.15663697588529218</v>
      </c>
      <c r="AW368">
        <v>0</v>
      </c>
      <c r="AX368">
        <v>0</v>
      </c>
      <c r="AY368">
        <v>0</v>
      </c>
      <c r="AZ368">
        <v>0</v>
      </c>
      <c r="BA368">
        <v>9.7762328915924433E-3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0.12231153595481208</v>
      </c>
      <c r="CA368">
        <v>0.37366934607864438</v>
      </c>
      <c r="CB368">
        <v>0</v>
      </c>
    </row>
    <row r="369" spans="1:80">
      <c r="A369">
        <v>368</v>
      </c>
      <c r="B369" t="s">
        <v>42</v>
      </c>
      <c r="C369" s="4" t="s">
        <v>160</v>
      </c>
      <c r="D369" s="4" t="s">
        <v>116</v>
      </c>
      <c r="E369" s="22">
        <v>40080</v>
      </c>
      <c r="F369" s="22">
        <v>40079</v>
      </c>
      <c r="G369">
        <v>909</v>
      </c>
      <c r="H369" s="4" t="s">
        <v>110</v>
      </c>
      <c r="I369" s="4" t="s">
        <v>108</v>
      </c>
      <c r="J369" s="4" t="str">
        <f t="shared" si="5"/>
        <v>u_rem.c_con</v>
      </c>
      <c r="K369" s="5">
        <v>8</v>
      </c>
      <c r="L369">
        <v>0</v>
      </c>
      <c r="M369">
        <v>4.8414427499394825E-3</v>
      </c>
      <c r="N369">
        <v>0.20334059549745823</v>
      </c>
      <c r="O369">
        <v>0</v>
      </c>
      <c r="P369">
        <v>0</v>
      </c>
      <c r="Q369">
        <v>4.8414427499394825E-3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4.405712902444929E-2</v>
      </c>
      <c r="AF369">
        <v>0</v>
      </c>
      <c r="AG369">
        <v>0</v>
      </c>
      <c r="AH369">
        <v>5.0835148874364576E-3</v>
      </c>
      <c r="AI369">
        <v>7.2621641249092261E-2</v>
      </c>
      <c r="AJ369">
        <v>0</v>
      </c>
      <c r="AK369">
        <v>0</v>
      </c>
      <c r="AL369">
        <v>0</v>
      </c>
      <c r="AM369">
        <v>0.34858387799564267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1.936577099975793E-2</v>
      </c>
      <c r="AT369">
        <v>1.936577099975793E-2</v>
      </c>
      <c r="AU369">
        <v>0</v>
      </c>
      <c r="AV369">
        <v>0.21302348099733717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4.8414427499394825E-3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5.4950375211813118E-2</v>
      </c>
      <c r="CA369">
        <v>5.0835148874364576E-3</v>
      </c>
      <c r="CB369">
        <v>0</v>
      </c>
    </row>
    <row r="370" spans="1:80">
      <c r="A370">
        <v>369</v>
      </c>
      <c r="B370" s="1" t="s">
        <v>43</v>
      </c>
      <c r="C370" s="4" t="s">
        <v>161</v>
      </c>
      <c r="D370" s="4" t="s">
        <v>116</v>
      </c>
      <c r="E370" s="22">
        <v>40080</v>
      </c>
      <c r="F370" s="22">
        <v>40079</v>
      </c>
      <c r="G370" s="1">
        <v>909</v>
      </c>
      <c r="H370" s="4" t="s">
        <v>107</v>
      </c>
      <c r="I370" s="4" t="s">
        <v>109</v>
      </c>
      <c r="J370" s="4" t="str">
        <f t="shared" si="5"/>
        <v>u_con.c_rem</v>
      </c>
      <c r="K370" s="5">
        <v>2</v>
      </c>
      <c r="L370" s="1">
        <v>0</v>
      </c>
      <c r="M370" s="1">
        <v>0.11313639220615965</v>
      </c>
      <c r="N370" s="1">
        <v>0.30169704588309226</v>
      </c>
      <c r="O370" s="1">
        <v>2.51414204902577E-2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0.23255813953488369</v>
      </c>
      <c r="Z370" s="1">
        <v>3.1426775612822123E-2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1.257071024512885E-2</v>
      </c>
      <c r="AG370" s="1">
        <v>0</v>
      </c>
      <c r="AH370" s="1">
        <v>3.1426775612822123E-2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6.285355122564425E-3</v>
      </c>
      <c r="AO370" s="1">
        <v>0</v>
      </c>
      <c r="AP370" s="1">
        <v>0</v>
      </c>
      <c r="AQ370" s="1">
        <v>0</v>
      </c>
      <c r="AR370" s="1">
        <v>0</v>
      </c>
      <c r="AS370" s="1">
        <v>6.2853551225644247E-2</v>
      </c>
      <c r="AT370" s="1">
        <v>1.9484600879949722E-2</v>
      </c>
      <c r="AU370" s="1">
        <v>0</v>
      </c>
      <c r="AV370" s="1">
        <v>8.7994971715901954E-2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6.2853551225644247E-2</v>
      </c>
      <c r="CA370" s="1">
        <v>1.257071024512885E-2</v>
      </c>
      <c r="CB370" s="1">
        <v>0</v>
      </c>
    </row>
    <row r="371" spans="1:80">
      <c r="A371">
        <v>370</v>
      </c>
      <c r="B371" s="1" t="s">
        <v>44</v>
      </c>
      <c r="C371" s="4" t="s">
        <v>161</v>
      </c>
      <c r="D371" s="4" t="s">
        <v>116</v>
      </c>
      <c r="E371" s="22">
        <v>40080</v>
      </c>
      <c r="F371" s="22">
        <v>40079</v>
      </c>
      <c r="G371" s="1">
        <v>909</v>
      </c>
      <c r="H371" s="4" t="s">
        <v>107</v>
      </c>
      <c r="I371" s="4" t="s">
        <v>109</v>
      </c>
      <c r="J371" s="4" t="str">
        <f t="shared" si="5"/>
        <v>u_con.c_rem</v>
      </c>
      <c r="K371" s="5">
        <v>2</v>
      </c>
      <c r="L371" s="1">
        <v>2.8571428571428567E-2</v>
      </c>
      <c r="M371" s="1">
        <v>5.7142857142857127E-2</v>
      </c>
      <c r="N371" s="1">
        <v>0.43999999999999995</v>
      </c>
      <c r="O371" s="1">
        <v>0</v>
      </c>
      <c r="P371" s="1">
        <v>0</v>
      </c>
      <c r="Q371" s="1">
        <v>3.428571428571428E-2</v>
      </c>
      <c r="R371" s="1">
        <v>0</v>
      </c>
      <c r="S371" s="1">
        <v>0</v>
      </c>
      <c r="T371" s="1">
        <v>0</v>
      </c>
      <c r="U371" s="1">
        <v>1.1428571428571427E-2</v>
      </c>
      <c r="V371" s="1">
        <v>0</v>
      </c>
      <c r="W371" s="1">
        <v>0</v>
      </c>
      <c r="X371" s="1">
        <v>0</v>
      </c>
      <c r="Y371" s="1">
        <v>1.1428571428571427E-2</v>
      </c>
      <c r="Z371" s="1">
        <v>2.8571428571428567E-2</v>
      </c>
      <c r="AA371" s="1">
        <v>1.714285714285714E-2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1.1428571428571427E-2</v>
      </c>
      <c r="AI371" s="1">
        <v>0</v>
      </c>
      <c r="AJ371" s="1">
        <v>0</v>
      </c>
      <c r="AK371" s="1">
        <v>0</v>
      </c>
      <c r="AL371" s="1">
        <v>1.1428571428571427E-2</v>
      </c>
      <c r="AM371" s="1">
        <v>0</v>
      </c>
      <c r="AN371" s="1">
        <v>5.7142857142857134E-3</v>
      </c>
      <c r="AO371" s="1">
        <v>0</v>
      </c>
      <c r="AP371" s="1">
        <v>0</v>
      </c>
      <c r="AQ371" s="1">
        <v>0</v>
      </c>
      <c r="AR371" s="1">
        <v>0</v>
      </c>
      <c r="AS371" s="1">
        <v>1.1428571428571427E-2</v>
      </c>
      <c r="AT371" s="1">
        <v>5.7142857142857134E-3</v>
      </c>
      <c r="AU371" s="1">
        <v>0</v>
      </c>
      <c r="AV371" s="1">
        <v>0.10285714285714287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1.1428571428571427E-2</v>
      </c>
      <c r="BQ371" s="1">
        <v>5.7142857142857134E-3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5.7142857142857127E-2</v>
      </c>
      <c r="CA371" s="1">
        <v>0.14857142857142855</v>
      </c>
      <c r="CB371" s="1">
        <v>0</v>
      </c>
    </row>
    <row r="372" spans="1:80">
      <c r="A372">
        <v>371</v>
      </c>
      <c r="B372" t="s">
        <v>45</v>
      </c>
      <c r="C372" s="4" t="s">
        <v>161</v>
      </c>
      <c r="D372" s="4" t="s">
        <v>116</v>
      </c>
      <c r="E372" s="22">
        <v>40080</v>
      </c>
      <c r="F372" s="22">
        <v>40079</v>
      </c>
      <c r="G372">
        <v>909</v>
      </c>
      <c r="H372" s="4" t="s">
        <v>107</v>
      </c>
      <c r="I372" s="4" t="s">
        <v>108</v>
      </c>
      <c r="J372" s="4" t="str">
        <f t="shared" si="5"/>
        <v>u_con.c_con</v>
      </c>
      <c r="K372" s="5">
        <v>19</v>
      </c>
      <c r="L372">
        <v>0</v>
      </c>
      <c r="M372">
        <v>4.7630331753554501E-2</v>
      </c>
      <c r="N372">
        <v>0.25142180094786731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4.7393364928909956E-3</v>
      </c>
      <c r="V372">
        <v>0</v>
      </c>
      <c r="W372">
        <v>0</v>
      </c>
      <c r="X372">
        <v>1.9194312796208535E-2</v>
      </c>
      <c r="Y372">
        <v>0</v>
      </c>
      <c r="Z372">
        <v>0.29857819905213273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7.1090047393364937E-4</v>
      </c>
      <c r="AI372">
        <v>3.4597156398104269E-2</v>
      </c>
      <c r="AJ372">
        <v>0</v>
      </c>
      <c r="AK372">
        <v>0</v>
      </c>
      <c r="AL372">
        <v>4.9763033175355461E-3</v>
      </c>
      <c r="AM372">
        <v>0</v>
      </c>
      <c r="AN372">
        <v>2.369668246445498E-4</v>
      </c>
      <c r="AO372">
        <v>0</v>
      </c>
      <c r="AP372">
        <v>0</v>
      </c>
      <c r="AQ372">
        <v>0</v>
      </c>
      <c r="AR372">
        <v>0</v>
      </c>
      <c r="AS372">
        <v>5.2843601895734602E-2</v>
      </c>
      <c r="AT372">
        <v>1.8957345971563982E-2</v>
      </c>
      <c r="AU372">
        <v>0</v>
      </c>
      <c r="AV372">
        <v>1.469194312796209E-2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4.7393364928909956E-3</v>
      </c>
      <c r="BL372">
        <v>0</v>
      </c>
      <c r="BM372">
        <v>0</v>
      </c>
      <c r="BN372">
        <v>0</v>
      </c>
      <c r="BO372">
        <v>4.7393364928909956E-3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3.3412322274881515E-2</v>
      </c>
      <c r="CA372">
        <v>0.20853080568720384</v>
      </c>
      <c r="CB372">
        <v>0</v>
      </c>
    </row>
    <row r="373" spans="1:80" s="1" customFormat="1">
      <c r="A373">
        <v>372</v>
      </c>
      <c r="B373" t="s">
        <v>46</v>
      </c>
      <c r="C373" s="4" t="s">
        <v>161</v>
      </c>
      <c r="D373" s="4" t="s">
        <v>116</v>
      </c>
      <c r="E373" s="22">
        <v>40080</v>
      </c>
      <c r="F373" s="22">
        <v>40079</v>
      </c>
      <c r="G373">
        <v>909</v>
      </c>
      <c r="H373" s="4" t="s">
        <v>107</v>
      </c>
      <c r="I373" s="4" t="s">
        <v>108</v>
      </c>
      <c r="J373" s="4" t="str">
        <f t="shared" si="5"/>
        <v>u_con.c_con</v>
      </c>
      <c r="K373" s="5">
        <v>19</v>
      </c>
      <c r="L373">
        <v>0</v>
      </c>
      <c r="M373">
        <v>0.10000000000000002</v>
      </c>
      <c r="N373">
        <v>0.45833333333333326</v>
      </c>
      <c r="O373">
        <v>0</v>
      </c>
      <c r="P373">
        <v>0</v>
      </c>
      <c r="Q373">
        <v>8.3333333333333332E-3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1.2500000000000001E-2</v>
      </c>
      <c r="AA373">
        <v>0</v>
      </c>
      <c r="AB373">
        <v>0</v>
      </c>
      <c r="AC373">
        <v>0</v>
      </c>
      <c r="AD373">
        <v>0</v>
      </c>
      <c r="AE373">
        <v>4.1666666666666664E-4</v>
      </c>
      <c r="AF373">
        <v>0</v>
      </c>
      <c r="AG373">
        <v>0</v>
      </c>
      <c r="AH373">
        <v>2.1458333333333329E-2</v>
      </c>
      <c r="AI373">
        <v>5.8541666666666665E-2</v>
      </c>
      <c r="AJ373">
        <v>0</v>
      </c>
      <c r="AK373">
        <v>0</v>
      </c>
      <c r="AL373">
        <v>0</v>
      </c>
      <c r="AM373">
        <v>0</v>
      </c>
      <c r="AN373">
        <v>4.1666666666666664E-4</v>
      </c>
      <c r="AO373">
        <v>0</v>
      </c>
      <c r="AP373">
        <v>0</v>
      </c>
      <c r="AQ373">
        <v>0</v>
      </c>
      <c r="AR373">
        <v>0</v>
      </c>
      <c r="AS373">
        <v>3.3749999999999995E-2</v>
      </c>
      <c r="AT373">
        <v>1.2500000000000001E-2</v>
      </c>
      <c r="AU373">
        <v>1.2500000000000001E-2</v>
      </c>
      <c r="AV373">
        <v>8.4166666666666667E-2</v>
      </c>
      <c r="AW373">
        <v>0</v>
      </c>
      <c r="AX373">
        <v>0</v>
      </c>
      <c r="AY373">
        <v>0</v>
      </c>
      <c r="AZ373">
        <v>0</v>
      </c>
      <c r="BA373">
        <v>1.2500000000000001E-2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9.1666666666666667E-3</v>
      </c>
      <c r="CA373">
        <v>0.17104166666666662</v>
      </c>
      <c r="CB373">
        <v>4.3749999999999995E-3</v>
      </c>
    </row>
    <row r="374" spans="1:80">
      <c r="A374">
        <v>373</v>
      </c>
      <c r="B374" t="s">
        <v>47</v>
      </c>
      <c r="C374" s="4" t="s">
        <v>162</v>
      </c>
      <c r="D374" s="4" t="s">
        <v>116</v>
      </c>
      <c r="E374" s="22">
        <v>40080</v>
      </c>
      <c r="F374" s="22">
        <v>40079</v>
      </c>
      <c r="G374">
        <v>909</v>
      </c>
      <c r="H374" s="4" t="s">
        <v>110</v>
      </c>
      <c r="I374" s="4" t="s">
        <v>108</v>
      </c>
      <c r="J374" s="4" t="str">
        <f t="shared" si="5"/>
        <v>u_rem.c_con</v>
      </c>
      <c r="K374" s="5">
        <v>8</v>
      </c>
      <c r="L374">
        <v>0</v>
      </c>
      <c r="M374">
        <v>0.11742582532386127</v>
      </c>
      <c r="N374">
        <v>0.11742582532386127</v>
      </c>
      <c r="O374">
        <v>0</v>
      </c>
      <c r="P374">
        <v>0</v>
      </c>
      <c r="Q374">
        <v>4.1788549937317168E-3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4.6385290430422062E-2</v>
      </c>
      <c r="AF374">
        <v>0</v>
      </c>
      <c r="AG374">
        <v>1.6715419974926867E-2</v>
      </c>
      <c r="AH374">
        <v>0.19222732971165901</v>
      </c>
      <c r="AI374">
        <v>4.6385290430422055E-2</v>
      </c>
      <c r="AJ374">
        <v>0</v>
      </c>
      <c r="AK374">
        <v>0</v>
      </c>
      <c r="AL374">
        <v>0</v>
      </c>
      <c r="AM374">
        <v>0</v>
      </c>
      <c r="AN374">
        <v>6.7697450898453804E-2</v>
      </c>
      <c r="AO374">
        <v>0</v>
      </c>
      <c r="AP374">
        <v>0</v>
      </c>
      <c r="AQ374">
        <v>0</v>
      </c>
      <c r="AR374">
        <v>0</v>
      </c>
      <c r="AS374">
        <v>3.8445465942331794E-2</v>
      </c>
      <c r="AT374">
        <v>2.0894274968658586E-4</v>
      </c>
      <c r="AU374">
        <v>0</v>
      </c>
      <c r="AV374">
        <v>4.2415378186376924E-2</v>
      </c>
      <c r="AW374">
        <v>0</v>
      </c>
      <c r="AX374">
        <v>0</v>
      </c>
      <c r="AY374">
        <v>0</v>
      </c>
      <c r="AZ374">
        <v>0</v>
      </c>
      <c r="BA374">
        <v>0.1048892603426661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8.4203928123694108E-2</v>
      </c>
      <c r="CA374">
        <v>0.12139573756790639</v>
      </c>
      <c r="CB374">
        <v>0</v>
      </c>
    </row>
    <row r="375" spans="1:80">
      <c r="A375">
        <v>374</v>
      </c>
      <c r="B375" t="s">
        <v>48</v>
      </c>
      <c r="C375" s="4" t="s">
        <v>162</v>
      </c>
      <c r="D375" s="4" t="s">
        <v>116</v>
      </c>
      <c r="E375" s="22">
        <v>40080</v>
      </c>
      <c r="F375" s="22">
        <v>40079</v>
      </c>
      <c r="G375">
        <v>909</v>
      </c>
      <c r="H375" s="4" t="s">
        <v>110</v>
      </c>
      <c r="I375" s="4" t="s">
        <v>108</v>
      </c>
      <c r="J375" s="4" t="str">
        <f t="shared" si="5"/>
        <v>u_rem.c_con</v>
      </c>
      <c r="K375" s="5">
        <v>8</v>
      </c>
      <c r="L375">
        <v>0</v>
      </c>
      <c r="M375">
        <v>0.11702707614028712</v>
      </c>
      <c r="N375">
        <v>0.15991277485008171</v>
      </c>
      <c r="O375">
        <v>0</v>
      </c>
      <c r="P375">
        <v>0</v>
      </c>
      <c r="Q375">
        <v>1.4537524986371071E-2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3.6343812465927678E-3</v>
      </c>
      <c r="Z375">
        <v>3.6707250590586951E-2</v>
      </c>
      <c r="AA375">
        <v>0</v>
      </c>
      <c r="AB375">
        <v>0</v>
      </c>
      <c r="AC375">
        <v>3.6343812465927678E-3</v>
      </c>
      <c r="AD375">
        <v>0</v>
      </c>
      <c r="AE375">
        <v>3.6343812465927678E-3</v>
      </c>
      <c r="AF375">
        <v>0</v>
      </c>
      <c r="AG375">
        <v>0</v>
      </c>
      <c r="AH375">
        <v>9.122296928947847E-2</v>
      </c>
      <c r="AI375">
        <v>5.8150099945484292E-2</v>
      </c>
      <c r="AJ375">
        <v>3.6343812465927678E-3</v>
      </c>
      <c r="AK375">
        <v>0</v>
      </c>
      <c r="AL375">
        <v>0</v>
      </c>
      <c r="AM375">
        <v>0</v>
      </c>
      <c r="AN375">
        <v>3.3436307468653462E-2</v>
      </c>
      <c r="AO375">
        <v>0</v>
      </c>
      <c r="AP375">
        <v>0</v>
      </c>
      <c r="AQ375">
        <v>0</v>
      </c>
      <c r="AR375">
        <v>0</v>
      </c>
      <c r="AS375">
        <v>1.8171906232963837E-2</v>
      </c>
      <c r="AT375">
        <v>2.253316372887516E-2</v>
      </c>
      <c r="AU375">
        <v>0</v>
      </c>
      <c r="AV375">
        <v>0</v>
      </c>
      <c r="AW375">
        <v>7.2687624931855356E-3</v>
      </c>
      <c r="AX375">
        <v>0</v>
      </c>
      <c r="AY375">
        <v>0</v>
      </c>
      <c r="AZ375">
        <v>0</v>
      </c>
      <c r="BA375">
        <v>0.20007268762493177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3.6343812465927678E-3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4.470288933309103E-2</v>
      </c>
      <c r="CA375">
        <v>0.17808468108304562</v>
      </c>
      <c r="CB375">
        <v>0</v>
      </c>
    </row>
    <row r="376" spans="1:80">
      <c r="A376">
        <v>375</v>
      </c>
      <c r="B376" t="s">
        <v>49</v>
      </c>
      <c r="C376" s="4" t="s">
        <v>162</v>
      </c>
      <c r="D376" s="4" t="s">
        <v>116</v>
      </c>
      <c r="E376" s="22">
        <v>40080</v>
      </c>
      <c r="F376" s="22">
        <v>40079</v>
      </c>
      <c r="G376">
        <v>909</v>
      </c>
      <c r="H376" s="4" t="s">
        <v>110</v>
      </c>
      <c r="I376" s="4" t="s">
        <v>109</v>
      </c>
      <c r="J376" s="4" t="str">
        <f t="shared" si="5"/>
        <v>u_rem.c_rem</v>
      </c>
      <c r="K376" s="5">
        <v>1</v>
      </c>
      <c r="L376">
        <v>0</v>
      </c>
      <c r="M376">
        <v>0.13468743837507394</v>
      </c>
      <c r="N376">
        <v>9.8797081443502272E-2</v>
      </c>
      <c r="O376">
        <v>0</v>
      </c>
      <c r="P376">
        <v>0</v>
      </c>
      <c r="Q376">
        <v>2.0114375862748963E-2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3.9439952672056791E-3</v>
      </c>
      <c r="Z376">
        <v>0.10274107671070795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8.6965095641885218E-2</v>
      </c>
      <c r="AI376">
        <v>1.9719976336028393E-2</v>
      </c>
      <c r="AJ376">
        <v>0</v>
      </c>
      <c r="AK376">
        <v>0</v>
      </c>
      <c r="AL376">
        <v>0</v>
      </c>
      <c r="AM376">
        <v>0</v>
      </c>
      <c r="AN376">
        <v>6.8625517649378812E-2</v>
      </c>
      <c r="AO376">
        <v>0</v>
      </c>
      <c r="AP376">
        <v>0</v>
      </c>
      <c r="AQ376">
        <v>0</v>
      </c>
      <c r="AR376">
        <v>0</v>
      </c>
      <c r="AS376">
        <v>7.8879905344113582E-3</v>
      </c>
      <c r="AT376">
        <v>9.8599881680141977E-4</v>
      </c>
      <c r="AU376">
        <v>0</v>
      </c>
      <c r="AV376">
        <v>7.5921908893709311E-2</v>
      </c>
      <c r="AW376">
        <v>3.9439952672056791E-3</v>
      </c>
      <c r="AX376">
        <v>7.8879905344113582E-3</v>
      </c>
      <c r="AY376">
        <v>0</v>
      </c>
      <c r="AZ376">
        <v>0</v>
      </c>
      <c r="BA376">
        <v>0.26819167816998607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4.5355945572865316E-3</v>
      </c>
      <c r="CA376">
        <v>9.5050285939656878E-2</v>
      </c>
      <c r="CB376">
        <v>0</v>
      </c>
    </row>
    <row r="377" spans="1:80">
      <c r="A377">
        <v>376</v>
      </c>
      <c r="B377" t="s">
        <v>50</v>
      </c>
      <c r="C377" s="4" t="s">
        <v>162</v>
      </c>
      <c r="D377" s="4" t="s">
        <v>116</v>
      </c>
      <c r="E377" s="22">
        <v>40080</v>
      </c>
      <c r="F377" s="22">
        <v>40079</v>
      </c>
      <c r="G377">
        <v>909</v>
      </c>
      <c r="H377" s="4" t="s">
        <v>110</v>
      </c>
      <c r="I377" s="4" t="s">
        <v>109</v>
      </c>
      <c r="J377" s="4" t="str">
        <f t="shared" si="5"/>
        <v>u_rem.c_rem</v>
      </c>
      <c r="K377" s="5">
        <v>1</v>
      </c>
      <c r="L377">
        <v>0</v>
      </c>
      <c r="M377">
        <v>9.8578419948729915E-2</v>
      </c>
      <c r="N377">
        <v>8.9722675367047339E-2</v>
      </c>
      <c r="O377">
        <v>0</v>
      </c>
      <c r="P377">
        <v>0</v>
      </c>
      <c r="Q377">
        <v>5.1736192029829882E-2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0.12584479142391053</v>
      </c>
      <c r="Z377">
        <v>0.1402936378466558</v>
      </c>
      <c r="AA377">
        <v>0</v>
      </c>
      <c r="AB377">
        <v>0</v>
      </c>
      <c r="AC377">
        <v>0</v>
      </c>
      <c r="AD377">
        <v>0</v>
      </c>
      <c r="AE377">
        <v>4.6609182008855747E-4</v>
      </c>
      <c r="AF377">
        <v>0</v>
      </c>
      <c r="AG377">
        <v>0</v>
      </c>
      <c r="AH377">
        <v>4.6609182008855747E-3</v>
      </c>
      <c r="AI377">
        <v>4.6609182008855747E-3</v>
      </c>
      <c r="AJ377">
        <v>0.13120484735492893</v>
      </c>
      <c r="AK377">
        <v>0</v>
      </c>
      <c r="AL377">
        <v>9.3218364017711493E-3</v>
      </c>
      <c r="AM377">
        <v>0</v>
      </c>
      <c r="AN377">
        <v>3.3791656956420418E-2</v>
      </c>
      <c r="AO377">
        <v>0</v>
      </c>
      <c r="AP377">
        <v>0</v>
      </c>
      <c r="AQ377">
        <v>0</v>
      </c>
      <c r="AR377">
        <v>0</v>
      </c>
      <c r="AS377">
        <v>1.8876718713586579E-2</v>
      </c>
      <c r="AT377">
        <v>2.3304591004427873E-4</v>
      </c>
      <c r="AU377">
        <v>4.8939641109298536E-3</v>
      </c>
      <c r="AV377">
        <v>3.309251922628758E-2</v>
      </c>
      <c r="AW377">
        <v>0</v>
      </c>
      <c r="AX377">
        <v>0</v>
      </c>
      <c r="AY377">
        <v>0</v>
      </c>
      <c r="AZ377">
        <v>0</v>
      </c>
      <c r="BA377">
        <v>6.1058028431601019E-2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4.6609182008855747E-3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1.8876718713586579E-2</v>
      </c>
      <c r="CA377">
        <v>0.14472151013749709</v>
      </c>
      <c r="CB377">
        <v>2.3304591004427874E-2</v>
      </c>
    </row>
    <row r="378" spans="1:80">
      <c r="A378">
        <v>377</v>
      </c>
      <c r="B378" t="s">
        <v>51</v>
      </c>
      <c r="C378" s="4" t="s">
        <v>163</v>
      </c>
      <c r="D378" s="4" t="s">
        <v>116</v>
      </c>
      <c r="E378" s="22">
        <v>40080</v>
      </c>
      <c r="F378" s="22">
        <v>40079</v>
      </c>
      <c r="G378">
        <v>909</v>
      </c>
      <c r="H378" s="4" t="s">
        <v>107</v>
      </c>
      <c r="I378" s="4" t="s">
        <v>109</v>
      </c>
      <c r="J378" s="4" t="str">
        <f t="shared" si="5"/>
        <v>u_con.c_rem</v>
      </c>
      <c r="K378" s="5">
        <v>2</v>
      </c>
      <c r="L378" s="1">
        <v>0</v>
      </c>
      <c r="M378" s="1">
        <v>7.9545454545454544E-2</v>
      </c>
      <c r="N378" s="1">
        <v>0.10227272727272728</v>
      </c>
      <c r="O378" s="1">
        <v>1.1363636363636364E-2</v>
      </c>
      <c r="P378" s="1">
        <v>0</v>
      </c>
      <c r="Q378" s="1">
        <v>1.7045454545454548E-2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0.21590909090909086</v>
      </c>
      <c r="Z378" s="1">
        <v>4.5454545454545449E-2</v>
      </c>
      <c r="AA378" s="1">
        <v>1.1363636363636364E-2</v>
      </c>
      <c r="AB378" s="1">
        <v>2.2727272727272728E-2</v>
      </c>
      <c r="AC378" s="1">
        <v>5.681818181818182E-3</v>
      </c>
      <c r="AD378" s="1">
        <v>0</v>
      </c>
      <c r="AE378" s="1">
        <v>1.7045454545454548E-2</v>
      </c>
      <c r="AF378" s="1">
        <v>0</v>
      </c>
      <c r="AG378" s="1">
        <v>0</v>
      </c>
      <c r="AH378" s="1">
        <v>7.3863636363636354E-2</v>
      </c>
      <c r="AI378" s="1">
        <v>0</v>
      </c>
      <c r="AJ378" s="1">
        <v>1.7045454545454548E-2</v>
      </c>
      <c r="AK378" s="1">
        <v>0.10795454545454548</v>
      </c>
      <c r="AL378" s="1">
        <v>0</v>
      </c>
      <c r="AM378" s="1">
        <v>0</v>
      </c>
      <c r="AN378" s="1">
        <v>5.1136363636363626E-2</v>
      </c>
      <c r="AO378" s="1">
        <v>0</v>
      </c>
      <c r="AP378" s="1">
        <v>0</v>
      </c>
      <c r="AQ378" s="1">
        <v>0</v>
      </c>
      <c r="AR378" s="1">
        <v>0</v>
      </c>
      <c r="AS378" s="1">
        <v>6.2499999999999986E-2</v>
      </c>
      <c r="AT378" s="1">
        <v>2.2727272727272728E-2</v>
      </c>
      <c r="AU378" s="1">
        <v>0.11363636363636363</v>
      </c>
      <c r="AV378" s="1">
        <v>5.681818181818182E-3</v>
      </c>
      <c r="AW378" s="1">
        <v>0</v>
      </c>
      <c r="AX378" s="1">
        <v>0</v>
      </c>
      <c r="AY378" s="1">
        <v>5.681818181818182E-3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5.681818181818182E-3</v>
      </c>
      <c r="CA378" s="1">
        <v>0</v>
      </c>
      <c r="CB378" s="1">
        <v>0</v>
      </c>
    </row>
    <row r="379" spans="1:80">
      <c r="A379">
        <v>378</v>
      </c>
      <c r="B379" t="s">
        <v>52</v>
      </c>
      <c r="C379" s="4" t="s">
        <v>163</v>
      </c>
      <c r="D379" s="4" t="s">
        <v>116</v>
      </c>
      <c r="E379" s="22">
        <v>40080</v>
      </c>
      <c r="F379" s="22">
        <v>40079</v>
      </c>
      <c r="G379" s="1">
        <v>909</v>
      </c>
      <c r="H379" s="4" t="s">
        <v>107</v>
      </c>
      <c r="I379" s="4" t="s">
        <v>109</v>
      </c>
      <c r="J379" s="4" t="str">
        <f t="shared" si="5"/>
        <v>u_con.c_rem</v>
      </c>
      <c r="K379" s="5">
        <v>2</v>
      </c>
      <c r="L379" s="1">
        <v>5.3433075073470483E-3</v>
      </c>
      <c r="M379" s="1">
        <v>8.5492920117552773E-2</v>
      </c>
      <c r="N379" s="1">
        <v>0.11220945765428804</v>
      </c>
      <c r="O379" s="1">
        <v>5.3433075073470483E-3</v>
      </c>
      <c r="P379" s="1">
        <v>0</v>
      </c>
      <c r="Q379" s="1">
        <v>2.1373230029388193E-2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0.14961261020571734</v>
      </c>
      <c r="Z379" s="1">
        <v>0.15495591771306441</v>
      </c>
      <c r="AA379" s="1">
        <v>0</v>
      </c>
      <c r="AB379" s="1">
        <v>5.3433075073470483E-3</v>
      </c>
      <c r="AC379" s="1">
        <v>0</v>
      </c>
      <c r="AD379" s="1">
        <v>1.6029922522041141E-2</v>
      </c>
      <c r="AE379" s="1">
        <v>0</v>
      </c>
      <c r="AF379" s="1">
        <v>1.6029922522041145E-2</v>
      </c>
      <c r="AG379" s="1">
        <v>0</v>
      </c>
      <c r="AH379" s="1">
        <v>5.3433075073470469E-2</v>
      </c>
      <c r="AI379" s="1">
        <v>0</v>
      </c>
      <c r="AJ379" s="1">
        <v>8.5492920117552801E-2</v>
      </c>
      <c r="AK379" s="1">
        <v>4.2746460058776387E-2</v>
      </c>
      <c r="AL379" s="1">
        <v>0</v>
      </c>
      <c r="AM379" s="1">
        <v>0</v>
      </c>
      <c r="AN379" s="1">
        <v>8.5492920117552787E-2</v>
      </c>
      <c r="AO379" s="1">
        <v>0</v>
      </c>
      <c r="AP379" s="1">
        <v>0</v>
      </c>
      <c r="AQ379" s="1">
        <v>0</v>
      </c>
      <c r="AR379" s="1">
        <v>0</v>
      </c>
      <c r="AS379" s="1">
        <v>3.7670317926796683E-2</v>
      </c>
      <c r="AT379" s="1">
        <v>3.7937483302164038E-2</v>
      </c>
      <c r="AU379" s="1">
        <v>3.7403152551429335E-2</v>
      </c>
      <c r="AV379" s="1">
        <v>1.6029922522041145E-2</v>
      </c>
      <c r="AW379" s="1">
        <v>5.3433075073470483E-3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5.3433075073470483E-3</v>
      </c>
      <c r="CA379" s="1">
        <v>1.6029922522041141E-2</v>
      </c>
      <c r="CB379" s="1">
        <v>0</v>
      </c>
    </row>
    <row r="380" spans="1:80">
      <c r="A380">
        <v>379</v>
      </c>
      <c r="B380" t="s">
        <v>53</v>
      </c>
      <c r="C380" s="4" t="s">
        <v>163</v>
      </c>
      <c r="D380" s="4" t="s">
        <v>116</v>
      </c>
      <c r="E380" s="22">
        <v>40080</v>
      </c>
      <c r="F380" s="22">
        <v>40079</v>
      </c>
      <c r="G380">
        <v>909</v>
      </c>
      <c r="H380" s="4" t="s">
        <v>107</v>
      </c>
      <c r="I380" s="4" t="s">
        <v>108</v>
      </c>
      <c r="J380" s="4" t="str">
        <f t="shared" si="5"/>
        <v>u_con.c_con</v>
      </c>
      <c r="K380" s="5">
        <v>19</v>
      </c>
      <c r="L380" s="1">
        <v>0</v>
      </c>
      <c r="M380" s="1">
        <v>9.9941211052322218E-2</v>
      </c>
      <c r="N380" s="1">
        <v>0.13521457965902417</v>
      </c>
      <c r="O380" s="1">
        <v>2.3515579071134631E-2</v>
      </c>
      <c r="P380" s="1">
        <v>0</v>
      </c>
      <c r="Q380" s="1">
        <v>5.8788947677836578E-3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0.16460905349794244</v>
      </c>
      <c r="Z380" s="1">
        <v>0.12933568489124048</v>
      </c>
      <c r="AA380" s="1">
        <v>0</v>
      </c>
      <c r="AB380" s="1">
        <v>5.8788947677836578E-3</v>
      </c>
      <c r="AC380" s="1">
        <v>1.1757789535567316E-2</v>
      </c>
      <c r="AD380" s="1">
        <v>0</v>
      </c>
      <c r="AE380" s="1">
        <v>0</v>
      </c>
      <c r="AF380" s="1">
        <v>1.7636684303350976E-2</v>
      </c>
      <c r="AG380" s="1">
        <v>0</v>
      </c>
      <c r="AH380" s="1">
        <v>0.11757789535567317</v>
      </c>
      <c r="AI380" s="1">
        <v>5.8788947677836578E-3</v>
      </c>
      <c r="AJ380" s="1">
        <v>0</v>
      </c>
      <c r="AK380" s="1">
        <v>4.7031158142269255E-2</v>
      </c>
      <c r="AL380" s="1">
        <v>0</v>
      </c>
      <c r="AM380" s="1">
        <v>0</v>
      </c>
      <c r="AN380" s="1">
        <v>4.1152263374485597E-2</v>
      </c>
      <c r="AO380" s="1">
        <v>0</v>
      </c>
      <c r="AP380" s="1">
        <v>0</v>
      </c>
      <c r="AQ380" s="1">
        <v>0</v>
      </c>
      <c r="AR380" s="1">
        <v>0</v>
      </c>
      <c r="AS380" s="1">
        <v>2.9394473838918286E-2</v>
      </c>
      <c r="AT380" s="1">
        <v>3.5861258083480306E-2</v>
      </c>
      <c r="AU380" s="1">
        <v>0.10582010582010584</v>
      </c>
      <c r="AV380" s="1">
        <v>0</v>
      </c>
      <c r="AW380" s="1">
        <v>5.8788947677836578E-3</v>
      </c>
      <c r="AX380" s="1">
        <v>5.8788947677836578E-3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</row>
    <row r="381" spans="1:80">
      <c r="A381">
        <v>380</v>
      </c>
      <c r="B381" t="s">
        <v>54</v>
      </c>
      <c r="C381" s="4" t="s">
        <v>163</v>
      </c>
      <c r="D381" s="4" t="s">
        <v>116</v>
      </c>
      <c r="E381" s="22">
        <v>40080</v>
      </c>
      <c r="F381" s="22">
        <v>40079</v>
      </c>
      <c r="G381">
        <v>909</v>
      </c>
      <c r="H381" s="4" t="s">
        <v>107</v>
      </c>
      <c r="I381" s="4" t="s">
        <v>108</v>
      </c>
      <c r="J381" s="4" t="str">
        <f t="shared" si="5"/>
        <v>u_con.c_con</v>
      </c>
      <c r="K381" s="5">
        <v>19</v>
      </c>
      <c r="L381" s="1">
        <v>1.1428571428571432E-2</v>
      </c>
      <c r="M381" s="1">
        <v>5.1428571428571435E-2</v>
      </c>
      <c r="N381" s="1">
        <v>0.11428571428571434</v>
      </c>
      <c r="O381" s="1">
        <v>5.714285714285716E-3</v>
      </c>
      <c r="P381" s="1">
        <v>0</v>
      </c>
      <c r="Q381" s="1">
        <v>5.1428571428571435E-2</v>
      </c>
      <c r="R381" s="1">
        <v>0</v>
      </c>
      <c r="S381" s="1">
        <v>0</v>
      </c>
      <c r="T381" s="1">
        <v>0</v>
      </c>
      <c r="U381" s="1">
        <v>1.1428571428571432E-2</v>
      </c>
      <c r="V381" s="1">
        <v>0</v>
      </c>
      <c r="W381" s="1">
        <v>0</v>
      </c>
      <c r="X381" s="1">
        <v>0</v>
      </c>
      <c r="Y381" s="1">
        <v>0.15428571428571433</v>
      </c>
      <c r="Z381" s="1">
        <v>0.33714285714285719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1.1428571428571432E-2</v>
      </c>
      <c r="AI381" s="1">
        <v>1.1428571428571432E-2</v>
      </c>
      <c r="AJ381" s="1">
        <v>1.7142857142857147E-2</v>
      </c>
      <c r="AK381" s="1">
        <v>4.5714285714285721E-2</v>
      </c>
      <c r="AL381" s="1">
        <v>0</v>
      </c>
      <c r="AM381" s="1">
        <v>0</v>
      </c>
      <c r="AN381" s="1">
        <v>6.2857142857142861E-2</v>
      </c>
      <c r="AO381" s="1">
        <v>0</v>
      </c>
      <c r="AP381" s="1">
        <v>0</v>
      </c>
      <c r="AQ381" s="1">
        <v>0</v>
      </c>
      <c r="AR381" s="1">
        <v>0</v>
      </c>
      <c r="AS381" s="1">
        <v>2.2857142857142864E-2</v>
      </c>
      <c r="AT381" s="1">
        <v>5.714285714285716E-3</v>
      </c>
      <c r="AU381" s="1">
        <v>7.4285714285714302E-2</v>
      </c>
      <c r="AV381" s="1">
        <v>0</v>
      </c>
      <c r="AW381" s="1">
        <v>0</v>
      </c>
      <c r="AX381" s="1">
        <v>5.714285714285716E-3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5.714285714285716E-3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</row>
    <row r="382" spans="1:80">
      <c r="A382">
        <v>381</v>
      </c>
      <c r="B382" t="s">
        <v>55</v>
      </c>
      <c r="C382" s="4" t="s">
        <v>164</v>
      </c>
      <c r="D382" s="4" t="s">
        <v>116</v>
      </c>
      <c r="E382" s="22">
        <v>40080</v>
      </c>
      <c r="F382" s="22">
        <v>40079</v>
      </c>
      <c r="G382">
        <v>909</v>
      </c>
      <c r="H382" s="4" t="s">
        <v>110</v>
      </c>
      <c r="I382" s="4" t="s">
        <v>108</v>
      </c>
      <c r="J382" s="4" t="str">
        <f t="shared" si="5"/>
        <v>u_rem.c_con</v>
      </c>
      <c r="K382" s="5">
        <v>8</v>
      </c>
      <c r="L382">
        <v>0</v>
      </c>
      <c r="M382">
        <v>5.2987012987012985E-2</v>
      </c>
      <c r="N382">
        <v>0.10935064935064938</v>
      </c>
      <c r="O382">
        <v>0</v>
      </c>
      <c r="P382">
        <v>0</v>
      </c>
      <c r="Q382">
        <v>0.1142857142857143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5.7142857142857151E-3</v>
      </c>
      <c r="AA382">
        <v>5.1948051948051948E-3</v>
      </c>
      <c r="AB382">
        <v>0</v>
      </c>
      <c r="AC382">
        <v>0</v>
      </c>
      <c r="AD382">
        <v>0</v>
      </c>
      <c r="AE382">
        <v>2.1038961038961041E-2</v>
      </c>
      <c r="AF382">
        <v>0</v>
      </c>
      <c r="AG382">
        <v>1.5584415584415584E-2</v>
      </c>
      <c r="AH382">
        <v>3.6363636363636362E-2</v>
      </c>
      <c r="AI382">
        <v>5.7142857142857143E-3</v>
      </c>
      <c r="AJ382">
        <v>0</v>
      </c>
      <c r="AK382">
        <v>0</v>
      </c>
      <c r="AL382">
        <v>0.1148051948051948</v>
      </c>
      <c r="AM382">
        <v>0</v>
      </c>
      <c r="AN382">
        <v>3.3506493506493505E-2</v>
      </c>
      <c r="AO382">
        <v>0</v>
      </c>
      <c r="AP382">
        <v>0</v>
      </c>
      <c r="AQ382">
        <v>0</v>
      </c>
      <c r="AR382">
        <v>0</v>
      </c>
      <c r="AS382">
        <v>4.8051948051948047E-2</v>
      </c>
      <c r="AT382">
        <v>0</v>
      </c>
      <c r="AU382">
        <v>2.5974025974025974E-4</v>
      </c>
      <c r="AV382">
        <v>0</v>
      </c>
      <c r="AW382">
        <v>5.1948051948051948E-3</v>
      </c>
      <c r="AX382">
        <v>0</v>
      </c>
      <c r="AY382">
        <v>1.038961038961039E-2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1.116883116883117E-2</v>
      </c>
      <c r="CA382">
        <v>0.39480519480519471</v>
      </c>
      <c r="CB382">
        <v>1.5584415584415586E-2</v>
      </c>
    </row>
    <row r="383" spans="1:80">
      <c r="A383">
        <v>382</v>
      </c>
      <c r="B383" t="s">
        <v>56</v>
      </c>
      <c r="C383" s="4" t="s">
        <v>164</v>
      </c>
      <c r="D383" s="4" t="s">
        <v>116</v>
      </c>
      <c r="E383" s="22">
        <v>40080</v>
      </c>
      <c r="F383" s="22">
        <v>40079</v>
      </c>
      <c r="G383">
        <v>909</v>
      </c>
      <c r="H383" s="4" t="s">
        <v>110</v>
      </c>
      <c r="I383" s="4" t="s">
        <v>109</v>
      </c>
      <c r="J383" s="4" t="str">
        <f t="shared" si="5"/>
        <v>u_rem.c_rem</v>
      </c>
      <c r="K383" s="5">
        <v>1</v>
      </c>
      <c r="L383">
        <v>0</v>
      </c>
      <c r="M383">
        <v>1.5384615384615387E-2</v>
      </c>
      <c r="N383">
        <v>0.14700854700854704</v>
      </c>
      <c r="O383">
        <v>0</v>
      </c>
      <c r="P383">
        <v>0</v>
      </c>
      <c r="Q383">
        <v>0.10280830280830282</v>
      </c>
      <c r="R383">
        <v>1.465201465201465E-2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1.4652014652014654E-2</v>
      </c>
      <c r="Z383">
        <v>4.9572649572649563E-2</v>
      </c>
      <c r="AA383">
        <v>0</v>
      </c>
      <c r="AB383">
        <v>0</v>
      </c>
      <c r="AC383">
        <v>0</v>
      </c>
      <c r="AD383">
        <v>0</v>
      </c>
      <c r="AE383">
        <v>1.0012210012210013E-2</v>
      </c>
      <c r="AF383">
        <v>0</v>
      </c>
      <c r="AG383">
        <v>0</v>
      </c>
      <c r="AH383">
        <v>1.098901098901099E-2</v>
      </c>
      <c r="AI383">
        <v>2.0024420024420026E-2</v>
      </c>
      <c r="AJ383">
        <v>0</v>
      </c>
      <c r="AK383">
        <v>2.442002442002442E-4</v>
      </c>
      <c r="AL383">
        <v>0.23492063492063492</v>
      </c>
      <c r="AM383">
        <v>0</v>
      </c>
      <c r="AN383">
        <v>2.0512820512820513E-2</v>
      </c>
      <c r="AO383">
        <v>0</v>
      </c>
      <c r="AP383">
        <v>0</v>
      </c>
      <c r="AQ383">
        <v>0</v>
      </c>
      <c r="AR383">
        <v>0</v>
      </c>
      <c r="AS383">
        <v>3.4432234432234428E-2</v>
      </c>
      <c r="AT383">
        <v>2.442002442002442E-4</v>
      </c>
      <c r="AU383">
        <v>1.4652014652014654E-2</v>
      </c>
      <c r="AV383">
        <v>3.9804639804639802E-2</v>
      </c>
      <c r="AW383">
        <v>9.768009768009768E-3</v>
      </c>
      <c r="AX383">
        <v>0</v>
      </c>
      <c r="AY383">
        <v>0</v>
      </c>
      <c r="AZ383">
        <v>0</v>
      </c>
      <c r="BA383">
        <v>2.442002442002442E-2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4.884004884004884E-3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2.5396825396825397E-2</v>
      </c>
      <c r="CA383">
        <v>0.20561660561660555</v>
      </c>
      <c r="CB383">
        <v>0</v>
      </c>
    </row>
    <row r="384" spans="1:80">
      <c r="A384">
        <v>383</v>
      </c>
      <c r="B384" t="s">
        <v>57</v>
      </c>
      <c r="C384" s="4" t="s">
        <v>164</v>
      </c>
      <c r="D384" s="4" t="s">
        <v>116</v>
      </c>
      <c r="E384" s="22">
        <v>40080</v>
      </c>
      <c r="F384" s="22">
        <v>40079</v>
      </c>
      <c r="G384">
        <v>909</v>
      </c>
      <c r="H384" s="4" t="s">
        <v>110</v>
      </c>
      <c r="I384" s="4" t="s">
        <v>108</v>
      </c>
      <c r="J384" s="4" t="str">
        <f t="shared" si="5"/>
        <v>u_rem.c_con</v>
      </c>
      <c r="K384" s="5">
        <v>8</v>
      </c>
      <c r="L384">
        <v>0</v>
      </c>
      <c r="M384">
        <v>4.7982812126999279E-2</v>
      </c>
      <c r="N384">
        <v>0.14370971592265461</v>
      </c>
      <c r="O384">
        <v>0</v>
      </c>
      <c r="P384">
        <v>0</v>
      </c>
      <c r="Q384">
        <v>4.8221532585342564E-2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5.3473382668894731E-2</v>
      </c>
      <c r="AA384">
        <v>0</v>
      </c>
      <c r="AB384">
        <v>0</v>
      </c>
      <c r="AC384">
        <v>0</v>
      </c>
      <c r="AD384">
        <v>0</v>
      </c>
      <c r="AE384">
        <v>2.960133683456672E-2</v>
      </c>
      <c r="AF384">
        <v>0</v>
      </c>
      <c r="AG384">
        <v>0</v>
      </c>
      <c r="AH384">
        <v>2.4110766292671282E-2</v>
      </c>
      <c r="AI384">
        <v>5.490570541895441E-3</v>
      </c>
      <c r="AJ384">
        <v>0</v>
      </c>
      <c r="AK384">
        <v>0</v>
      </c>
      <c r="AL384">
        <v>0.18142754834089281</v>
      </c>
      <c r="AM384">
        <v>0</v>
      </c>
      <c r="AN384">
        <v>6.2067319169252805E-3</v>
      </c>
      <c r="AO384">
        <v>0</v>
      </c>
      <c r="AP384">
        <v>0</v>
      </c>
      <c r="AQ384">
        <v>0</v>
      </c>
      <c r="AR384">
        <v>0</v>
      </c>
      <c r="AS384">
        <v>4.7982812126999279E-2</v>
      </c>
      <c r="AT384">
        <v>1.9336357125805684E-2</v>
      </c>
      <c r="AU384">
        <v>9.7875387920744808E-3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9.5488183337312012E-3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4.7744091668656006E-3</v>
      </c>
      <c r="BX384">
        <v>0</v>
      </c>
      <c r="BY384">
        <v>0</v>
      </c>
      <c r="BZ384">
        <v>5.490570541895441E-3</v>
      </c>
      <c r="CA384">
        <v>0.36285509668178562</v>
      </c>
      <c r="CB384">
        <v>0</v>
      </c>
    </row>
    <row r="385" spans="1:80">
      <c r="A385">
        <v>384</v>
      </c>
      <c r="B385" t="s">
        <v>58</v>
      </c>
      <c r="C385" s="4" t="s">
        <v>164</v>
      </c>
      <c r="D385" s="4" t="s">
        <v>116</v>
      </c>
      <c r="E385" s="22">
        <v>40080</v>
      </c>
      <c r="F385" s="22">
        <v>40079</v>
      </c>
      <c r="G385">
        <v>909</v>
      </c>
      <c r="H385" s="4" t="s">
        <v>110</v>
      </c>
      <c r="I385" s="4" t="s">
        <v>109</v>
      </c>
      <c r="J385" s="4" t="str">
        <f t="shared" si="5"/>
        <v>u_rem.c_rem</v>
      </c>
      <c r="K385" s="5">
        <v>1</v>
      </c>
      <c r="L385">
        <v>0</v>
      </c>
      <c r="M385">
        <v>5.1234280391243611E-3</v>
      </c>
      <c r="N385">
        <v>6.1946902654867284E-2</v>
      </c>
      <c r="O385">
        <v>0</v>
      </c>
      <c r="P385">
        <v>0</v>
      </c>
      <c r="Q385">
        <v>0.19096413600372616</v>
      </c>
      <c r="R385">
        <v>0</v>
      </c>
      <c r="S385">
        <v>0</v>
      </c>
      <c r="T385">
        <v>0</v>
      </c>
      <c r="U385">
        <v>4.6576618537494188E-3</v>
      </c>
      <c r="V385">
        <v>0</v>
      </c>
      <c r="W385">
        <v>0</v>
      </c>
      <c r="X385">
        <v>0</v>
      </c>
      <c r="Y385">
        <v>4.6576618537494188E-3</v>
      </c>
      <c r="Z385">
        <v>0.15440149045179324</v>
      </c>
      <c r="AA385">
        <v>0</v>
      </c>
      <c r="AB385">
        <v>0</v>
      </c>
      <c r="AC385">
        <v>0</v>
      </c>
      <c r="AD385">
        <v>0</v>
      </c>
      <c r="AE385">
        <v>9.5482068001863096E-3</v>
      </c>
      <c r="AF385">
        <v>0</v>
      </c>
      <c r="AG385">
        <v>0</v>
      </c>
      <c r="AH385">
        <v>9.3153237074988381E-4</v>
      </c>
      <c r="AI385">
        <v>0</v>
      </c>
      <c r="AJ385">
        <v>0</v>
      </c>
      <c r="AK385">
        <v>0</v>
      </c>
      <c r="AL385">
        <v>4.6809501630181667E-2</v>
      </c>
      <c r="AM385">
        <v>0</v>
      </c>
      <c r="AN385">
        <v>1.5370284117373085E-2</v>
      </c>
      <c r="AO385">
        <v>0</v>
      </c>
      <c r="AP385">
        <v>0</v>
      </c>
      <c r="AQ385">
        <v>0</v>
      </c>
      <c r="AR385">
        <v>0</v>
      </c>
      <c r="AS385">
        <v>1.9329296693060091E-2</v>
      </c>
      <c r="AT385">
        <v>0</v>
      </c>
      <c r="AU385">
        <v>9.5482068001863096E-3</v>
      </c>
      <c r="AV385">
        <v>9.3619003260363334E-2</v>
      </c>
      <c r="AW385">
        <v>0</v>
      </c>
      <c r="AX385">
        <v>0</v>
      </c>
      <c r="AY385">
        <v>0</v>
      </c>
      <c r="AZ385">
        <v>0</v>
      </c>
      <c r="BA385">
        <v>6.986492780624128E-4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9.3153237074988376E-3</v>
      </c>
      <c r="BZ385">
        <v>2.3521192361434566E-2</v>
      </c>
      <c r="CA385">
        <v>0.34955752212389385</v>
      </c>
      <c r="CB385">
        <v>0</v>
      </c>
    </row>
    <row r="386" spans="1:80" s="1" customFormat="1">
      <c r="A386">
        <v>385</v>
      </c>
      <c r="B386" s="3" t="s">
        <v>59</v>
      </c>
      <c r="C386" s="4" t="s">
        <v>165</v>
      </c>
      <c r="D386" s="4" t="s">
        <v>117</v>
      </c>
      <c r="E386" s="22">
        <v>40079</v>
      </c>
      <c r="F386" s="22">
        <v>40079</v>
      </c>
      <c r="G386" s="3">
        <v>909</v>
      </c>
      <c r="H386" s="4" t="s">
        <v>107</v>
      </c>
      <c r="I386" s="4" t="s">
        <v>109</v>
      </c>
      <c r="J386" s="4" t="str">
        <f t="shared" ref="J386:J449" si="6">CONCATENATE(H386,".",I386)</f>
        <v>u_con.c_rem</v>
      </c>
      <c r="K386" s="5">
        <v>2</v>
      </c>
      <c r="L386" s="3">
        <v>5.044136191677177E-3</v>
      </c>
      <c r="M386" s="3">
        <v>0.11097099621689789</v>
      </c>
      <c r="N386" s="3">
        <v>2.0176544766708708E-2</v>
      </c>
      <c r="O386" s="3">
        <v>5.044136191677177E-3</v>
      </c>
      <c r="P386" s="3">
        <v>0</v>
      </c>
      <c r="Q386" s="3">
        <v>0.11601513240857507</v>
      </c>
      <c r="R386" s="3">
        <v>0.10592686002522071</v>
      </c>
      <c r="S386" s="3">
        <v>0</v>
      </c>
      <c r="T386" s="3">
        <v>1.5132408575031531E-2</v>
      </c>
      <c r="U386" s="3">
        <v>3.530895334174023E-2</v>
      </c>
      <c r="V386" s="3">
        <v>0</v>
      </c>
      <c r="W386" s="3">
        <v>0</v>
      </c>
      <c r="X386" s="3">
        <v>0</v>
      </c>
      <c r="Y386" s="3">
        <v>3.0264817150063059E-2</v>
      </c>
      <c r="Z386" s="3">
        <v>0</v>
      </c>
      <c r="AA386" s="3">
        <v>0</v>
      </c>
      <c r="AB386" s="3">
        <v>0</v>
      </c>
      <c r="AC386" s="3">
        <v>1.5132408575031531E-2</v>
      </c>
      <c r="AD386" s="3">
        <v>0</v>
      </c>
      <c r="AE386" s="3">
        <v>1.0088272383354354E-2</v>
      </c>
      <c r="AF386" s="3">
        <v>0</v>
      </c>
      <c r="AG386" s="3">
        <v>0</v>
      </c>
      <c r="AH386" s="3">
        <v>2.5220680958385883E-2</v>
      </c>
      <c r="AI386" s="3">
        <v>0</v>
      </c>
      <c r="AJ386" s="3">
        <v>0.23707440100882726</v>
      </c>
      <c r="AK386" s="3">
        <v>1.0088272383354354E-2</v>
      </c>
      <c r="AL386" s="3">
        <v>0.14123581336696095</v>
      </c>
      <c r="AM386" s="3">
        <v>0</v>
      </c>
      <c r="AN386" s="3">
        <v>2.0176544766708708E-2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1.0088272383354353E-3</v>
      </c>
      <c r="AU386" s="3">
        <v>0</v>
      </c>
      <c r="AV386" s="3">
        <v>0</v>
      </c>
      <c r="AW386" s="3">
        <v>1.0088272383354354E-2</v>
      </c>
      <c r="AX386" s="3">
        <v>2.0176544766708708E-2</v>
      </c>
      <c r="AY386" s="3">
        <v>5.044136191677177E-3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2.5220680958385882E-4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4.0353089533417409E-2</v>
      </c>
      <c r="CA386" s="3">
        <v>2.0176544766708708E-2</v>
      </c>
      <c r="CB386" s="3">
        <v>0</v>
      </c>
    </row>
    <row r="387" spans="1:80" s="1" customFormat="1">
      <c r="A387">
        <v>386</v>
      </c>
      <c r="B387" t="s">
        <v>60</v>
      </c>
      <c r="C387" s="4" t="s">
        <v>165</v>
      </c>
      <c r="D387" s="4" t="s">
        <v>117</v>
      </c>
      <c r="E387" s="22">
        <v>40079</v>
      </c>
      <c r="F387" s="22">
        <v>40079</v>
      </c>
      <c r="G387">
        <v>909</v>
      </c>
      <c r="H387" s="4" t="s">
        <v>107</v>
      </c>
      <c r="I387" s="4" t="s">
        <v>108</v>
      </c>
      <c r="J387" s="4" t="str">
        <f t="shared" si="6"/>
        <v>u_con.c_con</v>
      </c>
      <c r="K387" s="5">
        <v>19</v>
      </c>
      <c r="L387">
        <v>0</v>
      </c>
      <c r="M387">
        <v>0.38079805549929102</v>
      </c>
      <c r="N387">
        <v>2.896495847680778E-2</v>
      </c>
      <c r="O387">
        <v>0</v>
      </c>
      <c r="P387">
        <v>0</v>
      </c>
      <c r="Q387">
        <v>0.11403686449260685</v>
      </c>
      <c r="R387">
        <v>8.5071906015799059E-2</v>
      </c>
      <c r="S387">
        <v>0</v>
      </c>
      <c r="T387">
        <v>2.0255215718047396E-2</v>
      </c>
      <c r="U387">
        <v>4.2535953007899535E-3</v>
      </c>
      <c r="V387">
        <v>0</v>
      </c>
      <c r="W387">
        <v>0</v>
      </c>
      <c r="X387">
        <v>1.6204172574437917E-2</v>
      </c>
      <c r="Y387">
        <v>0</v>
      </c>
      <c r="Z387">
        <v>8.1020862872189583E-3</v>
      </c>
      <c r="AA387">
        <v>0</v>
      </c>
      <c r="AB387">
        <v>0</v>
      </c>
      <c r="AC387">
        <v>1.2153129430828438E-2</v>
      </c>
      <c r="AD387">
        <v>0</v>
      </c>
      <c r="AE387">
        <v>1.2963338059550335E-2</v>
      </c>
      <c r="AF387">
        <v>0</v>
      </c>
      <c r="AG387">
        <v>0</v>
      </c>
      <c r="AH387">
        <v>1.2153129430828439E-2</v>
      </c>
      <c r="AI387">
        <v>4.0510431436094792E-3</v>
      </c>
      <c r="AJ387">
        <v>1.2153129430828438E-2</v>
      </c>
      <c r="AK387">
        <v>0</v>
      </c>
      <c r="AL387">
        <v>0.12598744176625479</v>
      </c>
      <c r="AM387">
        <v>0</v>
      </c>
      <c r="AN387">
        <v>4.4561474579704278E-3</v>
      </c>
      <c r="AO387">
        <v>0</v>
      </c>
      <c r="AP387">
        <v>0</v>
      </c>
      <c r="AQ387">
        <v>0</v>
      </c>
      <c r="AR387">
        <v>0</v>
      </c>
      <c r="AS387">
        <v>2.0457767875227871E-2</v>
      </c>
      <c r="AT387">
        <v>0</v>
      </c>
      <c r="AU387">
        <v>0</v>
      </c>
      <c r="AV387">
        <v>0</v>
      </c>
      <c r="AW387">
        <v>4.0510431436094792E-3</v>
      </c>
      <c r="AX387">
        <v>4.0510431436094792E-3</v>
      </c>
      <c r="AY387">
        <v>0</v>
      </c>
      <c r="AZ387">
        <v>0</v>
      </c>
      <c r="BA387">
        <v>4.2535953007899535E-3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4.0510431436094792E-3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0.1215312943082844</v>
      </c>
      <c r="CB387">
        <v>0</v>
      </c>
    </row>
    <row r="388" spans="1:80">
      <c r="A388">
        <v>387</v>
      </c>
      <c r="B388" t="s">
        <v>61</v>
      </c>
      <c r="C388" s="4" t="s">
        <v>165</v>
      </c>
      <c r="D388" s="4" t="s">
        <v>117</v>
      </c>
      <c r="E388" s="22">
        <v>40079</v>
      </c>
      <c r="F388" s="22">
        <v>40079</v>
      </c>
      <c r="G388">
        <v>909</v>
      </c>
      <c r="H388" s="4" t="s">
        <v>107</v>
      </c>
      <c r="I388" s="4" t="s">
        <v>109</v>
      </c>
      <c r="J388" s="4" t="str">
        <f t="shared" si="6"/>
        <v>u_con.c_rem</v>
      </c>
      <c r="K388" s="5">
        <v>2</v>
      </c>
      <c r="L388">
        <v>0</v>
      </c>
      <c r="M388">
        <v>0.14056847545219642</v>
      </c>
      <c r="N388">
        <v>3.617571059431525E-2</v>
      </c>
      <c r="O388">
        <v>0</v>
      </c>
      <c r="P388">
        <v>0</v>
      </c>
      <c r="Q388">
        <v>0.19664082687338502</v>
      </c>
      <c r="R388">
        <v>0.15012919896640828</v>
      </c>
      <c r="S388">
        <v>0</v>
      </c>
      <c r="T388">
        <v>2.5839793281653749E-2</v>
      </c>
      <c r="U388">
        <v>5.1679586563307504E-3</v>
      </c>
      <c r="V388">
        <v>0</v>
      </c>
      <c r="W388">
        <v>0</v>
      </c>
      <c r="X388">
        <v>1.0335917312661501E-2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3.2299741602067188E-2</v>
      </c>
      <c r="AF388">
        <v>0</v>
      </c>
      <c r="AG388">
        <v>0</v>
      </c>
      <c r="AH388">
        <v>0</v>
      </c>
      <c r="AI388">
        <v>1.1111111111111113E-2</v>
      </c>
      <c r="AJ388">
        <v>0.16537467700258404</v>
      </c>
      <c r="AK388">
        <v>0</v>
      </c>
      <c r="AL388">
        <v>0</v>
      </c>
      <c r="AM388">
        <v>0</v>
      </c>
      <c r="AN388">
        <v>1.1369509043927651E-2</v>
      </c>
      <c r="AO388">
        <v>0</v>
      </c>
      <c r="AP388">
        <v>0</v>
      </c>
      <c r="AQ388">
        <v>0</v>
      </c>
      <c r="AR388">
        <v>0</v>
      </c>
      <c r="AS388">
        <v>5.16795865633075E-4</v>
      </c>
      <c r="AT388">
        <v>1.8087855297157626E-3</v>
      </c>
      <c r="AU388">
        <v>0</v>
      </c>
      <c r="AV388">
        <v>0</v>
      </c>
      <c r="AW388">
        <v>0</v>
      </c>
      <c r="AX388">
        <v>5.4263565891472876E-3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2.583979328165375E-4</v>
      </c>
      <c r="BZ388">
        <v>5.1679586563307504E-3</v>
      </c>
      <c r="CA388">
        <v>0.20180878552971579</v>
      </c>
      <c r="CB388">
        <v>0</v>
      </c>
    </row>
    <row r="389" spans="1:80">
      <c r="A389">
        <v>388</v>
      </c>
      <c r="B389" s="3" t="s">
        <v>62</v>
      </c>
      <c r="C389" s="4" t="s">
        <v>165</v>
      </c>
      <c r="D389" s="4" t="s">
        <v>117</v>
      </c>
      <c r="E389" s="22">
        <v>40079</v>
      </c>
      <c r="F389" s="22">
        <v>40079</v>
      </c>
      <c r="G389" s="3">
        <v>909</v>
      </c>
      <c r="H389" s="4" t="s">
        <v>107</v>
      </c>
      <c r="I389" s="4" t="s">
        <v>108</v>
      </c>
      <c r="J389" s="4" t="str">
        <f t="shared" si="6"/>
        <v>u_con.c_con</v>
      </c>
      <c r="K389" s="5">
        <v>19</v>
      </c>
      <c r="L389" s="3">
        <v>0</v>
      </c>
      <c r="M389" s="3">
        <v>7.2741392699974122E-2</v>
      </c>
      <c r="N389" s="3">
        <v>3.6241263266891012E-2</v>
      </c>
      <c r="O389" s="3">
        <v>1.0354646647683147E-2</v>
      </c>
      <c r="P389" s="3">
        <v>0</v>
      </c>
      <c r="Q389" s="3">
        <v>0.19673828630597978</v>
      </c>
      <c r="R389" s="3">
        <v>0</v>
      </c>
      <c r="S389" s="3">
        <v>0</v>
      </c>
      <c r="T389" s="3">
        <v>0</v>
      </c>
      <c r="U389" s="3">
        <v>3.1063939943049439E-2</v>
      </c>
      <c r="V389" s="3">
        <v>0</v>
      </c>
      <c r="W389" s="3">
        <v>0</v>
      </c>
      <c r="X389" s="3">
        <v>0</v>
      </c>
      <c r="Y389" s="3">
        <v>9.8369143152989891E-2</v>
      </c>
      <c r="Z389" s="3">
        <v>0</v>
      </c>
      <c r="AA389" s="3">
        <v>0</v>
      </c>
      <c r="AB389" s="3">
        <v>5.1773233238415735E-3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8.2837173181465176E-2</v>
      </c>
      <c r="AI389" s="3">
        <v>0</v>
      </c>
      <c r="AJ389" s="3">
        <v>4.6595909914574157E-2</v>
      </c>
      <c r="AK389" s="3">
        <v>0</v>
      </c>
      <c r="AL389" s="3">
        <v>0.33652601604970217</v>
      </c>
      <c r="AM389" s="3">
        <v>0</v>
      </c>
      <c r="AN389" s="3">
        <v>4.6595909914574157E-2</v>
      </c>
      <c r="AO389" s="3">
        <v>0</v>
      </c>
      <c r="AP389" s="3">
        <v>0</v>
      </c>
      <c r="AQ389" s="3">
        <v>0</v>
      </c>
      <c r="AR389" s="3">
        <v>0</v>
      </c>
      <c r="AS389" s="3">
        <v>5.1773233238415735E-3</v>
      </c>
      <c r="AT389" s="3">
        <v>1.0872378980067305E-2</v>
      </c>
      <c r="AU389" s="3">
        <v>0</v>
      </c>
      <c r="AV389" s="3">
        <v>0</v>
      </c>
      <c r="AW389" s="3">
        <v>0</v>
      </c>
      <c r="AX389" s="3">
        <v>5.1773233238415735E-3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5.1773233238415735E-3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5.1773233238415735E-3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5.1773233238415735E-3</v>
      </c>
      <c r="CA389" s="3">
        <v>0</v>
      </c>
      <c r="CB389" s="3">
        <v>0</v>
      </c>
    </row>
    <row r="390" spans="1:80">
      <c r="A390">
        <v>389</v>
      </c>
      <c r="B390" t="s">
        <v>106</v>
      </c>
      <c r="C390" s="4" t="s">
        <v>166</v>
      </c>
      <c r="D390" s="4" t="s">
        <v>117</v>
      </c>
      <c r="E390" s="22">
        <v>40079</v>
      </c>
      <c r="F390" s="22">
        <v>40079</v>
      </c>
      <c r="G390">
        <v>909</v>
      </c>
      <c r="H390" s="4" t="s">
        <v>110</v>
      </c>
      <c r="I390" s="4" t="s">
        <v>109</v>
      </c>
      <c r="J390" s="4" t="str">
        <f t="shared" si="6"/>
        <v>u_rem.c_rem</v>
      </c>
      <c r="K390" s="5">
        <v>1</v>
      </c>
      <c r="L390">
        <v>0</v>
      </c>
      <c r="M390">
        <v>3.6265621171281549E-2</v>
      </c>
      <c r="N390">
        <v>0.11296250918892432</v>
      </c>
      <c r="O390">
        <v>0</v>
      </c>
      <c r="P390">
        <v>0</v>
      </c>
      <c r="Q390">
        <v>9.8015192354815012E-2</v>
      </c>
      <c r="R390">
        <v>0.11761823082577798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1.0046557216368537E-2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5.3908355795148242E-3</v>
      </c>
      <c r="AF390">
        <v>0</v>
      </c>
      <c r="AG390">
        <v>0</v>
      </c>
      <c r="AH390">
        <v>4.9007596177407502E-3</v>
      </c>
      <c r="AI390">
        <v>0</v>
      </c>
      <c r="AJ390">
        <v>0.15682430776770398</v>
      </c>
      <c r="AK390">
        <v>0</v>
      </c>
      <c r="AL390">
        <v>0</v>
      </c>
      <c r="AM390">
        <v>0</v>
      </c>
      <c r="AN390">
        <v>4.9007596177407496E-4</v>
      </c>
      <c r="AO390">
        <v>0</v>
      </c>
      <c r="AP390">
        <v>0</v>
      </c>
      <c r="AQ390">
        <v>0</v>
      </c>
      <c r="AR390">
        <v>0</v>
      </c>
      <c r="AS390">
        <v>2.4503798088703748E-4</v>
      </c>
      <c r="AT390">
        <v>4.9007596177407496E-4</v>
      </c>
      <c r="AU390">
        <v>0</v>
      </c>
      <c r="AV390">
        <v>0</v>
      </c>
      <c r="AW390">
        <v>0</v>
      </c>
      <c r="AX390">
        <v>2.0583190394511151E-2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0.43616760597892673</v>
      </c>
      <c r="CB390">
        <v>0</v>
      </c>
    </row>
    <row r="391" spans="1:80" s="1" customFormat="1">
      <c r="A391">
        <v>390</v>
      </c>
      <c r="B391" t="s">
        <v>63</v>
      </c>
      <c r="C391" s="4" t="s">
        <v>166</v>
      </c>
      <c r="D391" s="4" t="s">
        <v>117</v>
      </c>
      <c r="E391" s="22">
        <v>40079</v>
      </c>
      <c r="F391" s="22">
        <v>40079</v>
      </c>
      <c r="G391">
        <v>909</v>
      </c>
      <c r="H391" s="4" t="s">
        <v>110</v>
      </c>
      <c r="I391" s="4" t="s">
        <v>108</v>
      </c>
      <c r="J391" s="4" t="str">
        <f t="shared" si="6"/>
        <v>u_rem.c_con</v>
      </c>
      <c r="K391" s="5">
        <v>8</v>
      </c>
      <c r="L391">
        <v>2.2163120567375889E-4</v>
      </c>
      <c r="M391">
        <v>8.0895390070921974E-2</v>
      </c>
      <c r="N391">
        <v>0.22185283687943258</v>
      </c>
      <c r="O391">
        <v>0</v>
      </c>
      <c r="P391">
        <v>0</v>
      </c>
      <c r="Q391">
        <v>2.6817375886524823E-2</v>
      </c>
      <c r="R391">
        <v>8.4663120567375891E-2</v>
      </c>
      <c r="S391">
        <v>0</v>
      </c>
      <c r="T391">
        <v>2.2606382978723406E-2</v>
      </c>
      <c r="U391">
        <v>0</v>
      </c>
      <c r="V391">
        <v>0</v>
      </c>
      <c r="W391">
        <v>0</v>
      </c>
      <c r="X391">
        <v>8.8652482269503555E-4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3.5904255319148939E-2</v>
      </c>
      <c r="AE391">
        <v>3.125E-2</v>
      </c>
      <c r="AF391">
        <v>0</v>
      </c>
      <c r="AG391">
        <v>0</v>
      </c>
      <c r="AH391">
        <v>4.4326241134751776E-3</v>
      </c>
      <c r="AI391">
        <v>0</v>
      </c>
      <c r="AJ391">
        <v>0.16843971631205676</v>
      </c>
      <c r="AK391">
        <v>0</v>
      </c>
      <c r="AL391">
        <v>4.4326241134751776E-3</v>
      </c>
      <c r="AM391">
        <v>0</v>
      </c>
      <c r="AN391">
        <v>2.2163120567375889E-4</v>
      </c>
      <c r="AO391">
        <v>0</v>
      </c>
      <c r="AP391">
        <v>0</v>
      </c>
      <c r="AQ391">
        <v>0</v>
      </c>
      <c r="AR391">
        <v>0</v>
      </c>
      <c r="AS391">
        <v>1.440602836879433E-2</v>
      </c>
      <c r="AT391">
        <v>9.751773049645392E-3</v>
      </c>
      <c r="AU391">
        <v>0</v>
      </c>
      <c r="AV391">
        <v>0</v>
      </c>
      <c r="AW391">
        <v>2.2163120567375889E-4</v>
      </c>
      <c r="AX391">
        <v>4.6542553191489368E-3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4.4326241134751776E-3</v>
      </c>
      <c r="BP391">
        <v>0</v>
      </c>
      <c r="BQ391">
        <v>2.2163120567375889E-4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0.28368794326241131</v>
      </c>
      <c r="CB391">
        <v>0</v>
      </c>
    </row>
    <row r="392" spans="1:80">
      <c r="A392">
        <v>391</v>
      </c>
      <c r="B392" t="s">
        <v>64</v>
      </c>
      <c r="C392" s="4" t="s">
        <v>166</v>
      </c>
      <c r="D392" s="4" t="s">
        <v>117</v>
      </c>
      <c r="E392" s="22">
        <v>40079</v>
      </c>
      <c r="F392" s="22">
        <v>40079</v>
      </c>
      <c r="G392">
        <v>909</v>
      </c>
      <c r="H392" s="4" t="s">
        <v>110</v>
      </c>
      <c r="I392" s="4" t="s">
        <v>109</v>
      </c>
      <c r="J392" s="4" t="str">
        <f t="shared" si="6"/>
        <v>u_rem.c_rem</v>
      </c>
      <c r="K392" s="5">
        <v>1</v>
      </c>
      <c r="L392">
        <v>0</v>
      </c>
      <c r="M392">
        <v>3.8666357953229917E-2</v>
      </c>
      <c r="N392">
        <v>0.26858068997453105</v>
      </c>
      <c r="O392">
        <v>0</v>
      </c>
      <c r="P392">
        <v>0</v>
      </c>
      <c r="Q392">
        <v>0.10673767075711972</v>
      </c>
      <c r="R392">
        <v>0.1852280620514008</v>
      </c>
      <c r="S392">
        <v>0</v>
      </c>
      <c r="T392">
        <v>0</v>
      </c>
      <c r="U392">
        <v>0</v>
      </c>
      <c r="V392">
        <v>4.63070155128502E-4</v>
      </c>
      <c r="W392">
        <v>0</v>
      </c>
      <c r="X392">
        <v>2.31535077564251E-4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5.3253067839777735E-3</v>
      </c>
      <c r="AF392">
        <v>0</v>
      </c>
      <c r="AG392">
        <v>0</v>
      </c>
      <c r="AH392">
        <v>0</v>
      </c>
      <c r="AI392">
        <v>0</v>
      </c>
      <c r="AJ392">
        <v>7.8953461449409609E-2</v>
      </c>
      <c r="AK392">
        <v>0</v>
      </c>
      <c r="AL392">
        <v>0</v>
      </c>
      <c r="AM392">
        <v>0</v>
      </c>
      <c r="AN392">
        <v>5.3253067839777735E-3</v>
      </c>
      <c r="AO392">
        <v>0</v>
      </c>
      <c r="AP392">
        <v>0</v>
      </c>
      <c r="AQ392">
        <v>0</v>
      </c>
      <c r="AR392">
        <v>0</v>
      </c>
      <c r="AS392">
        <v>2.31535077564251E-4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4.6307015512850203E-3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0.30562630238481125</v>
      </c>
      <c r="CB392">
        <v>0</v>
      </c>
    </row>
    <row r="393" spans="1:80">
      <c r="A393">
        <v>392</v>
      </c>
      <c r="B393" t="s">
        <v>65</v>
      </c>
      <c r="C393" s="4" t="s">
        <v>166</v>
      </c>
      <c r="D393" s="4" t="s">
        <v>117</v>
      </c>
      <c r="E393" s="22">
        <v>40079</v>
      </c>
      <c r="F393" s="22">
        <v>40079</v>
      </c>
      <c r="G393">
        <v>909</v>
      </c>
      <c r="H393" s="4" t="s">
        <v>110</v>
      </c>
      <c r="I393" s="4" t="s">
        <v>108</v>
      </c>
      <c r="J393" s="4" t="str">
        <f t="shared" si="6"/>
        <v>u_rem.c_con</v>
      </c>
      <c r="K393" s="5">
        <v>8</v>
      </c>
      <c r="L393">
        <v>9.4361334867663991E-3</v>
      </c>
      <c r="M393">
        <v>6.58227848101266E-2</v>
      </c>
      <c r="N393">
        <v>0.10609896432681247</v>
      </c>
      <c r="O393">
        <v>0</v>
      </c>
      <c r="P393">
        <v>0</v>
      </c>
      <c r="Q393">
        <v>0.12888377445339474</v>
      </c>
      <c r="R393">
        <v>9.689298043728424E-2</v>
      </c>
      <c r="S393">
        <v>0</v>
      </c>
      <c r="T393">
        <v>2.7848101265822787E-2</v>
      </c>
      <c r="U393">
        <v>0</v>
      </c>
      <c r="V393">
        <v>0</v>
      </c>
      <c r="W393">
        <v>0</v>
      </c>
      <c r="X393">
        <v>4.6029919447640975E-3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9.4361334867663991E-3</v>
      </c>
      <c r="AE393">
        <v>3.3601841196777907E-2</v>
      </c>
      <c r="AF393">
        <v>0</v>
      </c>
      <c r="AG393">
        <v>0</v>
      </c>
      <c r="AH393">
        <v>0</v>
      </c>
      <c r="AI393">
        <v>0</v>
      </c>
      <c r="AJ393">
        <v>0.20253164556962025</v>
      </c>
      <c r="AK393">
        <v>0</v>
      </c>
      <c r="AL393">
        <v>3.6823935558112773E-2</v>
      </c>
      <c r="AM393">
        <v>0</v>
      </c>
      <c r="AN393">
        <v>1.472957422324511E-2</v>
      </c>
      <c r="AO393">
        <v>0</v>
      </c>
      <c r="AP393">
        <v>0</v>
      </c>
      <c r="AQ393">
        <v>0</v>
      </c>
      <c r="AR393">
        <v>0</v>
      </c>
      <c r="AS393">
        <v>2.3014959723820485E-4</v>
      </c>
      <c r="AT393">
        <v>2.3475258918296896E-2</v>
      </c>
      <c r="AU393">
        <v>0</v>
      </c>
      <c r="AV393">
        <v>0</v>
      </c>
      <c r="AW393">
        <v>0</v>
      </c>
      <c r="AX393">
        <v>9.2059838895281951E-3</v>
      </c>
      <c r="AY393">
        <v>1.3808975834292291E-2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2.3014959723820485E-4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0.21634062140391253</v>
      </c>
      <c r="CB393">
        <v>0</v>
      </c>
    </row>
    <row r="394" spans="1:80">
      <c r="A394">
        <v>393</v>
      </c>
      <c r="B394" t="s">
        <v>66</v>
      </c>
      <c r="C394" s="4" t="s">
        <v>167</v>
      </c>
      <c r="D394" s="4" t="s">
        <v>117</v>
      </c>
      <c r="E394" s="22">
        <v>40079</v>
      </c>
      <c r="F394" s="22">
        <v>40079</v>
      </c>
      <c r="G394">
        <v>909</v>
      </c>
      <c r="H394" s="4" t="s">
        <v>107</v>
      </c>
      <c r="I394" s="4" t="s">
        <v>108</v>
      </c>
      <c r="J394" s="4" t="str">
        <f t="shared" si="6"/>
        <v>u_con.c_con</v>
      </c>
      <c r="K394" s="5">
        <v>19</v>
      </c>
      <c r="L394">
        <v>4.2936882782309994E-3</v>
      </c>
      <c r="M394">
        <v>0.39501932159725189</v>
      </c>
      <c r="N394">
        <v>0.2318591670244739</v>
      </c>
      <c r="O394">
        <v>0</v>
      </c>
      <c r="P394">
        <v>0</v>
      </c>
      <c r="Q394">
        <v>0.11163589523400602</v>
      </c>
      <c r="R394">
        <v>4.2936882782309994E-3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1.352511807642765E-2</v>
      </c>
      <c r="AF394">
        <v>0</v>
      </c>
      <c r="AG394">
        <v>0</v>
      </c>
      <c r="AH394">
        <v>9.2314297981966487E-3</v>
      </c>
      <c r="AI394">
        <v>2.1683125805066546E-2</v>
      </c>
      <c r="AJ394">
        <v>1.7389437526835548E-2</v>
      </c>
      <c r="AK394">
        <v>0</v>
      </c>
      <c r="AL394">
        <v>3.9072563331902087E-2</v>
      </c>
      <c r="AM394">
        <v>0</v>
      </c>
      <c r="AN394">
        <v>1.309574924860455E-2</v>
      </c>
      <c r="AO394">
        <v>0</v>
      </c>
      <c r="AP394">
        <v>0</v>
      </c>
      <c r="AQ394">
        <v>0</v>
      </c>
      <c r="AR394">
        <v>0</v>
      </c>
      <c r="AS394">
        <v>8.8020609703735493E-3</v>
      </c>
      <c r="AT394">
        <v>4.2936882782309996E-4</v>
      </c>
      <c r="AU394">
        <v>0</v>
      </c>
      <c r="AV394">
        <v>0</v>
      </c>
      <c r="AW394">
        <v>0</v>
      </c>
      <c r="AX394">
        <v>4.5083726921425499E-3</v>
      </c>
      <c r="AY394">
        <v>0</v>
      </c>
      <c r="AZ394">
        <v>4.2936882782309994E-3</v>
      </c>
      <c r="BA394">
        <v>0</v>
      </c>
      <c r="BB394">
        <v>0</v>
      </c>
      <c r="BC394">
        <v>0</v>
      </c>
      <c r="BD394">
        <v>0</v>
      </c>
      <c r="BE394">
        <v>4.5083726921425499E-3</v>
      </c>
      <c r="BF394">
        <v>4.7230571060540997E-3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0.11163589523400602</v>
      </c>
      <c r="CB394">
        <v>0</v>
      </c>
    </row>
    <row r="395" spans="1:80">
      <c r="A395">
        <v>394</v>
      </c>
      <c r="B395" t="s">
        <v>67</v>
      </c>
      <c r="C395" s="4" t="s">
        <v>167</v>
      </c>
      <c r="D395" s="4" t="s">
        <v>117</v>
      </c>
      <c r="E395" s="22">
        <v>40079</v>
      </c>
      <c r="F395" s="22">
        <v>40079</v>
      </c>
      <c r="G395">
        <v>909</v>
      </c>
      <c r="H395" s="4" t="s">
        <v>107</v>
      </c>
      <c r="I395" s="4" t="s">
        <v>109</v>
      </c>
      <c r="J395" s="4" t="str">
        <f t="shared" si="6"/>
        <v>u_con.c_rem</v>
      </c>
      <c r="K395" s="5">
        <v>2</v>
      </c>
      <c r="L395" s="1">
        <v>0</v>
      </c>
      <c r="M395" s="1">
        <v>0.14459161147902871</v>
      </c>
      <c r="N395" s="1">
        <v>0.60154525386313462</v>
      </c>
      <c r="O395" s="1">
        <v>5.5187637969094927E-3</v>
      </c>
      <c r="P395" s="1">
        <v>0</v>
      </c>
      <c r="Q395" s="1">
        <v>0.11037527593818987</v>
      </c>
      <c r="R395" s="1">
        <v>0</v>
      </c>
      <c r="S395" s="1">
        <v>0</v>
      </c>
      <c r="T395" s="1">
        <v>0</v>
      </c>
      <c r="U395" s="1">
        <v>5.5187637969094927E-3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1.1037527593818985E-2</v>
      </c>
      <c r="AG395" s="1">
        <v>0</v>
      </c>
      <c r="AH395" s="1">
        <v>2.2075055187637971E-2</v>
      </c>
      <c r="AI395" s="1">
        <v>0</v>
      </c>
      <c r="AJ395" s="1">
        <v>4.4150110375275942E-2</v>
      </c>
      <c r="AK395" s="1">
        <v>0</v>
      </c>
      <c r="AL395" s="1">
        <v>0</v>
      </c>
      <c r="AM395" s="1">
        <v>0</v>
      </c>
      <c r="AN395" s="1">
        <v>1.6556291390728478E-2</v>
      </c>
      <c r="AO395" s="1">
        <v>0</v>
      </c>
      <c r="AP395" s="1">
        <v>0</v>
      </c>
      <c r="AQ395" s="1">
        <v>1.1037527593818985E-2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2.2075055187637971E-2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5.5187637969094927E-3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</row>
    <row r="396" spans="1:80">
      <c r="A396">
        <v>395</v>
      </c>
      <c r="B396" t="s">
        <v>68</v>
      </c>
      <c r="C396" s="4" t="s">
        <v>167</v>
      </c>
      <c r="D396" s="4" t="s">
        <v>117</v>
      </c>
      <c r="E396" s="22">
        <v>40079</v>
      </c>
      <c r="F396" s="22">
        <v>40079</v>
      </c>
      <c r="G396">
        <v>909</v>
      </c>
      <c r="H396" s="4" t="s">
        <v>107</v>
      </c>
      <c r="I396" s="4" t="s">
        <v>108</v>
      </c>
      <c r="J396" s="4" t="str">
        <f t="shared" si="6"/>
        <v>u_con.c_con</v>
      </c>
      <c r="K396" s="5">
        <v>19</v>
      </c>
      <c r="L396" s="1">
        <v>0</v>
      </c>
      <c r="M396" s="1">
        <v>0.14224004936747919</v>
      </c>
      <c r="N396" s="1">
        <v>2.4683739586547366E-2</v>
      </c>
      <c r="O396" s="1">
        <v>2.4683739586547366E-2</v>
      </c>
      <c r="P396" s="1">
        <v>0</v>
      </c>
      <c r="Q396" s="1">
        <v>0.41962357297130515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8.6393088552915789E-2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2.4683739586547366E-2</v>
      </c>
      <c r="AG396" s="1">
        <v>0</v>
      </c>
      <c r="AH396" s="1">
        <v>0</v>
      </c>
      <c r="AI396" s="1">
        <v>4.3196544276457888E-2</v>
      </c>
      <c r="AJ396" s="1">
        <v>0.12958963282937369</v>
      </c>
      <c r="AK396" s="1">
        <v>0</v>
      </c>
      <c r="AL396" s="1">
        <v>2.4683739586547366E-2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1.8512804689910525E-2</v>
      </c>
      <c r="AT396" s="1">
        <v>0</v>
      </c>
      <c r="AU396" s="1">
        <v>0</v>
      </c>
      <c r="AV396" s="1">
        <v>0</v>
      </c>
      <c r="AW396" s="1">
        <v>0</v>
      </c>
      <c r="AX396" s="1">
        <v>1.2341869793273683E-2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3.0854674483184207E-2</v>
      </c>
      <c r="BF396" s="1">
        <v>6.1709348966368415E-3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6.1709348966368415E-3</v>
      </c>
      <c r="BN396" s="1">
        <v>0</v>
      </c>
      <c r="BO396" s="1">
        <v>0</v>
      </c>
      <c r="BP396" s="1">
        <v>0</v>
      </c>
      <c r="BQ396" s="1">
        <v>6.1709348966368415E-3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</row>
    <row r="397" spans="1:80">
      <c r="A397">
        <v>396</v>
      </c>
      <c r="B397" s="2" t="s">
        <v>69</v>
      </c>
      <c r="C397" s="4" t="s">
        <v>167</v>
      </c>
      <c r="D397" s="4" t="s">
        <v>117</v>
      </c>
      <c r="E397" s="22">
        <v>40079</v>
      </c>
      <c r="F397" s="22">
        <v>40079</v>
      </c>
      <c r="G397">
        <v>909</v>
      </c>
      <c r="H397" s="4" t="s">
        <v>107</v>
      </c>
      <c r="I397" s="4" t="s">
        <v>109</v>
      </c>
      <c r="J397" s="4" t="str">
        <f t="shared" si="6"/>
        <v>u_con.c_rem</v>
      </c>
      <c r="K397" s="5">
        <v>2</v>
      </c>
      <c r="L397" s="1">
        <v>4.5121263395375068E-2</v>
      </c>
      <c r="M397" s="1">
        <v>7.8962210941906391E-2</v>
      </c>
      <c r="N397" s="1">
        <v>6.7681895093062619E-2</v>
      </c>
      <c r="O397" s="1">
        <v>3.9481105470953182E-2</v>
      </c>
      <c r="P397" s="1">
        <v>0</v>
      </c>
      <c r="Q397" s="1">
        <v>0.13536379018612521</v>
      </c>
      <c r="R397" s="1">
        <v>5.6401579244218843E-3</v>
      </c>
      <c r="S397" s="1">
        <v>0</v>
      </c>
      <c r="T397" s="1">
        <v>0</v>
      </c>
      <c r="U397" s="1">
        <v>2.8764805414551606E-2</v>
      </c>
      <c r="V397" s="1">
        <v>5.6401579244218843E-3</v>
      </c>
      <c r="W397" s="1">
        <v>0</v>
      </c>
      <c r="X397" s="1">
        <v>0</v>
      </c>
      <c r="Y397" s="1">
        <v>5.6401579244218833E-2</v>
      </c>
      <c r="Z397" s="1">
        <v>0</v>
      </c>
      <c r="AA397" s="1">
        <v>0</v>
      </c>
      <c r="AB397" s="1">
        <v>0</v>
      </c>
      <c r="AC397" s="1">
        <v>5.6401579244218843E-3</v>
      </c>
      <c r="AD397" s="1">
        <v>0</v>
      </c>
      <c r="AE397" s="1">
        <v>5.6401579244218843E-3</v>
      </c>
      <c r="AF397" s="1">
        <v>3.3840947546531303E-2</v>
      </c>
      <c r="AG397" s="1">
        <v>0</v>
      </c>
      <c r="AH397" s="1">
        <v>0</v>
      </c>
      <c r="AI397" s="1">
        <v>5.6401579244218843E-3</v>
      </c>
      <c r="AJ397" s="1">
        <v>0.31020868584320355</v>
      </c>
      <c r="AK397" s="1">
        <v>0</v>
      </c>
      <c r="AL397" s="1">
        <v>8.460236886632827E-2</v>
      </c>
      <c r="AM397" s="1">
        <v>0</v>
      </c>
      <c r="AN397" s="1">
        <v>6.2041737168640728E-3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1.1562323745064862E-2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5.6401579244218843E-3</v>
      </c>
      <c r="BF397" s="1">
        <v>1.1562323745064862E-2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5.6401579244218843E-3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5.0761421319796947E-2</v>
      </c>
      <c r="CB397" s="1">
        <v>0</v>
      </c>
    </row>
    <row r="398" spans="1:80">
      <c r="A398">
        <v>397</v>
      </c>
      <c r="B398" t="s">
        <v>71</v>
      </c>
      <c r="C398" s="4" t="s">
        <v>168</v>
      </c>
      <c r="D398" s="4" t="s">
        <v>117</v>
      </c>
      <c r="E398" s="22">
        <v>40079</v>
      </c>
      <c r="F398" s="22">
        <v>40079</v>
      </c>
      <c r="G398">
        <v>909</v>
      </c>
      <c r="H398" s="4" t="s">
        <v>110</v>
      </c>
      <c r="I398" s="4" t="s">
        <v>108</v>
      </c>
      <c r="J398" s="4" t="str">
        <f t="shared" si="6"/>
        <v>u_rem.c_con</v>
      </c>
      <c r="K398" s="5">
        <v>8</v>
      </c>
      <c r="L398">
        <v>2.0449897750511248E-4</v>
      </c>
      <c r="M398">
        <v>0.1768916155419222</v>
      </c>
      <c r="N398">
        <v>0.17607361963190182</v>
      </c>
      <c r="O398">
        <v>4.0899795501022499E-3</v>
      </c>
      <c r="P398">
        <v>0</v>
      </c>
      <c r="Q398">
        <v>7.7709611451942745E-2</v>
      </c>
      <c r="R398">
        <v>7.7709611451942745E-2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4.4989775051124748E-3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3.2719836400817992E-2</v>
      </c>
      <c r="AM398">
        <v>0</v>
      </c>
      <c r="AN398">
        <v>0</v>
      </c>
      <c r="AO398">
        <v>0</v>
      </c>
      <c r="AP398">
        <v>0</v>
      </c>
      <c r="AQ398">
        <v>2.0449897750511248E-4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0.32719836400817998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0.12269938650306753</v>
      </c>
      <c r="CB398">
        <v>0</v>
      </c>
    </row>
    <row r="399" spans="1:80">
      <c r="A399">
        <v>398</v>
      </c>
      <c r="B399" t="s">
        <v>70</v>
      </c>
      <c r="C399" s="4" t="s">
        <v>168</v>
      </c>
      <c r="D399" s="4" t="s">
        <v>117</v>
      </c>
      <c r="E399" s="22">
        <v>40079</v>
      </c>
      <c r="F399" s="22">
        <v>40079</v>
      </c>
      <c r="G399">
        <v>909</v>
      </c>
      <c r="H399" s="4" t="s">
        <v>110</v>
      </c>
      <c r="I399" s="4" t="s">
        <v>109</v>
      </c>
      <c r="J399" s="4" t="str">
        <f t="shared" si="6"/>
        <v>u_rem.c_rem</v>
      </c>
      <c r="K399" s="5">
        <v>1</v>
      </c>
      <c r="L399">
        <v>0</v>
      </c>
      <c r="M399">
        <v>2.4180655475619504E-2</v>
      </c>
      <c r="N399">
        <v>5.5955235811350923E-2</v>
      </c>
      <c r="O399">
        <v>0</v>
      </c>
      <c r="P399">
        <v>0</v>
      </c>
      <c r="Q399">
        <v>3.6370903277378096E-2</v>
      </c>
      <c r="R399">
        <v>0.12010391686650679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0.6235011990407674</v>
      </c>
      <c r="BB399">
        <v>0</v>
      </c>
      <c r="BC399">
        <v>0</v>
      </c>
      <c r="BD399">
        <v>0</v>
      </c>
      <c r="BE399">
        <v>3.9968025579536371E-3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0.13589128697042366</v>
      </c>
      <c r="CB399">
        <v>0</v>
      </c>
    </row>
    <row r="400" spans="1:80">
      <c r="A400">
        <v>399</v>
      </c>
      <c r="B400" t="s">
        <v>72</v>
      </c>
      <c r="C400" s="4" t="s">
        <v>168</v>
      </c>
      <c r="D400" s="4" t="s">
        <v>117</v>
      </c>
      <c r="E400" s="22">
        <v>40079</v>
      </c>
      <c r="F400" s="22">
        <v>40079</v>
      </c>
      <c r="G400">
        <v>909</v>
      </c>
      <c r="H400" s="4" t="s">
        <v>110</v>
      </c>
      <c r="I400" s="4" t="s">
        <v>108</v>
      </c>
      <c r="J400" s="4" t="str">
        <f t="shared" si="6"/>
        <v>u_rem.c_con</v>
      </c>
      <c r="K400" s="5">
        <v>8</v>
      </c>
      <c r="L400">
        <v>0</v>
      </c>
      <c r="M400">
        <v>0.10887169335972648</v>
      </c>
      <c r="N400">
        <v>0.16195789094835342</v>
      </c>
      <c r="O400">
        <v>0</v>
      </c>
      <c r="P400">
        <v>0</v>
      </c>
      <c r="Q400">
        <v>7.5760302321396467E-2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1.7995321216483718E-2</v>
      </c>
      <c r="AF400">
        <v>0</v>
      </c>
      <c r="AG400">
        <v>0</v>
      </c>
      <c r="AH400">
        <v>0</v>
      </c>
      <c r="AI400">
        <v>7.5580349109231615E-3</v>
      </c>
      <c r="AJ400">
        <v>0</v>
      </c>
      <c r="AK400">
        <v>0</v>
      </c>
      <c r="AL400">
        <v>0</v>
      </c>
      <c r="AM400">
        <v>0</v>
      </c>
      <c r="AN400">
        <v>1.1876912002879256E-2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1.7995321216483716E-4</v>
      </c>
      <c r="AU400">
        <v>0</v>
      </c>
      <c r="AV400">
        <v>0</v>
      </c>
      <c r="AW400">
        <v>0</v>
      </c>
      <c r="AX400">
        <v>3.5990642432967433E-3</v>
      </c>
      <c r="AY400">
        <v>0</v>
      </c>
      <c r="AZ400">
        <v>0</v>
      </c>
      <c r="BA400">
        <v>0.34928918481194893</v>
      </c>
      <c r="BB400">
        <v>0</v>
      </c>
      <c r="BC400">
        <v>0</v>
      </c>
      <c r="BD400">
        <v>0</v>
      </c>
      <c r="BE400">
        <v>1.7995321216483716E-4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3.5990642432967433E-3</v>
      </c>
      <c r="BP400">
        <v>0</v>
      </c>
      <c r="BQ400">
        <v>7.1981284865934867E-3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0.25193449703077198</v>
      </c>
      <c r="CB400">
        <v>0</v>
      </c>
    </row>
    <row r="401" spans="1:80">
      <c r="A401">
        <v>400</v>
      </c>
      <c r="B401" t="s">
        <v>73</v>
      </c>
      <c r="C401" s="4" t="s">
        <v>168</v>
      </c>
      <c r="D401" s="4" t="s">
        <v>117</v>
      </c>
      <c r="E401" s="22">
        <v>40079</v>
      </c>
      <c r="F401" s="22">
        <v>40079</v>
      </c>
      <c r="G401">
        <v>909</v>
      </c>
      <c r="H401" s="4" t="s">
        <v>110</v>
      </c>
      <c r="I401" s="4" t="s">
        <v>109</v>
      </c>
      <c r="J401" s="4" t="str">
        <f t="shared" si="6"/>
        <v>u_rem.c_rem</v>
      </c>
      <c r="K401" s="5">
        <v>1</v>
      </c>
      <c r="L401">
        <v>8.1112398609501733E-3</v>
      </c>
      <c r="M401">
        <v>0.19003476245654685</v>
      </c>
      <c r="N401">
        <v>0.15874855156431053</v>
      </c>
      <c r="O401">
        <v>0</v>
      </c>
      <c r="P401">
        <v>0</v>
      </c>
      <c r="Q401">
        <v>7.7443028196214736E-2</v>
      </c>
      <c r="R401">
        <v>0.13904982618771725</v>
      </c>
      <c r="S401">
        <v>1.9312475859405173E-4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1.9312475859405173E-4</v>
      </c>
      <c r="AF401">
        <v>0</v>
      </c>
      <c r="AG401">
        <v>0</v>
      </c>
      <c r="AH401">
        <v>0</v>
      </c>
      <c r="AI401">
        <v>4.2487446890691382E-3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3.8624951718810347E-3</v>
      </c>
      <c r="BA401">
        <v>0.26284279644650432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1.9312475859405173E-4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0.15507918115102354</v>
      </c>
      <c r="CB401">
        <v>0</v>
      </c>
    </row>
    <row r="402" spans="1:80" s="1" customFormat="1">
      <c r="A402">
        <v>401</v>
      </c>
      <c r="B402" t="s">
        <v>74</v>
      </c>
      <c r="C402" s="4" t="s">
        <v>169</v>
      </c>
      <c r="D402" s="4" t="s">
        <v>117</v>
      </c>
      <c r="E402" s="22">
        <v>40079</v>
      </c>
      <c r="F402" s="22">
        <v>40079</v>
      </c>
      <c r="G402">
        <v>909</v>
      </c>
      <c r="H402" s="4" t="s">
        <v>110</v>
      </c>
      <c r="I402" s="4" t="s">
        <v>108</v>
      </c>
      <c r="J402" s="4" t="str">
        <f t="shared" si="6"/>
        <v>u_rem.c_con</v>
      </c>
      <c r="K402" s="5">
        <v>8</v>
      </c>
      <c r="L402">
        <v>2.2660321776569222E-4</v>
      </c>
      <c r="M402">
        <v>0.2948107863131656</v>
      </c>
      <c r="N402">
        <v>0.32630863358259676</v>
      </c>
      <c r="O402">
        <v>0</v>
      </c>
      <c r="P402">
        <v>0</v>
      </c>
      <c r="Q402">
        <v>5.0079311126217968E-2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6.7980965329707667E-4</v>
      </c>
      <c r="AD402">
        <v>0</v>
      </c>
      <c r="AE402">
        <v>1.812825742125538E-2</v>
      </c>
      <c r="AF402">
        <v>0</v>
      </c>
      <c r="AG402">
        <v>0</v>
      </c>
      <c r="AH402">
        <v>0</v>
      </c>
      <c r="AI402">
        <v>4.0788579197824595E-2</v>
      </c>
      <c r="AJ402">
        <v>1.3596193065941535E-2</v>
      </c>
      <c r="AK402">
        <v>0</v>
      </c>
      <c r="AL402">
        <v>2.2660321776569222E-4</v>
      </c>
      <c r="AM402">
        <v>0</v>
      </c>
      <c r="AN402">
        <v>2.3566734647631992E-2</v>
      </c>
      <c r="AO402">
        <v>0</v>
      </c>
      <c r="AP402">
        <v>0</v>
      </c>
      <c r="AQ402">
        <v>0</v>
      </c>
      <c r="AR402">
        <v>0</v>
      </c>
      <c r="AS402">
        <v>9.0641287106276898E-3</v>
      </c>
      <c r="AT402">
        <v>0</v>
      </c>
      <c r="AU402">
        <v>0</v>
      </c>
      <c r="AV402">
        <v>0</v>
      </c>
      <c r="AW402">
        <v>0</v>
      </c>
      <c r="AX402">
        <v>4.7586675730795372E-3</v>
      </c>
      <c r="AY402">
        <v>0</v>
      </c>
      <c r="AZ402">
        <v>0</v>
      </c>
      <c r="BA402">
        <v>4.5320643553138449E-3</v>
      </c>
      <c r="BB402">
        <v>0</v>
      </c>
      <c r="BC402">
        <v>0</v>
      </c>
      <c r="BD402">
        <v>0</v>
      </c>
      <c r="BE402">
        <v>2.2660321776569222E-4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4.5320643553138449E-3</v>
      </c>
      <c r="BY402">
        <v>0</v>
      </c>
      <c r="BZ402">
        <v>0</v>
      </c>
      <c r="CA402">
        <v>0.20847496034443683</v>
      </c>
      <c r="CB402">
        <v>0</v>
      </c>
    </row>
    <row r="403" spans="1:80" s="1" customFormat="1">
      <c r="A403">
        <v>402</v>
      </c>
      <c r="B403" t="s">
        <v>75</v>
      </c>
      <c r="C403" s="4" t="s">
        <v>169</v>
      </c>
      <c r="D403" s="4" t="s">
        <v>117</v>
      </c>
      <c r="E403" s="22">
        <v>40079</v>
      </c>
      <c r="F403" s="22">
        <v>40079</v>
      </c>
      <c r="G403">
        <v>909</v>
      </c>
      <c r="H403" s="4" t="s">
        <v>110</v>
      </c>
      <c r="I403" s="4" t="s">
        <v>108</v>
      </c>
      <c r="J403" s="4" t="str">
        <f t="shared" si="6"/>
        <v>u_rem.c_con</v>
      </c>
      <c r="K403" s="5">
        <v>8</v>
      </c>
      <c r="L403">
        <v>0</v>
      </c>
      <c r="M403">
        <v>0.20047255543438749</v>
      </c>
      <c r="N403">
        <v>0.17466375863322425</v>
      </c>
      <c r="O403">
        <v>0</v>
      </c>
      <c r="P403">
        <v>0</v>
      </c>
      <c r="Q403">
        <v>6.5794256633951304E-2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1.1632133769538353E-2</v>
      </c>
      <c r="AF403">
        <v>0</v>
      </c>
      <c r="AG403">
        <v>0</v>
      </c>
      <c r="AH403">
        <v>0</v>
      </c>
      <c r="AI403">
        <v>2.6172300981461286E-2</v>
      </c>
      <c r="AJ403">
        <v>0</v>
      </c>
      <c r="AK403">
        <v>0</v>
      </c>
      <c r="AL403">
        <v>4.7437295528898589E-2</v>
      </c>
      <c r="AM403">
        <v>0</v>
      </c>
      <c r="AN403">
        <v>2.5808796801163214E-2</v>
      </c>
      <c r="AO403">
        <v>0</v>
      </c>
      <c r="AP403">
        <v>0</v>
      </c>
      <c r="AQ403">
        <v>7.2700836059614695E-3</v>
      </c>
      <c r="AR403">
        <v>0</v>
      </c>
      <c r="AS403">
        <v>4.1802980734278452E-3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0.35623409669211209</v>
      </c>
      <c r="BB403">
        <v>0</v>
      </c>
      <c r="BC403">
        <v>0</v>
      </c>
      <c r="BD403">
        <v>0</v>
      </c>
      <c r="BE403">
        <v>0</v>
      </c>
      <c r="BF403">
        <v>3.6350418029807347E-3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3.8167938931297717E-3</v>
      </c>
      <c r="BO403">
        <v>3.6350418029807347E-3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6.9247546346783012E-2</v>
      </c>
      <c r="CB403">
        <v>0</v>
      </c>
    </row>
    <row r="404" spans="1:80">
      <c r="A404">
        <v>403</v>
      </c>
      <c r="B404" t="s">
        <v>76</v>
      </c>
      <c r="C404" s="4" t="s">
        <v>169</v>
      </c>
      <c r="D404" s="4" t="s">
        <v>117</v>
      </c>
      <c r="E404" s="22">
        <v>40079</v>
      </c>
      <c r="F404" s="22">
        <v>40079</v>
      </c>
      <c r="G404">
        <v>909</v>
      </c>
      <c r="H404" s="4" t="s">
        <v>110</v>
      </c>
      <c r="I404" s="4" t="s">
        <v>109</v>
      </c>
      <c r="J404" s="4" t="str">
        <f t="shared" si="6"/>
        <v>u_rem.c_rem</v>
      </c>
      <c r="K404" s="5">
        <v>1</v>
      </c>
      <c r="L404">
        <v>2.2169093675287983E-2</v>
      </c>
      <c r="M404">
        <v>0.53901325798739397</v>
      </c>
      <c r="N404">
        <v>0.14366442077809172</v>
      </c>
      <c r="O404">
        <v>4.7815692240817213E-2</v>
      </c>
      <c r="P404">
        <v>0</v>
      </c>
      <c r="Q404">
        <v>0.10432514670723758</v>
      </c>
      <c r="R404">
        <v>4.3686155183655727E-2</v>
      </c>
      <c r="S404">
        <v>2.1734405564007825E-4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1.3910019560965008E-2</v>
      </c>
      <c r="AF404">
        <v>0</v>
      </c>
      <c r="AG404">
        <v>0</v>
      </c>
      <c r="AH404">
        <v>0</v>
      </c>
      <c r="AI404">
        <v>4.3468811128015653E-3</v>
      </c>
      <c r="AJ404">
        <v>0</v>
      </c>
      <c r="AK404">
        <v>4.5642251684416433E-3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6.5855248858943713E-2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1.0432514670723756E-2</v>
      </c>
      <c r="CB404">
        <v>0</v>
      </c>
    </row>
    <row r="405" spans="1:80">
      <c r="A405">
        <v>404</v>
      </c>
      <c r="B405" t="s">
        <v>77</v>
      </c>
      <c r="C405" s="4" t="s">
        <v>169</v>
      </c>
      <c r="D405" s="4" t="s">
        <v>117</v>
      </c>
      <c r="E405" s="22">
        <v>40079</v>
      </c>
      <c r="F405" s="22">
        <v>40079</v>
      </c>
      <c r="G405">
        <v>909</v>
      </c>
      <c r="H405" s="4" t="s">
        <v>110</v>
      </c>
      <c r="I405" s="4" t="s">
        <v>109</v>
      </c>
      <c r="J405" s="4" t="str">
        <f t="shared" si="6"/>
        <v>u_rem.c_rem</v>
      </c>
      <c r="K405" s="5">
        <v>1</v>
      </c>
      <c r="L405">
        <v>8.8039510414429905E-3</v>
      </c>
      <c r="M405">
        <v>0.12991196048958556</v>
      </c>
      <c r="N405">
        <v>0.18037363109297833</v>
      </c>
      <c r="O405">
        <v>0</v>
      </c>
      <c r="P405">
        <v>0</v>
      </c>
      <c r="Q405">
        <v>2.2117242860210436E-2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2.1473051320592657E-4</v>
      </c>
      <c r="AF405">
        <v>0</v>
      </c>
      <c r="AG405">
        <v>0</v>
      </c>
      <c r="AH405">
        <v>1.7178441056474127E-2</v>
      </c>
      <c r="AI405">
        <v>2.6197122611123041E-2</v>
      </c>
      <c r="AJ405">
        <v>0</v>
      </c>
      <c r="AK405">
        <v>0</v>
      </c>
      <c r="AL405">
        <v>5.5829933433540917E-2</v>
      </c>
      <c r="AM405">
        <v>0</v>
      </c>
      <c r="AN405">
        <v>9.018681554648916E-3</v>
      </c>
      <c r="AO405">
        <v>0</v>
      </c>
      <c r="AP405">
        <v>0</v>
      </c>
      <c r="AQ405">
        <v>0</v>
      </c>
      <c r="AR405">
        <v>0</v>
      </c>
      <c r="AS405">
        <v>4.7240712905303852E-3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0.34356882112948239</v>
      </c>
      <c r="BB405">
        <v>0</v>
      </c>
      <c r="BC405">
        <v>0</v>
      </c>
      <c r="BD405">
        <v>0</v>
      </c>
      <c r="BE405">
        <v>2.1473051320592657E-4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4.2946102641185317E-3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0.19755207214945239</v>
      </c>
      <c r="CB405">
        <v>0</v>
      </c>
    </row>
    <row r="406" spans="1:80">
      <c r="A406">
        <v>405</v>
      </c>
      <c r="B406" t="s">
        <v>78</v>
      </c>
      <c r="C406" s="4" t="s">
        <v>170</v>
      </c>
      <c r="D406" s="4" t="s">
        <v>117</v>
      </c>
      <c r="E406" s="22">
        <v>40079</v>
      </c>
      <c r="F406" s="22">
        <v>40079</v>
      </c>
      <c r="G406">
        <v>909</v>
      </c>
      <c r="H406" s="4" t="s">
        <v>107</v>
      </c>
      <c r="I406" s="4" t="s">
        <v>109</v>
      </c>
      <c r="J406" s="4" t="str">
        <f t="shared" si="6"/>
        <v>u_con.c_rem</v>
      </c>
      <c r="K406" s="5">
        <v>2</v>
      </c>
      <c r="L406" s="1">
        <v>5.8806233460746843E-3</v>
      </c>
      <c r="M406" s="1">
        <v>0.20582181711261394</v>
      </c>
      <c r="N406" s="1">
        <v>0.18229932372831525</v>
      </c>
      <c r="O406" s="1">
        <v>0</v>
      </c>
      <c r="P406" s="1">
        <v>0</v>
      </c>
      <c r="Q406" s="1">
        <v>0.21170244045868861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5.8806233460746843E-3</v>
      </c>
      <c r="AF406" s="1">
        <v>1.7641870038224056E-2</v>
      </c>
      <c r="AG406" s="1">
        <v>0</v>
      </c>
      <c r="AH406" s="1">
        <v>3.5283740076448106E-2</v>
      </c>
      <c r="AI406" s="1">
        <v>7.0567480152896225E-2</v>
      </c>
      <c r="AJ406" s="1">
        <v>0.17641870038224056</v>
      </c>
      <c r="AK406" s="1">
        <v>0</v>
      </c>
      <c r="AL406" s="1">
        <v>0</v>
      </c>
      <c r="AM406" s="1">
        <v>0</v>
      </c>
      <c r="AN406" s="1">
        <v>2.9403116730373421E-2</v>
      </c>
      <c r="AO406" s="1">
        <v>0</v>
      </c>
      <c r="AP406" s="1">
        <v>0</v>
      </c>
      <c r="AQ406" s="1">
        <v>0</v>
      </c>
      <c r="AR406" s="1">
        <v>0</v>
      </c>
      <c r="AS406" s="1">
        <v>1.1761246692149369E-2</v>
      </c>
      <c r="AT406" s="1">
        <v>2.9403116730373423E-4</v>
      </c>
      <c r="AU406" s="1">
        <v>0</v>
      </c>
      <c r="AV406" s="1">
        <v>0</v>
      </c>
      <c r="AW406" s="1">
        <v>5.8806233460746843E-3</v>
      </c>
      <c r="AX406" s="1">
        <v>5.8806233460746843E-3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1.1761246692149369E-2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5.8806233460746843E-3</v>
      </c>
      <c r="BN406" s="1">
        <v>5.8806233460746843E-3</v>
      </c>
      <c r="BO406" s="1">
        <v>0</v>
      </c>
      <c r="BP406" s="1">
        <v>0</v>
      </c>
      <c r="BQ406" s="1">
        <v>1.1761246692149369E-2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</row>
    <row r="407" spans="1:80" s="1" customFormat="1">
      <c r="A407">
        <v>406</v>
      </c>
      <c r="B407" t="s">
        <v>79</v>
      </c>
      <c r="C407" s="4" t="s">
        <v>170</v>
      </c>
      <c r="D407" s="4" t="s">
        <v>117</v>
      </c>
      <c r="E407" s="22">
        <v>40079</v>
      </c>
      <c r="F407" s="22">
        <v>40079</v>
      </c>
      <c r="G407">
        <v>909</v>
      </c>
      <c r="H407" s="4" t="s">
        <v>107</v>
      </c>
      <c r="I407" s="4" t="s">
        <v>108</v>
      </c>
      <c r="J407" s="4" t="str">
        <f t="shared" si="6"/>
        <v>u_con.c_con</v>
      </c>
      <c r="K407" s="5">
        <v>19</v>
      </c>
      <c r="L407" s="1">
        <v>2.2209883398112158E-2</v>
      </c>
      <c r="M407" s="1">
        <v>0.12798445308162135</v>
      </c>
      <c r="N407" s="1">
        <v>0.11104941699056081</v>
      </c>
      <c r="O407" s="1">
        <v>5.5524708495280394E-3</v>
      </c>
      <c r="P407" s="1">
        <v>0</v>
      </c>
      <c r="Q407" s="1">
        <v>0.15546918378678515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5.5524708495280394E-3</v>
      </c>
      <c r="AF407" s="1">
        <v>4.4419766796224315E-2</v>
      </c>
      <c r="AG407" s="1">
        <v>0</v>
      </c>
      <c r="AH407" s="1">
        <v>0</v>
      </c>
      <c r="AI407" s="1">
        <v>0.11104941699056081</v>
      </c>
      <c r="AJ407" s="1">
        <v>0.2831760133259299</v>
      </c>
      <c r="AK407" s="1">
        <v>0</v>
      </c>
      <c r="AL407" s="1">
        <v>0</v>
      </c>
      <c r="AM407" s="1">
        <v>0</v>
      </c>
      <c r="AN407" s="1">
        <v>3.3314825097168238E-2</v>
      </c>
      <c r="AO407" s="1">
        <v>0</v>
      </c>
      <c r="AP407" s="1">
        <v>0</v>
      </c>
      <c r="AQ407" s="1">
        <v>0</v>
      </c>
      <c r="AR407" s="1">
        <v>0</v>
      </c>
      <c r="AS407" s="1">
        <v>2.2209883398112158E-2</v>
      </c>
      <c r="AT407" s="1">
        <v>2.7762354247640197E-4</v>
      </c>
      <c r="AU407" s="1">
        <v>0</v>
      </c>
      <c r="AV407" s="1">
        <v>0</v>
      </c>
      <c r="AW407" s="1">
        <v>1.1104941699056079E-2</v>
      </c>
      <c r="AX407" s="1">
        <v>1.6657412548584122E-2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1.1104941699056079E-2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5.5524708495280394E-3</v>
      </c>
      <c r="BN407" s="1">
        <v>5.5524708495280394E-3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1.6657412548584122E-2</v>
      </c>
      <c r="BZ407" s="1">
        <v>0</v>
      </c>
      <c r="CA407" s="1">
        <v>1.1104941699056079E-2</v>
      </c>
      <c r="CB407" s="1">
        <v>0</v>
      </c>
    </row>
    <row r="408" spans="1:80">
      <c r="A408">
        <v>407</v>
      </c>
      <c r="B408" t="s">
        <v>80</v>
      </c>
      <c r="C408" s="4" t="s">
        <v>170</v>
      </c>
      <c r="D408" s="4" t="s">
        <v>117</v>
      </c>
      <c r="E408" s="22">
        <v>40079</v>
      </c>
      <c r="F408" s="22">
        <v>40079</v>
      </c>
      <c r="G408">
        <v>909</v>
      </c>
      <c r="H408" s="4" t="s">
        <v>107</v>
      </c>
      <c r="I408" s="4" t="s">
        <v>109</v>
      </c>
      <c r="J408" s="4" t="str">
        <f t="shared" si="6"/>
        <v>u_con.c_rem</v>
      </c>
      <c r="K408" s="5">
        <v>2</v>
      </c>
      <c r="L408" s="1">
        <v>2.312138728323699E-2</v>
      </c>
      <c r="M408" s="1">
        <v>7.5144508670520221E-2</v>
      </c>
      <c r="N408" s="1">
        <v>0.21387283236994215</v>
      </c>
      <c r="O408" s="1">
        <v>1.7341040462427744E-2</v>
      </c>
      <c r="P408" s="1">
        <v>0</v>
      </c>
      <c r="Q408" s="1">
        <v>0.28901734104046228</v>
      </c>
      <c r="R408" s="1">
        <v>0</v>
      </c>
      <c r="S408" s="1">
        <v>1.1560693641618495E-2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5.7803468208092474E-3</v>
      </c>
      <c r="AG408" s="1">
        <v>0</v>
      </c>
      <c r="AH408" s="1">
        <v>5.7803468208092474E-3</v>
      </c>
      <c r="AI408" s="1">
        <v>3.4682080924855481E-2</v>
      </c>
      <c r="AJ408" s="1">
        <v>0.2774566473988439</v>
      </c>
      <c r="AK408" s="1">
        <v>0</v>
      </c>
      <c r="AL408" s="1">
        <v>0</v>
      </c>
      <c r="AM408" s="1">
        <v>0</v>
      </c>
      <c r="AN408" s="1">
        <v>1.1560693641618495E-2</v>
      </c>
      <c r="AO408" s="1">
        <v>0</v>
      </c>
      <c r="AP408" s="1">
        <v>0</v>
      </c>
      <c r="AQ408" s="1">
        <v>0</v>
      </c>
      <c r="AR408" s="1">
        <v>0</v>
      </c>
      <c r="AS408" s="1">
        <v>5.7803468208092474E-3</v>
      </c>
      <c r="AT408" s="1">
        <v>0</v>
      </c>
      <c r="AU408" s="1">
        <v>0</v>
      </c>
      <c r="AV408" s="1">
        <v>0</v>
      </c>
      <c r="AW408" s="1">
        <v>1.7341040462427744E-2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5.7803468208092474E-3</v>
      </c>
      <c r="BF408" s="1">
        <v>5.7803468208092474E-3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</row>
    <row r="409" spans="1:80">
      <c r="A409">
        <v>408</v>
      </c>
      <c r="B409" t="s">
        <v>81</v>
      </c>
      <c r="C409" s="4" t="s">
        <v>170</v>
      </c>
      <c r="D409" s="4" t="s">
        <v>117</v>
      </c>
      <c r="E409" s="22">
        <v>40079</v>
      </c>
      <c r="F409" s="22">
        <v>40079</v>
      </c>
      <c r="G409">
        <v>909</v>
      </c>
      <c r="H409" s="4" t="s">
        <v>107</v>
      </c>
      <c r="I409" s="4" t="s">
        <v>108</v>
      </c>
      <c r="J409" s="4" t="str">
        <f t="shared" si="6"/>
        <v>u_con.c_con</v>
      </c>
      <c r="K409" s="5">
        <v>19</v>
      </c>
      <c r="L409">
        <v>2.0131086142322105E-2</v>
      </c>
      <c r="M409">
        <v>2.926029962546817E-2</v>
      </c>
      <c r="N409">
        <v>0.13600187265917607</v>
      </c>
      <c r="O409">
        <v>0</v>
      </c>
      <c r="P409">
        <v>0</v>
      </c>
      <c r="Q409">
        <v>0.10323033707865173</v>
      </c>
      <c r="R409">
        <v>1.404494382022472E-2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1.9662921348314613E-2</v>
      </c>
      <c r="AF409">
        <v>0</v>
      </c>
      <c r="AG409">
        <v>0</v>
      </c>
      <c r="AH409">
        <v>5.1498127340823983E-3</v>
      </c>
      <c r="AI409">
        <v>0.14068352059925096</v>
      </c>
      <c r="AJ409">
        <v>0.31367041198501877</v>
      </c>
      <c r="AK409">
        <v>0</v>
      </c>
      <c r="AL409">
        <v>0</v>
      </c>
      <c r="AM409">
        <v>0</v>
      </c>
      <c r="AN409">
        <v>1.0065543071161052E-2</v>
      </c>
      <c r="AO409">
        <v>0</v>
      </c>
      <c r="AP409">
        <v>0</v>
      </c>
      <c r="AQ409">
        <v>4.6816479400749074E-3</v>
      </c>
      <c r="AR409">
        <v>0</v>
      </c>
      <c r="AS409">
        <v>5.3838951310861433E-3</v>
      </c>
      <c r="AT409">
        <v>7.0224719101123604E-4</v>
      </c>
      <c r="AU409">
        <v>0</v>
      </c>
      <c r="AV409">
        <v>9.5973782771535607E-3</v>
      </c>
      <c r="AW409">
        <v>2.3408239700374538E-4</v>
      </c>
      <c r="AX409">
        <v>2.3408239700374538E-4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4.6816479400749074E-3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4.6816479400749074E-3</v>
      </c>
      <c r="BZ409">
        <v>0</v>
      </c>
      <c r="CA409">
        <v>0.17790262172284649</v>
      </c>
      <c r="CB409">
        <v>0</v>
      </c>
    </row>
    <row r="410" spans="1:80">
      <c r="A410">
        <v>409</v>
      </c>
      <c r="B410" t="s">
        <v>82</v>
      </c>
      <c r="C410" s="4" t="s">
        <v>171</v>
      </c>
      <c r="D410" s="4" t="s">
        <v>118</v>
      </c>
      <c r="E410" s="5">
        <v>40078</v>
      </c>
      <c r="F410" s="22">
        <v>40079</v>
      </c>
      <c r="G410">
        <v>909</v>
      </c>
      <c r="H410" s="4" t="s">
        <v>110</v>
      </c>
      <c r="I410" s="4" t="s">
        <v>109</v>
      </c>
      <c r="J410" s="4" t="str">
        <f t="shared" si="6"/>
        <v>u_rem.c_rem</v>
      </c>
      <c r="K410" s="5">
        <v>1</v>
      </c>
      <c r="L410">
        <v>2.5819446987731181E-2</v>
      </c>
      <c r="M410">
        <v>6.6471342245010084E-2</v>
      </c>
      <c r="N410">
        <v>7.3246658121223218E-3</v>
      </c>
      <c r="O410">
        <v>1.8311664530305801E-2</v>
      </c>
      <c r="P410">
        <v>0</v>
      </c>
      <c r="Q410">
        <v>0.20509064273942496</v>
      </c>
      <c r="R410">
        <v>0</v>
      </c>
      <c r="S410">
        <v>0</v>
      </c>
      <c r="T410">
        <v>7.3246658121223218E-3</v>
      </c>
      <c r="U410">
        <v>0</v>
      </c>
      <c r="V410">
        <v>0</v>
      </c>
      <c r="W410">
        <v>0</v>
      </c>
      <c r="X410">
        <v>1.8494781175608859E-2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1.8311664530305802E-4</v>
      </c>
      <c r="AJ410">
        <v>0</v>
      </c>
      <c r="AK410">
        <v>0</v>
      </c>
      <c r="AL410">
        <v>0</v>
      </c>
      <c r="AM410">
        <v>0</v>
      </c>
      <c r="AN410">
        <v>1.6114264786669108E-2</v>
      </c>
      <c r="AO410">
        <v>0</v>
      </c>
      <c r="AP410">
        <v>0</v>
      </c>
      <c r="AQ410">
        <v>7.3246658121223218E-3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3.6623329060611609E-3</v>
      </c>
      <c r="AY410">
        <v>0</v>
      </c>
      <c r="AZ410">
        <v>0</v>
      </c>
      <c r="BA410">
        <v>0.17579197949093567</v>
      </c>
      <c r="BB410">
        <v>0.1796374290422999</v>
      </c>
      <c r="BC410">
        <v>0</v>
      </c>
      <c r="BD410">
        <v>0</v>
      </c>
      <c r="BE410">
        <v>0.14722578282365864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4.0651895257278886E-2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8.057132393334554E-2</v>
      </c>
      <c r="CB410">
        <v>0</v>
      </c>
    </row>
    <row r="411" spans="1:80">
      <c r="A411">
        <v>410</v>
      </c>
      <c r="B411" t="s">
        <v>83</v>
      </c>
      <c r="C411" s="4" t="s">
        <v>171</v>
      </c>
      <c r="D411" s="4" t="s">
        <v>118</v>
      </c>
      <c r="E411" s="5">
        <v>40078</v>
      </c>
      <c r="F411" s="22">
        <v>40079</v>
      </c>
      <c r="G411">
        <v>909</v>
      </c>
      <c r="H411" s="4" t="s">
        <v>110</v>
      </c>
      <c r="I411" s="4" t="s">
        <v>108</v>
      </c>
      <c r="J411" s="4" t="str">
        <f t="shared" si="6"/>
        <v>u_rem.c_con</v>
      </c>
      <c r="K411" s="5">
        <v>8</v>
      </c>
      <c r="L411">
        <v>1.2552301255230127E-2</v>
      </c>
      <c r="M411">
        <v>0.16757322175732214</v>
      </c>
      <c r="N411">
        <v>2.0920502092050208E-2</v>
      </c>
      <c r="O411">
        <v>2.928870292887029E-2</v>
      </c>
      <c r="P411">
        <v>0</v>
      </c>
      <c r="Q411">
        <v>0.27615062761506276</v>
      </c>
      <c r="R411">
        <v>0</v>
      </c>
      <c r="S411">
        <v>0</v>
      </c>
      <c r="T411">
        <v>4.3933054393305443E-3</v>
      </c>
      <c r="U411">
        <v>0</v>
      </c>
      <c r="V411">
        <v>0</v>
      </c>
      <c r="W411">
        <v>0</v>
      </c>
      <c r="X411">
        <v>2.0920502092050208E-4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8.368200836820083E-3</v>
      </c>
      <c r="AF411">
        <v>0</v>
      </c>
      <c r="AG411">
        <v>0</v>
      </c>
      <c r="AH411">
        <v>0</v>
      </c>
      <c r="AI411">
        <v>8.5774058577405849E-3</v>
      </c>
      <c r="AJ411">
        <v>0</v>
      </c>
      <c r="AK411">
        <v>0</v>
      </c>
      <c r="AL411">
        <v>4.1841004184100415E-3</v>
      </c>
      <c r="AM411">
        <v>0</v>
      </c>
      <c r="AN411">
        <v>8.5774058577405849E-3</v>
      </c>
      <c r="AO411">
        <v>0</v>
      </c>
      <c r="AP411">
        <v>0</v>
      </c>
      <c r="AQ411">
        <v>1.2552301255230127E-2</v>
      </c>
      <c r="AR411">
        <v>0</v>
      </c>
      <c r="AS411">
        <v>4.1841004184100415E-3</v>
      </c>
      <c r="AT411">
        <v>4.1841004184100416E-4</v>
      </c>
      <c r="AU411">
        <v>0</v>
      </c>
      <c r="AV411">
        <v>0</v>
      </c>
      <c r="AW411">
        <v>0</v>
      </c>
      <c r="AX411">
        <v>4.1841004184100415E-3</v>
      </c>
      <c r="AY411">
        <v>0</v>
      </c>
      <c r="AZ411">
        <v>0</v>
      </c>
      <c r="BA411">
        <v>0.18054393305439331</v>
      </c>
      <c r="BB411">
        <v>0.15899581589958156</v>
      </c>
      <c r="BC411">
        <v>0</v>
      </c>
      <c r="BD411">
        <v>0</v>
      </c>
      <c r="BE411">
        <v>3.8493723849372385E-2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3.0334728033472799E-2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2.9497907949790791E-2</v>
      </c>
      <c r="CB411">
        <v>0</v>
      </c>
    </row>
    <row r="412" spans="1:80">
      <c r="A412">
        <v>411</v>
      </c>
      <c r="B412" t="s">
        <v>84</v>
      </c>
      <c r="C412" s="4" t="s">
        <v>171</v>
      </c>
      <c r="D412" s="4" t="s">
        <v>118</v>
      </c>
      <c r="E412" s="5">
        <v>40078</v>
      </c>
      <c r="F412" s="22">
        <v>40079</v>
      </c>
      <c r="G412">
        <v>909</v>
      </c>
      <c r="H412" s="4" t="s">
        <v>110</v>
      </c>
      <c r="I412" s="4" t="s">
        <v>109</v>
      </c>
      <c r="J412" s="4" t="str">
        <f t="shared" si="6"/>
        <v>u_rem.c_rem</v>
      </c>
      <c r="K412" s="5">
        <v>1</v>
      </c>
      <c r="L412">
        <v>4.6392948271862687E-3</v>
      </c>
      <c r="M412">
        <v>4.7784736720018567E-2</v>
      </c>
      <c r="N412">
        <v>6.5182092321967089E-2</v>
      </c>
      <c r="O412">
        <v>1.3917884481558807E-2</v>
      </c>
      <c r="P412">
        <v>0</v>
      </c>
      <c r="Q412">
        <v>0.17188587334725128</v>
      </c>
      <c r="R412">
        <v>2.783576896311761E-2</v>
      </c>
      <c r="S412">
        <v>0</v>
      </c>
      <c r="T412">
        <v>1.8557179308745075E-2</v>
      </c>
      <c r="U412">
        <v>0</v>
      </c>
      <c r="V412">
        <v>0</v>
      </c>
      <c r="W412">
        <v>0</v>
      </c>
      <c r="X412">
        <v>5.3351890512642096E-3</v>
      </c>
      <c r="Y412">
        <v>0</v>
      </c>
      <c r="Z412">
        <v>2.3196474135931343E-4</v>
      </c>
      <c r="AA412">
        <v>0</v>
      </c>
      <c r="AB412">
        <v>0</v>
      </c>
      <c r="AC412">
        <v>0</v>
      </c>
      <c r="AD412">
        <v>0</v>
      </c>
      <c r="AE412">
        <v>4.6392948271862687E-3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9.2785896543725373E-3</v>
      </c>
      <c r="AM412">
        <v>0</v>
      </c>
      <c r="AN412">
        <v>5.5671537926235224E-3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2.3196474135931343E-4</v>
      </c>
      <c r="AU412">
        <v>0</v>
      </c>
      <c r="AV412">
        <v>0</v>
      </c>
      <c r="AW412">
        <v>0</v>
      </c>
      <c r="AX412">
        <v>0</v>
      </c>
      <c r="AY412">
        <v>9.2785896543725373E-3</v>
      </c>
      <c r="AZ412">
        <v>0</v>
      </c>
      <c r="BA412">
        <v>0.29691486893992114</v>
      </c>
      <c r="BB412">
        <v>5.1496172581767585E-2</v>
      </c>
      <c r="BC412">
        <v>0</v>
      </c>
      <c r="BD412">
        <v>0</v>
      </c>
      <c r="BE412">
        <v>0.20923219670610066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1.1134307585247047E-2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4.6856877754581312E-2</v>
      </c>
      <c r="CB412">
        <v>0</v>
      </c>
    </row>
    <row r="413" spans="1:80">
      <c r="A413">
        <v>412</v>
      </c>
      <c r="B413" t="s">
        <v>85</v>
      </c>
      <c r="C413" s="4" t="s">
        <v>171</v>
      </c>
      <c r="D413" s="4" t="s">
        <v>118</v>
      </c>
      <c r="E413" s="5">
        <v>40078</v>
      </c>
      <c r="F413" s="22">
        <v>40079</v>
      </c>
      <c r="G413">
        <v>909</v>
      </c>
      <c r="H413" s="4" t="s">
        <v>110</v>
      </c>
      <c r="I413" s="4" t="s">
        <v>108</v>
      </c>
      <c r="J413" s="4" t="str">
        <f t="shared" si="6"/>
        <v>u_rem.c_con</v>
      </c>
      <c r="K413" s="5">
        <v>8</v>
      </c>
      <c r="L413">
        <v>1.6592920353982306E-2</v>
      </c>
      <c r="M413">
        <v>0.1775442477876106</v>
      </c>
      <c r="N413">
        <v>4.9778761061946904E-2</v>
      </c>
      <c r="O413">
        <v>0</v>
      </c>
      <c r="P413">
        <v>0</v>
      </c>
      <c r="Q413">
        <v>0.28761061946902655</v>
      </c>
      <c r="R413">
        <v>0</v>
      </c>
      <c r="S413">
        <v>0</v>
      </c>
      <c r="T413">
        <v>2.2676991150442482E-2</v>
      </c>
      <c r="U413">
        <v>0</v>
      </c>
      <c r="V413">
        <v>0</v>
      </c>
      <c r="W413">
        <v>0</v>
      </c>
      <c r="X413">
        <v>1.1061946902654869E-2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5.5309734513274344E-3</v>
      </c>
      <c r="AE413">
        <v>4.4247787610619468E-2</v>
      </c>
      <c r="AF413">
        <v>0</v>
      </c>
      <c r="AG413">
        <v>0</v>
      </c>
      <c r="AH413">
        <v>0</v>
      </c>
      <c r="AI413">
        <v>6.0840707964601778E-3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8.8772123893805316E-2</v>
      </c>
      <c r="AR413">
        <v>0</v>
      </c>
      <c r="AS413">
        <v>5.5309734513274344E-3</v>
      </c>
      <c r="AT413">
        <v>2.7654867256637173E-4</v>
      </c>
      <c r="AU413">
        <v>0</v>
      </c>
      <c r="AV413">
        <v>2.7654867256637173E-4</v>
      </c>
      <c r="AW413">
        <v>0</v>
      </c>
      <c r="AX413">
        <v>5.8075221238938065E-3</v>
      </c>
      <c r="AY413">
        <v>1.1061946902654869E-2</v>
      </c>
      <c r="AZ413">
        <v>0</v>
      </c>
      <c r="BA413">
        <v>5.5309734513274346E-4</v>
      </c>
      <c r="BB413">
        <v>0</v>
      </c>
      <c r="BC413">
        <v>0</v>
      </c>
      <c r="BD413">
        <v>0</v>
      </c>
      <c r="BE413">
        <v>8.3241150442477901E-2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1.1891592920353985E-2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1.1061946902654869E-2</v>
      </c>
      <c r="BX413">
        <v>0</v>
      </c>
      <c r="BY413">
        <v>1.1061946902654869E-2</v>
      </c>
      <c r="BZ413">
        <v>0</v>
      </c>
      <c r="CA413">
        <v>0.14933628318584077</v>
      </c>
      <c r="CB413">
        <v>0</v>
      </c>
    </row>
    <row r="414" spans="1:80">
      <c r="A414">
        <v>413</v>
      </c>
      <c r="B414" t="s">
        <v>86</v>
      </c>
      <c r="C414" s="4" t="s">
        <v>172</v>
      </c>
      <c r="D414" s="4" t="s">
        <v>118</v>
      </c>
      <c r="E414" s="5">
        <v>40078</v>
      </c>
      <c r="F414" s="22">
        <v>40079</v>
      </c>
      <c r="G414">
        <v>909</v>
      </c>
      <c r="H414" s="4" t="s">
        <v>107</v>
      </c>
      <c r="I414" s="4" t="s">
        <v>108</v>
      </c>
      <c r="J414" s="4" t="str">
        <f t="shared" si="6"/>
        <v>u_con.c_con</v>
      </c>
      <c r="K414" s="5">
        <v>19</v>
      </c>
      <c r="L414">
        <v>0</v>
      </c>
      <c r="M414">
        <v>4.0816326530612242E-2</v>
      </c>
      <c r="N414">
        <v>6.9935291189646587E-2</v>
      </c>
      <c r="O414">
        <v>0</v>
      </c>
      <c r="P414">
        <v>0</v>
      </c>
      <c r="Q414">
        <v>1.9910403185664512E-2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5.2264808362369342E-3</v>
      </c>
      <c r="Y414">
        <v>0.10477849676455948</v>
      </c>
      <c r="Z414">
        <v>1.9910403185664512E-2</v>
      </c>
      <c r="AA414">
        <v>0</v>
      </c>
      <c r="AB414">
        <v>0</v>
      </c>
      <c r="AC414">
        <v>0</v>
      </c>
      <c r="AD414">
        <v>0</v>
      </c>
      <c r="AE414">
        <v>3.5092085614733697E-2</v>
      </c>
      <c r="AF414">
        <v>0</v>
      </c>
      <c r="AG414">
        <v>1.4932802389248384E-2</v>
      </c>
      <c r="AH414">
        <v>4.9776007964161279E-3</v>
      </c>
      <c r="AI414">
        <v>0</v>
      </c>
      <c r="AJ414">
        <v>0</v>
      </c>
      <c r="AK414">
        <v>0</v>
      </c>
      <c r="AL414">
        <v>4.9776007964161279E-3</v>
      </c>
      <c r="AM414">
        <v>0</v>
      </c>
      <c r="AN414">
        <v>5.2264808362369342E-3</v>
      </c>
      <c r="AO414">
        <v>0</v>
      </c>
      <c r="AP414">
        <v>0</v>
      </c>
      <c r="AQ414">
        <v>0</v>
      </c>
      <c r="AR414">
        <v>0</v>
      </c>
      <c r="AS414">
        <v>2.9865604778496764E-2</v>
      </c>
      <c r="AT414">
        <v>0</v>
      </c>
      <c r="AU414">
        <v>0</v>
      </c>
      <c r="AV414">
        <v>0</v>
      </c>
      <c r="AW414">
        <v>4.9776007964161279E-3</v>
      </c>
      <c r="AX414">
        <v>4.9776007964161279E-3</v>
      </c>
      <c r="AY414">
        <v>0</v>
      </c>
      <c r="AZ414">
        <v>0</v>
      </c>
      <c r="BA414">
        <v>0.20905923344947733</v>
      </c>
      <c r="BB414">
        <v>7.068193130910902E-2</v>
      </c>
      <c r="BC414">
        <v>0</v>
      </c>
      <c r="BD414">
        <v>0</v>
      </c>
      <c r="BE414">
        <v>0.22473867595818814</v>
      </c>
      <c r="BF414">
        <v>4.9776007964161273E-4</v>
      </c>
      <c r="BG414">
        <v>0</v>
      </c>
      <c r="BH414">
        <v>0</v>
      </c>
      <c r="BI414">
        <v>0</v>
      </c>
      <c r="BJ414">
        <v>0</v>
      </c>
      <c r="BK414">
        <v>4.9776007964161279E-3</v>
      </c>
      <c r="BL414">
        <v>0</v>
      </c>
      <c r="BM414">
        <v>0</v>
      </c>
      <c r="BN414">
        <v>2.9865604778496764E-2</v>
      </c>
      <c r="BO414">
        <v>0</v>
      </c>
      <c r="BP414">
        <v>0</v>
      </c>
      <c r="BQ414">
        <v>4.9776007964161279E-3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4.9776007964161279E-3</v>
      </c>
      <c r="BZ414">
        <v>0</v>
      </c>
      <c r="CA414">
        <v>8.4619213539074173E-2</v>
      </c>
      <c r="CB414">
        <v>0</v>
      </c>
    </row>
    <row r="415" spans="1:80">
      <c r="A415">
        <v>414</v>
      </c>
      <c r="B415" t="s">
        <v>87</v>
      </c>
      <c r="C415" s="4" t="s">
        <v>172</v>
      </c>
      <c r="D415" s="4" t="s">
        <v>118</v>
      </c>
      <c r="E415" s="5">
        <v>40078</v>
      </c>
      <c r="F415" s="22">
        <v>40079</v>
      </c>
      <c r="G415">
        <v>909</v>
      </c>
      <c r="H415" s="4" t="s">
        <v>107</v>
      </c>
      <c r="I415" s="4" t="s">
        <v>109</v>
      </c>
      <c r="J415" s="4" t="str">
        <f t="shared" si="6"/>
        <v>u_con.c_rem</v>
      </c>
      <c r="K415" s="5">
        <v>2</v>
      </c>
      <c r="L415">
        <v>0</v>
      </c>
      <c r="M415">
        <v>1.5352887259395057E-2</v>
      </c>
      <c r="N415">
        <v>5.5912007332722294E-2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2.2914757103574705E-2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0.11503208065994504</v>
      </c>
      <c r="AF415">
        <v>0</v>
      </c>
      <c r="AG415">
        <v>0</v>
      </c>
      <c r="AH415">
        <v>0</v>
      </c>
      <c r="AI415">
        <v>2.2914757103574705E-2</v>
      </c>
      <c r="AJ415">
        <v>0</v>
      </c>
      <c r="AK415">
        <v>0</v>
      </c>
      <c r="AL415">
        <v>0</v>
      </c>
      <c r="AM415">
        <v>4.6287809349220894E-2</v>
      </c>
      <c r="AN415">
        <v>5.0412465627864356E-3</v>
      </c>
      <c r="AO415">
        <v>0</v>
      </c>
      <c r="AP415">
        <v>0</v>
      </c>
      <c r="AQ415">
        <v>0</v>
      </c>
      <c r="AR415">
        <v>0</v>
      </c>
      <c r="AS415">
        <v>1.3748854262144825E-2</v>
      </c>
      <c r="AT415">
        <v>2.2914757103574706E-4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0.31622364802933089</v>
      </c>
      <c r="BB415">
        <v>0.14665444546287812</v>
      </c>
      <c r="BC415">
        <v>0</v>
      </c>
      <c r="BD415">
        <v>0</v>
      </c>
      <c r="BE415">
        <v>0.13794683776351976</v>
      </c>
      <c r="BF415">
        <v>4.8120989917506884E-3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2.795600366636114E-2</v>
      </c>
      <c r="BO415">
        <v>0</v>
      </c>
      <c r="BP415">
        <v>9.3950504124656296E-3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5.9578368469294249E-2</v>
      </c>
      <c r="CB415">
        <v>0</v>
      </c>
    </row>
    <row r="416" spans="1:80">
      <c r="A416">
        <v>415</v>
      </c>
      <c r="B416" t="s">
        <v>88</v>
      </c>
      <c r="C416" s="4" t="s">
        <v>172</v>
      </c>
      <c r="D416" s="4" t="s">
        <v>118</v>
      </c>
      <c r="E416" s="5">
        <v>40078</v>
      </c>
      <c r="F416" s="22">
        <v>40079</v>
      </c>
      <c r="G416">
        <v>909</v>
      </c>
      <c r="H416" s="4" t="s">
        <v>107</v>
      </c>
      <c r="I416" s="4" t="s">
        <v>109</v>
      </c>
      <c r="J416" s="4" t="str">
        <f t="shared" si="6"/>
        <v>u_con.c_rem</v>
      </c>
      <c r="K416" s="5">
        <v>2</v>
      </c>
      <c r="L416" s="1">
        <v>0</v>
      </c>
      <c r="M416" s="1">
        <v>9.7895252080274098E-3</v>
      </c>
      <c r="N416" s="1">
        <v>7.8316201664219293E-2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5.3842388644150755E-3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1.4684287812041114E-2</v>
      </c>
      <c r="AC416" s="1">
        <v>0</v>
      </c>
      <c r="AD416" s="1">
        <v>4.8947626040137049E-3</v>
      </c>
      <c r="AE416" s="1">
        <v>9.7895252080274098E-3</v>
      </c>
      <c r="AF416" s="1">
        <v>0</v>
      </c>
      <c r="AG416" s="1">
        <v>0</v>
      </c>
      <c r="AH416" s="1">
        <v>0</v>
      </c>
      <c r="AI416" s="1">
        <v>1.957905041605482E-2</v>
      </c>
      <c r="AJ416" s="1">
        <v>0</v>
      </c>
      <c r="AK416" s="1">
        <v>0</v>
      </c>
      <c r="AL416" s="1">
        <v>0</v>
      </c>
      <c r="AM416" s="1">
        <v>8.321096426823299E-2</v>
      </c>
      <c r="AN416" s="1">
        <v>4.8947626040137049E-3</v>
      </c>
      <c r="AO416" s="1">
        <v>0</v>
      </c>
      <c r="AP416" s="1">
        <v>0</v>
      </c>
      <c r="AQ416" s="1">
        <v>0</v>
      </c>
      <c r="AR416" s="1">
        <v>0</v>
      </c>
      <c r="AS416" s="1">
        <v>1.49290259422418E-2</v>
      </c>
      <c r="AT416" s="1">
        <v>0</v>
      </c>
      <c r="AU416" s="1">
        <v>0</v>
      </c>
      <c r="AV416" s="1">
        <v>4.8947626040137049E-3</v>
      </c>
      <c r="AW416" s="1">
        <v>0</v>
      </c>
      <c r="AX416" s="1">
        <v>0</v>
      </c>
      <c r="AY416" s="1">
        <v>0</v>
      </c>
      <c r="AZ416" s="1">
        <v>0</v>
      </c>
      <c r="BA416" s="1">
        <v>0.45521292217327447</v>
      </c>
      <c r="BB416" s="1">
        <v>1.9823788546255505E-2</v>
      </c>
      <c r="BC416" s="1">
        <v>0</v>
      </c>
      <c r="BD416" s="1">
        <v>0</v>
      </c>
      <c r="BE416" s="1">
        <v>6.8771414586392549E-2</v>
      </c>
      <c r="BF416" s="1">
        <v>9.7895252080274098E-3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1.957905041605482E-2</v>
      </c>
      <c r="BO416" s="1">
        <v>0</v>
      </c>
      <c r="BP416" s="1">
        <v>4.8947626040137049E-3</v>
      </c>
      <c r="BQ416" s="1">
        <v>4.8947626040137049E-3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0.13215859030837002</v>
      </c>
      <c r="BZ416" s="1">
        <v>2.4473813020068524E-4</v>
      </c>
      <c r="CA416" s="1">
        <v>3.4263338228095928E-2</v>
      </c>
      <c r="CB416" s="1">
        <v>0</v>
      </c>
    </row>
    <row r="417" spans="1:80">
      <c r="A417">
        <v>416</v>
      </c>
      <c r="B417" t="s">
        <v>89</v>
      </c>
      <c r="C417" s="4" t="s">
        <v>172</v>
      </c>
      <c r="D417" s="4" t="s">
        <v>118</v>
      </c>
      <c r="E417" s="5">
        <v>40078</v>
      </c>
      <c r="F417" s="22">
        <v>40079</v>
      </c>
      <c r="G417">
        <v>909</v>
      </c>
      <c r="H417" s="4" t="s">
        <v>107</v>
      </c>
      <c r="I417" s="4" t="s">
        <v>108</v>
      </c>
      <c r="J417" s="4" t="str">
        <f t="shared" si="6"/>
        <v>u_con.c_con</v>
      </c>
      <c r="K417" s="5">
        <v>19</v>
      </c>
      <c r="L417" s="1">
        <v>0</v>
      </c>
      <c r="M417" s="1">
        <v>9.3764650726676051E-3</v>
      </c>
      <c r="N417" s="1">
        <v>2.3441162681669011E-2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1.42991092358181E-2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2.3441162681669011E-2</v>
      </c>
      <c r="AC417" s="1">
        <v>0</v>
      </c>
      <c r="AD417" s="1">
        <v>0</v>
      </c>
      <c r="AE417" s="1">
        <v>1.4064697609001409E-2</v>
      </c>
      <c r="AF417" s="1">
        <v>0</v>
      </c>
      <c r="AG417" s="1">
        <v>1.875293014533521E-2</v>
      </c>
      <c r="AH417" s="1">
        <v>4.6882325363338025E-3</v>
      </c>
      <c r="AI417" s="1">
        <v>0</v>
      </c>
      <c r="AJ417" s="1">
        <v>0</v>
      </c>
      <c r="AK417" s="1">
        <v>0</v>
      </c>
      <c r="AL417" s="1">
        <v>0.20159399906235351</v>
      </c>
      <c r="AM417" s="1">
        <v>4.6882325363338022E-2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2.3441162681669011E-2</v>
      </c>
      <c r="AT417" s="1">
        <v>2.3441162681669012E-4</v>
      </c>
      <c r="AU417" s="1">
        <v>0</v>
      </c>
      <c r="AV417" s="1">
        <v>4.6882325363338025E-3</v>
      </c>
      <c r="AW417" s="1">
        <v>1.4064697609001408E-2</v>
      </c>
      <c r="AX417" s="1">
        <v>4.6882325363338025E-3</v>
      </c>
      <c r="AY417" s="1">
        <v>0</v>
      </c>
      <c r="AZ417" s="1">
        <v>0</v>
      </c>
      <c r="BA417" s="1">
        <v>0.3609939052977027</v>
      </c>
      <c r="BB417" s="1">
        <v>5.1804969526488519E-2</v>
      </c>
      <c r="BC417" s="1">
        <v>0</v>
      </c>
      <c r="BD417" s="1">
        <v>0</v>
      </c>
      <c r="BE417" s="1">
        <v>8.0168776371308037E-2</v>
      </c>
      <c r="BF417" s="1">
        <v>1.8987341772151903E-2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1.4064697609001409E-2</v>
      </c>
      <c r="BO417" s="1">
        <v>4.6882325363338025E-3</v>
      </c>
      <c r="BP417" s="1">
        <v>1.4064697609001409E-2</v>
      </c>
      <c r="BQ417" s="1">
        <v>0</v>
      </c>
      <c r="BR417" s="1">
        <v>0</v>
      </c>
      <c r="BS417" s="1">
        <v>4.6882325363338025E-3</v>
      </c>
      <c r="BT417" s="1">
        <v>3.750586029067042E-2</v>
      </c>
      <c r="BU417" s="1">
        <v>0</v>
      </c>
      <c r="BV417" s="1">
        <v>0</v>
      </c>
      <c r="BW417" s="1">
        <v>0</v>
      </c>
      <c r="BX417" s="1">
        <v>0</v>
      </c>
      <c r="BY417" s="1">
        <v>4.6882325363338025E-3</v>
      </c>
      <c r="BZ417" s="1">
        <v>0</v>
      </c>
      <c r="CA417" s="1">
        <v>4.6882325363338025E-3</v>
      </c>
      <c r="CB417" s="1">
        <v>0</v>
      </c>
    </row>
    <row r="418" spans="1:80">
      <c r="A418">
        <v>417</v>
      </c>
      <c r="B418" t="s">
        <v>90</v>
      </c>
      <c r="C418" s="4" t="s">
        <v>173</v>
      </c>
      <c r="D418" s="4" t="s">
        <v>118</v>
      </c>
      <c r="E418" s="5">
        <v>40078</v>
      </c>
      <c r="F418" s="22">
        <v>40079</v>
      </c>
      <c r="G418">
        <v>909</v>
      </c>
      <c r="H418" s="4" t="s">
        <v>107</v>
      </c>
      <c r="I418" s="4" t="s">
        <v>108</v>
      </c>
      <c r="J418" s="4" t="str">
        <f t="shared" si="6"/>
        <v>u_con.c_con</v>
      </c>
      <c r="K418" s="5">
        <v>19</v>
      </c>
      <c r="L418" s="1">
        <v>0</v>
      </c>
      <c r="M418" s="1">
        <v>3.4921426789723119E-2</v>
      </c>
      <c r="N418" s="1">
        <v>0.1546520329259167</v>
      </c>
      <c r="O418" s="1">
        <v>0</v>
      </c>
      <c r="P418" s="1">
        <v>0</v>
      </c>
      <c r="Q418" s="1">
        <v>1.4966325767024197E-2</v>
      </c>
      <c r="R418" s="1">
        <v>1.9955101022698925E-2</v>
      </c>
      <c r="S418" s="1">
        <v>0</v>
      </c>
      <c r="T418" s="1">
        <v>0</v>
      </c>
      <c r="U418" s="1">
        <v>1.0226989274133199E-2</v>
      </c>
      <c r="V418" s="1">
        <v>0</v>
      </c>
      <c r="W418" s="1">
        <v>0</v>
      </c>
      <c r="X418" s="1">
        <v>0</v>
      </c>
      <c r="Y418" s="1">
        <v>4.9887752556747314E-3</v>
      </c>
      <c r="Z418" s="1">
        <v>2.4943876278373658E-2</v>
      </c>
      <c r="AA418" s="1">
        <v>1.4966325767024193E-2</v>
      </c>
      <c r="AB418" s="1">
        <v>0</v>
      </c>
      <c r="AC418" s="1">
        <v>0</v>
      </c>
      <c r="AD418" s="1">
        <v>0</v>
      </c>
      <c r="AE418" s="1">
        <v>2.4943876278373658E-2</v>
      </c>
      <c r="AF418" s="1">
        <v>0</v>
      </c>
      <c r="AG418" s="1">
        <v>4.9887752556747322E-2</v>
      </c>
      <c r="AH418" s="1">
        <v>1.9955101022698925E-2</v>
      </c>
      <c r="AI418" s="1">
        <v>2.4943876278373658E-2</v>
      </c>
      <c r="AJ418" s="1">
        <v>0</v>
      </c>
      <c r="AK418" s="1">
        <v>0</v>
      </c>
      <c r="AL418" s="1">
        <v>2.0204539785482662E-2</v>
      </c>
      <c r="AM418" s="1">
        <v>0</v>
      </c>
      <c r="AN418" s="1">
        <v>1.9955101022698925E-2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1.0476428036916938E-2</v>
      </c>
      <c r="AU418" s="1">
        <v>0</v>
      </c>
      <c r="AV418" s="1">
        <v>0</v>
      </c>
      <c r="AW418" s="1">
        <v>0</v>
      </c>
      <c r="AX418" s="1">
        <v>1.0226989274133199E-2</v>
      </c>
      <c r="AY418" s="1">
        <v>0</v>
      </c>
      <c r="AZ418" s="1">
        <v>0</v>
      </c>
      <c r="BA418" s="1">
        <v>0.28460962833624343</v>
      </c>
      <c r="BB418" s="1">
        <v>4.5397854826640049E-2</v>
      </c>
      <c r="BC418" s="1">
        <v>0</v>
      </c>
      <c r="BD418" s="1">
        <v>0</v>
      </c>
      <c r="BE418" s="1">
        <v>9.4786729857819926E-2</v>
      </c>
      <c r="BF418" s="1">
        <v>2.4943876278373656E-4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3.4921426789723119E-2</v>
      </c>
      <c r="BO418" s="1">
        <v>4.9887752556747314E-3</v>
      </c>
      <c r="BP418" s="1">
        <v>0</v>
      </c>
      <c r="BQ418" s="1">
        <v>4.9887752556747314E-3</v>
      </c>
      <c r="BR418" s="1">
        <v>0</v>
      </c>
      <c r="BS418" s="1">
        <v>0</v>
      </c>
      <c r="BT418" s="1">
        <v>0</v>
      </c>
      <c r="BU418" s="1">
        <v>4.9887752556747314E-3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6.4854078323771505E-2</v>
      </c>
      <c r="CB418" s="1">
        <v>0</v>
      </c>
    </row>
    <row r="419" spans="1:80">
      <c r="A419">
        <v>418</v>
      </c>
      <c r="B419" t="s">
        <v>91</v>
      </c>
      <c r="C419" s="4" t="s">
        <v>173</v>
      </c>
      <c r="D419" s="4" t="s">
        <v>118</v>
      </c>
      <c r="E419" s="5">
        <v>40078</v>
      </c>
      <c r="F419" s="22">
        <v>40079</v>
      </c>
      <c r="G419">
        <v>909</v>
      </c>
      <c r="H419" s="4" t="s">
        <v>107</v>
      </c>
      <c r="I419" s="4" t="s">
        <v>109</v>
      </c>
      <c r="J419" s="4" t="str">
        <f t="shared" si="6"/>
        <v>u_con.c_rem</v>
      </c>
      <c r="K419" s="5">
        <v>2</v>
      </c>
      <c r="L419" s="1">
        <v>5.1493305870236889E-3</v>
      </c>
      <c r="M419" s="1">
        <v>0.10813594232749749</v>
      </c>
      <c r="N419" s="1">
        <v>6.6941297631307947E-2</v>
      </c>
      <c r="O419" s="1">
        <v>1.5447991761071067E-2</v>
      </c>
      <c r="P419" s="1">
        <v>0</v>
      </c>
      <c r="Q419" s="1">
        <v>5.1493305870236879E-2</v>
      </c>
      <c r="R419" s="1">
        <v>6.179196704428426E-2</v>
      </c>
      <c r="S419" s="1">
        <v>1.0298661174047378E-2</v>
      </c>
      <c r="T419" s="1">
        <v>0</v>
      </c>
      <c r="U419" s="1">
        <v>5.1493305870236889E-3</v>
      </c>
      <c r="V419" s="1">
        <v>0</v>
      </c>
      <c r="W419" s="1">
        <v>0</v>
      </c>
      <c r="X419" s="1">
        <v>0</v>
      </c>
      <c r="Y419" s="1">
        <v>4.6343975283213192E-2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1.0298661174047378E-2</v>
      </c>
      <c r="AF419" s="1">
        <v>0</v>
      </c>
      <c r="AG419" s="1">
        <v>0</v>
      </c>
      <c r="AH419" s="1">
        <v>0</v>
      </c>
      <c r="AI419" s="1">
        <v>5.1493305870236889E-3</v>
      </c>
      <c r="AJ419" s="1">
        <v>0</v>
      </c>
      <c r="AK419" s="1">
        <v>0</v>
      </c>
      <c r="AL419" s="1">
        <v>7.7239958805355322E-2</v>
      </c>
      <c r="AM419" s="1">
        <v>0</v>
      </c>
      <c r="AN419" s="1">
        <v>2.0597322348094756E-2</v>
      </c>
      <c r="AO419" s="1">
        <v>0</v>
      </c>
      <c r="AP419" s="1">
        <v>0</v>
      </c>
      <c r="AQ419" s="1">
        <v>0</v>
      </c>
      <c r="AR419" s="1">
        <v>0</v>
      </c>
      <c r="AS419" s="1">
        <v>5.1493305870236889E-3</v>
      </c>
      <c r="AT419" s="1">
        <v>0</v>
      </c>
      <c r="AU419" s="1">
        <v>0</v>
      </c>
      <c r="AV419" s="1">
        <v>0</v>
      </c>
      <c r="AW419" s="1">
        <v>0</v>
      </c>
      <c r="AX419" s="1">
        <v>5.1493305870236889E-3</v>
      </c>
      <c r="AY419" s="1">
        <v>0</v>
      </c>
      <c r="AZ419" s="1">
        <v>0</v>
      </c>
      <c r="BA419" s="1">
        <v>6.6941297631307947E-2</v>
      </c>
      <c r="BB419" s="1">
        <v>2.1112255406797124E-2</v>
      </c>
      <c r="BC419" s="1">
        <v>0</v>
      </c>
      <c r="BD419" s="1">
        <v>0</v>
      </c>
      <c r="BE419" s="1">
        <v>0.30895983522142129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2.1112255406797124E-2</v>
      </c>
      <c r="BL419" s="1">
        <v>0</v>
      </c>
      <c r="BM419" s="1">
        <v>0</v>
      </c>
      <c r="BN419" s="1">
        <v>1.0298661174047378E-2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5.1493305870236889E-3</v>
      </c>
      <c r="BY419" s="1">
        <v>0</v>
      </c>
      <c r="BZ419" s="1">
        <v>0</v>
      </c>
      <c r="CA419" s="1">
        <v>7.2090628218331662E-2</v>
      </c>
      <c r="CB419" s="1">
        <v>0</v>
      </c>
    </row>
    <row r="420" spans="1:80">
      <c r="A420">
        <v>419</v>
      </c>
      <c r="B420" t="s">
        <v>92</v>
      </c>
      <c r="C420" s="4" t="s">
        <v>173</v>
      </c>
      <c r="D420" s="4" t="s">
        <v>118</v>
      </c>
      <c r="E420" s="5">
        <v>40078</v>
      </c>
      <c r="F420" s="22">
        <v>40079</v>
      </c>
      <c r="G420">
        <v>909</v>
      </c>
      <c r="H420" s="4" t="s">
        <v>107</v>
      </c>
      <c r="I420" s="4" t="s">
        <v>108</v>
      </c>
      <c r="J420" s="4" t="str">
        <f t="shared" si="6"/>
        <v>u_con.c_con</v>
      </c>
      <c r="K420" s="5">
        <v>19</v>
      </c>
      <c r="L420" s="1">
        <v>5.2042674993494666E-3</v>
      </c>
      <c r="M420" s="1">
        <v>1.5612802498048401E-2</v>
      </c>
      <c r="N420" s="1">
        <v>6.2451209992193606E-2</v>
      </c>
      <c r="O420" s="1">
        <v>0</v>
      </c>
      <c r="P420" s="1">
        <v>0</v>
      </c>
      <c r="Q420" s="1">
        <v>2.6021337496747333E-2</v>
      </c>
      <c r="R420" s="1">
        <v>0.14051522248243561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1.5612802498048401E-2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2.6021337496747333E-4</v>
      </c>
      <c r="AH420" s="1">
        <v>5.2042674993494666E-3</v>
      </c>
      <c r="AI420" s="1">
        <v>2.0817069997397866E-2</v>
      </c>
      <c r="AJ420" s="1">
        <v>0</v>
      </c>
      <c r="AK420" s="1">
        <v>0</v>
      </c>
      <c r="AL420" s="1">
        <v>0.16133229247983347</v>
      </c>
      <c r="AM420" s="1">
        <v>0</v>
      </c>
      <c r="AN420" s="1">
        <v>1.0928961748633882E-2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0.29143897996357004</v>
      </c>
      <c r="BB420" s="1">
        <v>6.7655477491543076E-2</v>
      </c>
      <c r="BC420" s="1">
        <v>0</v>
      </c>
      <c r="BD420" s="1">
        <v>0</v>
      </c>
      <c r="BE420" s="1">
        <v>0.13010668748373672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2.6021337496747333E-2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5.2042674993494666E-3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1.5612802498048401E-2</v>
      </c>
      <c r="CB420" s="1">
        <v>0</v>
      </c>
    </row>
    <row r="421" spans="1:80">
      <c r="A421">
        <v>420</v>
      </c>
      <c r="B421" t="s">
        <v>93</v>
      </c>
      <c r="C421" s="4" t="s">
        <v>173</v>
      </c>
      <c r="D421" s="4" t="s">
        <v>118</v>
      </c>
      <c r="E421" s="5">
        <v>40078</v>
      </c>
      <c r="F421" s="22">
        <v>40079</v>
      </c>
      <c r="G421">
        <v>909</v>
      </c>
      <c r="H421" s="4" t="s">
        <v>107</v>
      </c>
      <c r="I421" s="4" t="s">
        <v>109</v>
      </c>
      <c r="J421" s="4" t="str">
        <f t="shared" si="6"/>
        <v>u_con.c_rem</v>
      </c>
      <c r="K421" s="5">
        <v>2</v>
      </c>
      <c r="L421">
        <v>4.7436187034108875E-3</v>
      </c>
      <c r="M421">
        <v>4.0885475491303364E-2</v>
      </c>
      <c r="N421">
        <v>0.13146600406595887</v>
      </c>
      <c r="O421">
        <v>4.5177320984865601E-3</v>
      </c>
      <c r="P421">
        <v>0</v>
      </c>
      <c r="Q421">
        <v>2.7106392590919355E-2</v>
      </c>
      <c r="R421">
        <v>9.0580528574655511E-2</v>
      </c>
      <c r="S421">
        <v>0</v>
      </c>
      <c r="T421">
        <v>0</v>
      </c>
      <c r="U421">
        <v>0</v>
      </c>
      <c r="V421">
        <v>0</v>
      </c>
      <c r="W421">
        <v>2.2588660492432798E-4</v>
      </c>
      <c r="X421">
        <v>4.5177320984865596E-4</v>
      </c>
      <c r="Y421">
        <v>2.7106392590919355E-2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1.8748588208719223E-2</v>
      </c>
      <c r="AF421">
        <v>0</v>
      </c>
      <c r="AG421">
        <v>1.807092839394624E-2</v>
      </c>
      <c r="AH421">
        <v>0</v>
      </c>
      <c r="AI421">
        <v>4.5177320984865601E-3</v>
      </c>
      <c r="AJ421">
        <v>0</v>
      </c>
      <c r="AK421">
        <v>0</v>
      </c>
      <c r="AL421">
        <v>4.7436187034108875E-3</v>
      </c>
      <c r="AM421">
        <v>0</v>
      </c>
      <c r="AN421">
        <v>4.7436187034108875E-3</v>
      </c>
      <c r="AO421">
        <v>0</v>
      </c>
      <c r="AP421">
        <v>0</v>
      </c>
      <c r="AQ421">
        <v>0</v>
      </c>
      <c r="AR421">
        <v>0</v>
      </c>
      <c r="AS421">
        <v>9.0354641969731201E-3</v>
      </c>
      <c r="AT421">
        <v>2.2588660492432798E-4</v>
      </c>
      <c r="AU421">
        <v>0</v>
      </c>
      <c r="AV421">
        <v>0</v>
      </c>
      <c r="AW421">
        <v>0</v>
      </c>
      <c r="AX421">
        <v>2.2588660492432798E-4</v>
      </c>
      <c r="AY421">
        <v>0</v>
      </c>
      <c r="AZ421">
        <v>4.5177320984865601E-3</v>
      </c>
      <c r="BA421">
        <v>0.2173029139372035</v>
      </c>
      <c r="BB421">
        <v>9.0806415179579839E-2</v>
      </c>
      <c r="BC421">
        <v>0</v>
      </c>
      <c r="BD421">
        <v>0</v>
      </c>
      <c r="BE421">
        <v>0.15428055116331602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4.5177320984865601E-3</v>
      </c>
      <c r="BL421">
        <v>0</v>
      </c>
      <c r="BM421">
        <v>0</v>
      </c>
      <c r="BN421">
        <v>2.7558165800768013E-2</v>
      </c>
      <c r="BO421">
        <v>0</v>
      </c>
      <c r="BP421">
        <v>2.2588660492432798E-4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0.11316918906708832</v>
      </c>
      <c r="CB421">
        <v>0</v>
      </c>
    </row>
    <row r="422" spans="1:80">
      <c r="A422">
        <v>421</v>
      </c>
      <c r="B422" t="s">
        <v>94</v>
      </c>
      <c r="C422" s="4" t="s">
        <v>174</v>
      </c>
      <c r="D422" s="4" t="s">
        <v>118</v>
      </c>
      <c r="E422" s="5">
        <v>40078</v>
      </c>
      <c r="F422" s="22">
        <v>40079</v>
      </c>
      <c r="G422">
        <v>909</v>
      </c>
      <c r="H422" s="4" t="s">
        <v>110</v>
      </c>
      <c r="I422" s="4" t="s">
        <v>108</v>
      </c>
      <c r="J422" s="4" t="str">
        <f t="shared" si="6"/>
        <v>u_rem.c_con</v>
      </c>
      <c r="K422" s="5">
        <v>8</v>
      </c>
      <c r="L422">
        <v>5.3939962476547846E-3</v>
      </c>
      <c r="M422">
        <v>9.920262664165104E-2</v>
      </c>
      <c r="N422">
        <v>0.45028142589118186</v>
      </c>
      <c r="O422">
        <v>0</v>
      </c>
      <c r="P422">
        <v>0</v>
      </c>
      <c r="Q422">
        <v>4.6904315196998128E-3</v>
      </c>
      <c r="R422">
        <v>8.9118198874296436E-2</v>
      </c>
      <c r="S422">
        <v>4.6904315196998124E-4</v>
      </c>
      <c r="T422">
        <v>2.3452157598499062E-4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1.9230769230769232E-2</v>
      </c>
      <c r="AF422">
        <v>0</v>
      </c>
      <c r="AG422">
        <v>0</v>
      </c>
      <c r="AH422">
        <v>1.9465290806754222E-2</v>
      </c>
      <c r="AI422">
        <v>2.3921200750469045E-2</v>
      </c>
      <c r="AJ422">
        <v>4.6904315196998128E-3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9.6153846153846159E-3</v>
      </c>
      <c r="AT422">
        <v>5.6285178236397749E-3</v>
      </c>
      <c r="AU422">
        <v>0</v>
      </c>
      <c r="AV422">
        <v>0</v>
      </c>
      <c r="AW422">
        <v>1.430581613508443E-2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2.3452157598499062E-4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4.6904315196998128E-3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0.24882739212007499</v>
      </c>
      <c r="CB422">
        <v>0</v>
      </c>
    </row>
    <row r="423" spans="1:80">
      <c r="A423">
        <v>422</v>
      </c>
      <c r="B423" t="s">
        <v>95</v>
      </c>
      <c r="C423" s="4" t="s">
        <v>174</v>
      </c>
      <c r="D423" s="4" t="s">
        <v>118</v>
      </c>
      <c r="E423" s="5">
        <v>40078</v>
      </c>
      <c r="F423" s="22">
        <v>40079</v>
      </c>
      <c r="G423">
        <v>909</v>
      </c>
      <c r="H423" s="4" t="s">
        <v>110</v>
      </c>
      <c r="I423" s="4" t="s">
        <v>109</v>
      </c>
      <c r="J423" s="4" t="str">
        <f t="shared" si="6"/>
        <v>u_rem.c_rem</v>
      </c>
      <c r="K423" s="5">
        <v>1</v>
      </c>
      <c r="L423">
        <v>1.5985790408525762E-2</v>
      </c>
      <c r="M423">
        <v>7.130170007612284E-2</v>
      </c>
      <c r="N423">
        <v>0.26922100989596559</v>
      </c>
      <c r="O423">
        <v>3.0449124587668113E-2</v>
      </c>
      <c r="P423">
        <v>0</v>
      </c>
      <c r="Q423">
        <v>6.1151991880233451E-2</v>
      </c>
      <c r="R423">
        <v>0</v>
      </c>
      <c r="S423">
        <v>0</v>
      </c>
      <c r="T423">
        <v>5.0748540979446855E-3</v>
      </c>
      <c r="U423">
        <v>0</v>
      </c>
      <c r="V423">
        <v>0</v>
      </c>
      <c r="W423">
        <v>0</v>
      </c>
      <c r="X423">
        <v>5.3285968028419202E-3</v>
      </c>
      <c r="Y423">
        <v>0</v>
      </c>
      <c r="Z423">
        <v>3.0702867292565345E-2</v>
      </c>
      <c r="AA423">
        <v>0</v>
      </c>
      <c r="AB423">
        <v>0</v>
      </c>
      <c r="AC423">
        <v>0</v>
      </c>
      <c r="AD423">
        <v>0</v>
      </c>
      <c r="AE423">
        <v>4.0598832783557477E-2</v>
      </c>
      <c r="AF423">
        <v>0</v>
      </c>
      <c r="AG423">
        <v>0</v>
      </c>
      <c r="AH423">
        <v>2.5881755899517897E-2</v>
      </c>
      <c r="AI423">
        <v>7.6122811469170298E-2</v>
      </c>
      <c r="AJ423">
        <v>0.18802334432885057</v>
      </c>
      <c r="AK423">
        <v>0</v>
      </c>
      <c r="AL423">
        <v>0</v>
      </c>
      <c r="AM423">
        <v>0</v>
      </c>
      <c r="AN423">
        <v>2.5374270489723428E-4</v>
      </c>
      <c r="AO423">
        <v>0</v>
      </c>
      <c r="AP423">
        <v>0</v>
      </c>
      <c r="AQ423">
        <v>0</v>
      </c>
      <c r="AR423">
        <v>0</v>
      </c>
      <c r="AS423">
        <v>7.6122811469170283E-4</v>
      </c>
      <c r="AT423">
        <v>6.3435676224308582E-3</v>
      </c>
      <c r="AU423">
        <v>0</v>
      </c>
      <c r="AV423">
        <v>0</v>
      </c>
      <c r="AW423">
        <v>5.3285968028419202E-3</v>
      </c>
      <c r="AX423">
        <v>5.0748540979446855E-3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5.0748540979446855E-3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5.0748540979446855E-3</v>
      </c>
      <c r="BY423">
        <v>0</v>
      </c>
      <c r="BZ423">
        <v>0</v>
      </c>
      <c r="CA423">
        <v>0.1522456229383406</v>
      </c>
      <c r="CB423">
        <v>0</v>
      </c>
    </row>
    <row r="424" spans="1:80">
      <c r="A424">
        <v>423</v>
      </c>
      <c r="B424" t="s">
        <v>96</v>
      </c>
      <c r="C424" s="4" t="s">
        <v>174</v>
      </c>
      <c r="D424" s="4" t="s">
        <v>118</v>
      </c>
      <c r="E424" s="5">
        <v>40078</v>
      </c>
      <c r="F424" s="22">
        <v>40079</v>
      </c>
      <c r="G424">
        <v>909</v>
      </c>
      <c r="H424" s="4" t="s">
        <v>110</v>
      </c>
      <c r="I424" s="4" t="s">
        <v>109</v>
      </c>
      <c r="J424" s="4" t="str">
        <f t="shared" si="6"/>
        <v>u_rem.c_rem</v>
      </c>
      <c r="K424" s="5">
        <v>1</v>
      </c>
      <c r="L424">
        <v>5.2439580483356132E-3</v>
      </c>
      <c r="M424">
        <v>7.8887368901048763E-2</v>
      </c>
      <c r="N424">
        <v>0.35567715458276328</v>
      </c>
      <c r="O424">
        <v>4.5599635202918376E-3</v>
      </c>
      <c r="P424">
        <v>0</v>
      </c>
      <c r="Q424">
        <v>4.5599635202918376E-3</v>
      </c>
      <c r="R424">
        <v>4.5599635202918376E-3</v>
      </c>
      <c r="S424">
        <v>0</v>
      </c>
      <c r="T424">
        <v>1.3679890560875513E-2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4.7879616963064295E-3</v>
      </c>
      <c r="AF424">
        <v>0</v>
      </c>
      <c r="AG424">
        <v>0</v>
      </c>
      <c r="AH424">
        <v>4.5599635202918376E-3</v>
      </c>
      <c r="AI424">
        <v>3.7391700866393061E-2</v>
      </c>
      <c r="AJ424">
        <v>0.31919744642042852</v>
      </c>
      <c r="AK424">
        <v>0</v>
      </c>
      <c r="AL424">
        <v>0</v>
      </c>
      <c r="AM424">
        <v>0</v>
      </c>
      <c r="AN424">
        <v>2.348381212950296E-2</v>
      </c>
      <c r="AO424">
        <v>0</v>
      </c>
      <c r="AP424">
        <v>0</v>
      </c>
      <c r="AQ424">
        <v>0</v>
      </c>
      <c r="AR424">
        <v>0</v>
      </c>
      <c r="AS424">
        <v>2.7815777473780206E-2</v>
      </c>
      <c r="AT424">
        <v>2.8955768353853165E-2</v>
      </c>
      <c r="AU424">
        <v>0</v>
      </c>
      <c r="AV424">
        <v>0</v>
      </c>
      <c r="AW424">
        <v>1.823985408116735E-2</v>
      </c>
      <c r="AX424">
        <v>2.7359781121751022E-2</v>
      </c>
      <c r="AY424">
        <v>0</v>
      </c>
      <c r="AZ424">
        <v>4.5599635202918376E-3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4.5599635202918376E-3</v>
      </c>
      <c r="BZ424">
        <v>0</v>
      </c>
      <c r="CA424">
        <v>3.1919744642042856E-2</v>
      </c>
      <c r="CB424">
        <v>0</v>
      </c>
    </row>
    <row r="425" spans="1:80">
      <c r="A425">
        <v>424</v>
      </c>
      <c r="B425" t="s">
        <v>97</v>
      </c>
      <c r="C425" s="4" t="s">
        <v>174</v>
      </c>
      <c r="D425" s="4" t="s">
        <v>118</v>
      </c>
      <c r="E425" s="5">
        <v>40078</v>
      </c>
      <c r="F425" s="22">
        <v>40079</v>
      </c>
      <c r="G425">
        <v>909</v>
      </c>
      <c r="H425" s="4" t="s">
        <v>110</v>
      </c>
      <c r="I425" s="4" t="s">
        <v>108</v>
      </c>
      <c r="J425" s="4" t="str">
        <f t="shared" si="6"/>
        <v>u_rem.c_con</v>
      </c>
      <c r="K425" s="5">
        <v>8</v>
      </c>
      <c r="L425">
        <v>0</v>
      </c>
      <c r="M425">
        <v>0.10033792565635562</v>
      </c>
      <c r="N425">
        <v>0.15102677410969589</v>
      </c>
      <c r="O425">
        <v>3.1453080322329088E-2</v>
      </c>
      <c r="P425">
        <v>0</v>
      </c>
      <c r="Q425">
        <v>1.0397712503249286E-2</v>
      </c>
      <c r="R425">
        <v>0.2965947491551858</v>
      </c>
      <c r="S425">
        <v>0</v>
      </c>
      <c r="T425">
        <v>5.4587990642058753E-3</v>
      </c>
      <c r="U425">
        <v>0</v>
      </c>
      <c r="V425">
        <v>0</v>
      </c>
      <c r="W425">
        <v>0</v>
      </c>
      <c r="X425">
        <v>1.0657655315830518E-2</v>
      </c>
      <c r="Y425">
        <v>5.198856251624643E-3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1.5596568754873931E-2</v>
      </c>
      <c r="AF425">
        <v>0</v>
      </c>
      <c r="AG425">
        <v>0</v>
      </c>
      <c r="AH425">
        <v>6.2386275019495722E-3</v>
      </c>
      <c r="AI425">
        <v>1.1437483753574215E-2</v>
      </c>
      <c r="AJ425">
        <v>7.2783987522744995E-2</v>
      </c>
      <c r="AK425">
        <v>0</v>
      </c>
      <c r="AL425">
        <v>0</v>
      </c>
      <c r="AM425">
        <v>0</v>
      </c>
      <c r="AN425">
        <v>5.1988562516246432E-4</v>
      </c>
      <c r="AO425">
        <v>0</v>
      </c>
      <c r="AP425">
        <v>0</v>
      </c>
      <c r="AQ425">
        <v>0</v>
      </c>
      <c r="AR425">
        <v>0</v>
      </c>
      <c r="AS425">
        <v>3.6391993761372497E-2</v>
      </c>
      <c r="AT425">
        <v>5.1988562516246432E-4</v>
      </c>
      <c r="AU425">
        <v>0</v>
      </c>
      <c r="AV425">
        <v>0</v>
      </c>
      <c r="AW425">
        <v>2.5994281258123216E-4</v>
      </c>
      <c r="AX425">
        <v>2.1315310631661036E-2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2.5994281258123216E-4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1.5596568754873931E-2</v>
      </c>
      <c r="BY425">
        <v>0</v>
      </c>
      <c r="BZ425">
        <v>0</v>
      </c>
      <c r="CA425">
        <v>0.20795425006498572</v>
      </c>
      <c r="CB425">
        <v>0</v>
      </c>
    </row>
    <row r="426" spans="1:80">
      <c r="A426">
        <v>425</v>
      </c>
      <c r="B426" t="s">
        <v>98</v>
      </c>
      <c r="C426" s="4" t="s">
        <v>175</v>
      </c>
      <c r="D426" s="4" t="s">
        <v>118</v>
      </c>
      <c r="E426" s="5">
        <v>40078</v>
      </c>
      <c r="F426" s="22">
        <v>40079</v>
      </c>
      <c r="G426">
        <v>909</v>
      </c>
      <c r="H426" s="4" t="s">
        <v>107</v>
      </c>
      <c r="I426" s="4" t="s">
        <v>109</v>
      </c>
      <c r="J426" s="4" t="str">
        <f t="shared" si="6"/>
        <v>u_con.c_rem</v>
      </c>
      <c r="K426" s="5">
        <v>2</v>
      </c>
      <c r="L426" s="1">
        <v>0</v>
      </c>
      <c r="M426" s="1">
        <v>8.2554855529002866E-2</v>
      </c>
      <c r="N426" s="1">
        <v>3.9104931566369759E-2</v>
      </c>
      <c r="O426" s="1">
        <v>0</v>
      </c>
      <c r="P426" s="1">
        <v>0</v>
      </c>
      <c r="Q426" s="1">
        <v>1.3034977188789923E-2</v>
      </c>
      <c r="R426" s="1">
        <v>0</v>
      </c>
      <c r="S426" s="1">
        <v>0</v>
      </c>
      <c r="T426" s="1">
        <v>8.6899847925266151E-3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6.5174885943949615E-2</v>
      </c>
      <c r="AI426" s="1">
        <v>0</v>
      </c>
      <c r="AJ426" s="1">
        <v>0</v>
      </c>
      <c r="AK426" s="1">
        <v>0</v>
      </c>
      <c r="AL426" s="1">
        <v>0.29111449054964156</v>
      </c>
      <c r="AM426" s="1">
        <v>0</v>
      </c>
      <c r="AN426" s="1">
        <v>1.325222680860309E-2</v>
      </c>
      <c r="AO426" s="1">
        <v>0</v>
      </c>
      <c r="AP426" s="1">
        <v>0</v>
      </c>
      <c r="AQ426" s="1">
        <v>0</v>
      </c>
      <c r="AR426" s="1">
        <v>0</v>
      </c>
      <c r="AS426" s="1">
        <v>3.4759939170106453E-2</v>
      </c>
      <c r="AT426" s="1">
        <v>2.1724961981316537E-4</v>
      </c>
      <c r="AU426" s="1">
        <v>0</v>
      </c>
      <c r="AV426" s="1">
        <v>0</v>
      </c>
      <c r="AW426" s="1">
        <v>4.3449923962633075E-3</v>
      </c>
      <c r="AX426" s="1">
        <v>0</v>
      </c>
      <c r="AY426" s="1">
        <v>4.3449923962633075E-3</v>
      </c>
      <c r="AZ426" s="1">
        <v>0</v>
      </c>
      <c r="BA426" s="1">
        <v>4.5622420160764728E-3</v>
      </c>
      <c r="BB426" s="1">
        <v>0</v>
      </c>
      <c r="BC426" s="1">
        <v>0</v>
      </c>
      <c r="BD426" s="1">
        <v>0</v>
      </c>
      <c r="BE426" s="1">
        <v>0.16945470345426894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1.737996958505323E-2</v>
      </c>
      <c r="BQ426" s="1">
        <v>4.3449923962633075E-3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4.3449923962633075E-3</v>
      </c>
      <c r="BY426" s="1">
        <v>0</v>
      </c>
      <c r="BZ426" s="1">
        <v>0</v>
      </c>
      <c r="CA426" s="1">
        <v>0.23462958939821857</v>
      </c>
      <c r="CB426" s="1">
        <v>0</v>
      </c>
    </row>
    <row r="427" spans="1:80">
      <c r="A427">
        <v>426</v>
      </c>
      <c r="B427" t="s">
        <v>99</v>
      </c>
      <c r="C427" s="4" t="s">
        <v>175</v>
      </c>
      <c r="D427" s="4" t="s">
        <v>118</v>
      </c>
      <c r="E427" s="5">
        <v>40078</v>
      </c>
      <c r="F427" s="22">
        <v>40079</v>
      </c>
      <c r="G427">
        <v>909</v>
      </c>
      <c r="H427" s="4" t="s">
        <v>107</v>
      </c>
      <c r="I427" s="4" t="s">
        <v>108</v>
      </c>
      <c r="J427" s="4" t="str">
        <f t="shared" si="6"/>
        <v>u_con.c_con</v>
      </c>
      <c r="K427" s="5">
        <v>19</v>
      </c>
      <c r="L427" s="1">
        <v>0</v>
      </c>
      <c r="M427" s="1">
        <v>9.7843728263389759E-2</v>
      </c>
      <c r="N427" s="1">
        <v>8.8105726872246701E-2</v>
      </c>
      <c r="O427" s="1">
        <v>0</v>
      </c>
      <c r="P427" s="1">
        <v>0</v>
      </c>
      <c r="Q427" s="1">
        <v>4.6371435195919309E-3</v>
      </c>
      <c r="R427" s="1">
        <v>0</v>
      </c>
      <c r="S427" s="1">
        <v>0</v>
      </c>
      <c r="T427" s="1">
        <v>0.12520287502898214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4.6371435195919309E-3</v>
      </c>
      <c r="AA427" s="1">
        <v>0</v>
      </c>
      <c r="AB427" s="1">
        <v>0</v>
      </c>
      <c r="AC427" s="1">
        <v>0</v>
      </c>
      <c r="AD427" s="1">
        <v>0</v>
      </c>
      <c r="AE427" s="1">
        <v>4.6371435195919309E-3</v>
      </c>
      <c r="AF427" s="1">
        <v>0</v>
      </c>
      <c r="AG427" s="1">
        <v>0</v>
      </c>
      <c r="AH427" s="1">
        <v>0.12520287502898217</v>
      </c>
      <c r="AI427" s="1">
        <v>0</v>
      </c>
      <c r="AJ427" s="1">
        <v>6.9557152793878974E-2</v>
      </c>
      <c r="AK427" s="1">
        <v>0</v>
      </c>
      <c r="AL427" s="1">
        <v>0</v>
      </c>
      <c r="AM427" s="1">
        <v>0</v>
      </c>
      <c r="AN427" s="1">
        <v>2.8054718293531181E-2</v>
      </c>
      <c r="AO427" s="1">
        <v>0</v>
      </c>
      <c r="AP427" s="1">
        <v>0</v>
      </c>
      <c r="AQ427" s="1">
        <v>0</v>
      </c>
      <c r="AR427" s="1">
        <v>0</v>
      </c>
      <c r="AS427" s="1">
        <v>2.364943194991885E-2</v>
      </c>
      <c r="AT427" s="1">
        <v>9.2742870391838625E-4</v>
      </c>
      <c r="AU427" s="1">
        <v>0</v>
      </c>
      <c r="AV427" s="1">
        <v>0</v>
      </c>
      <c r="AW427" s="1">
        <v>4.6371435195919309E-3</v>
      </c>
      <c r="AX427" s="1">
        <v>4.8690006955715284E-3</v>
      </c>
      <c r="AY427" s="1">
        <v>0</v>
      </c>
      <c r="AZ427" s="1">
        <v>0</v>
      </c>
      <c r="BA427" s="1">
        <v>5.6109436587062377E-2</v>
      </c>
      <c r="BB427" s="1">
        <v>0</v>
      </c>
      <c r="BC427" s="1">
        <v>0</v>
      </c>
      <c r="BD427" s="1">
        <v>0</v>
      </c>
      <c r="BE427" s="1">
        <v>0.22258288894041264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4.6371435195919309E-3</v>
      </c>
      <c r="BQ427" s="1">
        <v>1.4143287734755393E-2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0.12056573150939021</v>
      </c>
      <c r="CB427" s="1">
        <v>0</v>
      </c>
    </row>
    <row r="428" spans="1:80">
      <c r="A428">
        <v>427</v>
      </c>
      <c r="B428" t="s">
        <v>100</v>
      </c>
      <c r="C428" s="4" t="s">
        <v>175</v>
      </c>
      <c r="D428" s="4" t="s">
        <v>118</v>
      </c>
      <c r="E428" s="5">
        <v>40078</v>
      </c>
      <c r="F428" s="22">
        <v>40079</v>
      </c>
      <c r="G428">
        <v>909</v>
      </c>
      <c r="H428" s="4" t="s">
        <v>107</v>
      </c>
      <c r="I428" s="4" t="s">
        <v>109</v>
      </c>
      <c r="J428" s="4" t="str">
        <f t="shared" si="6"/>
        <v>u_con.c_rem</v>
      </c>
      <c r="K428" s="5">
        <v>2</v>
      </c>
      <c r="L428">
        <v>5.1948051948051957E-3</v>
      </c>
      <c r="M428">
        <v>0.23164108618654072</v>
      </c>
      <c r="N428">
        <v>0.11334120425029519</v>
      </c>
      <c r="O428">
        <v>0</v>
      </c>
      <c r="P428">
        <v>0</v>
      </c>
      <c r="Q428">
        <v>4.7225501770956314E-3</v>
      </c>
      <c r="R428">
        <v>0</v>
      </c>
      <c r="S428">
        <v>0</v>
      </c>
      <c r="T428">
        <v>5.3128689492325847E-2</v>
      </c>
      <c r="U428">
        <v>0</v>
      </c>
      <c r="V428">
        <v>0</v>
      </c>
      <c r="W428">
        <v>0</v>
      </c>
      <c r="X428">
        <v>0</v>
      </c>
      <c r="Y428">
        <v>4.7225501770956314E-3</v>
      </c>
      <c r="Z428">
        <v>0</v>
      </c>
      <c r="AA428">
        <v>0</v>
      </c>
      <c r="AB428">
        <v>0</v>
      </c>
      <c r="AC428">
        <v>0</v>
      </c>
      <c r="AD428">
        <v>1.4167650531286897E-2</v>
      </c>
      <c r="AE428">
        <v>1.4403778040141679E-2</v>
      </c>
      <c r="AF428">
        <v>0</v>
      </c>
      <c r="AG428">
        <v>0</v>
      </c>
      <c r="AH428">
        <v>2.9043683589138135E-2</v>
      </c>
      <c r="AI428">
        <v>2.8571428571428571E-2</v>
      </c>
      <c r="AJ428">
        <v>1.0389610389610391E-2</v>
      </c>
      <c r="AK428">
        <v>0</v>
      </c>
      <c r="AL428">
        <v>0</v>
      </c>
      <c r="AM428">
        <v>0</v>
      </c>
      <c r="AN428">
        <v>1.5112160566706024E-2</v>
      </c>
      <c r="AO428">
        <v>0</v>
      </c>
      <c r="AP428">
        <v>0</v>
      </c>
      <c r="AQ428">
        <v>0</v>
      </c>
      <c r="AR428">
        <v>0</v>
      </c>
      <c r="AS428">
        <v>2.4557260920897283E-2</v>
      </c>
      <c r="AT428">
        <v>1.1334120425029516E-2</v>
      </c>
      <c r="AU428">
        <v>0</v>
      </c>
      <c r="AV428">
        <v>0</v>
      </c>
      <c r="AW428">
        <v>0</v>
      </c>
      <c r="AX428">
        <v>2.3612750885478159E-4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0.23140495867768593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4.7225501770956314E-3</v>
      </c>
      <c r="BP428">
        <v>4.7225501770956314E-3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0.19362455726092087</v>
      </c>
      <c r="CB428">
        <v>0</v>
      </c>
    </row>
    <row r="429" spans="1:80">
      <c r="A429">
        <v>428</v>
      </c>
      <c r="B429" t="s">
        <v>101</v>
      </c>
      <c r="C429" s="4" t="s">
        <v>175</v>
      </c>
      <c r="D429" s="4" t="s">
        <v>118</v>
      </c>
      <c r="E429" s="5">
        <v>40078</v>
      </c>
      <c r="F429" s="22">
        <v>40079</v>
      </c>
      <c r="G429">
        <v>909</v>
      </c>
      <c r="H429" s="4" t="s">
        <v>107</v>
      </c>
      <c r="I429" s="4" t="s">
        <v>108</v>
      </c>
      <c r="J429" s="4" t="str">
        <f t="shared" si="6"/>
        <v>u_con.c_con</v>
      </c>
      <c r="K429" s="5">
        <v>19</v>
      </c>
      <c r="L429" s="1">
        <v>0</v>
      </c>
      <c r="M429" s="1">
        <v>0.18068401806840176</v>
      </c>
      <c r="N429" s="1">
        <v>8.1738008173800836E-2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9.8946009894600978E-2</v>
      </c>
      <c r="U429" s="1">
        <v>0</v>
      </c>
      <c r="V429" s="1">
        <v>0</v>
      </c>
      <c r="W429" s="1">
        <v>0</v>
      </c>
      <c r="X429" s="1">
        <v>8.6040008604000868E-3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4.3020004302000434E-3</v>
      </c>
      <c r="AF429" s="1">
        <v>0</v>
      </c>
      <c r="AG429" s="1">
        <v>0</v>
      </c>
      <c r="AH429" s="1">
        <v>0.11615401161540119</v>
      </c>
      <c r="AI429" s="1">
        <v>0</v>
      </c>
      <c r="AJ429" s="1">
        <v>8.6040008604000868E-3</v>
      </c>
      <c r="AK429" s="1">
        <v>0</v>
      </c>
      <c r="AL429" s="1">
        <v>0</v>
      </c>
      <c r="AM429" s="1">
        <v>0</v>
      </c>
      <c r="AN429" s="1">
        <v>1.7208001720800174E-2</v>
      </c>
      <c r="AO429" s="1">
        <v>0</v>
      </c>
      <c r="AP429" s="1">
        <v>0</v>
      </c>
      <c r="AQ429" s="1">
        <v>0</v>
      </c>
      <c r="AR429" s="1">
        <v>0</v>
      </c>
      <c r="AS429" s="1">
        <v>5.6356205635620563E-2</v>
      </c>
      <c r="AT429" s="1">
        <v>1.7638201763820176E-2</v>
      </c>
      <c r="AU429" s="1">
        <v>0</v>
      </c>
      <c r="AV429" s="1">
        <v>0</v>
      </c>
      <c r="AW429" s="1">
        <v>0</v>
      </c>
      <c r="AX429" s="1">
        <v>2.1510002151000213E-2</v>
      </c>
      <c r="AY429" s="1">
        <v>1.3121101312110132E-2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6.9047106904710692E-2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1.7208001720800174E-2</v>
      </c>
      <c r="BO429" s="1">
        <v>0</v>
      </c>
      <c r="BP429" s="1">
        <v>0</v>
      </c>
      <c r="BQ429" s="1">
        <v>4.3020004302000434E-3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4.3020004302000427E-4</v>
      </c>
      <c r="BY429" s="1">
        <v>4.3020004302000434E-3</v>
      </c>
      <c r="BZ429" s="1">
        <v>0</v>
      </c>
      <c r="CA429" s="1">
        <v>0.27102602710260265</v>
      </c>
      <c r="CB429" s="1">
        <v>4.3020004302000434E-3</v>
      </c>
    </row>
    <row r="430" spans="1:80">
      <c r="A430">
        <v>429</v>
      </c>
      <c r="B430" t="s">
        <v>102</v>
      </c>
      <c r="C430" s="4" t="s">
        <v>176</v>
      </c>
      <c r="D430" s="4" t="s">
        <v>118</v>
      </c>
      <c r="E430" s="5">
        <v>40078</v>
      </c>
      <c r="F430" s="22">
        <v>40079</v>
      </c>
      <c r="G430">
        <v>909</v>
      </c>
      <c r="H430" s="4" t="s">
        <v>110</v>
      </c>
      <c r="I430" s="4" t="s">
        <v>108</v>
      </c>
      <c r="J430" s="4" t="str">
        <f t="shared" si="6"/>
        <v>u_rem.c_con</v>
      </c>
      <c r="K430" s="5">
        <v>8</v>
      </c>
      <c r="L430">
        <v>4.8134777376654635E-3</v>
      </c>
      <c r="M430">
        <v>6.3056558363417572E-2</v>
      </c>
      <c r="N430">
        <v>2.9121540312876053E-2</v>
      </c>
      <c r="O430">
        <v>0</v>
      </c>
      <c r="P430">
        <v>0</v>
      </c>
      <c r="Q430">
        <v>5.29482551143201E-3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1.0108303249097474E-2</v>
      </c>
      <c r="AF430">
        <v>0</v>
      </c>
      <c r="AG430">
        <v>5.0541516245487372E-3</v>
      </c>
      <c r="AH430">
        <v>0</v>
      </c>
      <c r="AI430">
        <v>9.8676293622142006E-3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0.34657039711191334</v>
      </c>
      <c r="AP430">
        <v>4.8134777376654635E-3</v>
      </c>
      <c r="AQ430">
        <v>3.8507821901323708E-2</v>
      </c>
      <c r="AR430">
        <v>0</v>
      </c>
      <c r="AS430">
        <v>5.2948255114320109E-3</v>
      </c>
      <c r="AT430">
        <v>0</v>
      </c>
      <c r="AU430">
        <v>0</v>
      </c>
      <c r="AV430">
        <v>0</v>
      </c>
      <c r="AW430">
        <v>0</v>
      </c>
      <c r="AX430">
        <v>4.8134777376654636E-4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0.16389891696750902</v>
      </c>
      <c r="BF430">
        <v>2.4067388688327318E-4</v>
      </c>
      <c r="BG430">
        <v>0</v>
      </c>
      <c r="BH430">
        <v>0</v>
      </c>
      <c r="BI430">
        <v>1.444043321299639E-2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4.8134777376654635E-3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0.23104693140794225</v>
      </c>
      <c r="CB430">
        <v>0</v>
      </c>
    </row>
    <row r="431" spans="1:80">
      <c r="A431">
        <v>430</v>
      </c>
      <c r="B431" t="s">
        <v>103</v>
      </c>
      <c r="C431" s="4" t="s">
        <v>176</v>
      </c>
      <c r="D431" s="4" t="s">
        <v>118</v>
      </c>
      <c r="E431" s="5">
        <v>40078</v>
      </c>
      <c r="F431" s="22">
        <v>40079</v>
      </c>
      <c r="G431">
        <v>909</v>
      </c>
      <c r="H431" s="4" t="s">
        <v>110</v>
      </c>
      <c r="I431" s="4" t="s">
        <v>109</v>
      </c>
      <c r="J431" s="4" t="str">
        <f t="shared" si="6"/>
        <v>u_rem.c_rem</v>
      </c>
      <c r="K431" s="5">
        <v>1</v>
      </c>
      <c r="L431">
        <v>1.257071024512885E-2</v>
      </c>
      <c r="M431">
        <v>5.1120888330190642E-2</v>
      </c>
      <c r="N431">
        <v>0.15084852294154619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1.6760946993505131E-2</v>
      </c>
      <c r="AD431">
        <v>0</v>
      </c>
      <c r="AE431">
        <v>0</v>
      </c>
      <c r="AF431">
        <v>0</v>
      </c>
      <c r="AG431">
        <v>4.1902367483762828E-3</v>
      </c>
      <c r="AH431">
        <v>0</v>
      </c>
      <c r="AI431">
        <v>6.767232348627697E-2</v>
      </c>
      <c r="AJ431">
        <v>0</v>
      </c>
      <c r="AK431">
        <v>0</v>
      </c>
      <c r="AL431">
        <v>0</v>
      </c>
      <c r="AM431">
        <v>0</v>
      </c>
      <c r="AN431">
        <v>4.2111879321181642E-2</v>
      </c>
      <c r="AO431">
        <v>1.3827781269641735E-2</v>
      </c>
      <c r="AP431">
        <v>0</v>
      </c>
      <c r="AQ431">
        <v>0</v>
      </c>
      <c r="AR431">
        <v>0</v>
      </c>
      <c r="AS431">
        <v>8.5899853341713812E-3</v>
      </c>
      <c r="AT431">
        <v>1.4665828619316991E-3</v>
      </c>
      <c r="AU431">
        <v>1.257071024512885E-2</v>
      </c>
      <c r="AV431">
        <v>4.190236748376283E-4</v>
      </c>
      <c r="AW431">
        <v>4.1902367483762828E-3</v>
      </c>
      <c r="AX431">
        <v>2.0951183741881415E-4</v>
      </c>
      <c r="AY431">
        <v>0</v>
      </c>
      <c r="AZ431">
        <v>4.3997485857950975E-3</v>
      </c>
      <c r="BA431">
        <v>0.25141420490257693</v>
      </c>
      <c r="BB431">
        <v>8.3804734967525656E-3</v>
      </c>
      <c r="BC431">
        <v>0</v>
      </c>
      <c r="BD431">
        <v>0</v>
      </c>
      <c r="BE431">
        <v>0.25979467839932952</v>
      </c>
      <c r="BF431">
        <v>0</v>
      </c>
      <c r="BG431">
        <v>0</v>
      </c>
      <c r="BH431">
        <v>0</v>
      </c>
      <c r="BI431">
        <v>3.7921642572805357E-2</v>
      </c>
      <c r="BJ431">
        <v>0</v>
      </c>
      <c r="BK431">
        <v>0</v>
      </c>
      <c r="BL431">
        <v>0</v>
      </c>
      <c r="BM431">
        <v>0</v>
      </c>
      <c r="BN431">
        <v>4.1902367483762828E-3</v>
      </c>
      <c r="BO431">
        <v>0</v>
      </c>
      <c r="BP431">
        <v>2.1370207416719043E-2</v>
      </c>
      <c r="BQ431">
        <v>8.380473496752566E-4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4.1902367483762828E-3</v>
      </c>
      <c r="BY431">
        <v>0</v>
      </c>
      <c r="BZ431">
        <v>0</v>
      </c>
      <c r="CA431">
        <v>2.0951183741881416E-2</v>
      </c>
      <c r="CB431">
        <v>0</v>
      </c>
    </row>
    <row r="432" spans="1:80">
      <c r="A432">
        <v>431</v>
      </c>
      <c r="B432" t="s">
        <v>104</v>
      </c>
      <c r="C432" s="4" t="s">
        <v>176</v>
      </c>
      <c r="D432" s="4" t="s">
        <v>118</v>
      </c>
      <c r="E432" s="5">
        <v>40078</v>
      </c>
      <c r="F432" s="22">
        <v>40079</v>
      </c>
      <c r="G432">
        <v>909</v>
      </c>
      <c r="H432" s="4" t="s">
        <v>110</v>
      </c>
      <c r="I432" s="4" t="s">
        <v>108</v>
      </c>
      <c r="J432" s="4" t="str">
        <f t="shared" si="6"/>
        <v>u_rem.c_con</v>
      </c>
      <c r="K432" s="5">
        <v>8</v>
      </c>
      <c r="L432">
        <v>1.4666340747983377E-2</v>
      </c>
      <c r="M432">
        <v>0.13737472500611098</v>
      </c>
      <c r="N432">
        <v>4.3999022243950123E-2</v>
      </c>
      <c r="O432">
        <v>1.4666340747983378E-2</v>
      </c>
      <c r="P432">
        <v>0</v>
      </c>
      <c r="Q432">
        <v>5.3776582742605709E-2</v>
      </c>
      <c r="R432">
        <v>0</v>
      </c>
      <c r="S432">
        <v>1.955512099731117E-2</v>
      </c>
      <c r="T432">
        <v>0</v>
      </c>
      <c r="U432">
        <v>0</v>
      </c>
      <c r="V432">
        <v>0</v>
      </c>
      <c r="W432">
        <v>0</v>
      </c>
      <c r="X432">
        <v>2.4443901246638962E-4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2.004399902224395E-2</v>
      </c>
      <c r="AF432">
        <v>0</v>
      </c>
      <c r="AG432">
        <v>0</v>
      </c>
      <c r="AH432">
        <v>9.777560498655585E-3</v>
      </c>
      <c r="AI432">
        <v>1.0021999511121975E-2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0.18577364947445613</v>
      </c>
      <c r="AP432">
        <v>0</v>
      </c>
      <c r="AQ432">
        <v>4.888780249327792E-2</v>
      </c>
      <c r="AR432">
        <v>0</v>
      </c>
      <c r="AS432">
        <v>0</v>
      </c>
      <c r="AT432">
        <v>2.4443901246638962E-4</v>
      </c>
      <c r="AU432">
        <v>9.777560498655585E-3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6.3554143241261296E-2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3.4465900757760931E-2</v>
      </c>
      <c r="BQ432">
        <v>4.8887802493277925E-3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5.3776582742605716E-2</v>
      </c>
      <c r="CA432">
        <v>0.25446101197751153</v>
      </c>
      <c r="CB432">
        <v>0</v>
      </c>
    </row>
    <row r="433" spans="1:80">
      <c r="A433">
        <v>432</v>
      </c>
      <c r="B433" t="s">
        <v>105</v>
      </c>
      <c r="C433" s="4" t="s">
        <v>176</v>
      </c>
      <c r="D433" s="4" t="s">
        <v>118</v>
      </c>
      <c r="E433" s="5">
        <v>40078</v>
      </c>
      <c r="F433" s="22">
        <v>40079</v>
      </c>
      <c r="G433">
        <v>909</v>
      </c>
      <c r="H433" s="4" t="s">
        <v>110</v>
      </c>
      <c r="I433" s="4" t="s">
        <v>109</v>
      </c>
      <c r="J433" s="4" t="str">
        <f t="shared" si="6"/>
        <v>u_rem.c_rem</v>
      </c>
      <c r="K433" s="5">
        <v>1</v>
      </c>
      <c r="L433">
        <v>0</v>
      </c>
      <c r="M433">
        <v>0</v>
      </c>
      <c r="N433">
        <v>4.7673098751418851E-3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1.3620885357548244E-2</v>
      </c>
      <c r="AB433">
        <v>0</v>
      </c>
      <c r="AC433">
        <v>2.7241770715096481E-2</v>
      </c>
      <c r="AD433">
        <v>5.4710556186152108E-2</v>
      </c>
      <c r="AE433">
        <v>6.3564131668558455E-2</v>
      </c>
      <c r="AF433">
        <v>0</v>
      </c>
      <c r="AG433">
        <v>0</v>
      </c>
      <c r="AH433">
        <v>1.816118047673099E-2</v>
      </c>
      <c r="AI433">
        <v>3.6776390465380247E-2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1.9523269012485814E-2</v>
      </c>
      <c r="AP433">
        <v>2.2928490351872874E-2</v>
      </c>
      <c r="AQ433">
        <v>0</v>
      </c>
      <c r="AR433">
        <v>0</v>
      </c>
      <c r="AS433">
        <v>9.7616345062429069E-3</v>
      </c>
      <c r="AT433">
        <v>0</v>
      </c>
      <c r="AU433">
        <v>0</v>
      </c>
      <c r="AV433">
        <v>0</v>
      </c>
      <c r="AW433">
        <v>1.3847900113507379E-2</v>
      </c>
      <c r="AX433">
        <v>9.9886492622020453E-3</v>
      </c>
      <c r="AY433">
        <v>0</v>
      </c>
      <c r="AZ433">
        <v>0</v>
      </c>
      <c r="BA433">
        <v>9.3076049943246319E-3</v>
      </c>
      <c r="BB433">
        <v>0</v>
      </c>
      <c r="BC433">
        <v>0</v>
      </c>
      <c r="BD433">
        <v>0</v>
      </c>
      <c r="BE433">
        <v>0.57207718501702609</v>
      </c>
      <c r="BF433">
        <v>2.2701475595913738E-4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4.5402951191827476E-3</v>
      </c>
      <c r="BQ433">
        <v>4.5402951191827476E-3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3.2236095346197507E-2</v>
      </c>
      <c r="BY433">
        <v>0</v>
      </c>
      <c r="BZ433">
        <v>9.3076049943246319E-3</v>
      </c>
      <c r="CA433">
        <v>7.2871736662883116E-2</v>
      </c>
      <c r="CB433">
        <v>0</v>
      </c>
    </row>
    <row r="434" spans="1:80">
      <c r="A434">
        <v>433</v>
      </c>
      <c r="B434" t="s">
        <v>35</v>
      </c>
      <c r="C434" s="4" t="s">
        <v>159</v>
      </c>
      <c r="D434" s="4" t="s">
        <v>116</v>
      </c>
      <c r="E434" s="5">
        <v>40157</v>
      </c>
      <c r="F434" s="5">
        <v>40159</v>
      </c>
      <c r="G434">
        <v>912</v>
      </c>
      <c r="H434" s="4" t="s">
        <v>107</v>
      </c>
      <c r="I434" s="4" t="s">
        <v>108</v>
      </c>
      <c r="J434" s="4" t="str">
        <f t="shared" si="6"/>
        <v>u_con.c_con</v>
      </c>
      <c r="K434" s="5">
        <v>19</v>
      </c>
      <c r="L434">
        <v>0</v>
      </c>
      <c r="M434">
        <v>3.0399536768963523E-2</v>
      </c>
      <c r="N434">
        <v>0.31268094962362475</v>
      </c>
      <c r="O434">
        <v>0</v>
      </c>
      <c r="P434">
        <v>0</v>
      </c>
      <c r="Q434">
        <v>1.7371163867979159E-2</v>
      </c>
      <c r="R434">
        <v>2.3161551823972209E-2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3.5031847133757961E-2</v>
      </c>
      <c r="AA434">
        <v>0</v>
      </c>
      <c r="AB434">
        <v>0</v>
      </c>
      <c r="AC434">
        <v>0</v>
      </c>
      <c r="AD434">
        <v>0</v>
      </c>
      <c r="AE434">
        <v>1.1580775911986104E-2</v>
      </c>
      <c r="AF434">
        <v>0</v>
      </c>
      <c r="AG434">
        <v>0</v>
      </c>
      <c r="AH434">
        <v>5.7903879559930522E-4</v>
      </c>
      <c r="AI434">
        <v>5.8482918355529809E-2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2.4609148812970473E-2</v>
      </c>
      <c r="AT434">
        <v>1.3607411696583674E-2</v>
      </c>
      <c r="AU434">
        <v>5.2982049797336422E-2</v>
      </c>
      <c r="AV434">
        <v>5.7903879559930522E-4</v>
      </c>
      <c r="AW434">
        <v>0</v>
      </c>
      <c r="AX434">
        <v>6.079907353792705E-3</v>
      </c>
      <c r="AY434">
        <v>0</v>
      </c>
      <c r="AZ434">
        <v>0</v>
      </c>
      <c r="BA434">
        <v>0.14504921829762596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8.6855819339895772E-4</v>
      </c>
      <c r="BY434">
        <v>0</v>
      </c>
      <c r="BZ434">
        <v>2.3740590619571515E-2</v>
      </c>
      <c r="CA434">
        <v>0.23740590619571511</v>
      </c>
      <c r="CB434">
        <v>0</v>
      </c>
    </row>
    <row r="435" spans="1:80">
      <c r="A435">
        <v>434</v>
      </c>
      <c r="B435" t="s">
        <v>36</v>
      </c>
      <c r="C435" s="4" t="s">
        <v>159</v>
      </c>
      <c r="D435" s="4" t="s">
        <v>116</v>
      </c>
      <c r="E435" s="5">
        <v>40157</v>
      </c>
      <c r="F435" s="5">
        <v>40159</v>
      </c>
      <c r="G435">
        <v>912</v>
      </c>
      <c r="H435" s="4" t="s">
        <v>107</v>
      </c>
      <c r="I435" s="4" t="s">
        <v>109</v>
      </c>
      <c r="J435" s="4" t="str">
        <f t="shared" si="6"/>
        <v>u_con.c_rem</v>
      </c>
      <c r="K435" s="5">
        <v>2</v>
      </c>
      <c r="L435">
        <v>0</v>
      </c>
      <c r="M435">
        <v>4.4648196133147314E-2</v>
      </c>
      <c r="N435">
        <v>0.21128164241578634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0.24357185569065185</v>
      </c>
      <c r="AA435">
        <v>0</v>
      </c>
      <c r="AB435">
        <v>0</v>
      </c>
      <c r="AC435">
        <v>0</v>
      </c>
      <c r="AD435">
        <v>0</v>
      </c>
      <c r="AE435">
        <v>7.9728921666334489E-3</v>
      </c>
      <c r="AF435">
        <v>0</v>
      </c>
      <c r="AG435">
        <v>0</v>
      </c>
      <c r="AH435">
        <v>4.3850906916483969E-3</v>
      </c>
      <c r="AI435">
        <v>1.5945784333266898E-2</v>
      </c>
      <c r="AJ435">
        <v>0</v>
      </c>
      <c r="AK435">
        <v>0</v>
      </c>
      <c r="AL435">
        <v>0</v>
      </c>
      <c r="AM435">
        <v>0</v>
      </c>
      <c r="AN435">
        <v>3.9864460833167244E-4</v>
      </c>
      <c r="AO435">
        <v>0</v>
      </c>
      <c r="AP435">
        <v>0</v>
      </c>
      <c r="AQ435">
        <v>0</v>
      </c>
      <c r="AR435">
        <v>0</v>
      </c>
      <c r="AS435">
        <v>1.5945784333266898E-2</v>
      </c>
      <c r="AT435">
        <v>0</v>
      </c>
      <c r="AU435">
        <v>4.1857683874825611E-3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0.11261710185369744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4.4050229220649793E-2</v>
      </c>
      <c r="CA435">
        <v>0.29499701016543756</v>
      </c>
      <c r="CB435">
        <v>0</v>
      </c>
    </row>
    <row r="436" spans="1:80">
      <c r="A436">
        <v>435</v>
      </c>
      <c r="B436" t="s">
        <v>37</v>
      </c>
      <c r="C436" s="4" t="s">
        <v>159</v>
      </c>
      <c r="D436" s="4" t="s">
        <v>116</v>
      </c>
      <c r="E436" s="5">
        <v>40157</v>
      </c>
      <c r="F436" s="5">
        <v>40159</v>
      </c>
      <c r="G436">
        <v>912</v>
      </c>
      <c r="H436" s="4" t="s">
        <v>107</v>
      </c>
      <c r="I436" s="4" t="s">
        <v>109</v>
      </c>
      <c r="J436" s="4" t="str">
        <f t="shared" si="6"/>
        <v>u_con.c_rem</v>
      </c>
      <c r="K436" s="5">
        <v>2</v>
      </c>
      <c r="L436">
        <v>0</v>
      </c>
      <c r="M436">
        <v>0.10284261613126876</v>
      </c>
      <c r="N436">
        <v>0.31430552345736068</v>
      </c>
      <c r="O436">
        <v>0</v>
      </c>
      <c r="P436">
        <v>0</v>
      </c>
      <c r="Q436">
        <v>4.8532470533857175E-3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1.3866420152530623E-2</v>
      </c>
      <c r="Z436">
        <v>0.11647792928125719</v>
      </c>
      <c r="AA436">
        <v>0</v>
      </c>
      <c r="AB436">
        <v>0</v>
      </c>
      <c r="AC436">
        <v>2.3110700254217701E-4</v>
      </c>
      <c r="AD436">
        <v>0</v>
      </c>
      <c r="AE436">
        <v>4.6221400508435406E-3</v>
      </c>
      <c r="AF436">
        <v>0</v>
      </c>
      <c r="AG436">
        <v>0</v>
      </c>
      <c r="AH436">
        <v>0</v>
      </c>
      <c r="AI436">
        <v>9.9376011093136127E-3</v>
      </c>
      <c r="AJ436">
        <v>0</v>
      </c>
      <c r="AK436">
        <v>0</v>
      </c>
      <c r="AL436">
        <v>0</v>
      </c>
      <c r="AM436">
        <v>0</v>
      </c>
      <c r="AN436">
        <v>6.9332100762653102E-4</v>
      </c>
      <c r="AO436">
        <v>0</v>
      </c>
      <c r="AP436">
        <v>0</v>
      </c>
      <c r="AQ436">
        <v>0</v>
      </c>
      <c r="AR436">
        <v>0</v>
      </c>
      <c r="AS436">
        <v>3.7901548416917036E-2</v>
      </c>
      <c r="AT436">
        <v>0</v>
      </c>
      <c r="AU436">
        <v>5.0843540559278944E-3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1.941298821354287E-2</v>
      </c>
      <c r="CA436">
        <v>0.36977120406748315</v>
      </c>
      <c r="CB436">
        <v>0</v>
      </c>
    </row>
    <row r="437" spans="1:80" s="1" customFormat="1">
      <c r="A437">
        <v>436</v>
      </c>
      <c r="B437" t="s">
        <v>38</v>
      </c>
      <c r="C437" s="4" t="s">
        <v>159</v>
      </c>
      <c r="D437" s="4" t="s">
        <v>116</v>
      </c>
      <c r="E437" s="5">
        <v>40157</v>
      </c>
      <c r="F437" s="5">
        <v>40159</v>
      </c>
      <c r="G437">
        <v>912</v>
      </c>
      <c r="H437" s="4" t="s">
        <v>107</v>
      </c>
      <c r="I437" s="4" t="s">
        <v>108</v>
      </c>
      <c r="J437" s="4" t="str">
        <f t="shared" si="6"/>
        <v>u_con.c_con</v>
      </c>
      <c r="K437" s="5">
        <v>19</v>
      </c>
      <c r="L437">
        <v>0</v>
      </c>
      <c r="M437">
        <v>4.1311180960933988E-2</v>
      </c>
      <c r="N437">
        <v>0.34126627750336769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2.2451728783116302E-2</v>
      </c>
      <c r="Z437">
        <v>2.6942074539739558E-2</v>
      </c>
      <c r="AA437">
        <v>0</v>
      </c>
      <c r="AB437">
        <v>0</v>
      </c>
      <c r="AC437">
        <v>0</v>
      </c>
      <c r="AD437">
        <v>0</v>
      </c>
      <c r="AE437">
        <v>1.3695554557700945E-2</v>
      </c>
      <c r="AF437">
        <v>0</v>
      </c>
      <c r="AG437">
        <v>0</v>
      </c>
      <c r="AH437">
        <v>0</v>
      </c>
      <c r="AI437">
        <v>0.19308486753480014</v>
      </c>
      <c r="AJ437">
        <v>0</v>
      </c>
      <c r="AK437">
        <v>0</v>
      </c>
      <c r="AL437">
        <v>0</v>
      </c>
      <c r="AM437">
        <v>0</v>
      </c>
      <c r="AN437">
        <v>1.8185900314324203E-2</v>
      </c>
      <c r="AO437">
        <v>0</v>
      </c>
      <c r="AP437">
        <v>0</v>
      </c>
      <c r="AQ437">
        <v>0</v>
      </c>
      <c r="AR437">
        <v>0</v>
      </c>
      <c r="AS437">
        <v>1.8185900314324203E-2</v>
      </c>
      <c r="AT437">
        <v>8.9806915132465207E-4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0.19779973057925457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4.4903457566232603E-4</v>
      </c>
      <c r="CA437">
        <v>0.1257296811854513</v>
      </c>
      <c r="CB437">
        <v>0</v>
      </c>
    </row>
    <row r="438" spans="1:80">
      <c r="A438">
        <v>437</v>
      </c>
      <c r="B438" t="s">
        <v>39</v>
      </c>
      <c r="C438" s="4" t="s">
        <v>160</v>
      </c>
      <c r="D438" s="4" t="s">
        <v>116</v>
      </c>
      <c r="E438" s="5">
        <v>40157</v>
      </c>
      <c r="F438" s="5">
        <v>40159</v>
      </c>
      <c r="G438">
        <v>912</v>
      </c>
      <c r="H438" s="4" t="s">
        <v>110</v>
      </c>
      <c r="I438" s="4" t="s">
        <v>109</v>
      </c>
      <c r="J438" s="4" t="str">
        <f t="shared" si="6"/>
        <v>u_rem.c_rem</v>
      </c>
      <c r="K438" s="5">
        <v>1</v>
      </c>
      <c r="L438">
        <v>0</v>
      </c>
      <c r="M438">
        <v>3.9783001808318258E-3</v>
      </c>
      <c r="N438">
        <v>0.42676311030741415</v>
      </c>
      <c r="O438">
        <v>0</v>
      </c>
      <c r="P438">
        <v>0</v>
      </c>
      <c r="Q438">
        <v>3.616636528028933E-3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2.1880650994575042E-2</v>
      </c>
      <c r="AA438">
        <v>0</v>
      </c>
      <c r="AB438">
        <v>0</v>
      </c>
      <c r="AC438">
        <v>0</v>
      </c>
      <c r="AD438">
        <v>0</v>
      </c>
      <c r="AE438">
        <v>7.4141048824593126E-3</v>
      </c>
      <c r="AF438">
        <v>0</v>
      </c>
      <c r="AG438">
        <v>0</v>
      </c>
      <c r="AH438">
        <v>0</v>
      </c>
      <c r="AI438">
        <v>5.4611211573236888E-2</v>
      </c>
      <c r="AJ438">
        <v>1.8083182640144665E-4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0.18444846292947556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5.1175406871609409E-2</v>
      </c>
      <c r="CA438">
        <v>0.24593128390596733</v>
      </c>
      <c r="CB438">
        <v>0</v>
      </c>
    </row>
    <row r="439" spans="1:80">
      <c r="A439">
        <v>438</v>
      </c>
      <c r="B439" t="s">
        <v>40</v>
      </c>
      <c r="C439" s="4" t="s">
        <v>160</v>
      </c>
      <c r="D439" s="4" t="s">
        <v>116</v>
      </c>
      <c r="E439" s="5">
        <v>40157</v>
      </c>
      <c r="F439" s="5">
        <v>40159</v>
      </c>
      <c r="G439">
        <v>912</v>
      </c>
      <c r="H439" s="4" t="s">
        <v>110</v>
      </c>
      <c r="I439" s="4" t="s">
        <v>108</v>
      </c>
      <c r="J439" s="4" t="str">
        <f t="shared" si="6"/>
        <v>u_rem.c_con</v>
      </c>
      <c r="K439" s="5">
        <v>8</v>
      </c>
      <c r="L439">
        <v>0</v>
      </c>
      <c r="M439">
        <v>1.6680567139282738E-2</v>
      </c>
      <c r="N439">
        <v>0.35029190992493753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3.3361134278565477E-2</v>
      </c>
      <c r="Z439">
        <v>8.7572977481234389E-3</v>
      </c>
      <c r="AA439">
        <v>0</v>
      </c>
      <c r="AB439">
        <v>0</v>
      </c>
      <c r="AC439">
        <v>0</v>
      </c>
      <c r="AD439">
        <v>0</v>
      </c>
      <c r="AE439">
        <v>8.3402835696413692E-3</v>
      </c>
      <c r="AF439">
        <v>0</v>
      </c>
      <c r="AG439">
        <v>0</v>
      </c>
      <c r="AH439">
        <v>0</v>
      </c>
      <c r="AI439">
        <v>2.5437864887406174E-2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4.3786488740617194E-3</v>
      </c>
      <c r="AT439">
        <v>0</v>
      </c>
      <c r="AU439">
        <v>0</v>
      </c>
      <c r="AV439">
        <v>4.649708090075063E-2</v>
      </c>
      <c r="AW439">
        <v>0</v>
      </c>
      <c r="AX439">
        <v>0</v>
      </c>
      <c r="AY439">
        <v>0</v>
      </c>
      <c r="AZ439">
        <v>0</v>
      </c>
      <c r="BA439">
        <v>0.16305254378648876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8.0483736447039211E-2</v>
      </c>
      <c r="CA439">
        <v>0.26271893244370309</v>
      </c>
      <c r="CB439">
        <v>0</v>
      </c>
    </row>
    <row r="440" spans="1:80">
      <c r="A440">
        <v>439</v>
      </c>
      <c r="B440" t="s">
        <v>41</v>
      </c>
      <c r="C440" s="4" t="s">
        <v>160</v>
      </c>
      <c r="D440" s="4" t="s">
        <v>116</v>
      </c>
      <c r="E440" s="5">
        <v>40157</v>
      </c>
      <c r="F440" s="5">
        <v>40159</v>
      </c>
      <c r="G440">
        <v>912</v>
      </c>
      <c r="H440" s="4" t="s">
        <v>110</v>
      </c>
      <c r="I440" s="4" t="s">
        <v>109</v>
      </c>
      <c r="J440" s="4" t="str">
        <f t="shared" si="6"/>
        <v>u_rem.c_rem</v>
      </c>
      <c r="K440" s="5">
        <v>1</v>
      </c>
      <c r="L440">
        <v>0</v>
      </c>
      <c r="M440">
        <v>0</v>
      </c>
      <c r="N440">
        <v>0.22927689594356263</v>
      </c>
      <c r="O440">
        <v>0</v>
      </c>
      <c r="P440">
        <v>0</v>
      </c>
      <c r="Q440">
        <v>4.8500881834215182E-3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2.2045855379188717E-4</v>
      </c>
      <c r="Y440">
        <v>7.054673721340389E-2</v>
      </c>
      <c r="Z440">
        <v>2.6675485008818348E-2</v>
      </c>
      <c r="AA440">
        <v>0</v>
      </c>
      <c r="AB440">
        <v>0</v>
      </c>
      <c r="AC440">
        <v>0</v>
      </c>
      <c r="AD440">
        <v>0</v>
      </c>
      <c r="AE440">
        <v>1.8518518518518524E-2</v>
      </c>
      <c r="AF440">
        <v>0</v>
      </c>
      <c r="AG440">
        <v>0</v>
      </c>
      <c r="AH440">
        <v>0</v>
      </c>
      <c r="AI440">
        <v>4.4091710758377433E-4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8.8403880070546753E-2</v>
      </c>
      <c r="AW440">
        <v>0</v>
      </c>
      <c r="AX440">
        <v>0</v>
      </c>
      <c r="AY440">
        <v>0</v>
      </c>
      <c r="AZ440">
        <v>0</v>
      </c>
      <c r="BA440">
        <v>2.270723104056438E-2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0.12389770723104057</v>
      </c>
      <c r="CA440">
        <v>0.41446208112874788</v>
      </c>
      <c r="CB440">
        <v>0</v>
      </c>
    </row>
    <row r="441" spans="1:80">
      <c r="A441">
        <v>440</v>
      </c>
      <c r="B441" t="s">
        <v>42</v>
      </c>
      <c r="C441" s="4" t="s">
        <v>160</v>
      </c>
      <c r="D441" s="4" t="s">
        <v>116</v>
      </c>
      <c r="E441" s="5">
        <v>40157</v>
      </c>
      <c r="F441" s="5">
        <v>40159</v>
      </c>
      <c r="G441">
        <v>912</v>
      </c>
      <c r="H441" s="4" t="s">
        <v>110</v>
      </c>
      <c r="I441" s="4" t="s">
        <v>108</v>
      </c>
      <c r="J441" s="4" t="str">
        <f t="shared" si="6"/>
        <v>u_rem.c_con</v>
      </c>
      <c r="K441" s="5">
        <v>8</v>
      </c>
      <c r="L441">
        <v>0</v>
      </c>
      <c r="M441">
        <v>5.054151624548738E-3</v>
      </c>
      <c r="N441">
        <v>0.25992779783393499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5.8724428399518663E-2</v>
      </c>
      <c r="AF441">
        <v>0</v>
      </c>
      <c r="AG441">
        <v>0</v>
      </c>
      <c r="AH441">
        <v>4.8134777376654643E-3</v>
      </c>
      <c r="AI441">
        <v>7.7256317689530729E-2</v>
      </c>
      <c r="AJ441">
        <v>0</v>
      </c>
      <c r="AK441">
        <v>0</v>
      </c>
      <c r="AL441">
        <v>0</v>
      </c>
      <c r="AM441">
        <v>0.26955475330926593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3.8507821901323715E-2</v>
      </c>
      <c r="AT441">
        <v>1.0108303249097476E-2</v>
      </c>
      <c r="AU441">
        <v>0</v>
      </c>
      <c r="AV441">
        <v>0.11119133574007226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7.8219013237063803E-2</v>
      </c>
      <c r="CA441">
        <v>8.6642599277978377E-2</v>
      </c>
      <c r="CB441">
        <v>0</v>
      </c>
    </row>
    <row r="442" spans="1:80">
      <c r="A442">
        <v>441</v>
      </c>
      <c r="B442" t="s">
        <v>43</v>
      </c>
      <c r="C442" s="4" t="s">
        <v>161</v>
      </c>
      <c r="D442" s="4" t="s">
        <v>116</v>
      </c>
      <c r="E442" s="5">
        <v>40157</v>
      </c>
      <c r="F442" s="5">
        <v>40159</v>
      </c>
      <c r="G442">
        <v>912</v>
      </c>
      <c r="H442" s="4" t="s">
        <v>107</v>
      </c>
      <c r="I442" s="4" t="s">
        <v>109</v>
      </c>
      <c r="J442" s="4" t="str">
        <f t="shared" si="6"/>
        <v>u_con.c_rem</v>
      </c>
      <c r="K442" s="5">
        <v>2</v>
      </c>
      <c r="L442">
        <v>0</v>
      </c>
      <c r="M442">
        <v>0.11452879581151831</v>
      </c>
      <c r="N442">
        <v>0.42757417102966833</v>
      </c>
      <c r="O442">
        <v>0</v>
      </c>
      <c r="P442">
        <v>0</v>
      </c>
      <c r="Q442">
        <v>4.3630017452006976E-4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2.181500872600349E-2</v>
      </c>
      <c r="AA442">
        <v>0</v>
      </c>
      <c r="AB442">
        <v>0</v>
      </c>
      <c r="AC442">
        <v>0</v>
      </c>
      <c r="AD442">
        <v>0</v>
      </c>
      <c r="AE442">
        <v>4.5811518324607335E-3</v>
      </c>
      <c r="AF442">
        <v>0</v>
      </c>
      <c r="AG442">
        <v>0</v>
      </c>
      <c r="AH442">
        <v>4.3630017452006976E-4</v>
      </c>
      <c r="AI442">
        <v>5.2792321116928449E-2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5.2574171029668403E-2</v>
      </c>
      <c r="AT442">
        <v>2.1815008726003488E-4</v>
      </c>
      <c r="AU442">
        <v>0</v>
      </c>
      <c r="AV442">
        <v>3.9703315881326348E-2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6.1082024432809771E-3</v>
      </c>
      <c r="CA442">
        <v>0.27923211169284462</v>
      </c>
      <c r="CB442">
        <v>0</v>
      </c>
    </row>
    <row r="443" spans="1:80">
      <c r="A443">
        <v>442</v>
      </c>
      <c r="B443" t="s">
        <v>44</v>
      </c>
      <c r="C443" s="4" t="s">
        <v>161</v>
      </c>
      <c r="D443" s="4" t="s">
        <v>116</v>
      </c>
      <c r="E443" s="5">
        <v>40157</v>
      </c>
      <c r="F443" s="5">
        <v>40159</v>
      </c>
      <c r="G443">
        <v>912</v>
      </c>
      <c r="H443" s="4" t="s">
        <v>107</v>
      </c>
      <c r="I443" s="4" t="s">
        <v>109</v>
      </c>
      <c r="J443" s="4" t="str">
        <f t="shared" si="6"/>
        <v>u_con.c_rem</v>
      </c>
      <c r="K443" s="5">
        <v>2</v>
      </c>
      <c r="L443">
        <v>0</v>
      </c>
      <c r="M443">
        <v>6.2398042414355641E-2</v>
      </c>
      <c r="N443">
        <v>0.39967373572593806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3.2830342577487764E-2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2.467373572593801E-2</v>
      </c>
      <c r="AJ443">
        <v>0</v>
      </c>
      <c r="AK443">
        <v>0</v>
      </c>
      <c r="AL443">
        <v>4.0783034257748782E-3</v>
      </c>
      <c r="AM443">
        <v>0</v>
      </c>
      <c r="AN443">
        <v>4.0783034257748778E-4</v>
      </c>
      <c r="AO443">
        <v>0</v>
      </c>
      <c r="AP443">
        <v>0</v>
      </c>
      <c r="AQ443">
        <v>0</v>
      </c>
      <c r="AR443">
        <v>0</v>
      </c>
      <c r="AS443">
        <v>2.4469820554649264E-2</v>
      </c>
      <c r="AT443">
        <v>1.2234910277324635E-2</v>
      </c>
      <c r="AU443">
        <v>4.2822185970636216E-3</v>
      </c>
      <c r="AV443">
        <v>5.8115823817292016E-2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4.0783034257748782E-3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3.4257748776508973E-2</v>
      </c>
      <c r="CA443">
        <v>0.33849918433931481</v>
      </c>
      <c r="CB443">
        <v>0</v>
      </c>
    </row>
    <row r="444" spans="1:80">
      <c r="A444">
        <v>443</v>
      </c>
      <c r="B444" t="s">
        <v>45</v>
      </c>
      <c r="C444" s="4" t="s">
        <v>161</v>
      </c>
      <c r="D444" s="4" t="s">
        <v>116</v>
      </c>
      <c r="E444" s="5">
        <v>40157</v>
      </c>
      <c r="F444" s="5">
        <v>40159</v>
      </c>
      <c r="G444">
        <v>912</v>
      </c>
      <c r="H444" s="4" t="s">
        <v>107</v>
      </c>
      <c r="I444" s="4" t="s">
        <v>108</v>
      </c>
      <c r="J444" s="4" t="str">
        <f t="shared" si="6"/>
        <v>u_con.c_con</v>
      </c>
      <c r="K444" s="5">
        <v>19</v>
      </c>
      <c r="L444">
        <v>0</v>
      </c>
      <c r="M444">
        <v>4.6057619408642919E-2</v>
      </c>
      <c r="N444">
        <v>0.20489006823351022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0.26156178923426843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3.7907505686125857E-3</v>
      </c>
      <c r="AJ444">
        <v>3.070507960576194E-2</v>
      </c>
      <c r="AK444">
        <v>0</v>
      </c>
      <c r="AL444">
        <v>0</v>
      </c>
      <c r="AM444">
        <v>0</v>
      </c>
      <c r="AN444">
        <v>1.8953752843062926E-4</v>
      </c>
      <c r="AO444">
        <v>0</v>
      </c>
      <c r="AP444">
        <v>0</v>
      </c>
      <c r="AQ444">
        <v>0</v>
      </c>
      <c r="AR444">
        <v>0</v>
      </c>
      <c r="AS444">
        <v>6.1031084154662622E-2</v>
      </c>
      <c r="AT444">
        <v>1.9143290371493555E-2</v>
      </c>
      <c r="AU444">
        <v>3.9802880970432148E-3</v>
      </c>
      <c r="AV444">
        <v>1.8953752843062926E-2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3.7907505686125857E-3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2.3692191053828658E-2</v>
      </c>
      <c r="CA444">
        <v>0.31842304776345715</v>
      </c>
      <c r="CB444">
        <v>3.7907505686125857E-3</v>
      </c>
    </row>
    <row r="445" spans="1:80" s="1" customFormat="1">
      <c r="A445">
        <v>444</v>
      </c>
      <c r="B445" t="s">
        <v>46</v>
      </c>
      <c r="C445" s="4" t="s">
        <v>161</v>
      </c>
      <c r="D445" s="4" t="s">
        <v>116</v>
      </c>
      <c r="E445" s="5">
        <v>40157</v>
      </c>
      <c r="F445" s="5">
        <v>40159</v>
      </c>
      <c r="G445">
        <v>912</v>
      </c>
      <c r="H445" s="4" t="s">
        <v>107</v>
      </c>
      <c r="I445" s="4" t="s">
        <v>108</v>
      </c>
      <c r="J445" s="4" t="str">
        <f t="shared" si="6"/>
        <v>u_con.c_con</v>
      </c>
      <c r="K445" s="5">
        <v>19</v>
      </c>
      <c r="L445">
        <v>0</v>
      </c>
      <c r="M445">
        <v>0.10235294117647059</v>
      </c>
      <c r="N445">
        <v>0.41568627450980383</v>
      </c>
      <c r="O445">
        <v>0</v>
      </c>
      <c r="P445">
        <v>0</v>
      </c>
      <c r="Q445">
        <v>1.9607843137254898E-4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7.8431372549019607E-3</v>
      </c>
      <c r="AA445">
        <v>0</v>
      </c>
      <c r="AB445">
        <v>0</v>
      </c>
      <c r="AC445">
        <v>0</v>
      </c>
      <c r="AD445">
        <v>0</v>
      </c>
      <c r="AE445">
        <v>4.1176470588235288E-3</v>
      </c>
      <c r="AF445">
        <v>0</v>
      </c>
      <c r="AG445">
        <v>0</v>
      </c>
      <c r="AH445">
        <v>4.7058823529411769E-3</v>
      </c>
      <c r="AI445">
        <v>5.5098039215686269E-2</v>
      </c>
      <c r="AJ445">
        <v>0</v>
      </c>
      <c r="AK445">
        <v>0</v>
      </c>
      <c r="AL445">
        <v>0</v>
      </c>
      <c r="AM445">
        <v>0</v>
      </c>
      <c r="AN445">
        <v>3.9215686274509797E-4</v>
      </c>
      <c r="AO445">
        <v>0</v>
      </c>
      <c r="AP445">
        <v>0</v>
      </c>
      <c r="AQ445">
        <v>0</v>
      </c>
      <c r="AR445">
        <v>0</v>
      </c>
      <c r="AS445">
        <v>6.294117647058825E-2</v>
      </c>
      <c r="AT445">
        <v>0</v>
      </c>
      <c r="AU445">
        <v>4.1176470588235288E-3</v>
      </c>
      <c r="AV445">
        <v>4.7450980392156852E-2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4.4117647058823511E-2</v>
      </c>
      <c r="CA445">
        <v>0.24313725490196073</v>
      </c>
      <c r="CB445">
        <v>7.8431372549019607E-3</v>
      </c>
    </row>
    <row r="446" spans="1:80">
      <c r="A446">
        <v>445</v>
      </c>
      <c r="B446" t="s">
        <v>47</v>
      </c>
      <c r="C446" s="4" t="s">
        <v>162</v>
      </c>
      <c r="D446" s="4" t="s">
        <v>116</v>
      </c>
      <c r="E446" s="5">
        <v>40157</v>
      </c>
      <c r="F446" s="5">
        <v>40159</v>
      </c>
      <c r="G446">
        <v>912</v>
      </c>
      <c r="H446" s="4" t="s">
        <v>110</v>
      </c>
      <c r="I446" s="4" t="s">
        <v>108</v>
      </c>
      <c r="J446" s="4" t="str">
        <f t="shared" si="6"/>
        <v>u_rem.c_con</v>
      </c>
      <c r="K446" s="5">
        <v>8</v>
      </c>
      <c r="L446">
        <v>0</v>
      </c>
      <c r="M446">
        <v>0.12611111111111112</v>
      </c>
      <c r="N446">
        <v>0.11851851851851854</v>
      </c>
      <c r="O446">
        <v>0</v>
      </c>
      <c r="P446">
        <v>0</v>
      </c>
      <c r="Q446">
        <v>3.7037037037037038E-3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1.4814814814814815E-2</v>
      </c>
      <c r="AD446">
        <v>0</v>
      </c>
      <c r="AE446">
        <v>4.4629629629629623E-2</v>
      </c>
      <c r="AF446">
        <v>0</v>
      </c>
      <c r="AG446">
        <v>0</v>
      </c>
      <c r="AH446">
        <v>0.16296296296296298</v>
      </c>
      <c r="AI446">
        <v>5.185185185185185E-2</v>
      </c>
      <c r="AJ446">
        <v>0</v>
      </c>
      <c r="AK446">
        <v>0</v>
      </c>
      <c r="AL446">
        <v>0</v>
      </c>
      <c r="AM446">
        <v>0</v>
      </c>
      <c r="AN446">
        <v>5.6666666666666657E-2</v>
      </c>
      <c r="AO446">
        <v>0</v>
      </c>
      <c r="AP446">
        <v>0</v>
      </c>
      <c r="AQ446">
        <v>0</v>
      </c>
      <c r="AR446">
        <v>0</v>
      </c>
      <c r="AS446">
        <v>5.5555555555555566E-2</v>
      </c>
      <c r="AT446">
        <v>4.851851851851853E-2</v>
      </c>
      <c r="AU446">
        <v>0</v>
      </c>
      <c r="AV446">
        <v>2.2777777777777779E-2</v>
      </c>
      <c r="AW446">
        <v>0</v>
      </c>
      <c r="AX446">
        <v>0</v>
      </c>
      <c r="AY446">
        <v>0</v>
      </c>
      <c r="AZ446">
        <v>0</v>
      </c>
      <c r="BA446">
        <v>0.14833333333333332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4.925925925925926E-2</v>
      </c>
      <c r="CA446">
        <v>9.629629629629631E-2</v>
      </c>
      <c r="CB446">
        <v>0</v>
      </c>
    </row>
    <row r="447" spans="1:80">
      <c r="A447">
        <v>446</v>
      </c>
      <c r="B447" t="s">
        <v>48</v>
      </c>
      <c r="C447" s="4" t="s">
        <v>162</v>
      </c>
      <c r="D447" s="4" t="s">
        <v>116</v>
      </c>
      <c r="E447" s="5">
        <v>40157</v>
      </c>
      <c r="F447" s="5">
        <v>40159</v>
      </c>
      <c r="G447">
        <v>912</v>
      </c>
      <c r="H447" s="4" t="s">
        <v>110</v>
      </c>
      <c r="I447" s="4" t="s">
        <v>108</v>
      </c>
      <c r="J447" s="4" t="str">
        <f t="shared" si="6"/>
        <v>u_rem.c_con</v>
      </c>
      <c r="K447" s="5">
        <v>8</v>
      </c>
      <c r="L447">
        <v>4.4114955152846427E-2</v>
      </c>
      <c r="M447">
        <v>0.14277869302581003</v>
      </c>
      <c r="N447">
        <v>0.1610836536701446</v>
      </c>
      <c r="O447">
        <v>0</v>
      </c>
      <c r="P447">
        <v>0</v>
      </c>
      <c r="Q447">
        <v>1.8304960644334619E-4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2.5809994508511812E-2</v>
      </c>
      <c r="AA447">
        <v>0</v>
      </c>
      <c r="AB447">
        <v>0</v>
      </c>
      <c r="AC447">
        <v>3.6609921288669237E-3</v>
      </c>
      <c r="AD447">
        <v>0</v>
      </c>
      <c r="AE447">
        <v>0</v>
      </c>
      <c r="AF447">
        <v>0</v>
      </c>
      <c r="AG447">
        <v>0</v>
      </c>
      <c r="AH447">
        <v>5.1436939410580279E-2</v>
      </c>
      <c r="AI447">
        <v>9.5185795350540003E-2</v>
      </c>
      <c r="AJ447">
        <v>3.6609921288669237E-3</v>
      </c>
      <c r="AK447">
        <v>0</v>
      </c>
      <c r="AL447">
        <v>0</v>
      </c>
      <c r="AM447">
        <v>0</v>
      </c>
      <c r="AN447">
        <v>2.3247300018304967E-2</v>
      </c>
      <c r="AO447">
        <v>0</v>
      </c>
      <c r="AP447">
        <v>0</v>
      </c>
      <c r="AQ447">
        <v>0</v>
      </c>
      <c r="AR447">
        <v>0</v>
      </c>
      <c r="AS447">
        <v>2.1965952773201541E-2</v>
      </c>
      <c r="AT447">
        <v>2.6176093721398504E-2</v>
      </c>
      <c r="AU447">
        <v>0</v>
      </c>
      <c r="AV447">
        <v>7.8711330770638872E-3</v>
      </c>
      <c r="AW447">
        <v>0</v>
      </c>
      <c r="AX447">
        <v>0</v>
      </c>
      <c r="AY447">
        <v>0</v>
      </c>
      <c r="AZ447">
        <v>0</v>
      </c>
      <c r="BA447">
        <v>0.186710598572213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1.9403258282994697E-2</v>
      </c>
      <c r="CA447">
        <v>0.15376166941241076</v>
      </c>
      <c r="CB447">
        <v>3.2948929159802312E-2</v>
      </c>
    </row>
    <row r="448" spans="1:80">
      <c r="A448">
        <v>447</v>
      </c>
      <c r="B448" t="s">
        <v>49</v>
      </c>
      <c r="C448" s="4" t="s">
        <v>162</v>
      </c>
      <c r="D448" s="4" t="s">
        <v>116</v>
      </c>
      <c r="E448" s="5">
        <v>40157</v>
      </c>
      <c r="F448" s="5">
        <v>40159</v>
      </c>
      <c r="G448">
        <v>912</v>
      </c>
      <c r="H448" s="4" t="s">
        <v>110</v>
      </c>
      <c r="I448" s="4" t="s">
        <v>109</v>
      </c>
      <c r="J448" s="4" t="str">
        <f t="shared" si="6"/>
        <v>u_rem.c_rem</v>
      </c>
      <c r="K448" s="5">
        <v>1</v>
      </c>
      <c r="L448">
        <v>0</v>
      </c>
      <c r="M448">
        <v>0.14290687554395123</v>
      </c>
      <c r="N448">
        <v>0.14621409921671019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3.4812880765883376E-3</v>
      </c>
      <c r="Z448">
        <v>8.0243690165361176E-2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4.8912097476066146E-2</v>
      </c>
      <c r="AI448">
        <v>1.0617928633594431E-2</v>
      </c>
      <c r="AJ448">
        <v>0</v>
      </c>
      <c r="AK448">
        <v>0</v>
      </c>
      <c r="AL448">
        <v>0</v>
      </c>
      <c r="AM448">
        <v>0</v>
      </c>
      <c r="AN448">
        <v>6.0226283724978236E-2</v>
      </c>
      <c r="AO448">
        <v>0</v>
      </c>
      <c r="AP448">
        <v>0</v>
      </c>
      <c r="AQ448">
        <v>0</v>
      </c>
      <c r="AR448">
        <v>0</v>
      </c>
      <c r="AS448">
        <v>1.392515230635335E-2</v>
      </c>
      <c r="AT448">
        <v>6.9625761531766752E-4</v>
      </c>
      <c r="AU448">
        <v>0</v>
      </c>
      <c r="AV448">
        <v>4.22976501305483E-2</v>
      </c>
      <c r="AW448">
        <v>3.6553524804177548E-3</v>
      </c>
      <c r="AX448">
        <v>6.9625761531766752E-3</v>
      </c>
      <c r="AY448">
        <v>0</v>
      </c>
      <c r="AZ448">
        <v>0</v>
      </c>
      <c r="BA448">
        <v>0.26805918189730193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3.2550043516100954E-2</v>
      </c>
      <c r="CA448">
        <v>0.1392515230635335</v>
      </c>
      <c r="CB448">
        <v>0</v>
      </c>
    </row>
    <row r="449" spans="1:80">
      <c r="A449">
        <v>448</v>
      </c>
      <c r="B449" t="s">
        <v>50</v>
      </c>
      <c r="C449" s="4" t="s">
        <v>162</v>
      </c>
      <c r="D449" s="4" t="s">
        <v>116</v>
      </c>
      <c r="E449" s="5">
        <v>40157</v>
      </c>
      <c r="F449" s="5">
        <v>40159</v>
      </c>
      <c r="G449">
        <v>912</v>
      </c>
      <c r="H449" s="4" t="s">
        <v>110</v>
      </c>
      <c r="I449" s="4" t="s">
        <v>109</v>
      </c>
      <c r="J449" s="4" t="str">
        <f t="shared" si="6"/>
        <v>u_rem.c_rem</v>
      </c>
      <c r="K449" s="5">
        <v>1</v>
      </c>
      <c r="L449">
        <v>0</v>
      </c>
      <c r="M449">
        <v>0.10577673692427791</v>
      </c>
      <c r="N449">
        <v>0.156128024980484</v>
      </c>
      <c r="O449">
        <v>0</v>
      </c>
      <c r="P449">
        <v>0</v>
      </c>
      <c r="Q449">
        <v>7.8064012490242007E-3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0.11729117876658862</v>
      </c>
      <c r="AA449">
        <v>0</v>
      </c>
      <c r="AB449">
        <v>0</v>
      </c>
      <c r="AC449">
        <v>1.5807962529274008E-2</v>
      </c>
      <c r="AD449">
        <v>0</v>
      </c>
      <c r="AE449">
        <v>0</v>
      </c>
      <c r="AF449">
        <v>0</v>
      </c>
      <c r="AG449">
        <v>0</v>
      </c>
      <c r="AH449">
        <v>3.9032006245121004E-3</v>
      </c>
      <c r="AI449">
        <v>2.3809523809523812E-2</v>
      </c>
      <c r="AJ449">
        <v>0.12119437939110071</v>
      </c>
      <c r="AK449">
        <v>0</v>
      </c>
      <c r="AL449">
        <v>7.8064012490242007E-3</v>
      </c>
      <c r="AM449">
        <v>0</v>
      </c>
      <c r="AN449">
        <v>2.4199843871975022E-2</v>
      </c>
      <c r="AO449">
        <v>0</v>
      </c>
      <c r="AP449">
        <v>0</v>
      </c>
      <c r="AQ449">
        <v>0</v>
      </c>
      <c r="AR449">
        <v>0</v>
      </c>
      <c r="AS449">
        <v>1.2099921935987513E-2</v>
      </c>
      <c r="AT449">
        <v>1.9516003122560502E-4</v>
      </c>
      <c r="AU449">
        <v>1.9906323185011711E-2</v>
      </c>
      <c r="AV449">
        <v>3.9032006245121001E-2</v>
      </c>
      <c r="AW449">
        <v>0</v>
      </c>
      <c r="AX449">
        <v>0</v>
      </c>
      <c r="AY449">
        <v>0</v>
      </c>
      <c r="AZ449">
        <v>0</v>
      </c>
      <c r="BA449">
        <v>3.5519125683060107E-2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1.9516003122560502E-4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1.6588602654176429E-2</v>
      </c>
      <c r="CA449">
        <v>0.27322404371584696</v>
      </c>
      <c r="CB449">
        <v>1.95160031225605E-2</v>
      </c>
    </row>
    <row r="450" spans="1:80">
      <c r="A450">
        <v>449</v>
      </c>
      <c r="B450" t="s">
        <v>51</v>
      </c>
      <c r="C450" s="4" t="s">
        <v>163</v>
      </c>
      <c r="D450" s="4" t="s">
        <v>116</v>
      </c>
      <c r="E450" s="5">
        <v>40157</v>
      </c>
      <c r="F450" s="5">
        <v>40159</v>
      </c>
      <c r="G450">
        <v>912</v>
      </c>
      <c r="H450" s="4" t="s">
        <v>107</v>
      </c>
      <c r="I450" s="4" t="s">
        <v>109</v>
      </c>
      <c r="J450" s="4" t="str">
        <f t="shared" ref="J450:J513" si="7">CONCATENATE(H450,".",I450)</f>
        <v>u_con.c_rem</v>
      </c>
      <c r="K450" s="5">
        <v>2</v>
      </c>
      <c r="L450">
        <v>0</v>
      </c>
      <c r="M450">
        <v>3.8026721479958885E-2</v>
      </c>
      <c r="N450">
        <v>0.20554984583761557</v>
      </c>
      <c r="O450">
        <v>0</v>
      </c>
      <c r="P450">
        <v>0</v>
      </c>
      <c r="Q450">
        <v>2.055498458376156E-4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4.1109969167523125E-3</v>
      </c>
      <c r="Z450">
        <v>5.7759506680369985E-2</v>
      </c>
      <c r="AA450">
        <v>0</v>
      </c>
      <c r="AB450">
        <v>0</v>
      </c>
      <c r="AC450">
        <v>1.2332990750256935E-2</v>
      </c>
      <c r="AD450">
        <v>0</v>
      </c>
      <c r="AE450">
        <v>1.2744090441932169E-2</v>
      </c>
      <c r="AF450">
        <v>0</v>
      </c>
      <c r="AG450">
        <v>0</v>
      </c>
      <c r="AH450">
        <v>4.3165467625899279E-3</v>
      </c>
      <c r="AI450">
        <v>3.782117163412127E-2</v>
      </c>
      <c r="AJ450">
        <v>5.3854059609455295E-2</v>
      </c>
      <c r="AK450">
        <v>0</v>
      </c>
      <c r="AL450">
        <v>0</v>
      </c>
      <c r="AM450">
        <v>0</v>
      </c>
      <c r="AN450">
        <v>9.0441932168550867E-3</v>
      </c>
      <c r="AO450">
        <v>0</v>
      </c>
      <c r="AP450">
        <v>0</v>
      </c>
      <c r="AQ450">
        <v>0</v>
      </c>
      <c r="AR450">
        <v>0</v>
      </c>
      <c r="AS450">
        <v>9.0647482014388506E-2</v>
      </c>
      <c r="AT450">
        <v>2.055498458376156E-4</v>
      </c>
      <c r="AU450">
        <v>7.4409044193216853E-2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1.2538540596094553E-2</v>
      </c>
      <c r="CA450">
        <v>0.31243576567317566</v>
      </c>
      <c r="CB450">
        <v>7.3997944501541638E-2</v>
      </c>
    </row>
    <row r="451" spans="1:80">
      <c r="A451">
        <v>450</v>
      </c>
      <c r="B451" t="s">
        <v>52</v>
      </c>
      <c r="C451" s="4" t="s">
        <v>163</v>
      </c>
      <c r="D451" s="4" t="s">
        <v>116</v>
      </c>
      <c r="E451" s="5">
        <v>40157</v>
      </c>
      <c r="F451" s="5">
        <v>40159</v>
      </c>
      <c r="G451" s="3">
        <v>912</v>
      </c>
      <c r="H451" s="4" t="s">
        <v>107</v>
      </c>
      <c r="I451" s="4" t="s">
        <v>109</v>
      </c>
      <c r="J451" s="4" t="str">
        <f t="shared" si="7"/>
        <v>u_con.c_rem</v>
      </c>
      <c r="K451" s="5">
        <v>2</v>
      </c>
      <c r="L451" s="3">
        <v>0</v>
      </c>
      <c r="M451" s="3">
        <v>9.6183206106870242E-2</v>
      </c>
      <c r="N451" s="3">
        <v>0.20109051254089427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0.14416575790621591</v>
      </c>
      <c r="AA451" s="3">
        <v>0</v>
      </c>
      <c r="AB451" s="3">
        <v>0</v>
      </c>
      <c r="AC451" s="3">
        <v>0</v>
      </c>
      <c r="AD451" s="3">
        <v>0</v>
      </c>
      <c r="AE451" s="3">
        <v>1.374045801526718E-2</v>
      </c>
      <c r="AF451" s="3">
        <v>0</v>
      </c>
      <c r="AG451" s="3">
        <v>0</v>
      </c>
      <c r="AH451" s="3">
        <v>0</v>
      </c>
      <c r="AI451" s="3">
        <v>3.9694656488549619E-2</v>
      </c>
      <c r="AJ451" s="3">
        <v>0.10948745910577974</v>
      </c>
      <c r="AK451" s="3">
        <v>0</v>
      </c>
      <c r="AL451" s="3">
        <v>0</v>
      </c>
      <c r="AM451" s="3">
        <v>0</v>
      </c>
      <c r="AN451" s="3">
        <v>4.4274809160305344E-2</v>
      </c>
      <c r="AO451" s="3">
        <v>0</v>
      </c>
      <c r="AP451" s="3">
        <v>0</v>
      </c>
      <c r="AQ451" s="3">
        <v>0</v>
      </c>
      <c r="AR451" s="3">
        <v>0</v>
      </c>
      <c r="AS451" s="3">
        <v>1.8102508178844061E-2</v>
      </c>
      <c r="AT451" s="3">
        <v>1.0905125408942206E-3</v>
      </c>
      <c r="AU451" s="3">
        <v>5.6924754634678311E-2</v>
      </c>
      <c r="AV451" s="3">
        <v>0</v>
      </c>
      <c r="AW451" s="3">
        <v>4.3620501635768822E-3</v>
      </c>
      <c r="AX451" s="3">
        <v>4.3620501635768822E-3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1.7666303162486373E-2</v>
      </c>
      <c r="CA451" s="3">
        <v>0.21395856052344603</v>
      </c>
      <c r="CB451" s="3">
        <v>3.4896401308615058E-2</v>
      </c>
    </row>
    <row r="452" spans="1:80">
      <c r="A452">
        <v>451</v>
      </c>
      <c r="B452" t="s">
        <v>53</v>
      </c>
      <c r="C452" s="4" t="s">
        <v>163</v>
      </c>
      <c r="D452" s="4" t="s">
        <v>116</v>
      </c>
      <c r="E452" s="5">
        <v>40157</v>
      </c>
      <c r="F452" s="5">
        <v>40159</v>
      </c>
      <c r="G452">
        <v>912</v>
      </c>
      <c r="H452" s="4" t="s">
        <v>107</v>
      </c>
      <c r="I452" s="4" t="s">
        <v>108</v>
      </c>
      <c r="J452" s="4" t="str">
        <f t="shared" si="7"/>
        <v>u_con.c_con</v>
      </c>
      <c r="K452" s="5">
        <v>19</v>
      </c>
      <c r="L452">
        <v>0</v>
      </c>
      <c r="M452">
        <v>4.5404208194905871E-2</v>
      </c>
      <c r="N452">
        <v>0.21262458471760792</v>
      </c>
      <c r="O452">
        <v>0</v>
      </c>
      <c r="P452">
        <v>0</v>
      </c>
      <c r="Q452">
        <v>2.2369878183831678E-2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0.1198228128460687</v>
      </c>
      <c r="AA452">
        <v>0</v>
      </c>
      <c r="AB452">
        <v>0</v>
      </c>
      <c r="AC452">
        <v>0</v>
      </c>
      <c r="AD452">
        <v>0</v>
      </c>
      <c r="AE452">
        <v>2.2148394241417501E-4</v>
      </c>
      <c r="AF452">
        <v>0</v>
      </c>
      <c r="AG452">
        <v>0</v>
      </c>
      <c r="AH452">
        <v>8.8593576965670003E-3</v>
      </c>
      <c r="AI452">
        <v>9.7674418604651217E-2</v>
      </c>
      <c r="AJ452">
        <v>5.7807308970099683E-2</v>
      </c>
      <c r="AK452">
        <v>1.3289036544850502E-2</v>
      </c>
      <c r="AL452">
        <v>0</v>
      </c>
      <c r="AM452">
        <v>0</v>
      </c>
      <c r="AN452">
        <v>9.9667774086378766E-3</v>
      </c>
      <c r="AO452">
        <v>0</v>
      </c>
      <c r="AP452">
        <v>0</v>
      </c>
      <c r="AQ452">
        <v>0</v>
      </c>
      <c r="AR452">
        <v>0</v>
      </c>
      <c r="AS452">
        <v>9.7452934662237024E-3</v>
      </c>
      <c r="AT452">
        <v>1.4617940199335554E-2</v>
      </c>
      <c r="AU452">
        <v>7.176079734219272E-2</v>
      </c>
      <c r="AV452">
        <v>0</v>
      </c>
      <c r="AW452">
        <v>4.4296788482835001E-3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1.4617940199335554E-2</v>
      </c>
      <c r="CA452">
        <v>0.28349944629014395</v>
      </c>
      <c r="CB452">
        <v>1.3289036544850502E-2</v>
      </c>
    </row>
    <row r="453" spans="1:80" s="1" customFormat="1">
      <c r="A453">
        <v>452</v>
      </c>
      <c r="B453" t="s">
        <v>54</v>
      </c>
      <c r="C453" s="4" t="s">
        <v>163</v>
      </c>
      <c r="D453" s="4" t="s">
        <v>116</v>
      </c>
      <c r="E453" s="5">
        <v>40157</v>
      </c>
      <c r="F453" s="5">
        <v>40159</v>
      </c>
      <c r="G453">
        <v>912</v>
      </c>
      <c r="H453" s="4" t="s">
        <v>107</v>
      </c>
      <c r="I453" s="4" t="s">
        <v>108</v>
      </c>
      <c r="J453" s="4" t="str">
        <f t="shared" si="7"/>
        <v>u_con.c_con</v>
      </c>
      <c r="K453" s="5">
        <v>19</v>
      </c>
      <c r="L453">
        <v>0</v>
      </c>
      <c r="M453">
        <v>3.2746160794941283E-2</v>
      </c>
      <c r="N453">
        <v>0.13121047877145436</v>
      </c>
      <c r="O453">
        <v>0</v>
      </c>
      <c r="P453">
        <v>0</v>
      </c>
      <c r="Q453">
        <v>2.2583559168925022E-4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0.31662149954832874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1.3775971093044266E-2</v>
      </c>
      <c r="AI453">
        <v>4.9683830171635048E-3</v>
      </c>
      <c r="AJ453">
        <v>0</v>
      </c>
      <c r="AK453">
        <v>0</v>
      </c>
      <c r="AL453">
        <v>0</v>
      </c>
      <c r="AM453">
        <v>0</v>
      </c>
      <c r="AN453">
        <v>2.8003613369467027E-2</v>
      </c>
      <c r="AO453">
        <v>0</v>
      </c>
      <c r="AP453">
        <v>0</v>
      </c>
      <c r="AQ453">
        <v>0</v>
      </c>
      <c r="AR453">
        <v>0</v>
      </c>
      <c r="AS453">
        <v>1.9421860885275522E-2</v>
      </c>
      <c r="AT453">
        <v>4.7425474254742554E-3</v>
      </c>
      <c r="AU453">
        <v>4.5618789521228546E-2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3.2294489611562782E-2</v>
      </c>
      <c r="CA453">
        <v>0.33423667570009025</v>
      </c>
      <c r="CB453">
        <v>3.6133694670280034E-2</v>
      </c>
    </row>
    <row r="454" spans="1:80">
      <c r="A454">
        <v>453</v>
      </c>
      <c r="B454" t="s">
        <v>55</v>
      </c>
      <c r="C454" s="4" t="s">
        <v>164</v>
      </c>
      <c r="D454" s="4" t="s">
        <v>116</v>
      </c>
      <c r="E454" s="5">
        <v>40157</v>
      </c>
      <c r="F454" s="5">
        <v>40159</v>
      </c>
      <c r="G454">
        <v>912</v>
      </c>
      <c r="H454" s="4" t="s">
        <v>110</v>
      </c>
      <c r="I454" s="4" t="s">
        <v>108</v>
      </c>
      <c r="J454" s="4" t="str">
        <f t="shared" si="7"/>
        <v>u_rem.c_con</v>
      </c>
      <c r="K454" s="5">
        <v>8</v>
      </c>
      <c r="L454">
        <v>0</v>
      </c>
      <c r="M454">
        <v>5.4464285714285743E-2</v>
      </c>
      <c r="N454">
        <v>9.397321428571434E-2</v>
      </c>
      <c r="O454">
        <v>0</v>
      </c>
      <c r="P454">
        <v>0</v>
      </c>
      <c r="Q454">
        <v>3.5714285714285726E-2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4.4642857142857166E-3</v>
      </c>
      <c r="Y454">
        <v>0</v>
      </c>
      <c r="Z454">
        <v>2.2991071428571437E-2</v>
      </c>
      <c r="AA454">
        <v>0</v>
      </c>
      <c r="AB454">
        <v>0</v>
      </c>
      <c r="AC454">
        <v>0</v>
      </c>
      <c r="AD454">
        <v>0</v>
      </c>
      <c r="AE454">
        <v>4.4642857142857166E-3</v>
      </c>
      <c r="AF454">
        <v>0</v>
      </c>
      <c r="AG454">
        <v>0</v>
      </c>
      <c r="AH454">
        <v>1.3839285714285722E-2</v>
      </c>
      <c r="AI454">
        <v>2.2321428571428582E-4</v>
      </c>
      <c r="AJ454">
        <v>0</v>
      </c>
      <c r="AK454">
        <v>0</v>
      </c>
      <c r="AL454">
        <v>1.3392857142857151E-2</v>
      </c>
      <c r="AM454">
        <v>0</v>
      </c>
      <c r="AN454">
        <v>3.6830357142857158E-2</v>
      </c>
      <c r="AO454">
        <v>0</v>
      </c>
      <c r="AP454">
        <v>0</v>
      </c>
      <c r="AQ454">
        <v>0</v>
      </c>
      <c r="AR454">
        <v>0</v>
      </c>
      <c r="AS454">
        <v>4.9553571428571454E-2</v>
      </c>
      <c r="AT454">
        <v>0</v>
      </c>
      <c r="AU454">
        <v>3.5937500000000011E-2</v>
      </c>
      <c r="AV454">
        <v>0</v>
      </c>
      <c r="AW454">
        <v>4.4642857142857166E-3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4.4642857142857166E-3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1.8080357142857151E-2</v>
      </c>
      <c r="CA454">
        <v>0.60714285714285732</v>
      </c>
      <c r="CB454">
        <v>0</v>
      </c>
    </row>
    <row r="455" spans="1:80">
      <c r="A455">
        <v>454</v>
      </c>
      <c r="B455" t="s">
        <v>56</v>
      </c>
      <c r="C455" s="4" t="s">
        <v>164</v>
      </c>
      <c r="D455" s="4" t="s">
        <v>116</v>
      </c>
      <c r="E455" s="5">
        <v>40157</v>
      </c>
      <c r="F455" s="5">
        <v>40159</v>
      </c>
      <c r="G455">
        <v>912</v>
      </c>
      <c r="H455" s="4" t="s">
        <v>110</v>
      </c>
      <c r="I455" s="4" t="s">
        <v>109</v>
      </c>
      <c r="J455" s="4" t="str">
        <f t="shared" si="7"/>
        <v>u_rem.c_rem</v>
      </c>
      <c r="K455" s="5">
        <v>1</v>
      </c>
      <c r="L455">
        <v>0</v>
      </c>
      <c r="M455">
        <v>2.1969501163091241E-2</v>
      </c>
      <c r="N455">
        <v>0.25846471956577927</v>
      </c>
      <c r="O455">
        <v>0</v>
      </c>
      <c r="P455">
        <v>0</v>
      </c>
      <c r="Q455">
        <v>1.0338588782631173E-2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1.0338588782631173E-2</v>
      </c>
      <c r="Z455">
        <v>6.2806926854484371E-2</v>
      </c>
      <c r="AA455">
        <v>0</v>
      </c>
      <c r="AB455">
        <v>0</v>
      </c>
      <c r="AC455">
        <v>0</v>
      </c>
      <c r="AD455">
        <v>0</v>
      </c>
      <c r="AE455">
        <v>3.6185060739209095E-2</v>
      </c>
      <c r="AF455">
        <v>0</v>
      </c>
      <c r="AG455">
        <v>0</v>
      </c>
      <c r="AH455">
        <v>2.1452571723959684E-2</v>
      </c>
      <c r="AI455">
        <v>5.2209873352287405E-2</v>
      </c>
      <c r="AJ455">
        <v>0</v>
      </c>
      <c r="AK455">
        <v>0</v>
      </c>
      <c r="AL455">
        <v>2.1194107004393902E-2</v>
      </c>
      <c r="AM455">
        <v>0</v>
      </c>
      <c r="AN455">
        <v>2.1452571723959684E-2</v>
      </c>
      <c r="AO455">
        <v>0</v>
      </c>
      <c r="AP455">
        <v>0</v>
      </c>
      <c r="AQ455">
        <v>0</v>
      </c>
      <c r="AR455">
        <v>0</v>
      </c>
      <c r="AS455">
        <v>5.7379167743603007E-2</v>
      </c>
      <c r="AT455">
        <v>1.0597053502196951E-2</v>
      </c>
      <c r="AU455">
        <v>3.6443525458774877E-2</v>
      </c>
      <c r="AV455">
        <v>2.6104936676143709E-2</v>
      </c>
      <c r="AW455">
        <v>1.0338588782631173E-2</v>
      </c>
      <c r="AX455">
        <v>0</v>
      </c>
      <c r="AY455">
        <v>0</v>
      </c>
      <c r="AZ455">
        <v>0</v>
      </c>
      <c r="BA455">
        <v>2.0935642284828124E-2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5.1692943913155863E-3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3.7477384337037997E-2</v>
      </c>
      <c r="CA455">
        <v>0.27914189713104154</v>
      </c>
      <c r="CB455">
        <v>0</v>
      </c>
    </row>
    <row r="456" spans="1:80">
      <c r="A456">
        <v>455</v>
      </c>
      <c r="B456" t="s">
        <v>57</v>
      </c>
      <c r="C456" s="4" t="s">
        <v>164</v>
      </c>
      <c r="D456" s="4" t="s">
        <v>116</v>
      </c>
      <c r="E456" s="5">
        <v>40157</v>
      </c>
      <c r="F456" s="5">
        <v>40159</v>
      </c>
      <c r="G456">
        <v>912</v>
      </c>
      <c r="H456" s="4" t="s">
        <v>110</v>
      </c>
      <c r="I456" s="4" t="s">
        <v>108</v>
      </c>
      <c r="J456" s="4" t="str">
        <f t="shared" si="7"/>
        <v>u_rem.c_con</v>
      </c>
      <c r="K456" s="5">
        <v>8</v>
      </c>
      <c r="L456">
        <v>0</v>
      </c>
      <c r="M456">
        <v>6.086583797685384E-2</v>
      </c>
      <c r="N456">
        <v>0.15023574796399489</v>
      </c>
      <c r="O456">
        <v>0</v>
      </c>
      <c r="P456">
        <v>0</v>
      </c>
      <c r="Q456">
        <v>8.5726532361765969E-3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2.1431633090441491E-4</v>
      </c>
      <c r="Y456">
        <v>0</v>
      </c>
      <c r="Z456">
        <v>6.0437205315045019E-2</v>
      </c>
      <c r="AA456">
        <v>0</v>
      </c>
      <c r="AB456">
        <v>0</v>
      </c>
      <c r="AC456">
        <v>0</v>
      </c>
      <c r="AD456">
        <v>0</v>
      </c>
      <c r="AE456">
        <v>2.1645949421345904E-2</v>
      </c>
      <c r="AF456">
        <v>0</v>
      </c>
      <c r="AG456">
        <v>0</v>
      </c>
      <c r="AH456">
        <v>2.6146592370338617E-2</v>
      </c>
      <c r="AI456">
        <v>9.0012858979854268E-3</v>
      </c>
      <c r="AJ456">
        <v>0</v>
      </c>
      <c r="AK456">
        <v>0</v>
      </c>
      <c r="AL456">
        <v>8.5726532361765969E-3</v>
      </c>
      <c r="AM456">
        <v>0</v>
      </c>
      <c r="AN456">
        <v>1.3716245177882556E-2</v>
      </c>
      <c r="AO456">
        <v>0</v>
      </c>
      <c r="AP456">
        <v>0</v>
      </c>
      <c r="AQ456">
        <v>0</v>
      </c>
      <c r="AR456">
        <v>0</v>
      </c>
      <c r="AS456">
        <v>5.2293184740677234E-2</v>
      </c>
      <c r="AT456">
        <v>4.5006429489927134E-3</v>
      </c>
      <c r="AU456">
        <v>5.6150878696956716E-2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8.5726532361765969E-3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2.1860265752250321E-2</v>
      </c>
      <c r="CA456">
        <v>0.49721388769824265</v>
      </c>
      <c r="CB456">
        <v>0</v>
      </c>
    </row>
    <row r="457" spans="1:80">
      <c r="A457">
        <v>456</v>
      </c>
      <c r="B457" t="s">
        <v>58</v>
      </c>
      <c r="C457" s="4" t="s">
        <v>164</v>
      </c>
      <c r="D457" s="4" t="s">
        <v>116</v>
      </c>
      <c r="E457" s="5">
        <v>40157</v>
      </c>
      <c r="F457" s="5">
        <v>40159</v>
      </c>
      <c r="G457">
        <v>912</v>
      </c>
      <c r="H457" s="4" t="s">
        <v>110</v>
      </c>
      <c r="I457" s="4" t="s">
        <v>109</v>
      </c>
      <c r="J457" s="4" t="str">
        <f t="shared" si="7"/>
        <v>u_rem.c_rem</v>
      </c>
      <c r="K457" s="5">
        <v>1</v>
      </c>
      <c r="L457">
        <v>0</v>
      </c>
      <c r="M457">
        <v>1.4685635612666361E-2</v>
      </c>
      <c r="N457">
        <v>0.11955025240936212</v>
      </c>
      <c r="O457">
        <v>0</v>
      </c>
      <c r="P457">
        <v>0</v>
      </c>
      <c r="Q457">
        <v>2.3405231757687009E-2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0.1294171638366223</v>
      </c>
      <c r="AA457">
        <v>0</v>
      </c>
      <c r="AB457">
        <v>0</v>
      </c>
      <c r="AC457">
        <v>1.3767783386874712E-2</v>
      </c>
      <c r="AD457">
        <v>0</v>
      </c>
      <c r="AE457">
        <v>4.612207434603028E-2</v>
      </c>
      <c r="AF457">
        <v>0</v>
      </c>
      <c r="AG457">
        <v>0</v>
      </c>
      <c r="AH457">
        <v>1.858650757228086E-2</v>
      </c>
      <c r="AI457">
        <v>0</v>
      </c>
      <c r="AJ457">
        <v>0</v>
      </c>
      <c r="AK457">
        <v>0</v>
      </c>
      <c r="AL457">
        <v>5.2776502983019726E-3</v>
      </c>
      <c r="AM457">
        <v>0</v>
      </c>
      <c r="AN457">
        <v>1.1702615878843504E-2</v>
      </c>
      <c r="AO457">
        <v>0</v>
      </c>
      <c r="AP457">
        <v>0</v>
      </c>
      <c r="AQ457">
        <v>0</v>
      </c>
      <c r="AR457">
        <v>0</v>
      </c>
      <c r="AS457">
        <v>2.3405231757687009E-2</v>
      </c>
      <c r="AT457">
        <v>2.2946305644791186E-4</v>
      </c>
      <c r="AU457">
        <v>8.7654887563102329E-2</v>
      </c>
      <c r="AV457">
        <v>1.445617255621845E-2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9.1785222579164744E-3</v>
      </c>
      <c r="BZ457">
        <v>9.7062872877466719E-2</v>
      </c>
      <c r="CA457">
        <v>0.37631941257457541</v>
      </c>
      <c r="CB457">
        <v>9.1785222579164744E-3</v>
      </c>
    </row>
    <row r="458" spans="1:80">
      <c r="A458">
        <v>457</v>
      </c>
      <c r="B458" t="s">
        <v>59</v>
      </c>
      <c r="C458" s="4" t="s">
        <v>165</v>
      </c>
      <c r="D458" s="4" t="s">
        <v>117</v>
      </c>
      <c r="E458" s="5">
        <v>40159</v>
      </c>
      <c r="F458" s="5">
        <v>40159</v>
      </c>
      <c r="G458">
        <v>912</v>
      </c>
      <c r="H458" s="4" t="s">
        <v>107</v>
      </c>
      <c r="I458" s="4" t="s">
        <v>109</v>
      </c>
      <c r="J458" s="4" t="str">
        <f t="shared" si="7"/>
        <v>u_con.c_rem</v>
      </c>
      <c r="K458" s="5">
        <v>2</v>
      </c>
      <c r="L458" s="3">
        <v>0</v>
      </c>
      <c r="M458" s="3">
        <v>0.18529940889231558</v>
      </c>
      <c r="N458" s="3">
        <v>6.8105885376509925E-2</v>
      </c>
      <c r="O458" s="3">
        <v>0</v>
      </c>
      <c r="P458" s="3">
        <v>0</v>
      </c>
      <c r="Q458" s="3">
        <v>4.6517604728861482E-2</v>
      </c>
      <c r="R458" s="3">
        <v>0.15420200462606015</v>
      </c>
      <c r="S458" s="3">
        <v>0</v>
      </c>
      <c r="T458" s="3">
        <v>2.0560267283474688E-2</v>
      </c>
      <c r="U458" s="3">
        <v>1.1565150346954513E-2</v>
      </c>
      <c r="V458" s="3">
        <v>0</v>
      </c>
      <c r="W458" s="3">
        <v>0</v>
      </c>
      <c r="X458" s="3">
        <v>1.0280133641737344E-2</v>
      </c>
      <c r="Y458" s="3">
        <v>0</v>
      </c>
      <c r="Z458" s="3">
        <v>0</v>
      </c>
      <c r="AA458" s="3">
        <v>0</v>
      </c>
      <c r="AB458" s="3">
        <v>0</v>
      </c>
      <c r="AC458" s="3">
        <v>5.1400668208686721E-3</v>
      </c>
      <c r="AD458" s="3">
        <v>5.1400668208686721E-3</v>
      </c>
      <c r="AE458" s="3">
        <v>3.1097404266255464E-2</v>
      </c>
      <c r="AF458" s="3">
        <v>0</v>
      </c>
      <c r="AG458" s="3">
        <v>0</v>
      </c>
      <c r="AH458" s="3">
        <v>2.5700334104343357E-4</v>
      </c>
      <c r="AI458" s="3">
        <v>1.5934207144692885E-2</v>
      </c>
      <c r="AJ458" s="3">
        <v>0.13389874068362892</v>
      </c>
      <c r="AK458" s="3">
        <v>0</v>
      </c>
      <c r="AL458" s="3">
        <v>5.7054741711642272E-2</v>
      </c>
      <c r="AM458" s="3">
        <v>0</v>
      </c>
      <c r="AN458" s="3">
        <v>6.168080185042407E-3</v>
      </c>
      <c r="AO458" s="3">
        <v>0</v>
      </c>
      <c r="AP458" s="3">
        <v>0</v>
      </c>
      <c r="AQ458" s="3">
        <v>0</v>
      </c>
      <c r="AR458" s="3">
        <v>0</v>
      </c>
      <c r="AS458" s="3">
        <v>5.3970701619121056E-3</v>
      </c>
      <c r="AT458" s="3">
        <v>1.6448213826779752E-2</v>
      </c>
      <c r="AU458" s="3">
        <v>0</v>
      </c>
      <c r="AV458" s="3">
        <v>0</v>
      </c>
      <c r="AW458" s="3">
        <v>1.5420200462606018E-2</v>
      </c>
      <c r="AX458" s="3">
        <v>2.1331277306604991E-2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5.1400668208686721E-3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0.18504240555127216</v>
      </c>
      <c r="CB458" s="3">
        <v>0</v>
      </c>
    </row>
    <row r="459" spans="1:80">
      <c r="A459">
        <v>458</v>
      </c>
      <c r="B459" t="s">
        <v>60</v>
      </c>
      <c r="C459" s="4" t="s">
        <v>165</v>
      </c>
      <c r="D459" s="4" t="s">
        <v>117</v>
      </c>
      <c r="E459" s="5">
        <v>40159</v>
      </c>
      <c r="F459" s="5">
        <v>40159</v>
      </c>
      <c r="G459">
        <v>912</v>
      </c>
      <c r="H459" s="4" t="s">
        <v>107</v>
      </c>
      <c r="I459" s="4" t="s">
        <v>108</v>
      </c>
      <c r="J459" s="4" t="str">
        <f t="shared" si="7"/>
        <v>u_con.c_con</v>
      </c>
      <c r="K459" s="5">
        <v>19</v>
      </c>
      <c r="L459">
        <v>0</v>
      </c>
      <c r="M459">
        <v>0.51709027169149868</v>
      </c>
      <c r="N459">
        <v>2.6730937773882555E-2</v>
      </c>
      <c r="O459">
        <v>0</v>
      </c>
      <c r="P459">
        <v>0</v>
      </c>
      <c r="Q459">
        <v>3.1770376862401396E-2</v>
      </c>
      <c r="R459">
        <v>7.8878177037686237E-2</v>
      </c>
      <c r="S459">
        <v>0</v>
      </c>
      <c r="T459">
        <v>4.3821209465381237E-3</v>
      </c>
      <c r="U459">
        <v>4.6012269938650301E-3</v>
      </c>
      <c r="V459">
        <v>0</v>
      </c>
      <c r="W459">
        <v>0</v>
      </c>
      <c r="X459">
        <v>4.3821209465381237E-3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4.075372480280455E-2</v>
      </c>
      <c r="AF459">
        <v>0</v>
      </c>
      <c r="AG459">
        <v>0</v>
      </c>
      <c r="AH459">
        <v>4.3821209465381237E-3</v>
      </c>
      <c r="AI459">
        <v>4.3821209465381237E-3</v>
      </c>
      <c r="AJ459">
        <v>8.7642418930762474E-3</v>
      </c>
      <c r="AK459">
        <v>0</v>
      </c>
      <c r="AL459">
        <v>7.0771253286590688E-2</v>
      </c>
      <c r="AM459">
        <v>0</v>
      </c>
      <c r="AN459">
        <v>4.8203330411919366E-3</v>
      </c>
      <c r="AO459">
        <v>0</v>
      </c>
      <c r="AP459">
        <v>0</v>
      </c>
      <c r="AQ459">
        <v>0</v>
      </c>
      <c r="AR459">
        <v>0</v>
      </c>
      <c r="AS459">
        <v>2.2129710780017527E-2</v>
      </c>
      <c r="AT459">
        <v>0</v>
      </c>
      <c r="AU459">
        <v>0</v>
      </c>
      <c r="AV459">
        <v>0</v>
      </c>
      <c r="AW459">
        <v>2.191060473269062E-4</v>
      </c>
      <c r="AX459">
        <v>4.8203330411919366E-3</v>
      </c>
      <c r="AY459">
        <v>0</v>
      </c>
      <c r="AZ459">
        <v>0</v>
      </c>
      <c r="BA459">
        <v>8.9833479404031538E-3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4.3821209465381237E-3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0.15775635407537245</v>
      </c>
      <c r="CB459">
        <v>0</v>
      </c>
    </row>
    <row r="460" spans="1:80">
      <c r="A460">
        <v>459</v>
      </c>
      <c r="B460" t="s">
        <v>61</v>
      </c>
      <c r="C460" s="4" t="s">
        <v>165</v>
      </c>
      <c r="D460" s="4" t="s">
        <v>117</v>
      </c>
      <c r="E460" s="5">
        <v>40159</v>
      </c>
      <c r="F460" s="5">
        <v>40159</v>
      </c>
      <c r="G460">
        <v>912</v>
      </c>
      <c r="H460" s="4" t="s">
        <v>107</v>
      </c>
      <c r="I460" s="4" t="s">
        <v>109</v>
      </c>
      <c r="J460" s="4" t="str">
        <f t="shared" si="7"/>
        <v>u_con.c_rem</v>
      </c>
      <c r="K460" s="5">
        <v>2</v>
      </c>
      <c r="L460">
        <v>0</v>
      </c>
      <c r="M460">
        <v>0.23840665873959574</v>
      </c>
      <c r="N460">
        <v>3.5869996036464534E-2</v>
      </c>
      <c r="O460">
        <v>0</v>
      </c>
      <c r="P460">
        <v>0</v>
      </c>
      <c r="Q460">
        <v>0.11910424098295683</v>
      </c>
      <c r="R460">
        <v>7.9468886246531908E-2</v>
      </c>
      <c r="S460">
        <v>0</v>
      </c>
      <c r="T460">
        <v>8.1252477209671041E-3</v>
      </c>
      <c r="U460">
        <v>0</v>
      </c>
      <c r="V460">
        <v>0</v>
      </c>
      <c r="W460">
        <v>0</v>
      </c>
      <c r="X460">
        <v>4.1617122473246145E-3</v>
      </c>
      <c r="Y460">
        <v>0</v>
      </c>
      <c r="Z460">
        <v>0</v>
      </c>
      <c r="AA460">
        <v>0</v>
      </c>
      <c r="AB460">
        <v>0</v>
      </c>
      <c r="AC460">
        <v>1.9817677368212449E-4</v>
      </c>
      <c r="AD460">
        <v>0</v>
      </c>
      <c r="AE460">
        <v>2.0214030915576699E-2</v>
      </c>
      <c r="AF460">
        <v>0</v>
      </c>
      <c r="AG460">
        <v>0</v>
      </c>
      <c r="AH460">
        <v>3.9635354736424898E-4</v>
      </c>
      <c r="AI460">
        <v>2.4177566389219186E-2</v>
      </c>
      <c r="AJ460">
        <v>0.11910424098295681</v>
      </c>
      <c r="AK460">
        <v>0</v>
      </c>
      <c r="AL460">
        <v>0</v>
      </c>
      <c r="AM460">
        <v>0</v>
      </c>
      <c r="AN460">
        <v>1.2485136741973844E-2</v>
      </c>
      <c r="AO460">
        <v>0</v>
      </c>
      <c r="AP460">
        <v>0</v>
      </c>
      <c r="AQ460">
        <v>0</v>
      </c>
      <c r="AR460">
        <v>0</v>
      </c>
      <c r="AS460">
        <v>4.5580657946888634E-3</v>
      </c>
      <c r="AT460">
        <v>4.3598890210067394E-3</v>
      </c>
      <c r="AU460">
        <v>0</v>
      </c>
      <c r="AV460">
        <v>0</v>
      </c>
      <c r="AW460">
        <v>0</v>
      </c>
      <c r="AX460">
        <v>2.0015854141894572E-2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7.9270709472849792E-3</v>
      </c>
      <c r="CA460">
        <v>0.30122869599682922</v>
      </c>
      <c r="CB460">
        <v>1.9817677368212449E-4</v>
      </c>
    </row>
    <row r="461" spans="1:80" s="1" customFormat="1">
      <c r="A461">
        <v>460</v>
      </c>
      <c r="B461" t="s">
        <v>62</v>
      </c>
      <c r="C461" s="4" t="s">
        <v>165</v>
      </c>
      <c r="D461" s="4" t="s">
        <v>117</v>
      </c>
      <c r="E461" s="5">
        <v>40159</v>
      </c>
      <c r="F461" s="5">
        <v>40159</v>
      </c>
      <c r="G461">
        <v>912</v>
      </c>
      <c r="H461" s="4" t="s">
        <v>107</v>
      </c>
      <c r="I461" s="4" t="s">
        <v>108</v>
      </c>
      <c r="J461" s="4" t="str">
        <f t="shared" si="7"/>
        <v>u_con.c_con</v>
      </c>
      <c r="K461" s="5">
        <v>19</v>
      </c>
      <c r="L461">
        <v>0</v>
      </c>
      <c r="M461">
        <v>0.10317848410757946</v>
      </c>
      <c r="N461">
        <v>9.3643031784841096E-2</v>
      </c>
      <c r="O461">
        <v>0</v>
      </c>
      <c r="P461">
        <v>0</v>
      </c>
      <c r="Q461">
        <v>5.4523227383863081E-2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3.4474327628361862E-2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5.1344743276283628E-3</v>
      </c>
      <c r="AE461">
        <v>3.4229828850855744E-2</v>
      </c>
      <c r="AF461">
        <v>0</v>
      </c>
      <c r="AG461">
        <v>0</v>
      </c>
      <c r="AH461">
        <v>1.0513447432762838E-2</v>
      </c>
      <c r="AI461">
        <v>9.7799511002445005E-3</v>
      </c>
      <c r="AJ461">
        <v>3.5207823960880194E-2</v>
      </c>
      <c r="AK461">
        <v>0</v>
      </c>
      <c r="AL461">
        <v>5.4278728606356963E-2</v>
      </c>
      <c r="AM461">
        <v>0</v>
      </c>
      <c r="AN461">
        <v>1.6136919315403425E-2</v>
      </c>
      <c r="AO461">
        <v>0</v>
      </c>
      <c r="AP461">
        <v>0</v>
      </c>
      <c r="AQ461">
        <v>0</v>
      </c>
      <c r="AR461">
        <v>0</v>
      </c>
      <c r="AS461">
        <v>1.5158924205378977E-2</v>
      </c>
      <c r="AT461">
        <v>2.444987775061125E-4</v>
      </c>
      <c r="AU461">
        <v>0</v>
      </c>
      <c r="AV461">
        <v>0</v>
      </c>
      <c r="AW461">
        <v>0</v>
      </c>
      <c r="AX461">
        <v>1.5158924205378977E-2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0.51833740831295838</v>
      </c>
      <c r="CB461">
        <v>0</v>
      </c>
    </row>
    <row r="462" spans="1:80">
      <c r="A462">
        <v>461</v>
      </c>
      <c r="B462" t="s">
        <v>106</v>
      </c>
      <c r="C462" s="4" t="s">
        <v>166</v>
      </c>
      <c r="D462" s="4" t="s">
        <v>117</v>
      </c>
      <c r="E462" s="5">
        <v>40159</v>
      </c>
      <c r="F462" s="5">
        <v>40159</v>
      </c>
      <c r="G462">
        <v>912</v>
      </c>
      <c r="H462" s="4" t="s">
        <v>110</v>
      </c>
      <c r="I462" s="4" t="s">
        <v>109</v>
      </c>
      <c r="J462" s="4" t="str">
        <f t="shared" si="7"/>
        <v>u_rem.c_rem</v>
      </c>
      <c r="K462" s="5">
        <v>1</v>
      </c>
      <c r="L462">
        <v>0</v>
      </c>
      <c r="M462">
        <v>6.5016103059581346E-2</v>
      </c>
      <c r="N462">
        <v>0.23349436392914646</v>
      </c>
      <c r="O462">
        <v>0</v>
      </c>
      <c r="P462">
        <v>0</v>
      </c>
      <c r="Q462">
        <v>1.6505636070853463E-2</v>
      </c>
      <c r="R462">
        <v>5.2536231884057975E-2</v>
      </c>
      <c r="S462">
        <v>0</v>
      </c>
      <c r="T462">
        <v>4.4283413848631237E-3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1.2681159420289858E-2</v>
      </c>
      <c r="AF462">
        <v>0</v>
      </c>
      <c r="AG462">
        <v>0</v>
      </c>
      <c r="AH462">
        <v>0</v>
      </c>
      <c r="AI462">
        <v>8.6553945249597426E-3</v>
      </c>
      <c r="AJ462">
        <v>0.20531400966183574</v>
      </c>
      <c r="AK462">
        <v>0</v>
      </c>
      <c r="AL462">
        <v>0</v>
      </c>
      <c r="AM462">
        <v>0</v>
      </c>
      <c r="AN462">
        <v>6.0386473429951688E-4</v>
      </c>
      <c r="AO462">
        <v>0</v>
      </c>
      <c r="AP462">
        <v>0</v>
      </c>
      <c r="AQ462">
        <v>0</v>
      </c>
      <c r="AR462">
        <v>0</v>
      </c>
      <c r="AS462">
        <v>2.0128824476650564E-4</v>
      </c>
      <c r="AT462">
        <v>2.5764895330112721E-2</v>
      </c>
      <c r="AU462">
        <v>0</v>
      </c>
      <c r="AV462">
        <v>0</v>
      </c>
      <c r="AW462">
        <v>0</v>
      </c>
      <c r="AX462">
        <v>2.4557165861513686E-2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4.0257648953301133E-3</v>
      </c>
      <c r="CA462">
        <v>0.34621578099838968</v>
      </c>
      <c r="CB462">
        <v>0</v>
      </c>
    </row>
    <row r="463" spans="1:80">
      <c r="A463">
        <v>462</v>
      </c>
      <c r="B463" t="s">
        <v>63</v>
      </c>
      <c r="C463" s="4" t="s">
        <v>166</v>
      </c>
      <c r="D463" s="4" t="s">
        <v>117</v>
      </c>
      <c r="E463" s="5">
        <v>40159</v>
      </c>
      <c r="F463" s="5">
        <v>40159</v>
      </c>
      <c r="G463">
        <v>912</v>
      </c>
      <c r="H463" s="4" t="s">
        <v>110</v>
      </c>
      <c r="I463" s="4" t="s">
        <v>108</v>
      </c>
      <c r="J463" s="4" t="str">
        <f t="shared" si="7"/>
        <v>u_rem.c_con</v>
      </c>
      <c r="K463" s="5">
        <v>8</v>
      </c>
      <c r="L463">
        <v>0</v>
      </c>
      <c r="M463">
        <v>0.11207664884135474</v>
      </c>
      <c r="N463">
        <v>0.16488413547237082</v>
      </c>
      <c r="O463">
        <v>0</v>
      </c>
      <c r="P463">
        <v>0</v>
      </c>
      <c r="Q463">
        <v>2.2281639928698754E-4</v>
      </c>
      <c r="R463">
        <v>8.912655971479503E-3</v>
      </c>
      <c r="S463">
        <v>0</v>
      </c>
      <c r="T463">
        <v>3.631907308377897E-2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3.5873440285204991E-2</v>
      </c>
      <c r="AA463">
        <v>0</v>
      </c>
      <c r="AB463">
        <v>0</v>
      </c>
      <c r="AC463">
        <v>0</v>
      </c>
      <c r="AD463">
        <v>0</v>
      </c>
      <c r="AE463">
        <v>2.2727272727272731E-2</v>
      </c>
      <c r="AF463">
        <v>0</v>
      </c>
      <c r="AG463">
        <v>0</v>
      </c>
      <c r="AH463">
        <v>4.9019607843137263E-3</v>
      </c>
      <c r="AI463">
        <v>4.6791443850267385E-3</v>
      </c>
      <c r="AJ463">
        <v>0.15619429590017828</v>
      </c>
      <c r="AK463">
        <v>0</v>
      </c>
      <c r="AL463">
        <v>1.3368983957219253E-2</v>
      </c>
      <c r="AM463">
        <v>0</v>
      </c>
      <c r="AN463">
        <v>2.2281639928698754E-4</v>
      </c>
      <c r="AO463">
        <v>0</v>
      </c>
      <c r="AP463">
        <v>0</v>
      </c>
      <c r="AQ463">
        <v>0</v>
      </c>
      <c r="AR463">
        <v>0</v>
      </c>
      <c r="AS463">
        <v>2.2727272727272731E-2</v>
      </c>
      <c r="AT463">
        <v>2.3841354723707669E-2</v>
      </c>
      <c r="AU463">
        <v>0</v>
      </c>
      <c r="AV463">
        <v>0</v>
      </c>
      <c r="AW463">
        <v>2.2281639928698754E-4</v>
      </c>
      <c r="AX463">
        <v>5.1247771836007141E-3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4.4563279857397515E-3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0.38324420677361853</v>
      </c>
      <c r="CB463">
        <v>0</v>
      </c>
    </row>
    <row r="464" spans="1:80">
      <c r="A464">
        <v>463</v>
      </c>
      <c r="B464" t="s">
        <v>64</v>
      </c>
      <c r="C464" s="4" t="s">
        <v>166</v>
      </c>
      <c r="D464" s="4" t="s">
        <v>117</v>
      </c>
      <c r="E464" s="5">
        <v>40159</v>
      </c>
      <c r="F464" s="5">
        <v>40159</v>
      </c>
      <c r="G464">
        <v>912</v>
      </c>
      <c r="H464" s="4" t="s">
        <v>110</v>
      </c>
      <c r="I464" s="4" t="s">
        <v>109</v>
      </c>
      <c r="J464" s="4" t="str">
        <f t="shared" si="7"/>
        <v>u_rem.c_rem</v>
      </c>
      <c r="K464" s="5">
        <v>1</v>
      </c>
      <c r="L464">
        <v>0</v>
      </c>
      <c r="M464">
        <v>4.7093144405084379E-2</v>
      </c>
      <c r="N464">
        <v>0.1919149822879766</v>
      </c>
      <c r="O464">
        <v>0</v>
      </c>
      <c r="P464">
        <v>0</v>
      </c>
      <c r="Q464">
        <v>4.1675349031048128E-3</v>
      </c>
      <c r="R464">
        <v>0.1291935819962492</v>
      </c>
      <c r="S464">
        <v>0</v>
      </c>
      <c r="T464">
        <v>4.1675349031048128E-3</v>
      </c>
      <c r="U464">
        <v>4.5842883934152949E-3</v>
      </c>
      <c r="V464">
        <v>0</v>
      </c>
      <c r="W464">
        <v>0</v>
      </c>
      <c r="X464">
        <v>2.0837674515524065E-4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8.7518232965201077E-3</v>
      </c>
      <c r="AF464">
        <v>0</v>
      </c>
      <c r="AG464">
        <v>0</v>
      </c>
      <c r="AH464">
        <v>0</v>
      </c>
      <c r="AI464">
        <v>4.1675349031048128E-3</v>
      </c>
      <c r="AJ464">
        <v>0.17524484267555734</v>
      </c>
      <c r="AK464">
        <v>0</v>
      </c>
      <c r="AL464">
        <v>4.3759116482600538E-3</v>
      </c>
      <c r="AM464">
        <v>0</v>
      </c>
      <c r="AN464">
        <v>4.3759116482600538E-3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1.3127734944780162E-2</v>
      </c>
      <c r="AU464">
        <v>0</v>
      </c>
      <c r="AV464">
        <v>0</v>
      </c>
      <c r="AW464">
        <v>0</v>
      </c>
      <c r="AX464">
        <v>4.3759116482600538E-3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0.4042508856011669</v>
      </c>
      <c r="CB464">
        <v>0</v>
      </c>
    </row>
    <row r="465" spans="1:80">
      <c r="A465">
        <v>464</v>
      </c>
      <c r="B465" t="s">
        <v>65</v>
      </c>
      <c r="C465" s="4" t="s">
        <v>166</v>
      </c>
      <c r="D465" s="4" t="s">
        <v>117</v>
      </c>
      <c r="E465" s="5">
        <v>40159</v>
      </c>
      <c r="F465" s="5">
        <v>40159</v>
      </c>
      <c r="G465">
        <v>912</v>
      </c>
      <c r="H465" s="4" t="s">
        <v>110</v>
      </c>
      <c r="I465" s="4" t="s">
        <v>108</v>
      </c>
      <c r="J465" s="4" t="str">
        <f t="shared" si="7"/>
        <v>u_rem.c_con</v>
      </c>
      <c r="K465" s="5">
        <v>8</v>
      </c>
      <c r="L465">
        <v>2.1146119687037432E-2</v>
      </c>
      <c r="M465">
        <v>0.10657644322266865</v>
      </c>
      <c r="N465">
        <v>9.3254387819835097E-2</v>
      </c>
      <c r="O465">
        <v>0</v>
      </c>
      <c r="P465">
        <v>0</v>
      </c>
      <c r="Q465">
        <v>3.3833791499259885E-2</v>
      </c>
      <c r="R465">
        <v>8.4584478748149727E-2</v>
      </c>
      <c r="S465">
        <v>0</v>
      </c>
      <c r="T465">
        <v>2.1357580883907806E-2</v>
      </c>
      <c r="U465">
        <v>0</v>
      </c>
      <c r="V465">
        <v>0</v>
      </c>
      <c r="W465">
        <v>0</v>
      </c>
      <c r="X465">
        <v>2.1146119687037433E-4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1.2687671812222459E-2</v>
      </c>
      <c r="AE465">
        <v>1.4167900190315082E-2</v>
      </c>
      <c r="AF465">
        <v>0</v>
      </c>
      <c r="AG465">
        <v>0</v>
      </c>
      <c r="AH465">
        <v>0</v>
      </c>
      <c r="AI465">
        <v>4.2292239374074865E-3</v>
      </c>
      <c r="AJ465">
        <v>0.23260731655741171</v>
      </c>
      <c r="AK465">
        <v>0</v>
      </c>
      <c r="AL465">
        <v>4.2292239374074865E-3</v>
      </c>
      <c r="AM465">
        <v>0</v>
      </c>
      <c r="AN465">
        <v>1.3956438993444707E-2</v>
      </c>
      <c r="AO465">
        <v>0</v>
      </c>
      <c r="AP465">
        <v>0</v>
      </c>
      <c r="AQ465">
        <v>0</v>
      </c>
      <c r="AR465">
        <v>0</v>
      </c>
      <c r="AS465">
        <v>1.2899133009092836E-2</v>
      </c>
      <c r="AT465">
        <v>2.1780503277648557E-2</v>
      </c>
      <c r="AU465">
        <v>0</v>
      </c>
      <c r="AV465">
        <v>0</v>
      </c>
      <c r="AW465">
        <v>0</v>
      </c>
      <c r="AX465">
        <v>1.7762740537111445E-2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2.1146119687037433E-4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0.30450412349333894</v>
      </c>
      <c r="CB465">
        <v>0</v>
      </c>
    </row>
    <row r="466" spans="1:80">
      <c r="A466">
        <v>465</v>
      </c>
      <c r="B466" t="s">
        <v>66</v>
      </c>
      <c r="C466" s="4" t="s">
        <v>167</v>
      </c>
      <c r="D466" s="4" t="s">
        <v>117</v>
      </c>
      <c r="E466" s="5">
        <v>40159</v>
      </c>
      <c r="F466" s="5">
        <v>40159</v>
      </c>
      <c r="G466">
        <v>912</v>
      </c>
      <c r="H466" s="4" t="s">
        <v>107</v>
      </c>
      <c r="I466" s="4" t="s">
        <v>108</v>
      </c>
      <c r="J466" s="4" t="str">
        <f t="shared" si="7"/>
        <v>u_con.c_con</v>
      </c>
      <c r="K466" s="5">
        <v>19</v>
      </c>
      <c r="L466">
        <v>4.1841004184100415E-3</v>
      </c>
      <c r="M466">
        <v>0.44630404463040441</v>
      </c>
      <c r="N466">
        <v>0.14365411436541142</v>
      </c>
      <c r="O466">
        <v>0</v>
      </c>
      <c r="P466">
        <v>0</v>
      </c>
      <c r="Q466">
        <v>3.2277346084877458E-2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3.2675831839011751E-2</v>
      </c>
      <c r="AF466">
        <v>0</v>
      </c>
      <c r="AG466">
        <v>0</v>
      </c>
      <c r="AH466">
        <v>0</v>
      </c>
      <c r="AI466">
        <v>2.8093245666467419E-2</v>
      </c>
      <c r="AJ466">
        <v>4.8017533373181917E-2</v>
      </c>
      <c r="AK466">
        <v>0</v>
      </c>
      <c r="AL466">
        <v>2.7894002789400275E-2</v>
      </c>
      <c r="AM466">
        <v>0</v>
      </c>
      <c r="AN466">
        <v>1.5939430165371589E-2</v>
      </c>
      <c r="AO466">
        <v>0</v>
      </c>
      <c r="AP466">
        <v>0</v>
      </c>
      <c r="AQ466">
        <v>0</v>
      </c>
      <c r="AR466">
        <v>0</v>
      </c>
      <c r="AS466">
        <v>8.1689579597529378E-3</v>
      </c>
      <c r="AT466">
        <v>3.9848575413428965E-4</v>
      </c>
      <c r="AU466">
        <v>0</v>
      </c>
      <c r="AV466">
        <v>0</v>
      </c>
      <c r="AW466">
        <v>0</v>
      </c>
      <c r="AX466">
        <v>1.2353058378162982E-2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4.3833432954771866E-3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1.9924287706714482E-4</v>
      </c>
      <c r="CA466">
        <v>0.19545726240286901</v>
      </c>
      <c r="CB466">
        <v>0</v>
      </c>
    </row>
    <row r="467" spans="1:80">
      <c r="A467">
        <v>466</v>
      </c>
      <c r="B467" t="s">
        <v>67</v>
      </c>
      <c r="C467" s="4" t="s">
        <v>167</v>
      </c>
      <c r="D467" s="4" t="s">
        <v>117</v>
      </c>
      <c r="E467" s="5">
        <v>40159</v>
      </c>
      <c r="F467" s="5">
        <v>40159</v>
      </c>
      <c r="G467">
        <v>912</v>
      </c>
      <c r="H467" s="4" t="s">
        <v>107</v>
      </c>
      <c r="I467" s="4" t="s">
        <v>109</v>
      </c>
      <c r="J467" s="4" t="str">
        <f t="shared" si="7"/>
        <v>u_con.c_rem</v>
      </c>
      <c r="K467" s="5">
        <v>2</v>
      </c>
      <c r="L467">
        <v>0</v>
      </c>
      <c r="M467">
        <v>0.18036809815950922</v>
      </c>
      <c r="N467">
        <v>0.44989775051124747</v>
      </c>
      <c r="O467">
        <v>0</v>
      </c>
      <c r="P467">
        <v>0</v>
      </c>
      <c r="Q467">
        <v>1.2474437627811863E-2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2.0449897750511248E-4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1.226993865030675E-2</v>
      </c>
      <c r="AF467">
        <v>0</v>
      </c>
      <c r="AG467">
        <v>0</v>
      </c>
      <c r="AH467">
        <v>0</v>
      </c>
      <c r="AI467">
        <v>1.6564417177914112E-2</v>
      </c>
      <c r="AJ467">
        <v>1.6359918200408999E-2</v>
      </c>
      <c r="AK467">
        <v>0</v>
      </c>
      <c r="AL467">
        <v>0</v>
      </c>
      <c r="AM467">
        <v>0</v>
      </c>
      <c r="AN467">
        <v>4.0899795501022499E-3</v>
      </c>
      <c r="AO467">
        <v>0</v>
      </c>
      <c r="AP467">
        <v>0</v>
      </c>
      <c r="AQ467">
        <v>4.0899795501022499E-3</v>
      </c>
      <c r="AR467">
        <v>0</v>
      </c>
      <c r="AS467">
        <v>4.2944785276073623E-3</v>
      </c>
      <c r="AT467">
        <v>0</v>
      </c>
      <c r="AU467">
        <v>0</v>
      </c>
      <c r="AV467">
        <v>0</v>
      </c>
      <c r="AW467">
        <v>0</v>
      </c>
      <c r="AX467">
        <v>2.1063394683026586E-2</v>
      </c>
      <c r="AY467">
        <v>0</v>
      </c>
      <c r="AZ467">
        <v>0</v>
      </c>
      <c r="BA467">
        <v>4.0899795501022499E-3</v>
      </c>
      <c r="BB467">
        <v>0</v>
      </c>
      <c r="BC467">
        <v>0</v>
      </c>
      <c r="BD467">
        <v>0</v>
      </c>
      <c r="BE467">
        <v>1.2474437627811863E-2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0.26175869120654399</v>
      </c>
      <c r="CB467">
        <v>0</v>
      </c>
    </row>
    <row r="468" spans="1:80">
      <c r="A468">
        <v>467</v>
      </c>
      <c r="B468" t="s">
        <v>68</v>
      </c>
      <c r="C468" s="4" t="s">
        <v>167</v>
      </c>
      <c r="D468" s="4" t="s">
        <v>117</v>
      </c>
      <c r="E468" s="5">
        <v>40159</v>
      </c>
      <c r="F468" s="5">
        <v>40159</v>
      </c>
      <c r="G468">
        <v>912</v>
      </c>
      <c r="H468" s="4" t="s">
        <v>107</v>
      </c>
      <c r="I468" s="4" t="s">
        <v>108</v>
      </c>
      <c r="J468" s="4" t="str">
        <f t="shared" si="7"/>
        <v>u_con.c_con</v>
      </c>
      <c r="K468" s="5">
        <v>19</v>
      </c>
      <c r="L468">
        <v>0</v>
      </c>
      <c r="M468">
        <v>0.23818525519848766</v>
      </c>
      <c r="N468">
        <v>0.16635160680529298</v>
      </c>
      <c r="O468">
        <v>0</v>
      </c>
      <c r="P468">
        <v>0</v>
      </c>
      <c r="Q468">
        <v>7.5614366729678641E-3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3.8563327032136108E-2</v>
      </c>
      <c r="AF468">
        <v>0</v>
      </c>
      <c r="AG468">
        <v>0</v>
      </c>
      <c r="AH468">
        <v>0</v>
      </c>
      <c r="AI468">
        <v>3.9697542533081286E-3</v>
      </c>
      <c r="AJ468">
        <v>9.8487712665406443E-2</v>
      </c>
      <c r="AK468">
        <v>0</v>
      </c>
      <c r="AL468">
        <v>1.1342155009451798E-2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1.5311909262759925E-2</v>
      </c>
      <c r="AT468">
        <v>1.1531190926275995E-2</v>
      </c>
      <c r="AU468">
        <v>0</v>
      </c>
      <c r="AV468">
        <v>0</v>
      </c>
      <c r="AW468">
        <v>0</v>
      </c>
      <c r="AX468">
        <v>1.1720226843100191E-2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3.780718336483932E-3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3.780718336483932E-3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0.38563327032136113</v>
      </c>
      <c r="CB468">
        <v>0</v>
      </c>
    </row>
    <row r="469" spans="1:80" s="1" customFormat="1">
      <c r="A469">
        <v>468</v>
      </c>
      <c r="B469" s="2" t="s">
        <v>69</v>
      </c>
      <c r="C469" s="4" t="s">
        <v>167</v>
      </c>
      <c r="D469" s="4" t="s">
        <v>117</v>
      </c>
      <c r="E469" s="5">
        <v>40159</v>
      </c>
      <c r="F469" s="5">
        <v>40159</v>
      </c>
      <c r="G469">
        <v>912</v>
      </c>
      <c r="H469" s="4" t="s">
        <v>107</v>
      </c>
      <c r="I469" s="4" t="s">
        <v>109</v>
      </c>
      <c r="J469" s="4" t="str">
        <f t="shared" si="7"/>
        <v>u_con.c_rem</v>
      </c>
      <c r="K469" s="5">
        <v>2</v>
      </c>
      <c r="L469">
        <v>4.0658276863504358E-3</v>
      </c>
      <c r="M469">
        <v>0.10571151984511132</v>
      </c>
      <c r="N469">
        <v>0.12429816069699903</v>
      </c>
      <c r="O469">
        <v>0</v>
      </c>
      <c r="P469">
        <v>0</v>
      </c>
      <c r="Q469">
        <v>3.8722168441432717E-4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2.7492739593417227E-2</v>
      </c>
      <c r="AF469">
        <v>0</v>
      </c>
      <c r="AG469">
        <v>0</v>
      </c>
      <c r="AH469">
        <v>0</v>
      </c>
      <c r="AI469">
        <v>7.7444336882865434E-3</v>
      </c>
      <c r="AJ469">
        <v>0.28654404646660203</v>
      </c>
      <c r="AK469">
        <v>0</v>
      </c>
      <c r="AL469">
        <v>5.0532429816069702E-2</v>
      </c>
      <c r="AM469">
        <v>0</v>
      </c>
      <c r="AN469">
        <v>8.3252662149080354E-3</v>
      </c>
      <c r="AO469">
        <v>0</v>
      </c>
      <c r="AP469">
        <v>0</v>
      </c>
      <c r="AQ469">
        <v>0</v>
      </c>
      <c r="AR469">
        <v>0</v>
      </c>
      <c r="AS469">
        <v>4.4530493707647624E-3</v>
      </c>
      <c r="AT469">
        <v>3.8722168441432717E-4</v>
      </c>
      <c r="AU469">
        <v>0</v>
      </c>
      <c r="AV469">
        <v>0</v>
      </c>
      <c r="AW469">
        <v>0</v>
      </c>
      <c r="AX469">
        <v>8.1316553727008717E-3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3.8722168441432717E-3</v>
      </c>
      <c r="BF469">
        <v>3.8722168441432717E-3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0.32526621490803476</v>
      </c>
      <c r="CB469">
        <v>3.8915779283639873E-2</v>
      </c>
    </row>
    <row r="470" spans="1:80">
      <c r="A470">
        <v>469</v>
      </c>
      <c r="B470" t="s">
        <v>71</v>
      </c>
      <c r="C470" s="4" t="s">
        <v>168</v>
      </c>
      <c r="D470" s="4" t="s">
        <v>117</v>
      </c>
      <c r="E470" s="5">
        <v>40159</v>
      </c>
      <c r="F470" s="5">
        <v>40159</v>
      </c>
      <c r="G470">
        <v>912</v>
      </c>
      <c r="H470" s="4" t="s">
        <v>110</v>
      </c>
      <c r="I470" s="4" t="s">
        <v>108</v>
      </c>
      <c r="J470" s="4" t="str">
        <f t="shared" si="7"/>
        <v>u_rem.c_con</v>
      </c>
      <c r="K470" s="5">
        <v>8</v>
      </c>
      <c r="L470">
        <v>0</v>
      </c>
      <c r="M470">
        <v>0.28474169002803362</v>
      </c>
      <c r="N470">
        <v>0.26431718061674009</v>
      </c>
      <c r="O470">
        <v>0</v>
      </c>
      <c r="P470">
        <v>0</v>
      </c>
      <c r="Q470">
        <v>4.2050460552663198E-3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3.6243492190628751E-2</v>
      </c>
      <c r="AF470">
        <v>0</v>
      </c>
      <c r="AG470">
        <v>0</v>
      </c>
      <c r="AH470">
        <v>0</v>
      </c>
      <c r="AI470">
        <v>1.6019223067681217E-2</v>
      </c>
      <c r="AJ470">
        <v>0</v>
      </c>
      <c r="AK470">
        <v>0</v>
      </c>
      <c r="AL470">
        <v>2.4429315178213857E-2</v>
      </c>
      <c r="AM470">
        <v>0</v>
      </c>
      <c r="AN470">
        <v>0</v>
      </c>
      <c r="AO470">
        <v>0</v>
      </c>
      <c r="AP470">
        <v>0</v>
      </c>
      <c r="AQ470">
        <v>2.1025230276331599E-2</v>
      </c>
      <c r="AR470">
        <v>0</v>
      </c>
      <c r="AS470">
        <v>1.2014417300760916E-2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2.0024028834601524E-4</v>
      </c>
      <c r="BA470">
        <v>0.24449339207048457</v>
      </c>
      <c r="BB470">
        <v>0</v>
      </c>
      <c r="BC470">
        <v>0</v>
      </c>
      <c r="BD470">
        <v>0</v>
      </c>
      <c r="BE470">
        <v>2.0024028834601524E-4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9.2110532639167034E-2</v>
      </c>
      <c r="CB470">
        <v>0</v>
      </c>
    </row>
    <row r="471" spans="1:80">
      <c r="A471">
        <v>470</v>
      </c>
      <c r="B471" t="s">
        <v>70</v>
      </c>
      <c r="C471" s="4" t="s">
        <v>168</v>
      </c>
      <c r="D471" s="4" t="s">
        <v>117</v>
      </c>
      <c r="E471" s="5">
        <v>40159</v>
      </c>
      <c r="F471" s="5">
        <v>40159</v>
      </c>
      <c r="G471">
        <v>912</v>
      </c>
      <c r="H471" s="4" t="s">
        <v>110</v>
      </c>
      <c r="I471" s="4" t="s">
        <v>109</v>
      </c>
      <c r="J471" s="4" t="str">
        <f t="shared" si="7"/>
        <v>u_rem.c_rem</v>
      </c>
      <c r="K471" s="5">
        <v>1</v>
      </c>
      <c r="L471">
        <v>8.7700534759358288E-3</v>
      </c>
      <c r="M471">
        <v>3.6149732620320854E-2</v>
      </c>
      <c r="N471">
        <v>0.18823529411764703</v>
      </c>
      <c r="O471">
        <v>0</v>
      </c>
      <c r="P471">
        <v>0</v>
      </c>
      <c r="Q471">
        <v>8.5561497326203211E-3</v>
      </c>
      <c r="R471">
        <v>2.9946524064171122E-2</v>
      </c>
      <c r="S471">
        <v>0</v>
      </c>
      <c r="T471">
        <v>0</v>
      </c>
      <c r="U471">
        <v>8.9839572192513383E-3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0.67593582887700543</v>
      </c>
      <c r="BB471">
        <v>0</v>
      </c>
      <c r="BC471">
        <v>0</v>
      </c>
      <c r="BD471">
        <v>0</v>
      </c>
      <c r="BE471">
        <v>4.7058823529411769E-3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3.8716577540106947E-2</v>
      </c>
      <c r="CB471">
        <v>0</v>
      </c>
    </row>
    <row r="472" spans="1:80">
      <c r="A472">
        <v>471</v>
      </c>
      <c r="B472" t="s">
        <v>72</v>
      </c>
      <c r="C472" s="4" t="s">
        <v>168</v>
      </c>
      <c r="D472" s="4" t="s">
        <v>117</v>
      </c>
      <c r="E472" s="5">
        <v>40159</v>
      </c>
      <c r="F472" s="5">
        <v>40159</v>
      </c>
      <c r="G472">
        <v>912</v>
      </c>
      <c r="H472" s="4" t="s">
        <v>110</v>
      </c>
      <c r="I472" s="4" t="s">
        <v>108</v>
      </c>
      <c r="J472" s="4" t="str">
        <f t="shared" si="7"/>
        <v>u_rem.c_con</v>
      </c>
      <c r="K472" s="5">
        <v>8</v>
      </c>
      <c r="L472">
        <v>0</v>
      </c>
      <c r="M472">
        <v>0.13926358002187386</v>
      </c>
      <c r="N472">
        <v>0.21873860736419978</v>
      </c>
      <c r="O472">
        <v>0</v>
      </c>
      <c r="P472">
        <v>0</v>
      </c>
      <c r="Q472">
        <v>1.4764855997083489E-2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2.9347429821363472E-2</v>
      </c>
      <c r="AF472">
        <v>0</v>
      </c>
      <c r="AG472">
        <v>0</v>
      </c>
      <c r="AH472">
        <v>0</v>
      </c>
      <c r="AI472">
        <v>1.8775063798760483E-2</v>
      </c>
      <c r="AJ472">
        <v>0</v>
      </c>
      <c r="AK472">
        <v>0</v>
      </c>
      <c r="AL472">
        <v>7.2912869121399939E-3</v>
      </c>
      <c r="AM472">
        <v>0</v>
      </c>
      <c r="AN472">
        <v>1.221290557783449E-2</v>
      </c>
      <c r="AO472">
        <v>0</v>
      </c>
      <c r="AP472">
        <v>0</v>
      </c>
      <c r="AQ472">
        <v>0</v>
      </c>
      <c r="AR472">
        <v>0</v>
      </c>
      <c r="AS472">
        <v>3.8279256288734969E-3</v>
      </c>
      <c r="AT472">
        <v>9.1141086401749923E-4</v>
      </c>
      <c r="AU472">
        <v>0</v>
      </c>
      <c r="AV472">
        <v>0</v>
      </c>
      <c r="AW472">
        <v>0</v>
      </c>
      <c r="AX472">
        <v>3.6456434560699969E-3</v>
      </c>
      <c r="AY472">
        <v>0</v>
      </c>
      <c r="AZ472">
        <v>0</v>
      </c>
      <c r="BA472">
        <v>0.33922712358731322</v>
      </c>
      <c r="BB472">
        <v>0</v>
      </c>
      <c r="BC472">
        <v>0</v>
      </c>
      <c r="BD472">
        <v>0</v>
      </c>
      <c r="BE472">
        <v>7.8381334305504934E-3</v>
      </c>
      <c r="BF472">
        <v>3.6456434560699969E-3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3.6456434560699969E-3</v>
      </c>
      <c r="BP472">
        <v>0</v>
      </c>
      <c r="BQ472">
        <v>7.2912869121399939E-3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0.18957345971563982</v>
      </c>
      <c r="CB472">
        <v>0</v>
      </c>
    </row>
    <row r="473" spans="1:80">
      <c r="A473">
        <v>472</v>
      </c>
      <c r="B473" t="s">
        <v>73</v>
      </c>
      <c r="C473" s="4" t="s">
        <v>168</v>
      </c>
      <c r="D473" s="4" t="s">
        <v>117</v>
      </c>
      <c r="E473" s="5">
        <v>40159</v>
      </c>
      <c r="F473" s="5">
        <v>40159</v>
      </c>
      <c r="G473">
        <v>912</v>
      </c>
      <c r="H473" s="4" t="s">
        <v>110</v>
      </c>
      <c r="I473" s="4" t="s">
        <v>109</v>
      </c>
      <c r="J473" s="4" t="str">
        <f t="shared" si="7"/>
        <v>u_rem.c_rem</v>
      </c>
      <c r="K473" s="5">
        <v>1</v>
      </c>
      <c r="L473">
        <v>7.5060987051979748E-3</v>
      </c>
      <c r="M473">
        <v>0.23306436479639711</v>
      </c>
      <c r="N473">
        <v>0.270219553387127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1.51998498780259E-2</v>
      </c>
      <c r="AF473">
        <v>0</v>
      </c>
      <c r="AG473">
        <v>0</v>
      </c>
      <c r="AH473">
        <v>0</v>
      </c>
      <c r="AI473">
        <v>3.9407018202289373E-3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1.8765246762994937E-4</v>
      </c>
      <c r="AT473">
        <v>1.8765246762994937E-4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0.270219553387127</v>
      </c>
      <c r="BB473">
        <v>0</v>
      </c>
      <c r="BC473">
        <v>0</v>
      </c>
      <c r="BD473">
        <v>0</v>
      </c>
      <c r="BE473">
        <v>3.7530493525989874E-4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1.8765246762994937E-4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0.19891161568774635</v>
      </c>
      <c r="CB473">
        <v>0</v>
      </c>
    </row>
    <row r="474" spans="1:80">
      <c r="A474">
        <v>473</v>
      </c>
      <c r="B474" t="s">
        <v>74</v>
      </c>
      <c r="C474" s="4" t="s">
        <v>169</v>
      </c>
      <c r="D474" s="4" t="s">
        <v>117</v>
      </c>
      <c r="E474" s="5">
        <v>40159</v>
      </c>
      <c r="F474" s="5">
        <v>40159</v>
      </c>
      <c r="G474">
        <v>912</v>
      </c>
      <c r="H474" s="4" t="s">
        <v>110</v>
      </c>
      <c r="I474" s="4" t="s">
        <v>108</v>
      </c>
      <c r="J474" s="4" t="str">
        <f t="shared" si="7"/>
        <v>u_rem.c_con</v>
      </c>
      <c r="K474" s="5">
        <v>8</v>
      </c>
      <c r="L474">
        <v>0</v>
      </c>
      <c r="M474">
        <v>0.30842305256491448</v>
      </c>
      <c r="N474">
        <v>0.31243402997677849</v>
      </c>
      <c r="O474">
        <v>0</v>
      </c>
      <c r="P474">
        <v>0</v>
      </c>
      <c r="Q474">
        <v>4.2220814861726828E-3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6.3331222292590237E-4</v>
      </c>
      <c r="AD474">
        <v>0</v>
      </c>
      <c r="AE474">
        <v>2.1110407430863413E-4</v>
      </c>
      <c r="AF474">
        <v>0</v>
      </c>
      <c r="AG474">
        <v>0</v>
      </c>
      <c r="AH474">
        <v>0</v>
      </c>
      <c r="AI474">
        <v>6.3753430441207515E-2</v>
      </c>
      <c r="AJ474">
        <v>1.6888325944690731E-2</v>
      </c>
      <c r="AK474">
        <v>0</v>
      </c>
      <c r="AL474">
        <v>4.6442896347899517E-3</v>
      </c>
      <c r="AM474">
        <v>0</v>
      </c>
      <c r="AN474">
        <v>2.5543592991344729E-2</v>
      </c>
      <c r="AO474">
        <v>0</v>
      </c>
      <c r="AP474">
        <v>0</v>
      </c>
      <c r="AQ474">
        <v>0</v>
      </c>
      <c r="AR474">
        <v>0</v>
      </c>
      <c r="AS474">
        <v>4.2220814861726828E-3</v>
      </c>
      <c r="AT474">
        <v>1.266624445851805E-3</v>
      </c>
      <c r="AU474">
        <v>0</v>
      </c>
      <c r="AV474">
        <v>0</v>
      </c>
      <c r="AW474">
        <v>0</v>
      </c>
      <c r="AX474">
        <v>4.4331855604813177E-3</v>
      </c>
      <c r="AY474">
        <v>0</v>
      </c>
      <c r="AZ474">
        <v>0</v>
      </c>
      <c r="BA474">
        <v>8.4441629723453655E-3</v>
      </c>
      <c r="BB474">
        <v>0</v>
      </c>
      <c r="BC474">
        <v>0</v>
      </c>
      <c r="BD474">
        <v>0</v>
      </c>
      <c r="BE474">
        <v>4.2220814861726828E-3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4.2220814861726828E-3</v>
      </c>
      <c r="BY474">
        <v>0</v>
      </c>
      <c r="BZ474">
        <v>0</v>
      </c>
      <c r="CA474">
        <v>0.23643656322567014</v>
      </c>
      <c r="CB474">
        <v>0</v>
      </c>
    </row>
    <row r="475" spans="1:80">
      <c r="A475">
        <v>474</v>
      </c>
      <c r="B475" t="s">
        <v>75</v>
      </c>
      <c r="C475" s="4" t="s">
        <v>169</v>
      </c>
      <c r="D475" s="4" t="s">
        <v>117</v>
      </c>
      <c r="E475" s="5">
        <v>40159</v>
      </c>
      <c r="F475" s="5">
        <v>40159</v>
      </c>
      <c r="G475">
        <v>912</v>
      </c>
      <c r="H475" s="4" t="s">
        <v>110</v>
      </c>
      <c r="I475" s="4" t="s">
        <v>108</v>
      </c>
      <c r="J475" s="4" t="str">
        <f t="shared" si="7"/>
        <v>u_rem.c_con</v>
      </c>
      <c r="K475" s="5">
        <v>8</v>
      </c>
      <c r="L475">
        <v>0</v>
      </c>
      <c r="M475">
        <v>0.29334336216622792</v>
      </c>
      <c r="N475">
        <v>0.17299736743136518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3.7796163971417829E-2</v>
      </c>
      <c r="AF475">
        <v>0</v>
      </c>
      <c r="AG475">
        <v>0</v>
      </c>
      <c r="AH475">
        <v>0</v>
      </c>
      <c r="AI475">
        <v>5.0018804061677316E-2</v>
      </c>
      <c r="AJ475">
        <v>0</v>
      </c>
      <c r="AK475">
        <v>0</v>
      </c>
      <c r="AL475">
        <v>4.9266641594584444E-2</v>
      </c>
      <c r="AM475">
        <v>0</v>
      </c>
      <c r="AN475">
        <v>2.726588943211734E-2</v>
      </c>
      <c r="AO475">
        <v>0</v>
      </c>
      <c r="AP475">
        <v>0</v>
      </c>
      <c r="AQ475">
        <v>0</v>
      </c>
      <c r="AR475">
        <v>0</v>
      </c>
      <c r="AS475">
        <v>3.760812335464461E-3</v>
      </c>
      <c r="AT475">
        <v>1.8804061677322304E-4</v>
      </c>
      <c r="AU475">
        <v>0</v>
      </c>
      <c r="AV475">
        <v>0</v>
      </c>
      <c r="AW475">
        <v>0</v>
      </c>
      <c r="AX475">
        <v>1.8804061677322304E-4</v>
      </c>
      <c r="AY475">
        <v>0</v>
      </c>
      <c r="AZ475">
        <v>0</v>
      </c>
      <c r="BA475">
        <v>0.22564874012786759</v>
      </c>
      <c r="BB475">
        <v>0</v>
      </c>
      <c r="BC475">
        <v>0</v>
      </c>
      <c r="BD475">
        <v>0</v>
      </c>
      <c r="BE475">
        <v>3.9488529522376846E-3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3.760812335464461E-3</v>
      </c>
      <c r="BO475">
        <v>3.760812335464461E-3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1.8804061677322304E-4</v>
      </c>
      <c r="CA475">
        <v>0.12786761940579169</v>
      </c>
      <c r="CB475">
        <v>0</v>
      </c>
    </row>
    <row r="476" spans="1:80">
      <c r="A476">
        <v>475</v>
      </c>
      <c r="B476" t="s">
        <v>76</v>
      </c>
      <c r="C476" s="4" t="s">
        <v>169</v>
      </c>
      <c r="D476" s="4" t="s">
        <v>117</v>
      </c>
      <c r="E476" s="5">
        <v>40159</v>
      </c>
      <c r="F476" s="5">
        <v>40159</v>
      </c>
      <c r="G476">
        <v>912</v>
      </c>
      <c r="H476" s="4" t="s">
        <v>110</v>
      </c>
      <c r="I476" s="4" t="s">
        <v>109</v>
      </c>
      <c r="J476" s="4" t="str">
        <f t="shared" si="7"/>
        <v>u_rem.c_rem</v>
      </c>
      <c r="K476" s="5">
        <v>1</v>
      </c>
      <c r="L476">
        <v>5.3711790393013076E-2</v>
      </c>
      <c r="M476">
        <v>0.60262008733624439</v>
      </c>
      <c r="N476">
        <v>0.2532751091703056</v>
      </c>
      <c r="O476">
        <v>0</v>
      </c>
      <c r="P476">
        <v>0</v>
      </c>
      <c r="Q476">
        <v>8.7336244541484712E-3</v>
      </c>
      <c r="R476">
        <v>4.3668122270742356E-3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1.8340611353711789E-2</v>
      </c>
      <c r="AF476">
        <v>0</v>
      </c>
      <c r="AG476">
        <v>0</v>
      </c>
      <c r="AH476">
        <v>0</v>
      </c>
      <c r="AI476">
        <v>4.3668122270742354E-4</v>
      </c>
      <c r="AJ476">
        <v>0</v>
      </c>
      <c r="AK476">
        <v>4.5851528384279472E-3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3.0786026200873364E-2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4.3668122270742356E-3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1.8777292576419215E-2</v>
      </c>
      <c r="CB476">
        <v>0</v>
      </c>
    </row>
    <row r="477" spans="1:80">
      <c r="A477">
        <v>476</v>
      </c>
      <c r="B477" t="s">
        <v>77</v>
      </c>
      <c r="C477" s="4" t="s">
        <v>169</v>
      </c>
      <c r="D477" s="4" t="s">
        <v>117</v>
      </c>
      <c r="E477" s="5">
        <v>40159</v>
      </c>
      <c r="F477" s="5">
        <v>40159</v>
      </c>
      <c r="G477">
        <v>912</v>
      </c>
      <c r="H477" s="4" t="s">
        <v>110</v>
      </c>
      <c r="I477" s="4" t="s">
        <v>109</v>
      </c>
      <c r="J477" s="4" t="str">
        <f t="shared" si="7"/>
        <v>u_rem.c_rem</v>
      </c>
      <c r="K477" s="5">
        <v>1</v>
      </c>
      <c r="L477">
        <v>9.5432856169052512E-3</v>
      </c>
      <c r="M477">
        <v>0.17745966825721432</v>
      </c>
      <c r="N477">
        <v>0.20040899795501027</v>
      </c>
      <c r="O477">
        <v>0</v>
      </c>
      <c r="P477">
        <v>0</v>
      </c>
      <c r="Q477">
        <v>1.3633265167007504E-2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0.10452169961372421</v>
      </c>
      <c r="AJ477">
        <v>0</v>
      </c>
      <c r="AK477">
        <v>0</v>
      </c>
      <c r="AL477">
        <v>0.10043172006362193</v>
      </c>
      <c r="AM477">
        <v>0</v>
      </c>
      <c r="AN477">
        <v>9.7705067030220433E-3</v>
      </c>
      <c r="AO477">
        <v>0</v>
      </c>
      <c r="AP477">
        <v>0</v>
      </c>
      <c r="AQ477">
        <v>0</v>
      </c>
      <c r="AR477">
        <v>0</v>
      </c>
      <c r="AS477">
        <v>4.9988638945694178E-3</v>
      </c>
      <c r="AT477">
        <v>4.9988638945694178E-3</v>
      </c>
      <c r="AU477">
        <v>0</v>
      </c>
      <c r="AV477">
        <v>4.544421722335834E-4</v>
      </c>
      <c r="AW477">
        <v>0</v>
      </c>
      <c r="AX477">
        <v>0</v>
      </c>
      <c r="AY477">
        <v>0</v>
      </c>
      <c r="AZ477">
        <v>0</v>
      </c>
      <c r="BA477">
        <v>0.2501704158145876</v>
      </c>
      <c r="BB477">
        <v>0</v>
      </c>
      <c r="BC477">
        <v>0</v>
      </c>
      <c r="BD477">
        <v>0</v>
      </c>
      <c r="BE477">
        <v>9.0888434446716681E-4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4.5444217223358343E-3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0.11815496478073166</v>
      </c>
      <c r="CB477">
        <v>0</v>
      </c>
    </row>
    <row r="478" spans="1:80">
      <c r="A478">
        <v>477</v>
      </c>
      <c r="B478" t="s">
        <v>78</v>
      </c>
      <c r="C478" s="4" t="s">
        <v>170</v>
      </c>
      <c r="D478" s="4" t="s">
        <v>117</v>
      </c>
      <c r="E478" s="5">
        <v>40159</v>
      </c>
      <c r="F478" s="5">
        <v>40159</v>
      </c>
      <c r="G478">
        <v>912</v>
      </c>
      <c r="H478" s="4" t="s">
        <v>107</v>
      </c>
      <c r="I478" s="4" t="s">
        <v>109</v>
      </c>
      <c r="J478" s="4" t="str">
        <f t="shared" si="7"/>
        <v>u_con.c_rem</v>
      </c>
      <c r="K478" s="5">
        <v>2</v>
      </c>
      <c r="L478">
        <v>0</v>
      </c>
      <c r="M478">
        <v>0.19397201291711511</v>
      </c>
      <c r="N478">
        <v>0.29709364908503755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9.9031216361679213E-3</v>
      </c>
      <c r="AI478">
        <v>8.6544671689989222E-2</v>
      </c>
      <c r="AJ478">
        <v>0.15522066738428411</v>
      </c>
      <c r="AK478">
        <v>0</v>
      </c>
      <c r="AL478">
        <v>0</v>
      </c>
      <c r="AM478">
        <v>0</v>
      </c>
      <c r="AN478">
        <v>4.9515608180839606E-3</v>
      </c>
      <c r="AO478">
        <v>0</v>
      </c>
      <c r="AP478">
        <v>0</v>
      </c>
      <c r="AQ478">
        <v>0</v>
      </c>
      <c r="AR478">
        <v>0</v>
      </c>
      <c r="AS478">
        <v>2.2174381054897736E-2</v>
      </c>
      <c r="AT478">
        <v>5.8127018299246489E-3</v>
      </c>
      <c r="AU478">
        <v>0</v>
      </c>
      <c r="AV478">
        <v>0</v>
      </c>
      <c r="AW478">
        <v>0</v>
      </c>
      <c r="AX478">
        <v>4.520990312163616E-3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4.520990312163616E-3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4.3057050592034442E-3</v>
      </c>
      <c r="BR478">
        <v>4.3057050592034442E-3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0.20667384284176529</v>
      </c>
      <c r="CB478">
        <v>0</v>
      </c>
    </row>
    <row r="479" spans="1:80">
      <c r="A479">
        <v>478</v>
      </c>
      <c r="B479" t="s">
        <v>79</v>
      </c>
      <c r="C479" s="4" t="s">
        <v>170</v>
      </c>
      <c r="D479" s="4" t="s">
        <v>117</v>
      </c>
      <c r="E479" s="5">
        <v>40159</v>
      </c>
      <c r="F479" s="5">
        <v>40159</v>
      </c>
      <c r="G479">
        <v>912</v>
      </c>
      <c r="H479" s="4" t="s">
        <v>107</v>
      </c>
      <c r="I479" s="4" t="s">
        <v>108</v>
      </c>
      <c r="J479" s="4" t="str">
        <f t="shared" si="7"/>
        <v>u_con.c_con</v>
      </c>
      <c r="K479" s="5">
        <v>19</v>
      </c>
      <c r="L479">
        <v>2.0483408439164283E-4</v>
      </c>
      <c r="M479">
        <v>0.11532158951249492</v>
      </c>
      <c r="N479">
        <v>0.17206063088897994</v>
      </c>
      <c r="O479">
        <v>0</v>
      </c>
      <c r="P479">
        <v>0</v>
      </c>
      <c r="Q479">
        <v>4.0966816878328566E-4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3.7074969274887348E-2</v>
      </c>
      <c r="AF479">
        <v>0</v>
      </c>
      <c r="AG479">
        <v>0</v>
      </c>
      <c r="AH479">
        <v>4.0966816878328566E-4</v>
      </c>
      <c r="AI479">
        <v>0.13129864809504305</v>
      </c>
      <c r="AJ479">
        <v>0.2130274477673085</v>
      </c>
      <c r="AK479">
        <v>0</v>
      </c>
      <c r="AL479">
        <v>0</v>
      </c>
      <c r="AM479">
        <v>0</v>
      </c>
      <c r="AN479">
        <v>5.1208521097910707E-3</v>
      </c>
      <c r="AO479">
        <v>0</v>
      </c>
      <c r="AP479">
        <v>0</v>
      </c>
      <c r="AQ479">
        <v>0</v>
      </c>
      <c r="AR479">
        <v>0</v>
      </c>
      <c r="AS479">
        <v>1.6591560835723069E-2</v>
      </c>
      <c r="AT479">
        <v>9.2175337976239287E-3</v>
      </c>
      <c r="AU479">
        <v>0</v>
      </c>
      <c r="AV479">
        <v>0</v>
      </c>
      <c r="AW479">
        <v>4.3015157722245002E-3</v>
      </c>
      <c r="AX479">
        <v>8.1933633756657142E-3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4.0966816878328571E-3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0.2826710364604671</v>
      </c>
      <c r="CB479">
        <v>0</v>
      </c>
    </row>
    <row r="480" spans="1:80">
      <c r="A480">
        <v>479</v>
      </c>
      <c r="B480" t="s">
        <v>80</v>
      </c>
      <c r="C480" s="4" t="s">
        <v>170</v>
      </c>
      <c r="D480" s="4" t="s">
        <v>117</v>
      </c>
      <c r="E480" s="5">
        <v>40159</v>
      </c>
      <c r="F480" s="5">
        <v>40159</v>
      </c>
      <c r="G480">
        <v>912</v>
      </c>
      <c r="H480" s="4" t="s">
        <v>107</v>
      </c>
      <c r="I480" s="4" t="s">
        <v>109</v>
      </c>
      <c r="J480" s="4" t="str">
        <f t="shared" si="7"/>
        <v>u_con.c_rem</v>
      </c>
      <c r="K480" s="5">
        <v>2</v>
      </c>
      <c r="L480">
        <v>1.9727756954034329E-4</v>
      </c>
      <c r="M480">
        <v>0.13454330242651411</v>
      </c>
      <c r="N480">
        <v>0.37877293351745905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1.9727756954034329E-4</v>
      </c>
      <c r="AF480">
        <v>0</v>
      </c>
      <c r="AG480">
        <v>0</v>
      </c>
      <c r="AH480">
        <v>0</v>
      </c>
      <c r="AI480">
        <v>2.7618859735648062E-2</v>
      </c>
      <c r="AJ480">
        <v>0.24462418623002563</v>
      </c>
      <c r="AK480">
        <v>0</v>
      </c>
      <c r="AL480">
        <v>0</v>
      </c>
      <c r="AM480">
        <v>0</v>
      </c>
      <c r="AN480">
        <v>3.9455513908068658E-4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3.9455513908068658E-4</v>
      </c>
      <c r="AU480">
        <v>0</v>
      </c>
      <c r="AV480">
        <v>0</v>
      </c>
      <c r="AW480">
        <v>1.1836654172420599E-2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3.9455513908068654E-3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0.19727756954034328</v>
      </c>
      <c r="CB480">
        <v>0</v>
      </c>
    </row>
    <row r="481" spans="1:80">
      <c r="A481">
        <v>480</v>
      </c>
      <c r="B481" t="s">
        <v>81</v>
      </c>
      <c r="C481" s="4" t="s">
        <v>170</v>
      </c>
      <c r="D481" s="4" t="s">
        <v>117</v>
      </c>
      <c r="E481" s="5">
        <v>40159</v>
      </c>
      <c r="F481" s="5">
        <v>40159</v>
      </c>
      <c r="G481">
        <v>912</v>
      </c>
      <c r="H481" s="4" t="s">
        <v>107</v>
      </c>
      <c r="I481" s="4" t="s">
        <v>108</v>
      </c>
      <c r="J481" s="4" t="str">
        <f t="shared" si="7"/>
        <v>u_con.c_con</v>
      </c>
      <c r="K481" s="5">
        <v>19</v>
      </c>
      <c r="L481">
        <v>1.9743101807802095E-2</v>
      </c>
      <c r="M481">
        <v>5.7802093244529014E-2</v>
      </c>
      <c r="N481">
        <v>0.20932445290199811</v>
      </c>
      <c r="O481">
        <v>0</v>
      </c>
      <c r="P481">
        <v>0</v>
      </c>
      <c r="Q481">
        <v>4.7573739295908666E-3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9.7526165556612761E-3</v>
      </c>
      <c r="AF481">
        <v>0</v>
      </c>
      <c r="AG481">
        <v>0</v>
      </c>
      <c r="AH481">
        <v>2.378686964795433E-4</v>
      </c>
      <c r="AI481">
        <v>0.10965746907706948</v>
      </c>
      <c r="AJ481">
        <v>0.29519505233111315</v>
      </c>
      <c r="AK481">
        <v>0</v>
      </c>
      <c r="AL481">
        <v>0</v>
      </c>
      <c r="AM481">
        <v>0</v>
      </c>
      <c r="AN481">
        <v>5.470980019029497E-3</v>
      </c>
      <c r="AO481">
        <v>0</v>
      </c>
      <c r="AP481">
        <v>0</v>
      </c>
      <c r="AQ481">
        <v>0</v>
      </c>
      <c r="AR481">
        <v>0</v>
      </c>
      <c r="AS481">
        <v>1.42721217887726E-2</v>
      </c>
      <c r="AT481">
        <v>9.5147478591817321E-4</v>
      </c>
      <c r="AU481">
        <v>0</v>
      </c>
      <c r="AV481">
        <v>1.5223596574690773E-2</v>
      </c>
      <c r="AW481">
        <v>4.7573739295908661E-4</v>
      </c>
      <c r="AX481">
        <v>2.378686964795433E-4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0.25689819219790672</v>
      </c>
      <c r="CB481">
        <v>0</v>
      </c>
    </row>
    <row r="482" spans="1:80">
      <c r="A482">
        <v>481</v>
      </c>
      <c r="B482" t="s">
        <v>82</v>
      </c>
      <c r="C482" s="4" t="s">
        <v>171</v>
      </c>
      <c r="D482" s="4" t="s">
        <v>118</v>
      </c>
      <c r="E482" s="5">
        <v>40160</v>
      </c>
      <c r="F482" s="5">
        <v>40159</v>
      </c>
      <c r="G482">
        <v>912</v>
      </c>
      <c r="H482" s="4" t="s">
        <v>110</v>
      </c>
      <c r="I482" s="4" t="s">
        <v>109</v>
      </c>
      <c r="J482" s="4" t="str">
        <f t="shared" si="7"/>
        <v>u_rem.c_rem</v>
      </c>
      <c r="K482" s="5">
        <v>1</v>
      </c>
      <c r="L482">
        <v>0</v>
      </c>
      <c r="M482">
        <v>0.15238497256226258</v>
      </c>
      <c r="N482">
        <v>8.8856057408189137E-2</v>
      </c>
      <c r="O482">
        <v>2.1317011397214015E-2</v>
      </c>
      <c r="P482">
        <v>0</v>
      </c>
      <c r="Q482">
        <v>8.4423807513718876E-3</v>
      </c>
      <c r="R482">
        <v>0</v>
      </c>
      <c r="S482">
        <v>0</v>
      </c>
      <c r="T482">
        <v>1.2874630645842131E-2</v>
      </c>
      <c r="U482">
        <v>0</v>
      </c>
      <c r="V482">
        <v>0</v>
      </c>
      <c r="W482">
        <v>0</v>
      </c>
      <c r="X482">
        <v>2.1317011397214015E-2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8.4423807513718876E-3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2.6171380329252852E-2</v>
      </c>
      <c r="AO482">
        <v>0</v>
      </c>
      <c r="AP482">
        <v>0</v>
      </c>
      <c r="AQ482">
        <v>2.1105951878429719E-2</v>
      </c>
      <c r="AR482">
        <v>0</v>
      </c>
      <c r="AS482">
        <v>4.4322498944702419E-3</v>
      </c>
      <c r="AT482">
        <v>0</v>
      </c>
      <c r="AU482">
        <v>0</v>
      </c>
      <c r="AV482">
        <v>0</v>
      </c>
      <c r="AW482">
        <v>0</v>
      </c>
      <c r="AX482">
        <v>4.4322498944702419E-3</v>
      </c>
      <c r="AY482">
        <v>0</v>
      </c>
      <c r="AZ482">
        <v>0</v>
      </c>
      <c r="BA482">
        <v>0.24482904178978471</v>
      </c>
      <c r="BB482">
        <v>0.118615449556775</v>
      </c>
      <c r="BC482">
        <v>0</v>
      </c>
      <c r="BD482">
        <v>0</v>
      </c>
      <c r="BE482">
        <v>0.14837484170536094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4.4322498944702419E-3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0.11397214014352049</v>
      </c>
      <c r="CB482">
        <v>0</v>
      </c>
    </row>
    <row r="483" spans="1:80">
      <c r="A483">
        <v>482</v>
      </c>
      <c r="B483" t="s">
        <v>83</v>
      </c>
      <c r="C483" s="4" t="s">
        <v>171</v>
      </c>
      <c r="D483" s="4" t="s">
        <v>118</v>
      </c>
      <c r="E483" s="5">
        <v>40160</v>
      </c>
      <c r="F483" s="5">
        <v>40159</v>
      </c>
      <c r="G483">
        <v>912</v>
      </c>
      <c r="H483" s="4" t="s">
        <v>110</v>
      </c>
      <c r="I483" s="4" t="s">
        <v>108</v>
      </c>
      <c r="J483" s="4" t="str">
        <f t="shared" si="7"/>
        <v>u_rem.c_con</v>
      </c>
      <c r="K483" s="5">
        <v>8</v>
      </c>
      <c r="L483">
        <v>4.7355047355047357E-2</v>
      </c>
      <c r="M483">
        <v>0.20351120351120347</v>
      </c>
      <c r="N483">
        <v>8.8011088011088048E-2</v>
      </c>
      <c r="O483">
        <v>2.7720027720027723E-2</v>
      </c>
      <c r="P483">
        <v>0</v>
      </c>
      <c r="Q483">
        <v>0.11573111573111575</v>
      </c>
      <c r="R483">
        <v>0</v>
      </c>
      <c r="S483">
        <v>0</v>
      </c>
      <c r="T483">
        <v>4.8510048510048524E-3</v>
      </c>
      <c r="U483">
        <v>0</v>
      </c>
      <c r="V483">
        <v>0</v>
      </c>
      <c r="W483">
        <v>0</v>
      </c>
      <c r="X483">
        <v>0</v>
      </c>
      <c r="Y483">
        <v>3.2340032340032347E-2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3.7191037191037196E-2</v>
      </c>
      <c r="AF483">
        <v>0</v>
      </c>
      <c r="AG483">
        <v>0</v>
      </c>
      <c r="AH483">
        <v>0</v>
      </c>
      <c r="AI483">
        <v>1.4553014553014559E-2</v>
      </c>
      <c r="AJ483">
        <v>0</v>
      </c>
      <c r="AK483">
        <v>0</v>
      </c>
      <c r="AL483">
        <v>0</v>
      </c>
      <c r="AM483">
        <v>0</v>
      </c>
      <c r="AN483">
        <v>5.3130053130053144E-3</v>
      </c>
      <c r="AO483">
        <v>0</v>
      </c>
      <c r="AP483">
        <v>0</v>
      </c>
      <c r="AQ483">
        <v>2.3562023562023568E-2</v>
      </c>
      <c r="AR483">
        <v>0</v>
      </c>
      <c r="AS483">
        <v>9.4710094710094735E-3</v>
      </c>
      <c r="AT483">
        <v>2.3100023100023105E-4</v>
      </c>
      <c r="AU483">
        <v>0</v>
      </c>
      <c r="AV483">
        <v>0</v>
      </c>
      <c r="AW483">
        <v>0</v>
      </c>
      <c r="AX483">
        <v>1.3860013860013865E-2</v>
      </c>
      <c r="AY483">
        <v>4.620004620004621E-3</v>
      </c>
      <c r="AZ483">
        <v>0</v>
      </c>
      <c r="BA483">
        <v>0.19866019866019868</v>
      </c>
      <c r="BB483">
        <v>6.5835065835065862E-2</v>
      </c>
      <c r="BC483">
        <v>0</v>
      </c>
      <c r="BD483">
        <v>0</v>
      </c>
      <c r="BE483">
        <v>5.1513051513051522E-2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5.5671055671055694E-2</v>
      </c>
      <c r="CB483">
        <v>0</v>
      </c>
    </row>
    <row r="484" spans="1:80">
      <c r="A484">
        <v>483</v>
      </c>
      <c r="B484" t="s">
        <v>84</v>
      </c>
      <c r="C484" s="4" t="s">
        <v>171</v>
      </c>
      <c r="D484" s="4" t="s">
        <v>118</v>
      </c>
      <c r="E484" s="5">
        <v>40160</v>
      </c>
      <c r="F484" s="5">
        <v>40159</v>
      </c>
      <c r="G484">
        <v>912</v>
      </c>
      <c r="H484" s="4" t="s">
        <v>110</v>
      </c>
      <c r="I484" s="4" t="s">
        <v>109</v>
      </c>
      <c r="J484" s="4" t="str">
        <f t="shared" si="7"/>
        <v>u_rem.c_rem</v>
      </c>
      <c r="K484" s="5">
        <v>1</v>
      </c>
      <c r="L484">
        <v>5.2148000993295258E-3</v>
      </c>
      <c r="M484">
        <v>0.1047926496150981</v>
      </c>
      <c r="N484">
        <v>8.9644896945617114E-2</v>
      </c>
      <c r="O484">
        <v>3.4765333995530168E-2</v>
      </c>
      <c r="P484">
        <v>0</v>
      </c>
      <c r="Q484">
        <v>0</v>
      </c>
      <c r="R484">
        <v>1.9865905140302953E-2</v>
      </c>
      <c r="S484">
        <v>0</v>
      </c>
      <c r="T484">
        <v>3.5261981624037743E-2</v>
      </c>
      <c r="U484">
        <v>0</v>
      </c>
      <c r="V484">
        <v>0</v>
      </c>
      <c r="W484">
        <v>0</v>
      </c>
      <c r="X484">
        <v>5.4631239135833126E-3</v>
      </c>
      <c r="Y484">
        <v>4.9664762850757382E-3</v>
      </c>
      <c r="Z484">
        <v>1.5147752669481004E-2</v>
      </c>
      <c r="AA484">
        <v>0</v>
      </c>
      <c r="AB484">
        <v>0</v>
      </c>
      <c r="AC484">
        <v>0</v>
      </c>
      <c r="AD484">
        <v>0</v>
      </c>
      <c r="AE484">
        <v>1.0181276384405264E-2</v>
      </c>
      <c r="AF484">
        <v>0</v>
      </c>
      <c r="AG484">
        <v>0</v>
      </c>
      <c r="AH484">
        <v>0</v>
      </c>
      <c r="AI484">
        <v>7.4497144276136076E-4</v>
      </c>
      <c r="AJ484">
        <v>0</v>
      </c>
      <c r="AK484">
        <v>0</v>
      </c>
      <c r="AL484">
        <v>2.483238142537869E-4</v>
      </c>
      <c r="AM484">
        <v>0</v>
      </c>
      <c r="AN484">
        <v>1.0926247827166625E-2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2.483238142537869E-4</v>
      </c>
      <c r="AU484">
        <v>0</v>
      </c>
      <c r="AV484">
        <v>0</v>
      </c>
      <c r="AW484">
        <v>0</v>
      </c>
      <c r="AX484">
        <v>5.2148000993295258E-3</v>
      </c>
      <c r="AY484">
        <v>5.2148000993295258E-3</v>
      </c>
      <c r="AZ484">
        <v>0</v>
      </c>
      <c r="BA484">
        <v>0.38738515023590758</v>
      </c>
      <c r="BB484">
        <v>1.0926247827166625E-2</v>
      </c>
      <c r="BC484">
        <v>0</v>
      </c>
      <c r="BD484">
        <v>0</v>
      </c>
      <c r="BE484">
        <v>0.20362552768810527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1.0181276384405264E-2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3.998013409485969E-2</v>
      </c>
      <c r="CB484">
        <v>0</v>
      </c>
    </row>
    <row r="485" spans="1:80">
      <c r="A485">
        <v>484</v>
      </c>
      <c r="B485" t="s">
        <v>85</v>
      </c>
      <c r="C485" s="4" t="s">
        <v>171</v>
      </c>
      <c r="D485" s="4" t="s">
        <v>118</v>
      </c>
      <c r="E485" s="5">
        <v>40160</v>
      </c>
      <c r="F485" s="5">
        <v>40159</v>
      </c>
      <c r="G485">
        <v>912</v>
      </c>
      <c r="H485" s="4" t="s">
        <v>110</v>
      </c>
      <c r="I485" s="4" t="s">
        <v>108</v>
      </c>
      <c r="J485" s="4" t="str">
        <f t="shared" si="7"/>
        <v>u_rem.c_con</v>
      </c>
      <c r="K485" s="5">
        <v>8</v>
      </c>
      <c r="L485">
        <v>8.5851832040652609E-2</v>
      </c>
      <c r="M485">
        <v>0.31585985557635732</v>
      </c>
      <c r="N485">
        <v>3.2361594009093345E-2</v>
      </c>
      <c r="O485">
        <v>4.2792190425247394E-2</v>
      </c>
      <c r="P485">
        <v>0</v>
      </c>
      <c r="Q485">
        <v>5.910671302487297E-2</v>
      </c>
      <c r="R485">
        <v>0</v>
      </c>
      <c r="S485">
        <v>0</v>
      </c>
      <c r="T485">
        <v>2.7280021396095217E-2</v>
      </c>
      <c r="U485">
        <v>0</v>
      </c>
      <c r="V485">
        <v>0</v>
      </c>
      <c r="W485">
        <v>0</v>
      </c>
      <c r="X485">
        <v>2.6745119015779623E-4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5.3490238031559251E-3</v>
      </c>
      <c r="AE485">
        <v>5.3490238031559244E-2</v>
      </c>
      <c r="AF485">
        <v>0</v>
      </c>
      <c r="AG485">
        <v>0</v>
      </c>
      <c r="AH485">
        <v>0</v>
      </c>
      <c r="AI485">
        <v>5.8839261834715186E-3</v>
      </c>
      <c r="AJ485">
        <v>0</v>
      </c>
      <c r="AK485">
        <v>0</v>
      </c>
      <c r="AL485">
        <v>0</v>
      </c>
      <c r="AM485">
        <v>0</v>
      </c>
      <c r="AN485">
        <v>5.3490238031559246E-4</v>
      </c>
      <c r="AO485">
        <v>0</v>
      </c>
      <c r="AP485">
        <v>0</v>
      </c>
      <c r="AQ485">
        <v>0.1018989034501204</v>
      </c>
      <c r="AR485">
        <v>0</v>
      </c>
      <c r="AS485">
        <v>1.069804760631185E-2</v>
      </c>
      <c r="AT485">
        <v>2.6745119015779623E-4</v>
      </c>
      <c r="AU485">
        <v>0</v>
      </c>
      <c r="AV485">
        <v>0</v>
      </c>
      <c r="AW485">
        <v>0</v>
      </c>
      <c r="AX485">
        <v>1.6047071409467779E-2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5.9374164215030757E-2</v>
      </c>
      <c r="BF485">
        <v>5.3490238031559251E-3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5.6164749933137218E-3</v>
      </c>
      <c r="BM485">
        <v>0</v>
      </c>
      <c r="BN485">
        <v>0</v>
      </c>
      <c r="BO485">
        <v>0</v>
      </c>
      <c r="BP485">
        <v>2.6745119015779623E-4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1.069804760631185E-2</v>
      </c>
      <c r="BX485">
        <v>0</v>
      </c>
      <c r="BY485">
        <v>2.1663546402781498E-2</v>
      </c>
      <c r="BZ485">
        <v>0</v>
      </c>
      <c r="CA485">
        <v>0.13934207007221189</v>
      </c>
      <c r="CB485">
        <v>0</v>
      </c>
    </row>
    <row r="486" spans="1:80">
      <c r="A486">
        <v>485</v>
      </c>
      <c r="B486" t="s">
        <v>86</v>
      </c>
      <c r="C486" s="4" t="s">
        <v>172</v>
      </c>
      <c r="D486" s="4" t="s">
        <v>118</v>
      </c>
      <c r="E486" s="5">
        <v>40160</v>
      </c>
      <c r="F486" s="5">
        <v>40159</v>
      </c>
      <c r="G486">
        <v>912</v>
      </c>
      <c r="H486" s="4" t="s">
        <v>107</v>
      </c>
      <c r="I486" s="4" t="s">
        <v>108</v>
      </c>
      <c r="J486" s="4" t="str">
        <f t="shared" si="7"/>
        <v>u_con.c_con</v>
      </c>
      <c r="K486" s="5">
        <v>19</v>
      </c>
      <c r="L486">
        <v>0</v>
      </c>
      <c r="M486">
        <v>5.5772320403947674E-2</v>
      </c>
      <c r="N486">
        <v>0.11980720679366538</v>
      </c>
      <c r="O486">
        <v>0</v>
      </c>
      <c r="P486">
        <v>0</v>
      </c>
      <c r="Q486">
        <v>4.590314436538903E-3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5.0493458801927939E-3</v>
      </c>
      <c r="Y486">
        <v>0.10603626348404865</v>
      </c>
      <c r="Z486">
        <v>2.3410603626348406E-2</v>
      </c>
      <c r="AA486">
        <v>0</v>
      </c>
      <c r="AB486">
        <v>0</v>
      </c>
      <c r="AC486">
        <v>4.8198301583658489E-3</v>
      </c>
      <c r="AD486">
        <v>0</v>
      </c>
      <c r="AE486">
        <v>3.2132201055772316E-2</v>
      </c>
      <c r="AF486">
        <v>0</v>
      </c>
      <c r="AG486">
        <v>0</v>
      </c>
      <c r="AH486">
        <v>0</v>
      </c>
      <c r="AI486">
        <v>1.4689006196924492E-2</v>
      </c>
      <c r="AJ486">
        <v>0</v>
      </c>
      <c r="AK486">
        <v>0</v>
      </c>
      <c r="AL486">
        <v>0</v>
      </c>
      <c r="AM486">
        <v>0</v>
      </c>
      <c r="AN486">
        <v>1.1475786091347257E-3</v>
      </c>
      <c r="AO486">
        <v>0</v>
      </c>
      <c r="AP486">
        <v>0</v>
      </c>
      <c r="AQ486">
        <v>0</v>
      </c>
      <c r="AR486">
        <v>0</v>
      </c>
      <c r="AS486">
        <v>4.1542345650677069E-2</v>
      </c>
      <c r="AT486">
        <v>5.7378930456736289E-3</v>
      </c>
      <c r="AU486">
        <v>0</v>
      </c>
      <c r="AV486">
        <v>0</v>
      </c>
      <c r="AW486">
        <v>4.590314436538903E-3</v>
      </c>
      <c r="AX486">
        <v>5.0493458801927939E-3</v>
      </c>
      <c r="AY486">
        <v>0</v>
      </c>
      <c r="AZ486">
        <v>0</v>
      </c>
      <c r="BA486">
        <v>0.25705760844617853</v>
      </c>
      <c r="BB486">
        <v>1.0098691760385588E-2</v>
      </c>
      <c r="BC486">
        <v>0</v>
      </c>
      <c r="BD486">
        <v>0</v>
      </c>
      <c r="BE486">
        <v>0.12439752123020428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9.410144594904751E-3</v>
      </c>
      <c r="BL486">
        <v>0</v>
      </c>
      <c r="BM486">
        <v>0</v>
      </c>
      <c r="BN486">
        <v>9.1806288730778059E-3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2.2951572182694515E-4</v>
      </c>
      <c r="CA486">
        <v>0.1652513197154005</v>
      </c>
      <c r="CB486">
        <v>0</v>
      </c>
    </row>
    <row r="487" spans="1:80">
      <c r="A487">
        <v>486</v>
      </c>
      <c r="B487" t="s">
        <v>87</v>
      </c>
      <c r="C487" s="4" t="s">
        <v>172</v>
      </c>
      <c r="D487" s="4" t="s">
        <v>118</v>
      </c>
      <c r="E487" s="5">
        <v>40160</v>
      </c>
      <c r="F487" s="5">
        <v>40159</v>
      </c>
      <c r="G487">
        <v>912</v>
      </c>
      <c r="H487" s="4" t="s">
        <v>107</v>
      </c>
      <c r="I487" s="4" t="s">
        <v>109</v>
      </c>
      <c r="J487" s="4" t="str">
        <f t="shared" si="7"/>
        <v>u_con.c_rem</v>
      </c>
      <c r="K487" s="5">
        <v>2</v>
      </c>
      <c r="L487">
        <v>0</v>
      </c>
      <c r="M487">
        <v>3.1855647137447089E-2</v>
      </c>
      <c r="N487">
        <v>8.0418801514814009E-2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1.0024504343951884E-2</v>
      </c>
      <c r="Y487">
        <v>4.4553352639786145E-3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0.16061483626642906</v>
      </c>
      <c r="AF487">
        <v>0</v>
      </c>
      <c r="AG487">
        <v>0</v>
      </c>
      <c r="AH487">
        <v>0</v>
      </c>
      <c r="AI487">
        <v>2.2499443083092003E-2</v>
      </c>
      <c r="AJ487">
        <v>0</v>
      </c>
      <c r="AK487">
        <v>0</v>
      </c>
      <c r="AL487">
        <v>0</v>
      </c>
      <c r="AM487">
        <v>1.3811539318333706E-2</v>
      </c>
      <c r="AN487">
        <v>4.9008687903764761E-3</v>
      </c>
      <c r="AO487">
        <v>0</v>
      </c>
      <c r="AP487">
        <v>0</v>
      </c>
      <c r="AQ487">
        <v>0</v>
      </c>
      <c r="AR487">
        <v>0</v>
      </c>
      <c r="AS487">
        <v>1.3366005791935845E-2</v>
      </c>
      <c r="AT487">
        <v>4.6781020271775458E-3</v>
      </c>
      <c r="AU487">
        <v>4.4553352639786145E-3</v>
      </c>
      <c r="AV487">
        <v>0</v>
      </c>
      <c r="AW487">
        <v>4.4553352639786145E-3</v>
      </c>
      <c r="AX487">
        <v>2.2276676319893073E-4</v>
      </c>
      <c r="AY487">
        <v>0</v>
      </c>
      <c r="AZ487">
        <v>0</v>
      </c>
      <c r="BA487">
        <v>0.36556025840944528</v>
      </c>
      <c r="BB487">
        <v>4.0989084428603252E-2</v>
      </c>
      <c r="BC487">
        <v>0</v>
      </c>
      <c r="BD487">
        <v>0</v>
      </c>
      <c r="BE487">
        <v>9.4453107596346647E-2</v>
      </c>
      <c r="BF487">
        <v>2.2276676319893073E-4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1.3588772555134776E-2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0.12942748941857876</v>
      </c>
      <c r="CB487">
        <v>0</v>
      </c>
    </row>
    <row r="488" spans="1:80">
      <c r="A488">
        <v>487</v>
      </c>
      <c r="B488" t="s">
        <v>88</v>
      </c>
      <c r="C488" s="4" t="s">
        <v>172</v>
      </c>
      <c r="D488" s="4" t="s">
        <v>118</v>
      </c>
      <c r="E488" s="5">
        <v>40160</v>
      </c>
      <c r="F488" s="5">
        <v>40159</v>
      </c>
      <c r="G488">
        <v>912</v>
      </c>
      <c r="H488" s="4" t="s">
        <v>107</v>
      </c>
      <c r="I488" s="4" t="s">
        <v>109</v>
      </c>
      <c r="J488" s="4" t="str">
        <f t="shared" si="7"/>
        <v>u_con.c_rem</v>
      </c>
      <c r="K488" s="5">
        <v>2</v>
      </c>
      <c r="L488">
        <v>0</v>
      </c>
      <c r="M488">
        <v>1.3288335794136262E-2</v>
      </c>
      <c r="N488">
        <v>0.21514448428601557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1.8139632988820924E-2</v>
      </c>
      <c r="Y488">
        <v>0</v>
      </c>
      <c r="Z488">
        <v>8.4370385994515934E-3</v>
      </c>
      <c r="AA488">
        <v>0</v>
      </c>
      <c r="AB488">
        <v>0</v>
      </c>
      <c r="AC488">
        <v>0</v>
      </c>
      <c r="AD488">
        <v>0</v>
      </c>
      <c r="AE488">
        <v>4.2396118962244253E-2</v>
      </c>
      <c r="AF488">
        <v>0</v>
      </c>
      <c r="AG488">
        <v>0</v>
      </c>
      <c r="AH488">
        <v>0</v>
      </c>
      <c r="AI488">
        <v>2.6154819658299938E-2</v>
      </c>
      <c r="AJ488">
        <v>0</v>
      </c>
      <c r="AK488">
        <v>0</v>
      </c>
      <c r="AL488">
        <v>0</v>
      </c>
      <c r="AM488">
        <v>8.8588905294241741E-3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1.7085003163889476E-2</v>
      </c>
      <c r="AT488">
        <v>4.4294452647120871E-3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4.2185192997257967E-3</v>
      </c>
      <c r="BA488">
        <v>0.41341489137312809</v>
      </c>
      <c r="BB488">
        <v>8.4370385994515934E-3</v>
      </c>
      <c r="BC488">
        <v>0</v>
      </c>
      <c r="BD488">
        <v>0</v>
      </c>
      <c r="BE488">
        <v>8.036279265977643E-2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1.2655557899177388E-2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4.6403712296983765E-3</v>
      </c>
      <c r="CA488">
        <v>9.2807424593967527E-2</v>
      </c>
      <c r="CB488">
        <v>2.9529635098080573E-2</v>
      </c>
    </row>
    <row r="489" spans="1:80">
      <c r="A489">
        <v>488</v>
      </c>
      <c r="B489" t="s">
        <v>89</v>
      </c>
      <c r="C489" s="4" t="s">
        <v>172</v>
      </c>
      <c r="D489" s="4" t="s">
        <v>118</v>
      </c>
      <c r="E489" s="5">
        <v>40160</v>
      </c>
      <c r="F489" s="5">
        <v>40159</v>
      </c>
      <c r="G489">
        <v>912</v>
      </c>
      <c r="H489" s="4" t="s">
        <v>107</v>
      </c>
      <c r="I489" s="4" t="s">
        <v>108</v>
      </c>
      <c r="J489" s="4" t="str">
        <f t="shared" si="7"/>
        <v>u_con.c_con</v>
      </c>
      <c r="K489" s="5">
        <v>19</v>
      </c>
      <c r="L489">
        <v>0</v>
      </c>
      <c r="M489">
        <v>3.0115974560419E-2</v>
      </c>
      <c r="N489">
        <v>0.11616161616161617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1.2158623269734381E-2</v>
      </c>
      <c r="Y489">
        <v>2.9928918817807702E-2</v>
      </c>
      <c r="Z489">
        <v>3.7411148522259628E-3</v>
      </c>
      <c r="AA489">
        <v>0</v>
      </c>
      <c r="AB489">
        <v>0</v>
      </c>
      <c r="AC489">
        <v>0</v>
      </c>
      <c r="AD489">
        <v>0</v>
      </c>
      <c r="AE489">
        <v>4.5080433969322854E-2</v>
      </c>
      <c r="AF489">
        <v>0</v>
      </c>
      <c r="AG489">
        <v>0</v>
      </c>
      <c r="AH489">
        <v>0</v>
      </c>
      <c r="AI489">
        <v>4.11522633744856E-3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2.6187803965581739E-2</v>
      </c>
      <c r="AT489">
        <v>0</v>
      </c>
      <c r="AU489">
        <v>4.1152263374485592E-3</v>
      </c>
      <c r="AV489">
        <v>1.8705574261129816E-4</v>
      </c>
      <c r="AW489">
        <v>1.8705574261129816E-4</v>
      </c>
      <c r="AX489">
        <v>7.4822297044519256E-3</v>
      </c>
      <c r="AY489">
        <v>0</v>
      </c>
      <c r="AZ489">
        <v>0</v>
      </c>
      <c r="BA489">
        <v>0.34811073699962575</v>
      </c>
      <c r="BB489">
        <v>3.4605312383090156E-2</v>
      </c>
      <c r="BC489">
        <v>0</v>
      </c>
      <c r="BD489">
        <v>0</v>
      </c>
      <c r="BE489">
        <v>7.5570520014964448E-2</v>
      </c>
      <c r="BF489">
        <v>3.7411148522259628E-3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3.7411148522259631E-4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2.9928918817807699E-2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0.18331462775907212</v>
      </c>
      <c r="CB489">
        <v>4.4893378226711557E-2</v>
      </c>
    </row>
    <row r="490" spans="1:80" s="1" customFormat="1">
      <c r="A490">
        <v>489</v>
      </c>
      <c r="B490" t="s">
        <v>90</v>
      </c>
      <c r="C490" s="4" t="s">
        <v>173</v>
      </c>
      <c r="D490" s="4" t="s">
        <v>118</v>
      </c>
      <c r="E490" s="5">
        <v>40160</v>
      </c>
      <c r="F490" s="5">
        <v>40159</v>
      </c>
      <c r="G490">
        <v>912</v>
      </c>
      <c r="H490" s="4" t="s">
        <v>107</v>
      </c>
      <c r="I490" s="4" t="s">
        <v>108</v>
      </c>
      <c r="J490" s="4" t="str">
        <f t="shared" si="7"/>
        <v>u_con.c_con</v>
      </c>
      <c r="K490" s="5">
        <v>19</v>
      </c>
      <c r="L490">
        <v>4.1571398877572234E-3</v>
      </c>
      <c r="M490">
        <v>2.1201413427561839E-2</v>
      </c>
      <c r="N490">
        <v>0.26605695281646219</v>
      </c>
      <c r="O490">
        <v>0</v>
      </c>
      <c r="P490">
        <v>0</v>
      </c>
      <c r="Q490">
        <v>0</v>
      </c>
      <c r="R490">
        <v>2.0785699438786116E-2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4.9885678653086678E-3</v>
      </c>
      <c r="Y490">
        <v>0</v>
      </c>
      <c r="Z490">
        <v>4.6144252754105171E-2</v>
      </c>
      <c r="AA490">
        <v>0</v>
      </c>
      <c r="AB490">
        <v>0</v>
      </c>
      <c r="AC490">
        <v>0</v>
      </c>
      <c r="AD490">
        <v>0</v>
      </c>
      <c r="AE490">
        <v>2.9099979214300558E-2</v>
      </c>
      <c r="AF490">
        <v>0</v>
      </c>
      <c r="AG490">
        <v>4.1571398877572234E-3</v>
      </c>
      <c r="AH490">
        <v>4.1571398877572234E-3</v>
      </c>
      <c r="AI490">
        <v>4.2194969860735822E-2</v>
      </c>
      <c r="AJ490">
        <v>0</v>
      </c>
      <c r="AK490">
        <v>0</v>
      </c>
      <c r="AL490">
        <v>4.3649968821450847E-3</v>
      </c>
      <c r="AM490">
        <v>0</v>
      </c>
      <c r="AN490">
        <v>4.9885678653086678E-3</v>
      </c>
      <c r="AO490">
        <v>0</v>
      </c>
      <c r="AP490">
        <v>0</v>
      </c>
      <c r="AQ490">
        <v>0</v>
      </c>
      <c r="AR490">
        <v>0</v>
      </c>
      <c r="AS490">
        <v>4.3649968821450847E-3</v>
      </c>
      <c r="AT490">
        <v>8.9378507586780308E-3</v>
      </c>
      <c r="AU490">
        <v>0</v>
      </c>
      <c r="AV490">
        <v>0</v>
      </c>
      <c r="AW490">
        <v>0</v>
      </c>
      <c r="AX490">
        <v>2.1201413427561839E-2</v>
      </c>
      <c r="AY490">
        <v>0</v>
      </c>
      <c r="AZ490">
        <v>0</v>
      </c>
      <c r="BA490">
        <v>0.29099979214300559</v>
      </c>
      <c r="BB490">
        <v>2.1409270421949698E-2</v>
      </c>
      <c r="BC490">
        <v>0</v>
      </c>
      <c r="BD490">
        <v>0</v>
      </c>
      <c r="BE490">
        <v>4.1987112866347952E-2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2.0993556433173976E-2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4.1571398877572234E-3</v>
      </c>
      <c r="BX490">
        <v>0</v>
      </c>
      <c r="BY490">
        <v>0</v>
      </c>
      <c r="BZ490">
        <v>0</v>
      </c>
      <c r="CA490">
        <v>0.12949490750363749</v>
      </c>
      <c r="CB490">
        <v>4.1571398877572234E-3</v>
      </c>
    </row>
    <row r="491" spans="1:80" s="1" customFormat="1">
      <c r="A491">
        <v>490</v>
      </c>
      <c r="B491" t="s">
        <v>91</v>
      </c>
      <c r="C491" s="4" t="s">
        <v>173</v>
      </c>
      <c r="D491" s="4" t="s">
        <v>118</v>
      </c>
      <c r="E491" s="5">
        <v>40160</v>
      </c>
      <c r="F491" s="5">
        <v>40159</v>
      </c>
      <c r="G491">
        <v>912</v>
      </c>
      <c r="H491" s="4" t="s">
        <v>107</v>
      </c>
      <c r="I491" s="4" t="s">
        <v>109</v>
      </c>
      <c r="J491" s="4" t="str">
        <f t="shared" si="7"/>
        <v>u_con.c_rem</v>
      </c>
      <c r="K491" s="5">
        <v>2</v>
      </c>
      <c r="L491">
        <v>2.0198019801980199E-2</v>
      </c>
      <c r="M491">
        <v>0.13504950495049506</v>
      </c>
      <c r="N491">
        <v>0.15841584158415842</v>
      </c>
      <c r="O491">
        <v>1.5841584158415842E-2</v>
      </c>
      <c r="P491">
        <v>0</v>
      </c>
      <c r="Q491">
        <v>8.1188118811881191E-3</v>
      </c>
      <c r="R491">
        <v>6.7524752475247515E-2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8.1188118811881191E-3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1.1881188118811883E-2</v>
      </c>
      <c r="AF491">
        <v>0</v>
      </c>
      <c r="AG491">
        <v>0</v>
      </c>
      <c r="AH491">
        <v>3.9603960396039604E-3</v>
      </c>
      <c r="AI491">
        <v>1.2871287128712872E-2</v>
      </c>
      <c r="AJ491">
        <v>0</v>
      </c>
      <c r="AK491">
        <v>0</v>
      </c>
      <c r="AL491">
        <v>0</v>
      </c>
      <c r="AM491">
        <v>0</v>
      </c>
      <c r="AN491">
        <v>1.6435643564356436E-2</v>
      </c>
      <c r="AO491">
        <v>0</v>
      </c>
      <c r="AP491">
        <v>0</v>
      </c>
      <c r="AQ491">
        <v>0</v>
      </c>
      <c r="AR491">
        <v>0</v>
      </c>
      <c r="AS491">
        <v>4.7524752475247532E-3</v>
      </c>
      <c r="AT491">
        <v>3.9603960396039607E-4</v>
      </c>
      <c r="AU491">
        <v>1.9801980198019803E-4</v>
      </c>
      <c r="AV491">
        <v>3.9603960396039604E-3</v>
      </c>
      <c r="AW491">
        <v>0</v>
      </c>
      <c r="AX491">
        <v>7.9207920792079209E-3</v>
      </c>
      <c r="AY491">
        <v>0</v>
      </c>
      <c r="AZ491">
        <v>0</v>
      </c>
      <c r="BA491">
        <v>5.2277227722772282E-2</v>
      </c>
      <c r="BB491">
        <v>4.1584158415841586E-3</v>
      </c>
      <c r="BC491">
        <v>0</v>
      </c>
      <c r="BD491">
        <v>0</v>
      </c>
      <c r="BE491">
        <v>0.20217821782178214</v>
      </c>
      <c r="BF491">
        <v>2.7920792079207918E-2</v>
      </c>
      <c r="BG491">
        <v>0</v>
      </c>
      <c r="BH491">
        <v>0</v>
      </c>
      <c r="BI491">
        <v>0</v>
      </c>
      <c r="BJ491">
        <v>0</v>
      </c>
      <c r="BK491">
        <v>2.3762376237623763E-2</v>
      </c>
      <c r="BL491">
        <v>0</v>
      </c>
      <c r="BM491">
        <v>0</v>
      </c>
      <c r="BN491">
        <v>3.9603960396039604E-3</v>
      </c>
      <c r="BO491">
        <v>1.5841584158415842E-2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1.9801980198019803E-4</v>
      </c>
      <c r="CA491">
        <v>0.19405940594059401</v>
      </c>
      <c r="CB491">
        <v>0</v>
      </c>
    </row>
    <row r="492" spans="1:80">
      <c r="A492">
        <v>491</v>
      </c>
      <c r="B492" t="s">
        <v>92</v>
      </c>
      <c r="C492" s="4" t="s">
        <v>173</v>
      </c>
      <c r="D492" s="4" t="s">
        <v>118</v>
      </c>
      <c r="E492" s="5">
        <v>40160</v>
      </c>
      <c r="F492" s="5">
        <v>40159</v>
      </c>
      <c r="G492">
        <v>912</v>
      </c>
      <c r="H492" s="4" t="s">
        <v>107</v>
      </c>
      <c r="I492" s="4" t="s">
        <v>108</v>
      </c>
      <c r="J492" s="4" t="str">
        <f t="shared" si="7"/>
        <v>u_con.c_con</v>
      </c>
      <c r="K492" s="5">
        <v>19</v>
      </c>
      <c r="L492">
        <v>8.6680761099365757E-3</v>
      </c>
      <c r="M492">
        <v>3.8689217758985199E-2</v>
      </c>
      <c r="N492">
        <v>0.17336152219873147</v>
      </c>
      <c r="O492">
        <v>0</v>
      </c>
      <c r="P492">
        <v>0</v>
      </c>
      <c r="Q492">
        <v>8.4566596194503175E-3</v>
      </c>
      <c r="R492">
        <v>4.2283298097251579E-2</v>
      </c>
      <c r="S492">
        <v>0</v>
      </c>
      <c r="T492">
        <v>4.2283298097251587E-3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8.4566596194503175E-3</v>
      </c>
      <c r="AF492">
        <v>0</v>
      </c>
      <c r="AG492">
        <v>0</v>
      </c>
      <c r="AH492">
        <v>0</v>
      </c>
      <c r="AI492">
        <v>1.7758985200845664E-2</v>
      </c>
      <c r="AJ492">
        <v>0</v>
      </c>
      <c r="AK492">
        <v>0</v>
      </c>
      <c r="AL492">
        <v>0</v>
      </c>
      <c r="AM492">
        <v>0</v>
      </c>
      <c r="AN492">
        <v>5.4968287526427056E-3</v>
      </c>
      <c r="AO492">
        <v>0</v>
      </c>
      <c r="AP492">
        <v>0</v>
      </c>
      <c r="AQ492">
        <v>0</v>
      </c>
      <c r="AR492">
        <v>0</v>
      </c>
      <c r="AS492">
        <v>2.1141649048625792E-4</v>
      </c>
      <c r="AT492">
        <v>1.4799154334038055E-3</v>
      </c>
      <c r="AU492">
        <v>0</v>
      </c>
      <c r="AV492">
        <v>0</v>
      </c>
      <c r="AW492">
        <v>0</v>
      </c>
      <c r="AX492">
        <v>4.2283298097251587E-3</v>
      </c>
      <c r="AY492">
        <v>4.2283298097251587E-3</v>
      </c>
      <c r="AZ492">
        <v>8.4566596194503175E-3</v>
      </c>
      <c r="BA492">
        <v>0.27906976744186029</v>
      </c>
      <c r="BB492">
        <v>1.3107822410147992E-2</v>
      </c>
      <c r="BC492">
        <v>0</v>
      </c>
      <c r="BD492">
        <v>0</v>
      </c>
      <c r="BE492">
        <v>0.11923890063424945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4.4397463002114161E-3</v>
      </c>
      <c r="BO492">
        <v>0</v>
      </c>
      <c r="BP492">
        <v>0</v>
      </c>
      <c r="BQ492">
        <v>2.1141649048625792E-4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4.2283298097251587E-3</v>
      </c>
      <c r="BX492">
        <v>0</v>
      </c>
      <c r="BY492">
        <v>0</v>
      </c>
      <c r="BZ492">
        <v>0</v>
      </c>
      <c r="CA492">
        <v>0.24524312896405917</v>
      </c>
      <c r="CB492">
        <v>8.4566596194503175E-3</v>
      </c>
    </row>
    <row r="493" spans="1:80">
      <c r="A493">
        <v>492</v>
      </c>
      <c r="B493" t="s">
        <v>93</v>
      </c>
      <c r="C493" s="4" t="s">
        <v>173</v>
      </c>
      <c r="D493" s="4" t="s">
        <v>118</v>
      </c>
      <c r="E493" s="5">
        <v>40160</v>
      </c>
      <c r="F493" s="5">
        <v>40159</v>
      </c>
      <c r="G493">
        <v>912</v>
      </c>
      <c r="H493" s="4" t="s">
        <v>107</v>
      </c>
      <c r="I493" s="4" t="s">
        <v>109</v>
      </c>
      <c r="J493" s="4" t="str">
        <f t="shared" si="7"/>
        <v>u_con.c_rem</v>
      </c>
      <c r="K493" s="5">
        <v>2</v>
      </c>
      <c r="L493">
        <v>8.0565926508154844E-3</v>
      </c>
      <c r="M493">
        <v>3.5959913539005697E-2</v>
      </c>
      <c r="N493">
        <v>0.17292198860286895</v>
      </c>
      <c r="O493">
        <v>0</v>
      </c>
      <c r="P493">
        <v>0</v>
      </c>
      <c r="Q493">
        <v>2.3776773432894478E-2</v>
      </c>
      <c r="R493">
        <v>1.5916683041854982E-2</v>
      </c>
      <c r="S493">
        <v>0</v>
      </c>
      <c r="T493">
        <v>3.9300451955197487E-4</v>
      </c>
      <c r="U493">
        <v>0</v>
      </c>
      <c r="V493">
        <v>0</v>
      </c>
      <c r="W493">
        <v>0</v>
      </c>
      <c r="X493">
        <v>0</v>
      </c>
      <c r="Y493">
        <v>1.5720180782078996E-2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6.6810768323835742E-2</v>
      </c>
      <c r="AF493">
        <v>0</v>
      </c>
      <c r="AG493">
        <v>0</v>
      </c>
      <c r="AH493">
        <v>3.9300451955197489E-3</v>
      </c>
      <c r="AI493">
        <v>2.0239732756926705E-2</v>
      </c>
      <c r="AJ493">
        <v>0</v>
      </c>
      <c r="AK493">
        <v>0</v>
      </c>
      <c r="AL493">
        <v>7.8600903910394978E-3</v>
      </c>
      <c r="AM493">
        <v>0</v>
      </c>
      <c r="AN493">
        <v>1.5916683041854982E-2</v>
      </c>
      <c r="AO493">
        <v>0</v>
      </c>
      <c r="AP493">
        <v>0</v>
      </c>
      <c r="AQ493">
        <v>0</v>
      </c>
      <c r="AR493">
        <v>0</v>
      </c>
      <c r="AS493">
        <v>2.3580271173118488E-2</v>
      </c>
      <c r="AT493">
        <v>7.8600903910394974E-4</v>
      </c>
      <c r="AU493">
        <v>0</v>
      </c>
      <c r="AV493">
        <v>0</v>
      </c>
      <c r="AW493">
        <v>0</v>
      </c>
      <c r="AX493">
        <v>8.2530949105914728E-3</v>
      </c>
      <c r="AY493">
        <v>0</v>
      </c>
      <c r="AZ493">
        <v>1.1986637846335234E-2</v>
      </c>
      <c r="BA493">
        <v>0.26724307329534286</v>
      </c>
      <c r="BB493">
        <v>3.9693456474749457E-2</v>
      </c>
      <c r="BC493">
        <v>0</v>
      </c>
      <c r="BD493">
        <v>0</v>
      </c>
      <c r="BE493">
        <v>0.11456081744940069</v>
      </c>
      <c r="BF493">
        <v>4.1265474552957364E-3</v>
      </c>
      <c r="BG493">
        <v>0</v>
      </c>
      <c r="BH493">
        <v>0</v>
      </c>
      <c r="BI493">
        <v>0</v>
      </c>
      <c r="BJ493">
        <v>0</v>
      </c>
      <c r="BK493">
        <v>7.8600903910394978E-3</v>
      </c>
      <c r="BL493">
        <v>0</v>
      </c>
      <c r="BM493">
        <v>0</v>
      </c>
      <c r="BN493">
        <v>1.2183140106111223E-2</v>
      </c>
      <c r="BO493">
        <v>7.8600903910394978E-3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1.9650225977598743E-4</v>
      </c>
      <c r="CA493">
        <v>0.11416781292984868</v>
      </c>
      <c r="CB493">
        <v>0</v>
      </c>
    </row>
    <row r="494" spans="1:80">
      <c r="A494">
        <v>493</v>
      </c>
      <c r="B494" t="s">
        <v>94</v>
      </c>
      <c r="C494" s="4" t="s">
        <v>174</v>
      </c>
      <c r="D494" s="4" t="s">
        <v>118</v>
      </c>
      <c r="E494" s="5">
        <v>40160</v>
      </c>
      <c r="F494" s="5">
        <v>40159</v>
      </c>
      <c r="G494">
        <v>912</v>
      </c>
      <c r="H494" s="4" t="s">
        <v>110</v>
      </c>
      <c r="I494" s="4" t="s">
        <v>108</v>
      </c>
      <c r="J494" s="4" t="str">
        <f t="shared" si="7"/>
        <v>u_rem.c_con</v>
      </c>
      <c r="K494" s="5">
        <v>8</v>
      </c>
      <c r="L494">
        <v>0</v>
      </c>
      <c r="M494">
        <v>0.12237272302662314</v>
      </c>
      <c r="N494">
        <v>0.44838860345632897</v>
      </c>
      <c r="O494">
        <v>0</v>
      </c>
      <c r="P494">
        <v>0</v>
      </c>
      <c r="Q494">
        <v>0</v>
      </c>
      <c r="R494">
        <v>9.3414292386735195E-2</v>
      </c>
      <c r="S494">
        <v>0</v>
      </c>
      <c r="T494">
        <v>2.33535730966838E-4</v>
      </c>
      <c r="U494">
        <v>0</v>
      </c>
      <c r="V494">
        <v>0</v>
      </c>
      <c r="W494">
        <v>0</v>
      </c>
      <c r="X494">
        <v>4.6707146193367599E-4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9.5749649696403594E-3</v>
      </c>
      <c r="AI494">
        <v>3.3395609528257833E-2</v>
      </c>
      <c r="AJ494">
        <v>9.5749649696403594E-3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2.0317608594114907E-2</v>
      </c>
      <c r="AU494">
        <v>0</v>
      </c>
      <c r="AV494">
        <v>0</v>
      </c>
      <c r="AW494">
        <v>2.8257823446987396E-2</v>
      </c>
      <c r="AX494">
        <v>0</v>
      </c>
      <c r="AY494">
        <v>0</v>
      </c>
      <c r="AZ494">
        <v>9.8085007006071968E-3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4.6707146193367601E-3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0.20551144325081741</v>
      </c>
      <c r="CB494">
        <v>1.4012143858010282E-2</v>
      </c>
    </row>
    <row r="495" spans="1:80" s="1" customFormat="1">
      <c r="A495">
        <v>494</v>
      </c>
      <c r="B495" t="s">
        <v>95</v>
      </c>
      <c r="C495" s="4" t="s">
        <v>174</v>
      </c>
      <c r="D495" s="4" t="s">
        <v>118</v>
      </c>
      <c r="E495" s="5">
        <v>40160</v>
      </c>
      <c r="F495" s="5">
        <v>40159</v>
      </c>
      <c r="G495">
        <v>912</v>
      </c>
      <c r="H495" s="4" t="s">
        <v>110</v>
      </c>
      <c r="I495" s="4" t="s">
        <v>109</v>
      </c>
      <c r="J495" s="4" t="str">
        <f t="shared" si="7"/>
        <v>u_rem.c_rem</v>
      </c>
      <c r="K495" s="5">
        <v>1</v>
      </c>
      <c r="L495">
        <v>4.9962528103922061E-4</v>
      </c>
      <c r="M495">
        <v>9.4928803397451925E-2</v>
      </c>
      <c r="N495">
        <v>0.31976017986510102</v>
      </c>
      <c r="O495">
        <v>1.0242318261304022E-2</v>
      </c>
      <c r="P495">
        <v>0</v>
      </c>
      <c r="Q495">
        <v>0</v>
      </c>
      <c r="R495">
        <v>0</v>
      </c>
      <c r="S495">
        <v>0</v>
      </c>
      <c r="T495">
        <v>4.9962528103922061E-3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4.0219835123657253E-2</v>
      </c>
      <c r="AA495">
        <v>0</v>
      </c>
      <c r="AB495">
        <v>0</v>
      </c>
      <c r="AC495">
        <v>0</v>
      </c>
      <c r="AD495">
        <v>0</v>
      </c>
      <c r="AE495">
        <v>4.0719460404696477E-2</v>
      </c>
      <c r="AF495">
        <v>0</v>
      </c>
      <c r="AG495">
        <v>0</v>
      </c>
      <c r="AH495">
        <v>1.523857107169623E-2</v>
      </c>
      <c r="AI495">
        <v>7.0447164626530112E-2</v>
      </c>
      <c r="AJ495">
        <v>0.21483887084686479</v>
      </c>
      <c r="AK495">
        <v>0</v>
      </c>
      <c r="AL495">
        <v>0</v>
      </c>
      <c r="AM495">
        <v>0</v>
      </c>
      <c r="AN495">
        <v>7.4943792155883081E-4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1.1741194104421685E-2</v>
      </c>
      <c r="AU495">
        <v>2.4981264051961031E-4</v>
      </c>
      <c r="AV495">
        <v>0</v>
      </c>
      <c r="AW495">
        <v>1.0242318261304022E-2</v>
      </c>
      <c r="AX495">
        <v>9.9925056207844122E-3</v>
      </c>
      <c r="AY495">
        <v>0</v>
      </c>
      <c r="AZ495">
        <v>2.4981264051961031E-4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4.9962528103922061E-3</v>
      </c>
      <c r="BY495">
        <v>0</v>
      </c>
      <c r="BZ495">
        <v>0</v>
      </c>
      <c r="CA495">
        <v>0.14489133150137398</v>
      </c>
      <c r="CB495">
        <v>4.9962528103922061E-3</v>
      </c>
    </row>
    <row r="496" spans="1:80">
      <c r="A496">
        <v>495</v>
      </c>
      <c r="B496" t="s">
        <v>96</v>
      </c>
      <c r="C496" s="4" t="s">
        <v>174</v>
      </c>
      <c r="D496" s="4" t="s">
        <v>118</v>
      </c>
      <c r="E496" s="5">
        <v>40160</v>
      </c>
      <c r="F496" s="5">
        <v>40159</v>
      </c>
      <c r="G496">
        <v>912</v>
      </c>
      <c r="H496" s="4" t="s">
        <v>110</v>
      </c>
      <c r="I496" s="4" t="s">
        <v>109</v>
      </c>
      <c r="J496" s="4" t="str">
        <f t="shared" si="7"/>
        <v>u_rem.c_rem</v>
      </c>
      <c r="K496" s="5">
        <v>1</v>
      </c>
      <c r="L496">
        <v>2.2899015342340274E-4</v>
      </c>
      <c r="M496">
        <v>8.816120906801006E-2</v>
      </c>
      <c r="N496">
        <v>0.31142660865582772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3.2516601786123187E-2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1.3739409205404167E-2</v>
      </c>
      <c r="AF496">
        <v>0</v>
      </c>
      <c r="AG496">
        <v>0</v>
      </c>
      <c r="AH496">
        <v>4.8087932218914579E-3</v>
      </c>
      <c r="AI496">
        <v>3.2516601786123187E-2</v>
      </c>
      <c r="AJ496">
        <v>0.33913441722005938</v>
      </c>
      <c r="AK496">
        <v>0</v>
      </c>
      <c r="AL496">
        <v>0</v>
      </c>
      <c r="AM496">
        <v>0</v>
      </c>
      <c r="AN496">
        <v>1.0075566750629723E-2</v>
      </c>
      <c r="AO496">
        <v>0</v>
      </c>
      <c r="AP496">
        <v>0</v>
      </c>
      <c r="AQ496">
        <v>0</v>
      </c>
      <c r="AR496">
        <v>0</v>
      </c>
      <c r="AS496">
        <v>2.2899015342340276E-2</v>
      </c>
      <c r="AT496">
        <v>4.7400961758644354E-2</v>
      </c>
      <c r="AU496">
        <v>9.6175864437829158E-3</v>
      </c>
      <c r="AV496">
        <v>0</v>
      </c>
      <c r="AW496">
        <v>3.6638424547744443E-2</v>
      </c>
      <c r="AX496">
        <v>1.3739409205404167E-2</v>
      </c>
      <c r="AY496">
        <v>0</v>
      </c>
      <c r="AZ496">
        <v>9.1596061369361107E-3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2.7936798717655136E-2</v>
      </c>
      <c r="CB496">
        <v>0</v>
      </c>
    </row>
    <row r="497" spans="1:80">
      <c r="A497">
        <v>496</v>
      </c>
      <c r="B497" t="s">
        <v>97</v>
      </c>
      <c r="C497" s="4" t="s">
        <v>174</v>
      </c>
      <c r="D497" s="4" t="s">
        <v>118</v>
      </c>
      <c r="E497" s="5">
        <v>40160</v>
      </c>
      <c r="F497" s="5">
        <v>40159</v>
      </c>
      <c r="G497">
        <v>912</v>
      </c>
      <c r="H497" s="4" t="s">
        <v>110</v>
      </c>
      <c r="I497" s="4" t="s">
        <v>108</v>
      </c>
      <c r="J497" s="4" t="str">
        <f t="shared" si="7"/>
        <v>u_rem.c_con</v>
      </c>
      <c r="K497" s="5">
        <v>8</v>
      </c>
      <c r="L497">
        <v>1.0095911155981827E-2</v>
      </c>
      <c r="M497">
        <v>0.13629480060575469</v>
      </c>
      <c r="N497">
        <v>0.16658253407370013</v>
      </c>
      <c r="O497">
        <v>0</v>
      </c>
      <c r="P497">
        <v>0</v>
      </c>
      <c r="Q497">
        <v>2.5744573447753657E-2</v>
      </c>
      <c r="R497">
        <v>0.18172640080767286</v>
      </c>
      <c r="S497">
        <v>0</v>
      </c>
      <c r="T497">
        <v>1.5143866733972741E-2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1.5143866733972741E-2</v>
      </c>
      <c r="AF497">
        <v>0</v>
      </c>
      <c r="AG497">
        <v>0</v>
      </c>
      <c r="AH497">
        <v>1.0095911155981827E-3</v>
      </c>
      <c r="AI497">
        <v>2.0696617869762745E-2</v>
      </c>
      <c r="AJ497">
        <v>0.11130742049469962</v>
      </c>
      <c r="AK497">
        <v>0</v>
      </c>
      <c r="AL497">
        <v>0</v>
      </c>
      <c r="AM497">
        <v>0</v>
      </c>
      <c r="AN497">
        <v>5.0479555779909136E-4</v>
      </c>
      <c r="AO497">
        <v>0</v>
      </c>
      <c r="AP497">
        <v>0</v>
      </c>
      <c r="AQ497">
        <v>0</v>
      </c>
      <c r="AR497">
        <v>0</v>
      </c>
      <c r="AS497">
        <v>3.0287733467945478E-2</v>
      </c>
      <c r="AT497">
        <v>1.2619888944977284E-3</v>
      </c>
      <c r="AU497">
        <v>0</v>
      </c>
      <c r="AV497">
        <v>0</v>
      </c>
      <c r="AW497">
        <v>0</v>
      </c>
      <c r="AX497">
        <v>2.1201413427561835E-2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5.0479555779909136E-3</v>
      </c>
      <c r="BF497">
        <v>2.5239777889954568E-4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1.5143866733972741E-2</v>
      </c>
      <c r="BY497">
        <v>0</v>
      </c>
      <c r="BZ497">
        <v>1.0095911155981827E-2</v>
      </c>
      <c r="CA497">
        <v>0.22715800100959105</v>
      </c>
      <c r="CB497">
        <v>5.3003533568904589E-3</v>
      </c>
    </row>
    <row r="498" spans="1:80" s="1" customFormat="1">
      <c r="A498">
        <v>497</v>
      </c>
      <c r="B498" t="s">
        <v>98</v>
      </c>
      <c r="C498" s="4" t="s">
        <v>175</v>
      </c>
      <c r="D498" s="4" t="s">
        <v>118</v>
      </c>
      <c r="E498" s="5">
        <v>40160</v>
      </c>
      <c r="F498" s="5">
        <v>40159</v>
      </c>
      <c r="G498">
        <v>912</v>
      </c>
      <c r="H498" s="4" t="s">
        <v>107</v>
      </c>
      <c r="I498" s="4" t="s">
        <v>109</v>
      </c>
      <c r="J498" s="4" t="str">
        <f t="shared" si="7"/>
        <v>u_con.c_rem</v>
      </c>
      <c r="K498" s="5">
        <v>2</v>
      </c>
      <c r="L498">
        <v>4.3374539145521587E-4</v>
      </c>
      <c r="M498">
        <v>0.14009976144003469</v>
      </c>
      <c r="N498">
        <v>7.8291043157666482E-2</v>
      </c>
      <c r="O498">
        <v>4.3374539145521586E-3</v>
      </c>
      <c r="P498">
        <v>0</v>
      </c>
      <c r="Q498">
        <v>0</v>
      </c>
      <c r="R498">
        <v>0</v>
      </c>
      <c r="S498">
        <v>0</v>
      </c>
      <c r="T498">
        <v>8.6749078291043173E-3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5.7905009759271299E-2</v>
      </c>
      <c r="AJ498">
        <v>3.9253957926697038E-2</v>
      </c>
      <c r="AK498">
        <v>0</v>
      </c>
      <c r="AL498">
        <v>2.602472348731295E-2</v>
      </c>
      <c r="AM498">
        <v>0</v>
      </c>
      <c r="AN498">
        <v>9.5423986120147502E-3</v>
      </c>
      <c r="AO498">
        <v>0</v>
      </c>
      <c r="AP498">
        <v>0</v>
      </c>
      <c r="AQ498">
        <v>0</v>
      </c>
      <c r="AR498">
        <v>0</v>
      </c>
      <c r="AS498">
        <v>5.2700065061808729E-2</v>
      </c>
      <c r="AT498">
        <v>4.9880720017349825E-3</v>
      </c>
      <c r="AU498">
        <v>1.3446107135111693E-2</v>
      </c>
      <c r="AV498">
        <v>4.3374539145521586E-3</v>
      </c>
      <c r="AW498">
        <v>3.4699631316417269E-2</v>
      </c>
      <c r="AX498">
        <v>4.7711993060073742E-3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0.25157232704402516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0.26892214270223375</v>
      </c>
      <c r="CB498">
        <v>0</v>
      </c>
    </row>
    <row r="499" spans="1:80" s="1" customFormat="1">
      <c r="A499">
        <v>498</v>
      </c>
      <c r="B499" t="s">
        <v>99</v>
      </c>
      <c r="C499" s="4" t="s">
        <v>175</v>
      </c>
      <c r="D499" s="4" t="s">
        <v>118</v>
      </c>
      <c r="E499" s="5">
        <v>40160</v>
      </c>
      <c r="F499" s="5">
        <v>40159</v>
      </c>
      <c r="G499">
        <v>912</v>
      </c>
      <c r="H499" s="4" t="s">
        <v>107</v>
      </c>
      <c r="I499" s="4" t="s">
        <v>108</v>
      </c>
      <c r="J499" s="4" t="str">
        <f t="shared" si="7"/>
        <v>u_con.c_con</v>
      </c>
      <c r="K499" s="5">
        <v>19</v>
      </c>
      <c r="L499">
        <v>4.1990342221289107E-3</v>
      </c>
      <c r="M499">
        <v>0.15137518370774722</v>
      </c>
      <c r="N499">
        <v>0.23955490237245428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0.12198194415284483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1.2597102666386733E-2</v>
      </c>
      <c r="AF499">
        <v>0</v>
      </c>
      <c r="AG499">
        <v>0</v>
      </c>
      <c r="AH499">
        <v>4.1990342221289107E-3</v>
      </c>
      <c r="AI499">
        <v>8.0621457064875085E-2</v>
      </c>
      <c r="AJ499">
        <v>4.1990342221289098E-2</v>
      </c>
      <c r="AK499">
        <v>0</v>
      </c>
      <c r="AL499">
        <v>0</v>
      </c>
      <c r="AM499">
        <v>0</v>
      </c>
      <c r="AN499">
        <v>1.742599202183498E-2</v>
      </c>
      <c r="AO499">
        <v>0</v>
      </c>
      <c r="AP499">
        <v>0</v>
      </c>
      <c r="AQ499">
        <v>0</v>
      </c>
      <c r="AR499">
        <v>0</v>
      </c>
      <c r="AS499">
        <v>1.7006088599622087E-2</v>
      </c>
      <c r="AT499">
        <v>8.817971866470712E-3</v>
      </c>
      <c r="AU499">
        <v>0</v>
      </c>
      <c r="AV499">
        <v>0</v>
      </c>
      <c r="AW499">
        <v>4.1990342221289107E-3</v>
      </c>
      <c r="AX499">
        <v>0</v>
      </c>
      <c r="AY499">
        <v>0</v>
      </c>
      <c r="AZ499">
        <v>0</v>
      </c>
      <c r="BA499">
        <v>5.1228217509972702E-2</v>
      </c>
      <c r="BB499">
        <v>2.0995171110644551E-4</v>
      </c>
      <c r="BC499">
        <v>0</v>
      </c>
      <c r="BD499">
        <v>0</v>
      </c>
      <c r="BE499">
        <v>0.15557421792987614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8.3980684442578214E-3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8.0621457064875085E-2</v>
      </c>
      <c r="CB499">
        <v>0</v>
      </c>
    </row>
    <row r="500" spans="1:80">
      <c r="A500">
        <v>499</v>
      </c>
      <c r="B500" t="s">
        <v>100</v>
      </c>
      <c r="C500" s="4" t="s">
        <v>175</v>
      </c>
      <c r="D500" s="4" t="s">
        <v>118</v>
      </c>
      <c r="E500" s="5">
        <v>40160</v>
      </c>
      <c r="F500" s="5">
        <v>40159</v>
      </c>
      <c r="G500">
        <v>912</v>
      </c>
      <c r="H500" s="4" t="s">
        <v>107</v>
      </c>
      <c r="I500" s="4" t="s">
        <v>109</v>
      </c>
      <c r="J500" s="4" t="str">
        <f t="shared" si="7"/>
        <v>u_con.c_rem</v>
      </c>
      <c r="K500" s="5">
        <v>2</v>
      </c>
      <c r="L500">
        <v>4.4179368235034242E-3</v>
      </c>
      <c r="M500">
        <v>0.28274795670421904</v>
      </c>
      <c r="N500">
        <v>8.4382593328915415E-2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4.0424121935056324E-2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1.3253810470510273E-2</v>
      </c>
      <c r="AE500">
        <v>8.8358736470068484E-3</v>
      </c>
      <c r="AF500">
        <v>0</v>
      </c>
      <c r="AG500">
        <v>0</v>
      </c>
      <c r="AH500">
        <v>4.4179368235034242E-3</v>
      </c>
      <c r="AI500">
        <v>3.2250938811574995E-2</v>
      </c>
      <c r="AJ500">
        <v>9.2776673293571907E-3</v>
      </c>
      <c r="AK500">
        <v>0</v>
      </c>
      <c r="AL500">
        <v>0</v>
      </c>
      <c r="AM500">
        <v>0</v>
      </c>
      <c r="AN500">
        <v>1.4137397835210959E-2</v>
      </c>
      <c r="AO500">
        <v>0</v>
      </c>
      <c r="AP500">
        <v>0</v>
      </c>
      <c r="AQ500">
        <v>0</v>
      </c>
      <c r="AR500">
        <v>0</v>
      </c>
      <c r="AS500">
        <v>2.2752374641042631E-2</v>
      </c>
      <c r="AT500">
        <v>1.0382151535233048E-2</v>
      </c>
      <c r="AU500">
        <v>4.4179368235034242E-3</v>
      </c>
      <c r="AV500">
        <v>0</v>
      </c>
      <c r="AW500">
        <v>0</v>
      </c>
      <c r="AX500">
        <v>8.8358736470068484E-3</v>
      </c>
      <c r="AY500">
        <v>0</v>
      </c>
      <c r="AZ500">
        <v>0</v>
      </c>
      <c r="BA500">
        <v>4.4179368235034242E-3</v>
      </c>
      <c r="BB500">
        <v>0</v>
      </c>
      <c r="BC500">
        <v>0</v>
      </c>
      <c r="BD500">
        <v>0</v>
      </c>
      <c r="BE500">
        <v>0.1899712834106472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8.8358736470068484E-3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0.25624033576319855</v>
      </c>
      <c r="CB500">
        <v>0</v>
      </c>
    </row>
    <row r="501" spans="1:80">
      <c r="A501">
        <v>500</v>
      </c>
      <c r="B501" t="s">
        <v>101</v>
      </c>
      <c r="C501" s="4" t="s">
        <v>175</v>
      </c>
      <c r="D501" s="4" t="s">
        <v>118</v>
      </c>
      <c r="E501" s="5">
        <v>40160</v>
      </c>
      <c r="F501" s="5">
        <v>40159</v>
      </c>
      <c r="G501">
        <v>912</v>
      </c>
      <c r="H501" s="4" t="s">
        <v>107</v>
      </c>
      <c r="I501" s="4" t="s">
        <v>108</v>
      </c>
      <c r="J501" s="4" t="str">
        <f t="shared" si="7"/>
        <v>u_con.c_con</v>
      </c>
      <c r="K501" s="5">
        <v>19</v>
      </c>
      <c r="L501">
        <v>0</v>
      </c>
      <c r="M501">
        <v>0.23309910346498663</v>
      </c>
      <c r="N501">
        <v>9.2318875696631969E-2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0.10201114611097649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1.4780712381875456E-2</v>
      </c>
      <c r="AF501">
        <v>0</v>
      </c>
      <c r="AG501">
        <v>0</v>
      </c>
      <c r="AH501">
        <v>2.4230676035861398E-4</v>
      </c>
      <c r="AI501">
        <v>6.8572813181487766E-2</v>
      </c>
      <c r="AJ501">
        <v>2.9561424763750906E-2</v>
      </c>
      <c r="AK501">
        <v>0</v>
      </c>
      <c r="AL501">
        <v>0</v>
      </c>
      <c r="AM501">
        <v>0</v>
      </c>
      <c r="AN501">
        <v>1.0176883935061788E-2</v>
      </c>
      <c r="AO501">
        <v>0</v>
      </c>
      <c r="AP501">
        <v>0</v>
      </c>
      <c r="AQ501">
        <v>0</v>
      </c>
      <c r="AR501">
        <v>0</v>
      </c>
      <c r="AS501">
        <v>6.3726677974315485E-2</v>
      </c>
      <c r="AT501">
        <v>2.6411436879088927E-2</v>
      </c>
      <c r="AU501">
        <v>0</v>
      </c>
      <c r="AV501">
        <v>0</v>
      </c>
      <c r="AW501">
        <v>0</v>
      </c>
      <c r="AX501">
        <v>1.938454082868912E-2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3.4407559970923186E-2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9.6922704143445598E-3</v>
      </c>
      <c r="BO501">
        <v>0</v>
      </c>
      <c r="BP501">
        <v>0</v>
      </c>
      <c r="BQ501">
        <v>4.8461352071722799E-3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4.8461352071722799E-3</v>
      </c>
      <c r="BX501">
        <v>4.8461352071722799E-3</v>
      </c>
      <c r="BY501">
        <v>0</v>
      </c>
      <c r="BZ501">
        <v>0</v>
      </c>
      <c r="CA501">
        <v>0.28107584201599223</v>
      </c>
      <c r="CB501">
        <v>0</v>
      </c>
    </row>
    <row r="502" spans="1:80">
      <c r="A502">
        <v>501</v>
      </c>
      <c r="B502" t="s">
        <v>102</v>
      </c>
      <c r="C502" s="4" t="s">
        <v>176</v>
      </c>
      <c r="D502" s="4" t="s">
        <v>118</v>
      </c>
      <c r="E502" s="5">
        <v>40160</v>
      </c>
      <c r="F502" s="5">
        <v>40159</v>
      </c>
      <c r="G502">
        <v>912</v>
      </c>
      <c r="H502" s="4" t="s">
        <v>110</v>
      </c>
      <c r="I502" s="4" t="s">
        <v>108</v>
      </c>
      <c r="J502" s="4" t="str">
        <f t="shared" si="7"/>
        <v>u_rem.c_con</v>
      </c>
      <c r="K502" s="5">
        <v>8</v>
      </c>
      <c r="L502">
        <v>1.8634987188446309E-2</v>
      </c>
      <c r="M502">
        <v>6.1495457721872808E-2</v>
      </c>
      <c r="N502">
        <v>5.6370836245050078E-2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1.9333799208013046E-2</v>
      </c>
      <c r="AF502">
        <v>0</v>
      </c>
      <c r="AG502">
        <v>0</v>
      </c>
      <c r="AH502">
        <v>4.6587467971115773E-3</v>
      </c>
      <c r="AI502">
        <v>4.8916841369671567E-3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0.3587235033775914</v>
      </c>
      <c r="AP502">
        <v>4.6587467971115773E-3</v>
      </c>
      <c r="AQ502">
        <v>4.1928721174004188E-2</v>
      </c>
      <c r="AR502">
        <v>0</v>
      </c>
      <c r="AS502">
        <v>5.1246214768227352E-3</v>
      </c>
      <c r="AT502">
        <v>0</v>
      </c>
      <c r="AU502">
        <v>0</v>
      </c>
      <c r="AV502">
        <v>0</v>
      </c>
      <c r="AW502">
        <v>0</v>
      </c>
      <c r="AX502">
        <v>2.3293733985557886E-4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0.15373864430468204</v>
      </c>
      <c r="BF502">
        <v>0</v>
      </c>
      <c r="BG502">
        <v>0</v>
      </c>
      <c r="BH502">
        <v>0</v>
      </c>
      <c r="BI502">
        <v>1.3976240391334731E-2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4.6587467971115773E-3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0.2003261122757978</v>
      </c>
      <c r="CB502">
        <v>0</v>
      </c>
    </row>
    <row r="503" spans="1:80" s="1" customFormat="1">
      <c r="A503">
        <v>502</v>
      </c>
      <c r="B503" t="s">
        <v>103</v>
      </c>
      <c r="C503" s="4" t="s">
        <v>176</v>
      </c>
      <c r="D503" s="4" t="s">
        <v>118</v>
      </c>
      <c r="E503" s="5">
        <v>40160</v>
      </c>
      <c r="F503" s="5">
        <v>40159</v>
      </c>
      <c r="G503">
        <v>912</v>
      </c>
      <c r="H503" s="4" t="s">
        <v>110</v>
      </c>
      <c r="I503" s="4" t="s">
        <v>109</v>
      </c>
      <c r="J503" s="4" t="str">
        <f t="shared" si="7"/>
        <v>u_rem.c_rem</v>
      </c>
      <c r="K503" s="5">
        <v>1</v>
      </c>
      <c r="L503">
        <v>9.4859916170306671E-3</v>
      </c>
      <c r="M503">
        <v>3.5517317449812492E-2</v>
      </c>
      <c r="N503">
        <v>0.11471431722920808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1.7648356496801239E-2</v>
      </c>
      <c r="AD503">
        <v>0</v>
      </c>
      <c r="AE503">
        <v>0</v>
      </c>
      <c r="AF503">
        <v>0</v>
      </c>
      <c r="AG503">
        <v>4.4120891242003099E-3</v>
      </c>
      <c r="AH503">
        <v>4.4120891242003099E-3</v>
      </c>
      <c r="AI503">
        <v>8.8682991396426242E-2</v>
      </c>
      <c r="AJ503">
        <v>0</v>
      </c>
      <c r="AK503">
        <v>0</v>
      </c>
      <c r="AL503">
        <v>0</v>
      </c>
      <c r="AM503">
        <v>0</v>
      </c>
      <c r="AN503">
        <v>4.4341495698213107E-2</v>
      </c>
      <c r="AO503">
        <v>1.8530774321641304E-2</v>
      </c>
      <c r="AP503">
        <v>0</v>
      </c>
      <c r="AQ503">
        <v>0</v>
      </c>
      <c r="AR503">
        <v>0</v>
      </c>
      <c r="AS503">
        <v>4.6326935804103259E-3</v>
      </c>
      <c r="AT503">
        <v>1.3236267372600931E-3</v>
      </c>
      <c r="AU503">
        <v>2.2501654533421581E-2</v>
      </c>
      <c r="AV503">
        <v>2.2060445621001549E-4</v>
      </c>
      <c r="AW503">
        <v>0</v>
      </c>
      <c r="AX503">
        <v>4.4120891242003098E-4</v>
      </c>
      <c r="AY503">
        <v>0</v>
      </c>
      <c r="AZ503">
        <v>4.6326935804103259E-3</v>
      </c>
      <c r="BA503">
        <v>0.28237370394881978</v>
      </c>
      <c r="BB503">
        <v>0</v>
      </c>
      <c r="BC503">
        <v>0</v>
      </c>
      <c r="BD503">
        <v>0</v>
      </c>
      <c r="BE503">
        <v>0.27818221928082953</v>
      </c>
      <c r="BF503">
        <v>0</v>
      </c>
      <c r="BG503">
        <v>0</v>
      </c>
      <c r="BH503">
        <v>0</v>
      </c>
      <c r="BI503">
        <v>2.6913743657621888E-2</v>
      </c>
      <c r="BJ503">
        <v>0</v>
      </c>
      <c r="BK503">
        <v>0</v>
      </c>
      <c r="BL503">
        <v>0</v>
      </c>
      <c r="BM503">
        <v>0</v>
      </c>
      <c r="BN503">
        <v>4.6326935804103259E-3</v>
      </c>
      <c r="BO503">
        <v>0</v>
      </c>
      <c r="BP503">
        <v>0</v>
      </c>
      <c r="BQ503">
        <v>5.0739024928303563E-3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3.1325832781822195E-2</v>
      </c>
      <c r="CB503">
        <v>0</v>
      </c>
    </row>
    <row r="504" spans="1:80">
      <c r="A504">
        <v>503</v>
      </c>
      <c r="B504" t="s">
        <v>104</v>
      </c>
      <c r="C504" s="4" t="s">
        <v>176</v>
      </c>
      <c r="D504" s="4" t="s">
        <v>118</v>
      </c>
      <c r="E504" s="5">
        <v>40160</v>
      </c>
      <c r="F504" s="5">
        <v>40159</v>
      </c>
      <c r="G504">
        <v>912</v>
      </c>
      <c r="H504" s="4" t="s">
        <v>110</v>
      </c>
      <c r="I504" s="4" t="s">
        <v>108</v>
      </c>
      <c r="J504" s="4" t="str">
        <f t="shared" si="7"/>
        <v>u_rem.c_con</v>
      </c>
      <c r="K504" s="5">
        <v>8</v>
      </c>
      <c r="L504">
        <v>2.2558087074216106E-2</v>
      </c>
      <c r="M504">
        <v>0.18520189487931427</v>
      </c>
      <c r="N504">
        <v>7.6923076923076941E-2</v>
      </c>
      <c r="O504">
        <v>0</v>
      </c>
      <c r="P504">
        <v>0</v>
      </c>
      <c r="Q504">
        <v>1.3986013986013986E-2</v>
      </c>
      <c r="R504">
        <v>0</v>
      </c>
      <c r="S504">
        <v>4.5116174148432213E-3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1.3534852244529664E-2</v>
      </c>
      <c r="AD504">
        <v>0</v>
      </c>
      <c r="AE504">
        <v>1.8272050530115047E-2</v>
      </c>
      <c r="AF504">
        <v>0</v>
      </c>
      <c r="AG504">
        <v>0</v>
      </c>
      <c r="AH504">
        <v>4.5116174148432213E-3</v>
      </c>
      <c r="AI504">
        <v>2.729528535980149E-2</v>
      </c>
      <c r="AJ504">
        <v>0</v>
      </c>
      <c r="AK504">
        <v>0</v>
      </c>
      <c r="AL504">
        <v>4.5116174148432213E-3</v>
      </c>
      <c r="AM504">
        <v>0</v>
      </c>
      <c r="AN504">
        <v>0</v>
      </c>
      <c r="AO504">
        <v>0.18497631400857206</v>
      </c>
      <c r="AP504">
        <v>0</v>
      </c>
      <c r="AQ504">
        <v>4.9627791563275431E-2</v>
      </c>
      <c r="AR504">
        <v>0</v>
      </c>
      <c r="AS504">
        <v>4.9627791563275434E-3</v>
      </c>
      <c r="AT504">
        <v>6.7674261222648319E-4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4.0830137604331157E-2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4.5116174148432213E-3</v>
      </c>
      <c r="BQ504">
        <v>4.5116174148432213E-3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5.865102639296188E-2</v>
      </c>
      <c r="CA504">
        <v>0.26167381006090679</v>
      </c>
      <c r="CB504">
        <v>0</v>
      </c>
    </row>
    <row r="505" spans="1:80">
      <c r="A505">
        <v>504</v>
      </c>
      <c r="B505" t="s">
        <v>105</v>
      </c>
      <c r="C505" s="4" t="s">
        <v>176</v>
      </c>
      <c r="D505" s="4" t="s">
        <v>118</v>
      </c>
      <c r="E505" s="5">
        <v>40160</v>
      </c>
      <c r="F505" s="5">
        <v>40159</v>
      </c>
      <c r="G505">
        <v>912</v>
      </c>
      <c r="H505" s="4" t="s">
        <v>110</v>
      </c>
      <c r="I505" s="4" t="s">
        <v>109</v>
      </c>
      <c r="J505" s="4" t="str">
        <f t="shared" si="7"/>
        <v>u_rem.c_rem</v>
      </c>
      <c r="K505" s="5">
        <v>1</v>
      </c>
      <c r="L505">
        <v>0</v>
      </c>
      <c r="M505">
        <v>4.9067713444553487E-3</v>
      </c>
      <c r="N505">
        <v>9.8135426889106973E-3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1.0058881256133466E-2</v>
      </c>
      <c r="AB505">
        <v>0</v>
      </c>
      <c r="AC505">
        <v>2.5024533856722278E-2</v>
      </c>
      <c r="AD505">
        <v>3.9254170755642782E-2</v>
      </c>
      <c r="AE505">
        <v>1.4720314033366048E-2</v>
      </c>
      <c r="AF505">
        <v>0</v>
      </c>
      <c r="AG505">
        <v>0</v>
      </c>
      <c r="AH505">
        <v>4.9067713444553487E-3</v>
      </c>
      <c r="AI505">
        <v>2.0363101079489698E-2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2.0608439646712468E-2</v>
      </c>
      <c r="AP505">
        <v>4.4406280667320899E-2</v>
      </c>
      <c r="AQ505">
        <v>0</v>
      </c>
      <c r="AR505">
        <v>0</v>
      </c>
      <c r="AS505">
        <v>4.9067713444553487E-3</v>
      </c>
      <c r="AT505">
        <v>0</v>
      </c>
      <c r="AU505">
        <v>0</v>
      </c>
      <c r="AV505">
        <v>0</v>
      </c>
      <c r="AW505">
        <v>2.4779195289499512E-2</v>
      </c>
      <c r="AX505">
        <v>1.0058881256133466E-2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0.58881256133464177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1.4720314033366046E-2</v>
      </c>
      <c r="BM505">
        <v>4.9067713444553487E-3</v>
      </c>
      <c r="BN505">
        <v>0</v>
      </c>
      <c r="BO505">
        <v>0</v>
      </c>
      <c r="BP505">
        <v>4.9067713444553487E-3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3.9254170755642782E-2</v>
      </c>
      <c r="BY505">
        <v>0</v>
      </c>
      <c r="BZ505">
        <v>0</v>
      </c>
      <c r="CA505">
        <v>0.11359175662414137</v>
      </c>
      <c r="CB505">
        <v>0</v>
      </c>
    </row>
    <row r="506" spans="1:80">
      <c r="A506">
        <v>505</v>
      </c>
      <c r="B506" t="s">
        <v>35</v>
      </c>
      <c r="C506" s="4" t="s">
        <v>159</v>
      </c>
      <c r="D506" s="4" t="s">
        <v>116</v>
      </c>
      <c r="E506" s="5">
        <v>40260</v>
      </c>
      <c r="F506" s="5">
        <v>40259</v>
      </c>
      <c r="G506">
        <v>1003</v>
      </c>
      <c r="H506" s="4" t="s">
        <v>107</v>
      </c>
      <c r="I506" s="4" t="s">
        <v>108</v>
      </c>
      <c r="J506" s="4" t="str">
        <f t="shared" si="7"/>
        <v>u_con.c_con</v>
      </c>
      <c r="K506" s="5">
        <v>19</v>
      </c>
      <c r="L506">
        <v>0</v>
      </c>
      <c r="M506">
        <v>5.0655241935483888E-2</v>
      </c>
      <c r="N506">
        <v>0.28225806451612906</v>
      </c>
      <c r="O506">
        <v>0</v>
      </c>
      <c r="P506">
        <v>0</v>
      </c>
      <c r="Q506">
        <v>5.0403225806451629E-3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7.081653225806453E-2</v>
      </c>
      <c r="AA506">
        <v>0</v>
      </c>
      <c r="AB506">
        <v>0</v>
      </c>
      <c r="AC506">
        <v>0</v>
      </c>
      <c r="AD506">
        <v>0</v>
      </c>
      <c r="AE506">
        <v>3.0241935483870972E-2</v>
      </c>
      <c r="AF506">
        <v>0</v>
      </c>
      <c r="AG506">
        <v>0</v>
      </c>
      <c r="AH506">
        <v>5.2923387096774207E-3</v>
      </c>
      <c r="AI506">
        <v>1.0332661290322584E-2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6.5776209677419373E-2</v>
      </c>
      <c r="AT506">
        <v>5.0403225806451629E-3</v>
      </c>
      <c r="AU506">
        <v>5.0655241935483875E-2</v>
      </c>
      <c r="AV506">
        <v>0</v>
      </c>
      <c r="AW506">
        <v>5.0403225806451629E-3</v>
      </c>
      <c r="AX506">
        <v>0</v>
      </c>
      <c r="AY506">
        <v>0</v>
      </c>
      <c r="AZ506">
        <v>0</v>
      </c>
      <c r="BA506">
        <v>0.10635080645161296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3.5282258064516132E-2</v>
      </c>
      <c r="CA506">
        <v>0.27721774193548387</v>
      </c>
      <c r="CB506">
        <v>0</v>
      </c>
    </row>
    <row r="507" spans="1:80">
      <c r="A507">
        <v>506</v>
      </c>
      <c r="B507" t="s">
        <v>36</v>
      </c>
      <c r="C507" s="4" t="s">
        <v>159</v>
      </c>
      <c r="D507" s="4" t="s">
        <v>116</v>
      </c>
      <c r="E507" s="5">
        <v>40260</v>
      </c>
      <c r="F507" s="5">
        <v>40259</v>
      </c>
      <c r="G507">
        <v>1003</v>
      </c>
      <c r="H507" s="4" t="s">
        <v>107</v>
      </c>
      <c r="I507" s="4" t="s">
        <v>109</v>
      </c>
      <c r="J507" s="4" t="str">
        <f t="shared" si="7"/>
        <v>u_con.c_rem</v>
      </c>
      <c r="K507" s="5">
        <v>2</v>
      </c>
      <c r="L507">
        <v>0</v>
      </c>
      <c r="M507">
        <v>7.9184996526973847E-2</v>
      </c>
      <c r="N507">
        <v>0.27344292660338032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0.2824727946283862</v>
      </c>
      <c r="AA507">
        <v>0</v>
      </c>
      <c r="AB507">
        <v>0</v>
      </c>
      <c r="AC507">
        <v>0</v>
      </c>
      <c r="AD507">
        <v>0</v>
      </c>
      <c r="AE507">
        <v>1.8522806205140078E-2</v>
      </c>
      <c r="AF507">
        <v>0</v>
      </c>
      <c r="AG507">
        <v>0</v>
      </c>
      <c r="AH507">
        <v>0</v>
      </c>
      <c r="AI507">
        <v>2.3153507756425096E-2</v>
      </c>
      <c r="AJ507">
        <v>0</v>
      </c>
      <c r="AK507">
        <v>0</v>
      </c>
      <c r="AL507">
        <v>0</v>
      </c>
      <c r="AM507">
        <v>0</v>
      </c>
      <c r="AN507">
        <v>4.6307015512850195E-4</v>
      </c>
      <c r="AO507">
        <v>0</v>
      </c>
      <c r="AP507">
        <v>0</v>
      </c>
      <c r="AQ507">
        <v>0</v>
      </c>
      <c r="AR507">
        <v>0</v>
      </c>
      <c r="AS507">
        <v>3.3109516091687885E-2</v>
      </c>
      <c r="AT507">
        <v>0</v>
      </c>
      <c r="AU507">
        <v>1.8522806205140078E-2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6.6450567260940022E-2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3.7740217642972904E-2</v>
      </c>
      <c r="CA507">
        <v>0.16693679092382496</v>
      </c>
      <c r="CB507">
        <v>0</v>
      </c>
    </row>
    <row r="508" spans="1:80">
      <c r="A508">
        <v>507</v>
      </c>
      <c r="B508" t="s">
        <v>37</v>
      </c>
      <c r="C508" s="4" t="s">
        <v>159</v>
      </c>
      <c r="D508" s="4" t="s">
        <v>116</v>
      </c>
      <c r="E508" s="5">
        <v>40260</v>
      </c>
      <c r="F508" s="5">
        <v>40259</v>
      </c>
      <c r="G508">
        <v>1003</v>
      </c>
      <c r="H508" s="4" t="s">
        <v>107</v>
      </c>
      <c r="I508" s="4" t="s">
        <v>109</v>
      </c>
      <c r="J508" s="4" t="str">
        <f t="shared" si="7"/>
        <v>u_con.c_rem</v>
      </c>
      <c r="K508" s="5">
        <v>2</v>
      </c>
      <c r="L508">
        <v>0</v>
      </c>
      <c r="M508">
        <v>0.12575366063738153</v>
      </c>
      <c r="N508">
        <v>0.24117140396210157</v>
      </c>
      <c r="O508">
        <v>0</v>
      </c>
      <c r="P508">
        <v>0</v>
      </c>
      <c r="Q508">
        <v>3.0361757105943146E-2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2.5839793281653742E-2</v>
      </c>
      <c r="Z508">
        <v>0.14298018949181734</v>
      </c>
      <c r="AA508">
        <v>0</v>
      </c>
      <c r="AB508">
        <v>0</v>
      </c>
      <c r="AC508">
        <v>4.3066322136089573E-3</v>
      </c>
      <c r="AD508">
        <v>0</v>
      </c>
      <c r="AE508">
        <v>2.1533161068044786E-4</v>
      </c>
      <c r="AF508">
        <v>0</v>
      </c>
      <c r="AG508">
        <v>0</v>
      </c>
      <c r="AH508">
        <v>4.3066322136089573E-3</v>
      </c>
      <c r="AI508">
        <v>9.905254091300603E-3</v>
      </c>
      <c r="AJ508">
        <v>0</v>
      </c>
      <c r="AK508">
        <v>0</v>
      </c>
      <c r="AL508">
        <v>0</v>
      </c>
      <c r="AM508">
        <v>0</v>
      </c>
      <c r="AN508">
        <v>6.4599483204134359E-4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2.1533161068044786E-4</v>
      </c>
      <c r="BZ508">
        <v>1.7657192075796725E-2</v>
      </c>
      <c r="CA508">
        <v>0.35314384151593448</v>
      </c>
      <c r="CB508">
        <v>0</v>
      </c>
    </row>
    <row r="509" spans="1:80">
      <c r="A509">
        <v>508</v>
      </c>
      <c r="B509" t="s">
        <v>38</v>
      </c>
      <c r="C509" s="4" t="s">
        <v>159</v>
      </c>
      <c r="D509" s="4" t="s">
        <v>116</v>
      </c>
      <c r="E509" s="5">
        <v>40260</v>
      </c>
      <c r="F509" s="5">
        <v>40259</v>
      </c>
      <c r="G509">
        <v>1003</v>
      </c>
      <c r="H509" s="4" t="s">
        <v>107</v>
      </c>
      <c r="I509" s="4" t="s">
        <v>108</v>
      </c>
      <c r="J509" s="4" t="str">
        <f t="shared" si="7"/>
        <v>u_con.c_con</v>
      </c>
      <c r="K509" s="5">
        <v>19</v>
      </c>
      <c r="L509">
        <v>0</v>
      </c>
      <c r="M509">
        <v>0.10070257611241219</v>
      </c>
      <c r="N509">
        <v>0.44496487119437939</v>
      </c>
      <c r="O509">
        <v>0</v>
      </c>
      <c r="P509">
        <v>0</v>
      </c>
      <c r="Q509">
        <v>2.9274004683840755E-4</v>
      </c>
      <c r="R509">
        <v>0</v>
      </c>
      <c r="S509">
        <v>0</v>
      </c>
      <c r="T509">
        <v>0</v>
      </c>
      <c r="U509">
        <v>2.3419203747072605E-2</v>
      </c>
      <c r="V509">
        <v>0</v>
      </c>
      <c r="W509">
        <v>0</v>
      </c>
      <c r="X509">
        <v>0</v>
      </c>
      <c r="Y509">
        <v>0</v>
      </c>
      <c r="Z509">
        <v>7.0550351288056201E-2</v>
      </c>
      <c r="AA509">
        <v>0</v>
      </c>
      <c r="AB509">
        <v>0</v>
      </c>
      <c r="AC509">
        <v>0</v>
      </c>
      <c r="AD509">
        <v>0</v>
      </c>
      <c r="AE509">
        <v>2.9859484777517566E-2</v>
      </c>
      <c r="AF509">
        <v>0</v>
      </c>
      <c r="AG509">
        <v>0</v>
      </c>
      <c r="AH509">
        <v>5.854800936768151E-4</v>
      </c>
      <c r="AI509">
        <v>0.21692037470725994</v>
      </c>
      <c r="AJ509">
        <v>0</v>
      </c>
      <c r="AK509">
        <v>0</v>
      </c>
      <c r="AL509">
        <v>0</v>
      </c>
      <c r="AM509">
        <v>0</v>
      </c>
      <c r="AN509">
        <v>1.2295081967213118E-2</v>
      </c>
      <c r="AO509">
        <v>0</v>
      </c>
      <c r="AP509">
        <v>0</v>
      </c>
      <c r="AQ509">
        <v>0</v>
      </c>
      <c r="AR509">
        <v>0</v>
      </c>
      <c r="AS509">
        <v>3.5421545667447311E-2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1.7857142857142863E-2</v>
      </c>
      <c r="CA509">
        <v>4.713114754098361E-2</v>
      </c>
      <c r="CB509">
        <v>0</v>
      </c>
    </row>
    <row r="510" spans="1:80">
      <c r="A510">
        <v>509</v>
      </c>
      <c r="B510" s="1" t="s">
        <v>39</v>
      </c>
      <c r="C510" s="4" t="s">
        <v>160</v>
      </c>
      <c r="D510" s="4" t="s">
        <v>116</v>
      </c>
      <c r="E510" s="5">
        <v>40260</v>
      </c>
      <c r="F510" s="5">
        <v>40259</v>
      </c>
      <c r="G510" s="1">
        <v>1003</v>
      </c>
      <c r="H510" s="4" t="s">
        <v>110</v>
      </c>
      <c r="I510" s="4" t="s">
        <v>109</v>
      </c>
      <c r="J510" s="4" t="str">
        <f t="shared" si="7"/>
        <v>u_rem.c_rem</v>
      </c>
      <c r="K510" s="5">
        <v>1</v>
      </c>
      <c r="L510" s="1">
        <v>0</v>
      </c>
      <c r="M510" s="1">
        <v>5.3163211057947911E-3</v>
      </c>
      <c r="N510" s="1">
        <v>0.59542796384901653</v>
      </c>
      <c r="O510" s="1">
        <v>0</v>
      </c>
      <c r="P510" s="1">
        <v>0</v>
      </c>
      <c r="Q510" s="1">
        <v>1.0632642211589582E-2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4.784688995215311E-2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2.6581605528973953E-2</v>
      </c>
      <c r="AI510" s="1">
        <v>2.6581605528973952E-4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5.3163211057947898E-2</v>
      </c>
      <c r="AW510" s="1">
        <v>0</v>
      </c>
      <c r="AX510" s="1">
        <v>0</v>
      </c>
      <c r="AY510" s="1">
        <v>0</v>
      </c>
      <c r="AZ510" s="1">
        <v>0</v>
      </c>
      <c r="BA510" s="1">
        <v>2.6581605528973952E-4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2.1265284423179164E-2</v>
      </c>
      <c r="CA510" s="1">
        <v>0</v>
      </c>
      <c r="CB510" s="1">
        <v>0.23923444976076552</v>
      </c>
    </row>
    <row r="511" spans="1:80">
      <c r="A511">
        <v>510</v>
      </c>
      <c r="B511" t="s">
        <v>40</v>
      </c>
      <c r="C511" s="4" t="s">
        <v>160</v>
      </c>
      <c r="D511" s="4" t="s">
        <v>116</v>
      </c>
      <c r="E511" s="5">
        <v>40260</v>
      </c>
      <c r="F511" s="5">
        <v>40259</v>
      </c>
      <c r="G511">
        <v>1003</v>
      </c>
      <c r="H511" s="4" t="s">
        <v>110</v>
      </c>
      <c r="I511" s="4" t="s">
        <v>108</v>
      </c>
      <c r="J511" s="4" t="str">
        <f t="shared" si="7"/>
        <v>u_rem.c_con</v>
      </c>
      <c r="K511" s="5">
        <v>8</v>
      </c>
      <c r="L511">
        <v>0</v>
      </c>
      <c r="M511">
        <v>2.5319104415149601E-2</v>
      </c>
      <c r="N511">
        <v>0.39338773802050625</v>
      </c>
      <c r="O511">
        <v>0</v>
      </c>
      <c r="P511">
        <v>0</v>
      </c>
      <c r="Q511">
        <v>1.2554927809165093E-2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7.1144590918602202E-2</v>
      </c>
      <c r="Z511">
        <v>1.2764176605984513E-2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1.2554927809165093E-2</v>
      </c>
      <c r="AH511">
        <v>0</v>
      </c>
      <c r="AI511">
        <v>7.1772337309060449E-2</v>
      </c>
      <c r="AJ511">
        <v>0</v>
      </c>
      <c r="AK511">
        <v>0</v>
      </c>
      <c r="AL511">
        <v>0</v>
      </c>
      <c r="AM511">
        <v>0</v>
      </c>
      <c r="AN511">
        <v>2.0924879681941821E-4</v>
      </c>
      <c r="AO511">
        <v>0</v>
      </c>
      <c r="AP511">
        <v>0</v>
      </c>
      <c r="AQ511">
        <v>0</v>
      </c>
      <c r="AR511">
        <v>0</v>
      </c>
      <c r="AS511">
        <v>1.2554927809165093E-2</v>
      </c>
      <c r="AT511">
        <v>0</v>
      </c>
      <c r="AU511">
        <v>0</v>
      </c>
      <c r="AV511">
        <v>2.1761874869219492E-2</v>
      </c>
      <c r="AW511">
        <v>0</v>
      </c>
      <c r="AX511">
        <v>0</v>
      </c>
      <c r="AY511">
        <v>0</v>
      </c>
      <c r="AZ511">
        <v>0</v>
      </c>
      <c r="BA511">
        <v>0.14312617702448205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6.8005858966310909E-2</v>
      </c>
      <c r="CA511">
        <v>0.15484410964636947</v>
      </c>
      <c r="CB511">
        <v>0</v>
      </c>
    </row>
    <row r="512" spans="1:80">
      <c r="A512">
        <v>511</v>
      </c>
      <c r="B512" s="1" t="s">
        <v>41</v>
      </c>
      <c r="C512" s="4" t="s">
        <v>160</v>
      </c>
      <c r="D512" s="4" t="s">
        <v>116</v>
      </c>
      <c r="E512" s="5">
        <v>40260</v>
      </c>
      <c r="F512" s="5">
        <v>40259</v>
      </c>
      <c r="G512" s="1">
        <v>1003</v>
      </c>
      <c r="H512" s="4" t="s">
        <v>110</v>
      </c>
      <c r="I512" s="4" t="s">
        <v>109</v>
      </c>
      <c r="J512" s="4" t="str">
        <f t="shared" si="7"/>
        <v>u_rem.c_rem</v>
      </c>
      <c r="K512" s="5">
        <v>1</v>
      </c>
      <c r="L512" s="1">
        <v>0</v>
      </c>
      <c r="M512" s="1">
        <v>1.0802052389954093E-2</v>
      </c>
      <c r="N512" s="1">
        <v>0.46988927896300309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2.1604104779908186E-2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5.4010261949770464E-3</v>
      </c>
      <c r="AI512" s="1">
        <v>1.0802052389954093E-2</v>
      </c>
      <c r="AJ512" s="1">
        <v>0</v>
      </c>
      <c r="AK512" s="1">
        <v>0</v>
      </c>
      <c r="AL512" s="1">
        <v>5.4010261949770464E-3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3.2406157169862275E-2</v>
      </c>
      <c r="AW512" s="1">
        <v>0</v>
      </c>
      <c r="AX512" s="1">
        <v>0</v>
      </c>
      <c r="AY512" s="1">
        <v>0</v>
      </c>
      <c r="AZ512" s="1">
        <v>0</v>
      </c>
      <c r="BA512" s="1">
        <v>2.2414258709154745E-2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7.5614366729678653E-2</v>
      </c>
      <c r="CA512" s="1">
        <v>0</v>
      </c>
      <c r="CB512" s="1">
        <v>0.34566567647853097</v>
      </c>
    </row>
    <row r="513" spans="1:80">
      <c r="A513">
        <v>512</v>
      </c>
      <c r="B513" t="s">
        <v>42</v>
      </c>
      <c r="C513" s="4" t="s">
        <v>160</v>
      </c>
      <c r="D513" s="4" t="s">
        <v>116</v>
      </c>
      <c r="E513" s="5">
        <v>40260</v>
      </c>
      <c r="F513" s="5">
        <v>40259</v>
      </c>
      <c r="G513">
        <v>1003</v>
      </c>
      <c r="H513" s="4" t="s">
        <v>110</v>
      </c>
      <c r="I513" s="4" t="s">
        <v>108</v>
      </c>
      <c r="J513" s="4" t="str">
        <f t="shared" si="7"/>
        <v>u_rem.c_con</v>
      </c>
      <c r="K513" s="5">
        <v>8</v>
      </c>
      <c r="L513">
        <v>0</v>
      </c>
      <c r="M513">
        <v>1.1915400655347037E-2</v>
      </c>
      <c r="N513">
        <v>0.32171581769436991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6.8513553768245472E-3</v>
      </c>
      <c r="AF513">
        <v>0</v>
      </c>
      <c r="AG513">
        <v>0</v>
      </c>
      <c r="AH513">
        <v>0</v>
      </c>
      <c r="AI513">
        <v>5.987488829311885E-2</v>
      </c>
      <c r="AJ513">
        <v>0</v>
      </c>
      <c r="AK513">
        <v>0</v>
      </c>
      <c r="AL513">
        <v>0</v>
      </c>
      <c r="AM513">
        <v>0.34614238903783134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2.3830801310694073E-2</v>
      </c>
      <c r="AT513">
        <v>0</v>
      </c>
      <c r="AU513">
        <v>0</v>
      </c>
      <c r="AV513">
        <v>9.2046470062555855E-2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5.9577003276735183E-3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9.5918975275543661E-2</v>
      </c>
      <c r="CA513">
        <v>3.5746201966041107E-2</v>
      </c>
      <c r="CB513">
        <v>0</v>
      </c>
    </row>
    <row r="514" spans="1:80">
      <c r="A514">
        <v>513</v>
      </c>
      <c r="B514" t="s">
        <v>43</v>
      </c>
      <c r="C514" s="4" t="s">
        <v>161</v>
      </c>
      <c r="D514" s="4" t="s">
        <v>116</v>
      </c>
      <c r="E514" s="5">
        <v>40260</v>
      </c>
      <c r="F514" s="5">
        <v>40259</v>
      </c>
      <c r="G514">
        <v>1003</v>
      </c>
      <c r="H514" s="4" t="s">
        <v>107</v>
      </c>
      <c r="I514" s="4" t="s">
        <v>109</v>
      </c>
      <c r="J514" s="4" t="str">
        <f t="shared" ref="J514:J577" si="8">CONCATENATE(H514,".",I514)</f>
        <v>u_con.c_rem</v>
      </c>
      <c r="K514" s="5">
        <v>2</v>
      </c>
      <c r="L514">
        <v>0</v>
      </c>
      <c r="M514">
        <v>0.10878139921112727</v>
      </c>
      <c r="N514">
        <v>0.41519618019514226</v>
      </c>
      <c r="O514">
        <v>0</v>
      </c>
      <c r="P514">
        <v>0</v>
      </c>
      <c r="Q514">
        <v>2.0759809009757114E-4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2.0759809009757112E-2</v>
      </c>
      <c r="AA514">
        <v>0</v>
      </c>
      <c r="AB514">
        <v>0</v>
      </c>
      <c r="AC514">
        <v>0</v>
      </c>
      <c r="AD514">
        <v>0</v>
      </c>
      <c r="AE514">
        <v>4.3595598920489944E-3</v>
      </c>
      <c r="AF514">
        <v>0</v>
      </c>
      <c r="AG514">
        <v>0</v>
      </c>
      <c r="AH514">
        <v>4.1519618019514228E-4</v>
      </c>
      <c r="AI514">
        <v>4.1727216109611789E-2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4.5671579821465642E-2</v>
      </c>
      <c r="AT514">
        <v>2.0759809009757114E-4</v>
      </c>
      <c r="AU514">
        <v>0</v>
      </c>
      <c r="AV514">
        <v>1.6815445297903263E-2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2.0759809009757114E-4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4.67095702719535E-2</v>
      </c>
      <c r="CA514">
        <v>0.2989412497405024</v>
      </c>
      <c r="CB514">
        <v>0</v>
      </c>
    </row>
    <row r="515" spans="1:80">
      <c r="A515">
        <v>514</v>
      </c>
      <c r="B515" t="s">
        <v>44</v>
      </c>
      <c r="C515" s="4" t="s">
        <v>161</v>
      </c>
      <c r="D515" s="4" t="s">
        <v>116</v>
      </c>
      <c r="E515" s="5">
        <v>40260</v>
      </c>
      <c r="F515" s="5">
        <v>40259</v>
      </c>
      <c r="G515">
        <v>1003</v>
      </c>
      <c r="H515" s="4" t="s">
        <v>107</v>
      </c>
      <c r="I515" s="4" t="s">
        <v>109</v>
      </c>
      <c r="J515" s="4" t="str">
        <f t="shared" si="8"/>
        <v>u_con.c_rem</v>
      </c>
      <c r="K515" s="5">
        <v>2</v>
      </c>
      <c r="L515">
        <v>0</v>
      </c>
      <c r="M515">
        <v>7.1226415094339635E-2</v>
      </c>
      <c r="N515">
        <v>0.50943396226415094</v>
      </c>
      <c r="O515">
        <v>0</v>
      </c>
      <c r="P515">
        <v>0</v>
      </c>
      <c r="Q515">
        <v>9.4339622641509448E-3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9.4339622641509448E-3</v>
      </c>
      <c r="Z515">
        <v>5.6603773584905662E-2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5.1886792452830195E-3</v>
      </c>
      <c r="AI515">
        <v>9.4575471698113228E-2</v>
      </c>
      <c r="AJ515">
        <v>0</v>
      </c>
      <c r="AK515">
        <v>0</v>
      </c>
      <c r="AL515">
        <v>0</v>
      </c>
      <c r="AM515">
        <v>0</v>
      </c>
      <c r="AN515">
        <v>4.7169811320754717E-4</v>
      </c>
      <c r="AO515">
        <v>0</v>
      </c>
      <c r="AP515">
        <v>0</v>
      </c>
      <c r="AQ515">
        <v>0</v>
      </c>
      <c r="AR515">
        <v>0</v>
      </c>
      <c r="AS515">
        <v>2.8301886792452831E-2</v>
      </c>
      <c r="AT515">
        <v>0</v>
      </c>
      <c r="AU515">
        <v>9.4339622641509448E-3</v>
      </c>
      <c r="AV515">
        <v>1.5094339622641513E-2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3.0424528301886793E-2</v>
      </c>
      <c r="CA515">
        <v>0.16037735849056609</v>
      </c>
      <c r="CB515">
        <v>0</v>
      </c>
    </row>
    <row r="516" spans="1:80">
      <c r="A516">
        <v>515</v>
      </c>
      <c r="B516" t="s">
        <v>45</v>
      </c>
      <c r="C516" s="4" t="s">
        <v>161</v>
      </c>
      <c r="D516" s="4" t="s">
        <v>116</v>
      </c>
      <c r="E516" s="5">
        <v>40260</v>
      </c>
      <c r="F516" s="5">
        <v>40259</v>
      </c>
      <c r="G516">
        <v>1003</v>
      </c>
      <c r="H516" s="4" t="s">
        <v>107</v>
      </c>
      <c r="I516" s="4" t="s">
        <v>108</v>
      </c>
      <c r="J516" s="4" t="str">
        <f t="shared" si="8"/>
        <v>u_con.c_con</v>
      </c>
      <c r="K516" s="5">
        <v>19</v>
      </c>
      <c r="L516">
        <v>0</v>
      </c>
      <c r="M516">
        <v>8.0893854748603347E-2</v>
      </c>
      <c r="N516">
        <v>0.16201117318435751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0.32648044692737421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5.3631284916201116E-2</v>
      </c>
      <c r="AJ516">
        <v>0</v>
      </c>
      <c r="AK516">
        <v>0</v>
      </c>
      <c r="AL516">
        <v>0</v>
      </c>
      <c r="AM516">
        <v>0</v>
      </c>
      <c r="AN516">
        <v>2.2346368715083796E-4</v>
      </c>
      <c r="AO516">
        <v>0</v>
      </c>
      <c r="AP516">
        <v>0</v>
      </c>
      <c r="AQ516">
        <v>0</v>
      </c>
      <c r="AR516">
        <v>0</v>
      </c>
      <c r="AS516">
        <v>0.111731843575419</v>
      </c>
      <c r="AT516">
        <v>4.9162011173184356E-3</v>
      </c>
      <c r="AU516">
        <v>0</v>
      </c>
      <c r="AV516">
        <v>4.6927374301675975E-3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4.4692737430167594E-3</v>
      </c>
      <c r="BL516">
        <v>0</v>
      </c>
      <c r="BM516">
        <v>0</v>
      </c>
      <c r="BN516">
        <v>0</v>
      </c>
      <c r="BO516">
        <v>4.4692737430167594E-3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9.6089385474860331E-3</v>
      </c>
      <c r="CA516">
        <v>0.22793296089385473</v>
      </c>
      <c r="CB516">
        <v>8.9385474860335188E-3</v>
      </c>
    </row>
    <row r="517" spans="1:80" s="1" customFormat="1">
      <c r="A517">
        <v>516</v>
      </c>
      <c r="B517" t="s">
        <v>46</v>
      </c>
      <c r="C517" s="4" t="s">
        <v>161</v>
      </c>
      <c r="D517" s="4" t="s">
        <v>116</v>
      </c>
      <c r="E517" s="5">
        <v>40260</v>
      </c>
      <c r="F517" s="5">
        <v>40259</v>
      </c>
      <c r="G517">
        <v>1003</v>
      </c>
      <c r="H517" s="4" t="s">
        <v>107</v>
      </c>
      <c r="I517" s="4" t="s">
        <v>108</v>
      </c>
      <c r="J517" s="4" t="str">
        <f t="shared" si="8"/>
        <v>u_con.c_con</v>
      </c>
      <c r="K517" s="5">
        <v>19</v>
      </c>
      <c r="L517">
        <v>0</v>
      </c>
      <c r="M517">
        <v>0.12351251538777183</v>
      </c>
      <c r="N517">
        <v>0.46778826425933517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4.103405826836274E-3</v>
      </c>
      <c r="AA517">
        <v>0</v>
      </c>
      <c r="AB517">
        <v>0</v>
      </c>
      <c r="AC517">
        <v>0</v>
      </c>
      <c r="AD517">
        <v>0</v>
      </c>
      <c r="AE517">
        <v>4.3085761181780877E-3</v>
      </c>
      <c r="AF517">
        <v>0</v>
      </c>
      <c r="AG517">
        <v>0</v>
      </c>
      <c r="AH517">
        <v>8.206811653672548E-3</v>
      </c>
      <c r="AI517">
        <v>3.3032416906031994E-2</v>
      </c>
      <c r="AJ517">
        <v>0</v>
      </c>
      <c r="AK517">
        <v>0</v>
      </c>
      <c r="AL517">
        <v>0</v>
      </c>
      <c r="AM517">
        <v>0</v>
      </c>
      <c r="AN517">
        <v>4.1034058268362735E-4</v>
      </c>
      <c r="AO517">
        <v>0</v>
      </c>
      <c r="AP517">
        <v>0</v>
      </c>
      <c r="AQ517">
        <v>0</v>
      </c>
      <c r="AR517">
        <v>0</v>
      </c>
      <c r="AS517">
        <v>8.6376692654903553E-2</v>
      </c>
      <c r="AT517">
        <v>0</v>
      </c>
      <c r="AU517">
        <v>2.4825605252359453E-2</v>
      </c>
      <c r="AV517">
        <v>2.0517029134181367E-2</v>
      </c>
      <c r="AW517">
        <v>0</v>
      </c>
      <c r="AX517">
        <v>2.0517029134181367E-4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2.9749692244562982E-2</v>
      </c>
      <c r="CA517">
        <v>0.18875666803446856</v>
      </c>
      <c r="CB517">
        <v>8.206811653672548E-3</v>
      </c>
    </row>
    <row r="518" spans="1:80">
      <c r="A518">
        <v>517</v>
      </c>
      <c r="B518" t="s">
        <v>47</v>
      </c>
      <c r="C518" s="4" t="s">
        <v>162</v>
      </c>
      <c r="D518" s="4" t="s">
        <v>116</v>
      </c>
      <c r="E518" s="5">
        <v>40260</v>
      </c>
      <c r="F518" s="5">
        <v>40259</v>
      </c>
      <c r="G518">
        <v>1003</v>
      </c>
      <c r="H518" s="4" t="s">
        <v>110</v>
      </c>
      <c r="I518" s="4" t="s">
        <v>108</v>
      </c>
      <c r="J518" s="4" t="str">
        <f t="shared" si="8"/>
        <v>u_rem.c_con</v>
      </c>
      <c r="K518" s="5">
        <v>8</v>
      </c>
      <c r="L518">
        <v>0</v>
      </c>
      <c r="M518">
        <v>0.14762859051436208</v>
      </c>
      <c r="N518">
        <v>0.16032064128256518</v>
      </c>
      <c r="O518">
        <v>0</v>
      </c>
      <c r="P518">
        <v>0</v>
      </c>
      <c r="Q518">
        <v>4.4533511467379208E-3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2.6720106880427523E-2</v>
      </c>
      <c r="AD518">
        <v>0</v>
      </c>
      <c r="AE518">
        <v>4.0525495435315077E-2</v>
      </c>
      <c r="AF518">
        <v>0</v>
      </c>
      <c r="AG518">
        <v>0</v>
      </c>
      <c r="AH518">
        <v>0.16499665998663995</v>
      </c>
      <c r="AI518">
        <v>2.2266755733689605E-2</v>
      </c>
      <c r="AJ518">
        <v>0</v>
      </c>
      <c r="AK518">
        <v>0</v>
      </c>
      <c r="AL518">
        <v>0</v>
      </c>
      <c r="AM518">
        <v>0</v>
      </c>
      <c r="AN518">
        <v>5.9006902694277448E-2</v>
      </c>
      <c r="AO518">
        <v>0</v>
      </c>
      <c r="AP518">
        <v>0</v>
      </c>
      <c r="AQ518">
        <v>0</v>
      </c>
      <c r="AR518">
        <v>0</v>
      </c>
      <c r="AS518">
        <v>8.4836339345357392E-2</v>
      </c>
      <c r="AT518">
        <v>3.2286795813849925E-2</v>
      </c>
      <c r="AU518">
        <v>0</v>
      </c>
      <c r="AV518">
        <v>5.1213538187486092E-3</v>
      </c>
      <c r="AW518">
        <v>0</v>
      </c>
      <c r="AX518">
        <v>0</v>
      </c>
      <c r="AY518">
        <v>0</v>
      </c>
      <c r="AZ518">
        <v>0</v>
      </c>
      <c r="BA518">
        <v>9.0180360721442893E-2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7.6820307281229142E-2</v>
      </c>
      <c r="CA518">
        <v>8.4836339345357406E-2</v>
      </c>
      <c r="CB518">
        <v>0</v>
      </c>
    </row>
    <row r="519" spans="1:80">
      <c r="A519">
        <v>518</v>
      </c>
      <c r="B519" t="s">
        <v>48</v>
      </c>
      <c r="C519" s="4" t="s">
        <v>162</v>
      </c>
      <c r="D519" s="4" t="s">
        <v>116</v>
      </c>
      <c r="E519" s="5">
        <v>40260</v>
      </c>
      <c r="F519" s="5">
        <v>40259</v>
      </c>
      <c r="G519">
        <v>1003</v>
      </c>
      <c r="H519" s="4" t="s">
        <v>110</v>
      </c>
      <c r="I519" s="4" t="s">
        <v>108</v>
      </c>
      <c r="J519" s="4" t="str">
        <f t="shared" si="8"/>
        <v>u_rem.c_con</v>
      </c>
      <c r="K519" s="5">
        <v>8</v>
      </c>
      <c r="L519">
        <v>6.2683643486777657E-2</v>
      </c>
      <c r="M519">
        <v>0.15710088148873649</v>
      </c>
      <c r="N519">
        <v>0.19588638589618013</v>
      </c>
      <c r="O519">
        <v>0</v>
      </c>
      <c r="P519">
        <v>0</v>
      </c>
      <c r="Q519">
        <v>4.1136141038197842E-3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3.9373163565132208E-2</v>
      </c>
      <c r="AA519">
        <v>0</v>
      </c>
      <c r="AB519">
        <v>0</v>
      </c>
      <c r="AC519">
        <v>3.9177277179236036E-3</v>
      </c>
      <c r="AD519">
        <v>0</v>
      </c>
      <c r="AE519">
        <v>0</v>
      </c>
      <c r="AF519">
        <v>0</v>
      </c>
      <c r="AG519">
        <v>0</v>
      </c>
      <c r="AH519">
        <v>4.7208619000979425E-2</v>
      </c>
      <c r="AI519">
        <v>7.8746327130264443E-2</v>
      </c>
      <c r="AJ519">
        <v>0</v>
      </c>
      <c r="AK519">
        <v>0</v>
      </c>
      <c r="AL519">
        <v>0</v>
      </c>
      <c r="AM519">
        <v>0</v>
      </c>
      <c r="AN519">
        <v>3.9960822722820755E-2</v>
      </c>
      <c r="AO519">
        <v>0</v>
      </c>
      <c r="AP519">
        <v>0</v>
      </c>
      <c r="AQ519">
        <v>0</v>
      </c>
      <c r="AR519">
        <v>0</v>
      </c>
      <c r="AS519">
        <v>2.7424094025465223E-2</v>
      </c>
      <c r="AT519">
        <v>1.2536728697355533E-2</v>
      </c>
      <c r="AU519">
        <v>0</v>
      </c>
      <c r="AV519">
        <v>1.9588638589618018E-4</v>
      </c>
      <c r="AW519">
        <v>1.5866797257590597E-2</v>
      </c>
      <c r="AX519">
        <v>0</v>
      </c>
      <c r="AY519">
        <v>3.9177277179236036E-3</v>
      </c>
      <c r="AZ519">
        <v>0</v>
      </c>
      <c r="BA519">
        <v>0.14495592556317333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2.5073457394711063E-2</v>
      </c>
      <c r="CA519">
        <v>0.14103819784524974</v>
      </c>
      <c r="CB519">
        <v>0</v>
      </c>
    </row>
    <row r="520" spans="1:80">
      <c r="A520">
        <v>519</v>
      </c>
      <c r="B520" s="1" t="s">
        <v>49</v>
      </c>
      <c r="C520" s="4" t="s">
        <v>162</v>
      </c>
      <c r="D520" s="4" t="s">
        <v>116</v>
      </c>
      <c r="E520" s="5">
        <v>40260</v>
      </c>
      <c r="F520" s="5">
        <v>40259</v>
      </c>
      <c r="G520" s="1">
        <v>1003</v>
      </c>
      <c r="H520" s="4" t="s">
        <v>110</v>
      </c>
      <c r="I520" s="4" t="s">
        <v>109</v>
      </c>
      <c r="J520" s="4" t="str">
        <f t="shared" si="8"/>
        <v>u_rem.c_rem</v>
      </c>
      <c r="K520" s="5">
        <v>1</v>
      </c>
      <c r="L520" s="1">
        <v>4.3419267299864311E-2</v>
      </c>
      <c r="M520" s="1">
        <v>0.23337856173677068</v>
      </c>
      <c r="N520" s="1">
        <v>0.12483039348710993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9.7693351424694722E-2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3.7991858887381269E-2</v>
      </c>
      <c r="AJ520" s="1">
        <v>0</v>
      </c>
      <c r="AK520" s="1">
        <v>0</v>
      </c>
      <c r="AL520" s="1">
        <v>0</v>
      </c>
      <c r="AM520" s="1">
        <v>0</v>
      </c>
      <c r="AN520" s="1">
        <v>6.6485753052917235E-2</v>
      </c>
      <c r="AO520" s="1">
        <v>0</v>
      </c>
      <c r="AP520" s="1">
        <v>0</v>
      </c>
      <c r="AQ520" s="1">
        <v>0</v>
      </c>
      <c r="AR520" s="1">
        <v>0</v>
      </c>
      <c r="AS520" s="1">
        <v>2.1709633649932159E-2</v>
      </c>
      <c r="AT520" s="1">
        <v>1.085481682496608E-2</v>
      </c>
      <c r="AU520" s="1">
        <v>2.1709633649932159E-2</v>
      </c>
      <c r="AV520" s="1">
        <v>4.8846675712347347E-2</v>
      </c>
      <c r="AW520" s="1">
        <v>0</v>
      </c>
      <c r="AX520" s="1">
        <v>5.4274084124830398E-3</v>
      </c>
      <c r="AY520" s="1">
        <v>0</v>
      </c>
      <c r="AZ520" s="1">
        <v>0</v>
      </c>
      <c r="BA520" s="1">
        <v>0.28222523744911798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5.4274084124830398E-3</v>
      </c>
      <c r="CA520" s="1">
        <v>0</v>
      </c>
      <c r="CB520" s="1">
        <v>0</v>
      </c>
    </row>
    <row r="521" spans="1:80">
      <c r="A521">
        <v>520</v>
      </c>
      <c r="B521" s="1" t="s">
        <v>50</v>
      </c>
      <c r="C521" s="4" t="s">
        <v>162</v>
      </c>
      <c r="D521" s="4" t="s">
        <v>116</v>
      </c>
      <c r="E521" s="5">
        <v>40260</v>
      </c>
      <c r="F521" s="5">
        <v>40259</v>
      </c>
      <c r="G521" s="1">
        <v>1003</v>
      </c>
      <c r="H521" s="4" t="s">
        <v>110</v>
      </c>
      <c r="I521" s="4" t="s">
        <v>109</v>
      </c>
      <c r="J521" s="4" t="str">
        <f t="shared" si="8"/>
        <v>u_rem.c_rem</v>
      </c>
      <c r="K521" s="5">
        <v>1</v>
      </c>
      <c r="L521" s="1">
        <v>0</v>
      </c>
      <c r="M521" s="1">
        <v>9.8792535675082366E-2</v>
      </c>
      <c r="N521" s="1">
        <v>0.12074643249176734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0.19209659714599348</v>
      </c>
      <c r="AA521" s="1">
        <v>0</v>
      </c>
      <c r="AB521" s="1">
        <v>0</v>
      </c>
      <c r="AC521" s="1">
        <v>0</v>
      </c>
      <c r="AD521" s="1">
        <v>0</v>
      </c>
      <c r="AE521" s="1">
        <v>5.4884742041712425E-3</v>
      </c>
      <c r="AF521" s="1">
        <v>0</v>
      </c>
      <c r="AG521" s="1">
        <v>0</v>
      </c>
      <c r="AH521" s="1">
        <v>0</v>
      </c>
      <c r="AI521" s="1">
        <v>1.6465422612513728E-2</v>
      </c>
      <c r="AJ521" s="1">
        <v>0.15916575192096602</v>
      </c>
      <c r="AK521" s="1">
        <v>0</v>
      </c>
      <c r="AL521" s="1">
        <v>5.4884742041712425E-3</v>
      </c>
      <c r="AM521" s="1">
        <v>0</v>
      </c>
      <c r="AN521" s="1">
        <v>3.9242590559824375E-2</v>
      </c>
      <c r="AO521" s="1">
        <v>0</v>
      </c>
      <c r="AP521" s="1">
        <v>0</v>
      </c>
      <c r="AQ521" s="1">
        <v>0</v>
      </c>
      <c r="AR521" s="1">
        <v>0</v>
      </c>
      <c r="AS521" s="1">
        <v>1.6465422612513728E-2</v>
      </c>
      <c r="AT521" s="1">
        <v>0</v>
      </c>
      <c r="AU521" s="1">
        <v>7.1350164654226139E-2</v>
      </c>
      <c r="AV521" s="1">
        <v>3.320526893523601E-2</v>
      </c>
      <c r="AW521" s="1">
        <v>0</v>
      </c>
      <c r="AX521" s="1">
        <v>0</v>
      </c>
      <c r="AY521" s="1">
        <v>0</v>
      </c>
      <c r="AZ521" s="1">
        <v>0</v>
      </c>
      <c r="BA521" s="1">
        <v>8.2327113062568638E-2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2.7442371020856209E-2</v>
      </c>
      <c r="CA521" s="1">
        <v>0.13172338090010979</v>
      </c>
      <c r="CB521" s="1">
        <v>0</v>
      </c>
    </row>
    <row r="522" spans="1:80">
      <c r="A522">
        <v>521</v>
      </c>
      <c r="B522" t="s">
        <v>51</v>
      </c>
      <c r="C522" s="4" t="s">
        <v>163</v>
      </c>
      <c r="D522" s="4" t="s">
        <v>116</v>
      </c>
      <c r="E522" s="5">
        <v>40260</v>
      </c>
      <c r="F522" s="5">
        <v>40259</v>
      </c>
      <c r="G522">
        <v>1003</v>
      </c>
      <c r="H522" s="4" t="s">
        <v>107</v>
      </c>
      <c r="I522" s="4" t="s">
        <v>109</v>
      </c>
      <c r="J522" s="4" t="str">
        <f t="shared" si="8"/>
        <v>u_con.c_rem</v>
      </c>
      <c r="K522" s="5">
        <v>2</v>
      </c>
      <c r="L522">
        <v>0</v>
      </c>
      <c r="M522">
        <v>3.5793631202172299E-2</v>
      </c>
      <c r="N522">
        <v>0.20735620834361884</v>
      </c>
      <c r="O522">
        <v>0</v>
      </c>
      <c r="P522">
        <v>0</v>
      </c>
      <c r="Q522">
        <v>1.5058010367810418E-2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7.9239693902740049E-2</v>
      </c>
      <c r="AA522">
        <v>0</v>
      </c>
      <c r="AB522">
        <v>0</v>
      </c>
      <c r="AC522">
        <v>4.9370525796099728E-3</v>
      </c>
      <c r="AD522">
        <v>0</v>
      </c>
      <c r="AE522">
        <v>5.6776104665514681E-3</v>
      </c>
      <c r="AF522">
        <v>0</v>
      </c>
      <c r="AG522">
        <v>0</v>
      </c>
      <c r="AH522">
        <v>0</v>
      </c>
      <c r="AI522">
        <v>9.5038262157491962E-2</v>
      </c>
      <c r="AJ522">
        <v>6.4922241421871141E-2</v>
      </c>
      <c r="AK522">
        <v>0</v>
      </c>
      <c r="AL522">
        <v>0</v>
      </c>
      <c r="AM522">
        <v>0</v>
      </c>
      <c r="AN522">
        <v>1.5551715625771415E-2</v>
      </c>
      <c r="AO522">
        <v>0</v>
      </c>
      <c r="AP522">
        <v>0</v>
      </c>
      <c r="AQ522">
        <v>0</v>
      </c>
      <c r="AR522">
        <v>0</v>
      </c>
      <c r="AS522">
        <v>8.4917304369291541E-2</v>
      </c>
      <c r="AT522">
        <v>0</v>
      </c>
      <c r="AU522">
        <v>0.11429276721797085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2.5425820784991358E-2</v>
      </c>
      <c r="CA522">
        <v>0.23697852382127871</v>
      </c>
      <c r="CB522">
        <v>1.4811157738829919E-2</v>
      </c>
    </row>
    <row r="523" spans="1:80">
      <c r="A523">
        <v>522</v>
      </c>
      <c r="B523" t="s">
        <v>52</v>
      </c>
      <c r="C523" s="4" t="s">
        <v>163</v>
      </c>
      <c r="D523" s="4" t="s">
        <v>116</v>
      </c>
      <c r="E523" s="5">
        <v>40260</v>
      </c>
      <c r="F523" s="5">
        <v>40259</v>
      </c>
      <c r="G523">
        <v>1003</v>
      </c>
      <c r="H523" s="4" t="s">
        <v>107</v>
      </c>
      <c r="I523" s="4" t="s">
        <v>109</v>
      </c>
      <c r="J523" s="4" t="str">
        <f t="shared" si="8"/>
        <v>u_con.c_rem</v>
      </c>
      <c r="K523" s="5">
        <v>2</v>
      </c>
      <c r="L523">
        <v>0</v>
      </c>
      <c r="M523">
        <v>0.10744538564422647</v>
      </c>
      <c r="N523">
        <v>0.18323673651359781</v>
      </c>
      <c r="O523">
        <v>0</v>
      </c>
      <c r="P523">
        <v>0</v>
      </c>
      <c r="Q523">
        <v>9.80829246544806E-3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0.20084707980383407</v>
      </c>
      <c r="AA523">
        <v>0</v>
      </c>
      <c r="AB523">
        <v>0</v>
      </c>
      <c r="AC523">
        <v>0</v>
      </c>
      <c r="AD523">
        <v>0</v>
      </c>
      <c r="AE523">
        <v>9.5853767275969684E-3</v>
      </c>
      <c r="AF523">
        <v>0</v>
      </c>
      <c r="AG523">
        <v>0</v>
      </c>
      <c r="AH523">
        <v>0</v>
      </c>
      <c r="AI523">
        <v>3.1654034774855101E-2</v>
      </c>
      <c r="AJ523">
        <v>8.0472581364244317E-2</v>
      </c>
      <c r="AK523">
        <v>0</v>
      </c>
      <c r="AL523">
        <v>0</v>
      </c>
      <c r="AM523">
        <v>0</v>
      </c>
      <c r="AN523">
        <v>5.4391440035666518E-2</v>
      </c>
      <c r="AO523">
        <v>0</v>
      </c>
      <c r="AP523">
        <v>0</v>
      </c>
      <c r="AQ523">
        <v>0</v>
      </c>
      <c r="AR523">
        <v>0</v>
      </c>
      <c r="AS523">
        <v>2.2960320998662503E-2</v>
      </c>
      <c r="AT523">
        <v>0</v>
      </c>
      <c r="AU523">
        <v>6.7097637093178786E-2</v>
      </c>
      <c r="AV523">
        <v>2.2291573785109225E-4</v>
      </c>
      <c r="AW523">
        <v>8.9166295140436901E-3</v>
      </c>
      <c r="AX523">
        <v>4.4583147570218451E-3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2.6972804279982162E-2</v>
      </c>
      <c r="CA523">
        <v>0.16049933125278643</v>
      </c>
      <c r="CB523">
        <v>3.1431119037004004E-2</v>
      </c>
    </row>
    <row r="524" spans="1:80">
      <c r="A524">
        <v>523</v>
      </c>
      <c r="B524" t="s">
        <v>53</v>
      </c>
      <c r="C524" s="4" t="s">
        <v>163</v>
      </c>
      <c r="D524" s="4" t="s">
        <v>116</v>
      </c>
      <c r="E524" s="5">
        <v>40260</v>
      </c>
      <c r="F524" s="5">
        <v>40259</v>
      </c>
      <c r="G524">
        <v>1003</v>
      </c>
      <c r="H524" s="4" t="s">
        <v>107</v>
      </c>
      <c r="I524" s="4" t="s">
        <v>108</v>
      </c>
      <c r="J524" s="4" t="str">
        <f t="shared" si="8"/>
        <v>u_con.c_con</v>
      </c>
      <c r="K524" s="5">
        <v>19</v>
      </c>
      <c r="L524">
        <v>0</v>
      </c>
      <c r="M524">
        <v>8.1273088945723215E-2</v>
      </c>
      <c r="N524">
        <v>0.199204319408923</v>
      </c>
      <c r="O524">
        <v>0</v>
      </c>
      <c r="P524">
        <v>0</v>
      </c>
      <c r="Q524">
        <v>1.7050298380221655E-2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3.4100596760443302E-2</v>
      </c>
      <c r="Z524">
        <v>0.17107132708155726</v>
      </c>
      <c r="AA524">
        <v>0</v>
      </c>
      <c r="AB524">
        <v>0</v>
      </c>
      <c r="AC524">
        <v>0</v>
      </c>
      <c r="AD524">
        <v>0</v>
      </c>
      <c r="AE524">
        <v>5.6834327934072169E-4</v>
      </c>
      <c r="AF524">
        <v>0</v>
      </c>
      <c r="AG524">
        <v>0</v>
      </c>
      <c r="AH524">
        <v>1.1366865586814434E-2</v>
      </c>
      <c r="AI524">
        <v>6.3086104006820118E-2</v>
      </c>
      <c r="AJ524">
        <v>1.7334470019892016E-2</v>
      </c>
      <c r="AK524">
        <v>1.1935208866155157E-2</v>
      </c>
      <c r="AL524">
        <v>0</v>
      </c>
      <c r="AM524">
        <v>0</v>
      </c>
      <c r="AN524">
        <v>1.2503552145495879E-2</v>
      </c>
      <c r="AO524">
        <v>0</v>
      </c>
      <c r="AP524">
        <v>0</v>
      </c>
      <c r="AQ524">
        <v>0</v>
      </c>
      <c r="AR524">
        <v>0</v>
      </c>
      <c r="AS524">
        <v>4.1204887752202324E-2</v>
      </c>
      <c r="AT524">
        <v>1.4208581983518043E-3</v>
      </c>
      <c r="AU524">
        <v>5.2287581699346393E-2</v>
      </c>
      <c r="AV524">
        <v>0</v>
      </c>
      <c r="AW524">
        <v>1.1366865586814434E-2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3.5521454958795107E-2</v>
      </c>
      <c r="CA524">
        <v>0.22733731173628868</v>
      </c>
      <c r="CB524">
        <v>1.1366865586814434E-2</v>
      </c>
    </row>
    <row r="525" spans="1:80" s="1" customFormat="1">
      <c r="A525">
        <v>524</v>
      </c>
      <c r="B525" t="s">
        <v>54</v>
      </c>
      <c r="C525" s="4" t="s">
        <v>163</v>
      </c>
      <c r="D525" s="4" t="s">
        <v>116</v>
      </c>
      <c r="E525" s="5">
        <v>40260</v>
      </c>
      <c r="F525" s="5">
        <v>40259</v>
      </c>
      <c r="G525">
        <v>1003</v>
      </c>
      <c r="H525" s="4" t="s">
        <v>107</v>
      </c>
      <c r="I525" s="4" t="s">
        <v>108</v>
      </c>
      <c r="J525" s="4" t="str">
        <f t="shared" si="8"/>
        <v>u_con.c_con</v>
      </c>
      <c r="K525" s="5">
        <v>19</v>
      </c>
      <c r="L525">
        <v>0</v>
      </c>
      <c r="M525">
        <v>6.1291074341645296E-2</v>
      </c>
      <c r="N525">
        <v>0.1402936378466558</v>
      </c>
      <c r="O525">
        <v>0</v>
      </c>
      <c r="P525">
        <v>0</v>
      </c>
      <c r="Q525">
        <v>3.8219529247261706E-2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0.3407131204847354</v>
      </c>
      <c r="AA525">
        <v>0</v>
      </c>
      <c r="AB525">
        <v>0</v>
      </c>
      <c r="AC525">
        <v>0</v>
      </c>
      <c r="AD525">
        <v>0</v>
      </c>
      <c r="AE525">
        <v>9.3218364017711493E-3</v>
      </c>
      <c r="AF525">
        <v>0</v>
      </c>
      <c r="AG525">
        <v>0</v>
      </c>
      <c r="AH525">
        <v>2.3304591004427871E-4</v>
      </c>
      <c r="AI525">
        <v>2.4003728734560706E-2</v>
      </c>
      <c r="AJ525">
        <v>1.3982754602656725E-2</v>
      </c>
      <c r="AK525">
        <v>0</v>
      </c>
      <c r="AL525">
        <v>0</v>
      </c>
      <c r="AM525">
        <v>0</v>
      </c>
      <c r="AN525">
        <v>3.332556513633185E-2</v>
      </c>
      <c r="AO525">
        <v>0</v>
      </c>
      <c r="AP525">
        <v>0</v>
      </c>
      <c r="AQ525">
        <v>0</v>
      </c>
      <c r="AR525">
        <v>0</v>
      </c>
      <c r="AS525">
        <v>4.2880447448147278E-2</v>
      </c>
      <c r="AT525">
        <v>2.3304591004427871E-4</v>
      </c>
      <c r="AU525">
        <v>2.9130738755534839E-2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3.332556513633185E-2</v>
      </c>
      <c r="CA525">
        <v>0.23304591004427866</v>
      </c>
      <c r="CB525">
        <v>0</v>
      </c>
    </row>
    <row r="526" spans="1:80">
      <c r="A526">
        <v>525</v>
      </c>
      <c r="B526" t="s">
        <v>55</v>
      </c>
      <c r="C526" s="4" t="s">
        <v>164</v>
      </c>
      <c r="D526" s="4" t="s">
        <v>116</v>
      </c>
      <c r="E526" s="5">
        <v>40260</v>
      </c>
      <c r="F526" s="5">
        <v>40259</v>
      </c>
      <c r="G526">
        <v>1003</v>
      </c>
      <c r="H526" s="4" t="s">
        <v>110</v>
      </c>
      <c r="I526" s="4" t="s">
        <v>108</v>
      </c>
      <c r="J526" s="4" t="str">
        <f t="shared" si="8"/>
        <v>u_rem.c_con</v>
      </c>
      <c r="K526" s="5">
        <v>8</v>
      </c>
      <c r="L526">
        <v>0</v>
      </c>
      <c r="M526">
        <v>6.8217754687147053E-2</v>
      </c>
      <c r="N526">
        <v>6.4377682403433473E-2</v>
      </c>
      <c r="O526">
        <v>0</v>
      </c>
      <c r="P526">
        <v>0</v>
      </c>
      <c r="Q526">
        <v>2.8009939010616668E-2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9.0354641969731201E-3</v>
      </c>
      <c r="AA526">
        <v>4.5177320984865601E-3</v>
      </c>
      <c r="AB526">
        <v>0</v>
      </c>
      <c r="AC526">
        <v>0</v>
      </c>
      <c r="AD526">
        <v>0</v>
      </c>
      <c r="AE526">
        <v>4.5177320984865601E-3</v>
      </c>
      <c r="AF526">
        <v>0</v>
      </c>
      <c r="AG526">
        <v>0</v>
      </c>
      <c r="AH526">
        <v>1.4004969505308336E-2</v>
      </c>
      <c r="AI526">
        <v>2.7332279195843683E-2</v>
      </c>
      <c r="AJ526">
        <v>0</v>
      </c>
      <c r="AK526">
        <v>0</v>
      </c>
      <c r="AL526">
        <v>1.3553196295459681E-2</v>
      </c>
      <c r="AM526">
        <v>0</v>
      </c>
      <c r="AN526">
        <v>4.1563135306076346E-2</v>
      </c>
      <c r="AO526">
        <v>0</v>
      </c>
      <c r="AP526">
        <v>0</v>
      </c>
      <c r="AQ526">
        <v>0</v>
      </c>
      <c r="AR526">
        <v>0</v>
      </c>
      <c r="AS526">
        <v>7.7253218884120178E-2</v>
      </c>
      <c r="AT526">
        <v>0</v>
      </c>
      <c r="AU526">
        <v>2.3040433702281454E-2</v>
      </c>
      <c r="AV526">
        <v>0</v>
      </c>
      <c r="AW526">
        <v>9.0354641969731201E-3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4.5177320984865601E-3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5.647165123108199E-3</v>
      </c>
      <c r="CA526">
        <v>0.59634063700022577</v>
      </c>
      <c r="CB526">
        <v>9.0354641969731201E-3</v>
      </c>
    </row>
    <row r="527" spans="1:80">
      <c r="A527">
        <v>526</v>
      </c>
      <c r="B527" s="1" t="s">
        <v>56</v>
      </c>
      <c r="C527" s="4" t="s">
        <v>164</v>
      </c>
      <c r="D527" s="4" t="s">
        <v>116</v>
      </c>
      <c r="E527" s="5">
        <v>40260</v>
      </c>
      <c r="F527" s="5">
        <v>40259</v>
      </c>
      <c r="G527" s="1">
        <v>1003</v>
      </c>
      <c r="H527" s="4" t="s">
        <v>110</v>
      </c>
      <c r="I527" s="4" t="s">
        <v>109</v>
      </c>
      <c r="J527" s="4" t="str">
        <f t="shared" si="8"/>
        <v>u_rem.c_rem</v>
      </c>
      <c r="K527" s="5">
        <v>1</v>
      </c>
      <c r="L527" s="1">
        <v>0</v>
      </c>
      <c r="M527" s="1">
        <v>1.0504201680672271E-2</v>
      </c>
      <c r="N527" s="1">
        <v>0.21533613445378155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8.4033613445378158E-2</v>
      </c>
      <c r="AA527" s="1">
        <v>0</v>
      </c>
      <c r="AB527" s="1">
        <v>0</v>
      </c>
      <c r="AC527" s="1">
        <v>0</v>
      </c>
      <c r="AD527" s="1">
        <v>0</v>
      </c>
      <c r="AE527" s="1">
        <v>1.575630252100841E-2</v>
      </c>
      <c r="AF527" s="1">
        <v>0</v>
      </c>
      <c r="AG527" s="1">
        <v>0</v>
      </c>
      <c r="AH527" s="1">
        <v>0</v>
      </c>
      <c r="AI527" s="1">
        <v>4.7268907563025216E-2</v>
      </c>
      <c r="AJ527" s="1">
        <v>0</v>
      </c>
      <c r="AK527" s="1">
        <v>0</v>
      </c>
      <c r="AL527" s="1">
        <v>0.31512605042016811</v>
      </c>
      <c r="AM527" s="1">
        <v>0</v>
      </c>
      <c r="AN527" s="1">
        <v>1.6806722689075636E-2</v>
      </c>
      <c r="AO527" s="1">
        <v>0</v>
      </c>
      <c r="AP527" s="1">
        <v>0</v>
      </c>
      <c r="AQ527" s="1">
        <v>0</v>
      </c>
      <c r="AR527" s="1">
        <v>0</v>
      </c>
      <c r="AS527" s="1">
        <v>7.8781512605042028E-2</v>
      </c>
      <c r="AT527" s="1">
        <v>1.6018907563025216E-2</v>
      </c>
      <c r="AU527" s="1">
        <v>5.2521008403361359E-2</v>
      </c>
      <c r="AV527" s="1">
        <v>1.1292016806722692E-2</v>
      </c>
      <c r="AW527" s="1">
        <v>5.2521008403361357E-3</v>
      </c>
      <c r="AX527" s="1">
        <v>0</v>
      </c>
      <c r="AY527" s="1">
        <v>0</v>
      </c>
      <c r="AZ527" s="1">
        <v>0</v>
      </c>
      <c r="BA527" s="1">
        <v>1.0504201680672271E-2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5.2521008403361357E-3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5.2521008403361357E-3</v>
      </c>
      <c r="CA527" s="1">
        <v>0.11029411764705885</v>
      </c>
      <c r="CB527" s="1">
        <v>0</v>
      </c>
    </row>
    <row r="528" spans="1:80">
      <c r="A528">
        <v>527</v>
      </c>
      <c r="B528" t="s">
        <v>57</v>
      </c>
      <c r="C528" s="4" t="s">
        <v>164</v>
      </c>
      <c r="D528" s="4" t="s">
        <v>116</v>
      </c>
      <c r="E528" s="5">
        <v>40260</v>
      </c>
      <c r="F528" s="5">
        <v>40259</v>
      </c>
      <c r="G528">
        <v>1003</v>
      </c>
      <c r="H528" s="4" t="s">
        <v>110</v>
      </c>
      <c r="I528" s="4" t="s">
        <v>108</v>
      </c>
      <c r="J528" s="4" t="str">
        <f t="shared" si="8"/>
        <v>u_rem.c_con</v>
      </c>
      <c r="K528" s="5">
        <v>8</v>
      </c>
      <c r="L528">
        <v>0</v>
      </c>
      <c r="M528">
        <v>7.2485962225625339E-2</v>
      </c>
      <c r="N528">
        <v>0.13323124042879025</v>
      </c>
      <c r="O528">
        <v>0</v>
      </c>
      <c r="P528">
        <v>0</v>
      </c>
      <c r="Q528">
        <v>1.0209290454313428E-2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9.1883614088820856E-2</v>
      </c>
      <c r="AA528">
        <v>0</v>
      </c>
      <c r="AB528">
        <v>0</v>
      </c>
      <c r="AC528">
        <v>0</v>
      </c>
      <c r="AD528">
        <v>0</v>
      </c>
      <c r="AE528">
        <v>3.5732516590096991E-2</v>
      </c>
      <c r="AF528">
        <v>0</v>
      </c>
      <c r="AG528">
        <v>0</v>
      </c>
      <c r="AH528">
        <v>2.0673813169984692E-2</v>
      </c>
      <c r="AI528">
        <v>3.0627871362940279E-2</v>
      </c>
      <c r="AJ528">
        <v>0</v>
      </c>
      <c r="AK528">
        <v>0</v>
      </c>
      <c r="AL528">
        <v>1.0209290454313428E-2</v>
      </c>
      <c r="AM528">
        <v>0</v>
      </c>
      <c r="AN528">
        <v>1.1230219499744771E-2</v>
      </c>
      <c r="AO528">
        <v>0</v>
      </c>
      <c r="AP528">
        <v>0</v>
      </c>
      <c r="AQ528">
        <v>0</v>
      </c>
      <c r="AR528">
        <v>0</v>
      </c>
      <c r="AS528">
        <v>6.6870852475752945E-2</v>
      </c>
      <c r="AT528">
        <v>2.5523226135783569E-4</v>
      </c>
      <c r="AU528">
        <v>5.6406329760081683E-2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5.3598774885145499E-3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2.6033690658499239E-2</v>
      </c>
      <c r="CA528">
        <v>0.42879019908116395</v>
      </c>
      <c r="CB528">
        <v>0</v>
      </c>
    </row>
    <row r="529" spans="1:80">
      <c r="A529">
        <v>528</v>
      </c>
      <c r="B529" s="1" t="s">
        <v>58</v>
      </c>
      <c r="C529" s="4" t="s">
        <v>164</v>
      </c>
      <c r="D529" s="4" t="s">
        <v>116</v>
      </c>
      <c r="E529" s="5">
        <v>40260</v>
      </c>
      <c r="F529" s="5">
        <v>40259</v>
      </c>
      <c r="G529" s="1">
        <v>1003</v>
      </c>
      <c r="H529" s="4" t="s">
        <v>110</v>
      </c>
      <c r="I529" s="4" t="s">
        <v>109</v>
      </c>
      <c r="J529" s="4" t="str">
        <f t="shared" si="8"/>
        <v>u_rem.c_rem</v>
      </c>
      <c r="K529" s="5">
        <v>1</v>
      </c>
      <c r="L529" s="1">
        <v>0</v>
      </c>
      <c r="M529" s="1">
        <v>1.0958904109589041E-2</v>
      </c>
      <c r="N529" s="1">
        <v>0.13698630136986301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0.15342465753424656</v>
      </c>
      <c r="Z529" s="1">
        <v>0.19178082191780821</v>
      </c>
      <c r="AA529" s="1">
        <v>0</v>
      </c>
      <c r="AB529" s="1">
        <v>0</v>
      </c>
      <c r="AC529" s="1">
        <v>0</v>
      </c>
      <c r="AD529" s="1">
        <v>0</v>
      </c>
      <c r="AE529" s="1">
        <v>4.9315068493150677E-2</v>
      </c>
      <c r="AF529" s="1">
        <v>0</v>
      </c>
      <c r="AG529" s="1">
        <v>0</v>
      </c>
      <c r="AH529" s="1">
        <v>0</v>
      </c>
      <c r="AI529" s="1">
        <v>2.1917808219178082E-2</v>
      </c>
      <c r="AJ529" s="1">
        <v>0</v>
      </c>
      <c r="AK529" s="1">
        <v>0</v>
      </c>
      <c r="AL529" s="1">
        <v>4.3835616438356165E-2</v>
      </c>
      <c r="AM529" s="1">
        <v>0</v>
      </c>
      <c r="AN529" s="1">
        <v>1.8904109589041099E-2</v>
      </c>
      <c r="AO529" s="1">
        <v>0</v>
      </c>
      <c r="AP529" s="1">
        <v>0</v>
      </c>
      <c r="AQ529" s="1">
        <v>0</v>
      </c>
      <c r="AR529" s="1">
        <v>0</v>
      </c>
      <c r="AS529" s="1">
        <v>7.6986301369863008E-2</v>
      </c>
      <c r="AT529" s="1">
        <v>0</v>
      </c>
      <c r="AU529" s="1">
        <v>4.3835616438356165E-2</v>
      </c>
      <c r="AV529" s="1">
        <v>1.0958904109589041E-2</v>
      </c>
      <c r="AW529" s="1">
        <v>5.4794520547945206E-3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5.4794520547945206E-3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6.0273972602739728E-2</v>
      </c>
      <c r="CA529" s="1">
        <v>0.16986301369863016</v>
      </c>
      <c r="CB529" s="1">
        <v>0</v>
      </c>
    </row>
    <row r="530" spans="1:80">
      <c r="A530">
        <v>529</v>
      </c>
      <c r="B530" t="s">
        <v>59</v>
      </c>
      <c r="C530" s="4" t="s">
        <v>165</v>
      </c>
      <c r="D530" s="4" t="s">
        <v>117</v>
      </c>
      <c r="E530" s="5">
        <v>40260</v>
      </c>
      <c r="F530" s="5">
        <v>40259</v>
      </c>
      <c r="G530">
        <v>1003</v>
      </c>
      <c r="H530" s="4" t="s">
        <v>107</v>
      </c>
      <c r="I530" s="4" t="s">
        <v>109</v>
      </c>
      <c r="J530" s="4" t="str">
        <f t="shared" si="8"/>
        <v>u_con.c_rem</v>
      </c>
      <c r="K530" s="5">
        <v>2</v>
      </c>
      <c r="L530">
        <v>0</v>
      </c>
      <c r="M530">
        <v>0.23347910592808549</v>
      </c>
      <c r="N530">
        <v>4.5675413022351799E-2</v>
      </c>
      <c r="O530">
        <v>0</v>
      </c>
      <c r="P530">
        <v>9.961127308066085E-3</v>
      </c>
      <c r="Q530">
        <v>4.8833819241982504E-2</v>
      </c>
      <c r="R530">
        <v>3.4256559766763853E-2</v>
      </c>
      <c r="S530">
        <v>0</v>
      </c>
      <c r="T530">
        <v>1.9436345966958216E-2</v>
      </c>
      <c r="U530">
        <v>4.8590864917395532E-4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4.8590864917395539E-3</v>
      </c>
      <c r="AB530">
        <v>0</v>
      </c>
      <c r="AC530">
        <v>4.8590864917395539E-3</v>
      </c>
      <c r="AD530">
        <v>0</v>
      </c>
      <c r="AE530">
        <v>7.3129251700680284E-2</v>
      </c>
      <c r="AF530">
        <v>0</v>
      </c>
      <c r="AG530">
        <v>0</v>
      </c>
      <c r="AH530">
        <v>4.8590864917395539E-3</v>
      </c>
      <c r="AI530">
        <v>2.9640427599611274E-2</v>
      </c>
      <c r="AJ530">
        <v>0.15621963070942663</v>
      </c>
      <c r="AK530">
        <v>0</v>
      </c>
      <c r="AL530">
        <v>4.3731778425655975E-2</v>
      </c>
      <c r="AM530">
        <v>0</v>
      </c>
      <c r="AN530">
        <v>6.0738581146744415E-3</v>
      </c>
      <c r="AO530">
        <v>0</v>
      </c>
      <c r="AP530">
        <v>0</v>
      </c>
      <c r="AQ530">
        <v>0</v>
      </c>
      <c r="AR530">
        <v>0</v>
      </c>
      <c r="AS530">
        <v>4.4217687074829939E-2</v>
      </c>
      <c r="AT530">
        <v>1.7006802721088439E-3</v>
      </c>
      <c r="AU530">
        <v>0</v>
      </c>
      <c r="AV530">
        <v>0</v>
      </c>
      <c r="AW530">
        <v>1.4577259475218662E-2</v>
      </c>
      <c r="AX530">
        <v>1.5063168124392618E-2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4.8590864917395539E-3</v>
      </c>
      <c r="BZ530">
        <v>0</v>
      </c>
      <c r="CA530">
        <v>0.20408163265306126</v>
      </c>
      <c r="CB530">
        <v>0</v>
      </c>
    </row>
    <row r="531" spans="1:80">
      <c r="A531">
        <v>530</v>
      </c>
      <c r="B531" t="s">
        <v>60</v>
      </c>
      <c r="C531" s="4" t="s">
        <v>165</v>
      </c>
      <c r="D531" s="4" t="s">
        <v>117</v>
      </c>
      <c r="E531" s="5">
        <v>40260</v>
      </c>
      <c r="F531" s="5">
        <v>40259</v>
      </c>
      <c r="G531">
        <v>1003</v>
      </c>
      <c r="H531" s="4" t="s">
        <v>107</v>
      </c>
      <c r="I531" s="4" t="s">
        <v>108</v>
      </c>
      <c r="J531" s="4" t="str">
        <f t="shared" si="8"/>
        <v>u_con.c_con</v>
      </c>
      <c r="K531" s="5">
        <v>19</v>
      </c>
      <c r="L531">
        <v>0</v>
      </c>
      <c r="M531">
        <v>0.51971326164874543</v>
      </c>
      <c r="N531">
        <v>2.2401433691756269E-2</v>
      </c>
      <c r="O531">
        <v>0</v>
      </c>
      <c r="P531">
        <v>0</v>
      </c>
      <c r="Q531">
        <v>6.294802867383513E-2</v>
      </c>
      <c r="R531">
        <v>4.054659498207884E-2</v>
      </c>
      <c r="S531">
        <v>0</v>
      </c>
      <c r="T531">
        <v>0</v>
      </c>
      <c r="U531">
        <v>2.240143369175627E-4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5.0179211469534038E-2</v>
      </c>
      <c r="AF531">
        <v>0</v>
      </c>
      <c r="AG531">
        <v>0</v>
      </c>
      <c r="AH531">
        <v>0</v>
      </c>
      <c r="AI531">
        <v>1.3440860215053764E-2</v>
      </c>
      <c r="AJ531">
        <v>2.262544802867383E-2</v>
      </c>
      <c r="AK531">
        <v>0</v>
      </c>
      <c r="AL531">
        <v>6.8772401433691746E-2</v>
      </c>
      <c r="AM531">
        <v>0</v>
      </c>
      <c r="AN531">
        <v>4.9283154121863796E-3</v>
      </c>
      <c r="AO531">
        <v>0</v>
      </c>
      <c r="AP531">
        <v>0</v>
      </c>
      <c r="AQ531">
        <v>0</v>
      </c>
      <c r="AR531">
        <v>0</v>
      </c>
      <c r="AS531">
        <v>3.5842293906810027E-2</v>
      </c>
      <c r="AT531">
        <v>0</v>
      </c>
      <c r="AU531">
        <v>0</v>
      </c>
      <c r="AV531">
        <v>0</v>
      </c>
      <c r="AW531">
        <v>0</v>
      </c>
      <c r="AX531">
        <v>8.9605734767025079E-4</v>
      </c>
      <c r="AY531">
        <v>0</v>
      </c>
      <c r="AZ531">
        <v>0</v>
      </c>
      <c r="BA531">
        <v>8.9605734767025085E-3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4.4802867383512543E-3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0.14404121863799282</v>
      </c>
      <c r="CB531">
        <v>0</v>
      </c>
    </row>
    <row r="532" spans="1:80">
      <c r="A532">
        <v>531</v>
      </c>
      <c r="B532" t="s">
        <v>61</v>
      </c>
      <c r="C532" s="4" t="s">
        <v>165</v>
      </c>
      <c r="D532" s="4" t="s">
        <v>117</v>
      </c>
      <c r="E532" s="5">
        <v>40260</v>
      </c>
      <c r="F532" s="5">
        <v>40259</v>
      </c>
      <c r="G532">
        <v>1003</v>
      </c>
      <c r="H532" s="4" t="s">
        <v>107</v>
      </c>
      <c r="I532" s="4" t="s">
        <v>109</v>
      </c>
      <c r="J532" s="4" t="str">
        <f t="shared" si="8"/>
        <v>u_con.c_rem</v>
      </c>
      <c r="K532" s="5">
        <v>2</v>
      </c>
      <c r="L532">
        <v>0</v>
      </c>
      <c r="M532">
        <v>0.27947695035460995</v>
      </c>
      <c r="N532">
        <v>6.6932624113475198E-2</v>
      </c>
      <c r="O532">
        <v>0</v>
      </c>
      <c r="P532">
        <v>0</v>
      </c>
      <c r="Q532">
        <v>8.4219858156028393E-2</v>
      </c>
      <c r="R532">
        <v>5.3191489361702128E-2</v>
      </c>
      <c r="S532">
        <v>0</v>
      </c>
      <c r="T532">
        <v>4.6542553191489368E-3</v>
      </c>
      <c r="U532">
        <v>0</v>
      </c>
      <c r="V532">
        <v>0</v>
      </c>
      <c r="W532">
        <v>0</v>
      </c>
      <c r="X532">
        <v>4.4326241134751776E-3</v>
      </c>
      <c r="Y532">
        <v>0</v>
      </c>
      <c r="Z532">
        <v>0</v>
      </c>
      <c r="AA532">
        <v>0</v>
      </c>
      <c r="AB532">
        <v>0</v>
      </c>
      <c r="AC532">
        <v>2.2163120567375889E-4</v>
      </c>
      <c r="AD532">
        <v>0</v>
      </c>
      <c r="AE532">
        <v>9.0868794326241144E-3</v>
      </c>
      <c r="AF532">
        <v>0</v>
      </c>
      <c r="AG532">
        <v>0</v>
      </c>
      <c r="AH532">
        <v>0</v>
      </c>
      <c r="AI532">
        <v>0</v>
      </c>
      <c r="AJ532">
        <v>0.11524822695035464</v>
      </c>
      <c r="AK532">
        <v>0</v>
      </c>
      <c r="AL532">
        <v>1.3297872340425532E-2</v>
      </c>
      <c r="AM532">
        <v>0</v>
      </c>
      <c r="AN532">
        <v>1.3962765957446811E-2</v>
      </c>
      <c r="AO532">
        <v>0</v>
      </c>
      <c r="AP532">
        <v>0</v>
      </c>
      <c r="AQ532">
        <v>0</v>
      </c>
      <c r="AR532">
        <v>0</v>
      </c>
      <c r="AS532">
        <v>2.2384751773049646E-2</v>
      </c>
      <c r="AT532">
        <v>0</v>
      </c>
      <c r="AU532">
        <v>0</v>
      </c>
      <c r="AV532">
        <v>0</v>
      </c>
      <c r="AW532">
        <v>0</v>
      </c>
      <c r="AX532">
        <v>1.3519503546099293E-2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1.3297872340425535E-2</v>
      </c>
      <c r="CA532">
        <v>0.28834219858156024</v>
      </c>
      <c r="CB532">
        <v>1.7730496453900711E-2</v>
      </c>
    </row>
    <row r="533" spans="1:80">
      <c r="A533">
        <v>532</v>
      </c>
      <c r="B533" t="s">
        <v>62</v>
      </c>
      <c r="C533" s="4" t="s">
        <v>165</v>
      </c>
      <c r="D533" s="4" t="s">
        <v>117</v>
      </c>
      <c r="E533" s="5">
        <v>40260</v>
      </c>
      <c r="F533" s="5">
        <v>40259</v>
      </c>
      <c r="G533">
        <v>1003</v>
      </c>
      <c r="H533" s="4" t="s">
        <v>107</v>
      </c>
      <c r="I533" s="4" t="s">
        <v>108</v>
      </c>
      <c r="J533" s="4" t="str">
        <f t="shared" si="8"/>
        <v>u_con.c_con</v>
      </c>
      <c r="K533" s="5">
        <v>19</v>
      </c>
      <c r="L533">
        <v>0</v>
      </c>
      <c r="M533">
        <v>0.10479654466924307</v>
      </c>
      <c r="N533">
        <v>0.10479654466924307</v>
      </c>
      <c r="O533">
        <v>0</v>
      </c>
      <c r="P533">
        <v>0</v>
      </c>
      <c r="Q533">
        <v>4.5692202773357601E-2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4.5464878381450344E-3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3.2507388042737E-2</v>
      </c>
      <c r="AF533">
        <v>0</v>
      </c>
      <c r="AG533">
        <v>0</v>
      </c>
      <c r="AH533">
        <v>3.6371902705160268E-2</v>
      </c>
      <c r="AI533">
        <v>5.0238690611502629E-2</v>
      </c>
      <c r="AJ533">
        <v>3.6371902705160268E-2</v>
      </c>
      <c r="AK533">
        <v>0</v>
      </c>
      <c r="AL533">
        <v>0.10911570811548084</v>
      </c>
      <c r="AM533">
        <v>0</v>
      </c>
      <c r="AN533">
        <v>1.4548761082064113E-2</v>
      </c>
      <c r="AO533">
        <v>0</v>
      </c>
      <c r="AP533">
        <v>0</v>
      </c>
      <c r="AQ533">
        <v>0</v>
      </c>
      <c r="AR533">
        <v>0</v>
      </c>
      <c r="AS533">
        <v>9.7749488520118243E-3</v>
      </c>
      <c r="AT533">
        <v>2.2732439190725171E-4</v>
      </c>
      <c r="AU533">
        <v>0</v>
      </c>
      <c r="AV533">
        <v>0</v>
      </c>
      <c r="AW533">
        <v>0</v>
      </c>
      <c r="AX533">
        <v>1.8867924528301893E-2</v>
      </c>
      <c r="AY533">
        <v>0</v>
      </c>
      <c r="AZ533">
        <v>4.5464878381450344E-3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2.2732439190725171E-4</v>
      </c>
      <c r="BX533">
        <v>0</v>
      </c>
      <c r="BY533">
        <v>0</v>
      </c>
      <c r="BZ533">
        <v>0</v>
      </c>
      <c r="CA533">
        <v>0.42736985678563333</v>
      </c>
      <c r="CB533">
        <v>0</v>
      </c>
    </row>
    <row r="534" spans="1:80">
      <c r="A534">
        <v>533</v>
      </c>
      <c r="B534" t="s">
        <v>106</v>
      </c>
      <c r="C534" s="4" t="s">
        <v>166</v>
      </c>
      <c r="D534" s="4" t="s">
        <v>117</v>
      </c>
      <c r="E534" s="5">
        <v>40260</v>
      </c>
      <c r="F534" s="5">
        <v>40259</v>
      </c>
      <c r="G534">
        <v>1003</v>
      </c>
      <c r="H534" s="4" t="s">
        <v>110</v>
      </c>
      <c r="I534" s="4" t="s">
        <v>109</v>
      </c>
      <c r="J534" s="4" t="str">
        <f t="shared" si="8"/>
        <v>u_rem.c_rem</v>
      </c>
      <c r="K534" s="5">
        <v>1</v>
      </c>
      <c r="L534" s="1">
        <v>0.10462987182840706</v>
      </c>
      <c r="M534" s="1">
        <v>7.3502484959455952E-2</v>
      </c>
      <c r="N534" s="1">
        <v>0.34527857703374321</v>
      </c>
      <c r="O534" s="1">
        <v>5.2314935914203522E-3</v>
      </c>
      <c r="P534" s="1">
        <v>0</v>
      </c>
      <c r="Q534" s="1">
        <v>5.2314935914203522E-3</v>
      </c>
      <c r="R534" s="1">
        <v>1.0462987182840704E-2</v>
      </c>
      <c r="S534" s="1">
        <v>0</v>
      </c>
      <c r="T534" s="1">
        <v>5.2314935914203522E-3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5.2314935914203522E-3</v>
      </c>
      <c r="AJ534" s="1">
        <v>0.1831022756997123</v>
      </c>
      <c r="AK534" s="1">
        <v>0</v>
      </c>
      <c r="AL534" s="1">
        <v>0</v>
      </c>
      <c r="AM534" s="1">
        <v>0</v>
      </c>
      <c r="AN534" s="1">
        <v>5.2314935914203522E-4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1.0462987182840704E-2</v>
      </c>
      <c r="AU534" s="1">
        <v>0</v>
      </c>
      <c r="AV534" s="1">
        <v>0</v>
      </c>
      <c r="AW534" s="1">
        <v>0</v>
      </c>
      <c r="AX534" s="1">
        <v>2.6157467957101759E-2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1.0462987182840704E-2</v>
      </c>
      <c r="CA534" s="1">
        <v>0.21449123724823441</v>
      </c>
      <c r="CB534" s="1">
        <v>0</v>
      </c>
    </row>
    <row r="535" spans="1:80">
      <c r="A535">
        <v>534</v>
      </c>
      <c r="B535" t="s">
        <v>63</v>
      </c>
      <c r="C535" s="4" t="s">
        <v>166</v>
      </c>
      <c r="D535" s="4" t="s">
        <v>117</v>
      </c>
      <c r="E535" s="5">
        <v>40260</v>
      </c>
      <c r="F535" s="5">
        <v>40259</v>
      </c>
      <c r="G535">
        <v>1003</v>
      </c>
      <c r="H535" s="4" t="s">
        <v>110</v>
      </c>
      <c r="I535" s="4" t="s">
        <v>108</v>
      </c>
      <c r="J535" s="4" t="str">
        <f t="shared" si="8"/>
        <v>u_rem.c_con</v>
      </c>
      <c r="K535" s="5">
        <v>8</v>
      </c>
      <c r="L535">
        <v>4.4953922229714546E-3</v>
      </c>
      <c r="M535">
        <v>0.12227466846482356</v>
      </c>
      <c r="N535">
        <v>0.17981568891885813</v>
      </c>
      <c r="O535">
        <v>0</v>
      </c>
      <c r="P535">
        <v>0</v>
      </c>
      <c r="Q535">
        <v>4.4953922229714542E-4</v>
      </c>
      <c r="R535">
        <v>0</v>
      </c>
      <c r="S535">
        <v>0</v>
      </c>
      <c r="T535">
        <v>1.4160485502360083E-2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8.9907844459429093E-3</v>
      </c>
      <c r="AA535">
        <v>0</v>
      </c>
      <c r="AB535">
        <v>0</v>
      </c>
      <c r="AC535">
        <v>0</v>
      </c>
      <c r="AD535">
        <v>3.5963137783771637E-2</v>
      </c>
      <c r="AE535">
        <v>2.2926500337154414E-2</v>
      </c>
      <c r="AF535">
        <v>0</v>
      </c>
      <c r="AG535">
        <v>0</v>
      </c>
      <c r="AH535">
        <v>5.1697010564171727E-3</v>
      </c>
      <c r="AI535">
        <v>4.9449314452686003E-3</v>
      </c>
      <c r="AJ535">
        <v>0.11260957518543496</v>
      </c>
      <c r="AK535">
        <v>0</v>
      </c>
      <c r="AL535">
        <v>1.3486176668914362E-2</v>
      </c>
      <c r="AM535">
        <v>0</v>
      </c>
      <c r="AN535">
        <v>2.2476961114857271E-4</v>
      </c>
      <c r="AO535">
        <v>0</v>
      </c>
      <c r="AP535">
        <v>0</v>
      </c>
      <c r="AQ535">
        <v>0</v>
      </c>
      <c r="AR535">
        <v>0</v>
      </c>
      <c r="AS535">
        <v>2.2926500337154414E-2</v>
      </c>
      <c r="AT535">
        <v>1.8655877725331536E-2</v>
      </c>
      <c r="AU535">
        <v>0</v>
      </c>
      <c r="AV535">
        <v>0</v>
      </c>
      <c r="AW535">
        <v>2.2476961114857271E-4</v>
      </c>
      <c r="AX535">
        <v>5.6192402787143174E-3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4.4953922229714546E-3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0.42256686895931672</v>
      </c>
      <c r="CB535">
        <v>0</v>
      </c>
    </row>
    <row r="536" spans="1:80">
      <c r="A536">
        <v>535</v>
      </c>
      <c r="B536" s="1" t="s">
        <v>64</v>
      </c>
      <c r="C536" s="4" t="s">
        <v>166</v>
      </c>
      <c r="D536" s="4" t="s">
        <v>117</v>
      </c>
      <c r="E536" s="5">
        <v>40260</v>
      </c>
      <c r="F536" s="5">
        <v>40259</v>
      </c>
      <c r="G536" s="1">
        <v>1003</v>
      </c>
      <c r="H536" s="4" t="s">
        <v>110</v>
      </c>
      <c r="I536" s="4" t="s">
        <v>109</v>
      </c>
      <c r="J536" s="4" t="str">
        <f t="shared" si="8"/>
        <v>u_rem.c_rem</v>
      </c>
      <c r="K536" s="5">
        <v>1</v>
      </c>
      <c r="L536" s="1">
        <v>3.3121722329561142E-2</v>
      </c>
      <c r="M536" s="1">
        <v>4.9682583494341702E-2</v>
      </c>
      <c r="N536" s="1">
        <v>0.62931272426166163</v>
      </c>
      <c r="O536" s="1">
        <v>0</v>
      </c>
      <c r="P536" s="1">
        <v>0</v>
      </c>
      <c r="Q536" s="1">
        <v>0</v>
      </c>
      <c r="R536" s="1">
        <v>9.3844879933756578E-2</v>
      </c>
      <c r="S536" s="1">
        <v>0</v>
      </c>
      <c r="T536" s="1">
        <v>5.5202870549268569E-3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0.12696660226331771</v>
      </c>
      <c r="AK536" s="1">
        <v>0</v>
      </c>
      <c r="AL536" s="1">
        <v>1.1040574109853714E-2</v>
      </c>
      <c r="AM536" s="1">
        <v>0</v>
      </c>
      <c r="AN536" s="1">
        <v>2.7601435274634281E-4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2.7601435274634281E-4</v>
      </c>
      <c r="AU536" s="1">
        <v>0</v>
      </c>
      <c r="AV536" s="1">
        <v>0</v>
      </c>
      <c r="AW536" s="1">
        <v>0</v>
      </c>
      <c r="AX536" s="1">
        <v>5.7963014076732001E-3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5.5202870549268569E-3</v>
      </c>
      <c r="BZ536" s="1">
        <v>0</v>
      </c>
      <c r="CA536" s="1">
        <v>3.8642009384487995E-2</v>
      </c>
      <c r="CB536" s="1">
        <v>0</v>
      </c>
    </row>
    <row r="537" spans="1:80">
      <c r="A537">
        <v>536</v>
      </c>
      <c r="B537" t="s">
        <v>65</v>
      </c>
      <c r="C537" s="4" t="s">
        <v>166</v>
      </c>
      <c r="D537" s="4" t="s">
        <v>117</v>
      </c>
      <c r="E537" s="5">
        <v>40260</v>
      </c>
      <c r="F537" s="5">
        <v>40259</v>
      </c>
      <c r="G537">
        <v>1003</v>
      </c>
      <c r="H537" s="4" t="s">
        <v>110</v>
      </c>
      <c r="I537" s="4" t="s">
        <v>108</v>
      </c>
      <c r="J537" s="4" t="str">
        <f t="shared" si="8"/>
        <v>u_rem.c_con</v>
      </c>
      <c r="K537" s="5">
        <v>8</v>
      </c>
      <c r="L537">
        <v>9.8658247829518556E-2</v>
      </c>
      <c r="M537">
        <v>0.1462115232833465</v>
      </c>
      <c r="N537">
        <v>0.12647987371744282</v>
      </c>
      <c r="O537">
        <v>0</v>
      </c>
      <c r="P537">
        <v>0</v>
      </c>
      <c r="Q537">
        <v>1.5785319652722972E-2</v>
      </c>
      <c r="R537">
        <v>7.4980268350434115E-2</v>
      </c>
      <c r="S537">
        <v>0</v>
      </c>
      <c r="T537">
        <v>8.2872928176795594E-3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1.1838989739542227E-2</v>
      </c>
      <c r="AE537">
        <v>1.7363851617995269E-2</v>
      </c>
      <c r="AF537">
        <v>0</v>
      </c>
      <c r="AG537">
        <v>0</v>
      </c>
      <c r="AH537">
        <v>0</v>
      </c>
      <c r="AI537">
        <v>0</v>
      </c>
      <c r="AJ537">
        <v>0.14996053670086823</v>
      </c>
      <c r="AK537">
        <v>0</v>
      </c>
      <c r="AL537">
        <v>0</v>
      </c>
      <c r="AM537">
        <v>0</v>
      </c>
      <c r="AN537">
        <v>9.2738752959747473E-3</v>
      </c>
      <c r="AO537">
        <v>0</v>
      </c>
      <c r="AP537">
        <v>0</v>
      </c>
      <c r="AQ537">
        <v>1.9731649565903712E-4</v>
      </c>
      <c r="AR537">
        <v>0</v>
      </c>
      <c r="AS537">
        <v>1.2036306235201267E-2</v>
      </c>
      <c r="AT537">
        <v>8.8792423046566721E-3</v>
      </c>
      <c r="AU537">
        <v>0</v>
      </c>
      <c r="AV537">
        <v>0</v>
      </c>
      <c r="AW537">
        <v>0</v>
      </c>
      <c r="AX537">
        <v>1.2233622730860304E-2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0.30781373322809791</v>
      </c>
      <c r="CB537">
        <v>0</v>
      </c>
    </row>
    <row r="538" spans="1:80">
      <c r="A538">
        <v>537</v>
      </c>
      <c r="B538" t="s">
        <v>66</v>
      </c>
      <c r="C538" s="4" t="s">
        <v>167</v>
      </c>
      <c r="D538" s="4" t="s">
        <v>117</v>
      </c>
      <c r="E538" s="5">
        <v>40260</v>
      </c>
      <c r="F538" s="5">
        <v>40259</v>
      </c>
      <c r="G538">
        <v>1003</v>
      </c>
      <c r="H538" s="4" t="s">
        <v>107</v>
      </c>
      <c r="I538" s="4" t="s">
        <v>108</v>
      </c>
      <c r="J538" s="4" t="str">
        <f t="shared" si="8"/>
        <v>u_con.c_con</v>
      </c>
      <c r="K538" s="5">
        <v>19</v>
      </c>
      <c r="L538">
        <v>2.1584286639326572E-2</v>
      </c>
      <c r="M538">
        <v>0.49212173537664589</v>
      </c>
      <c r="N538">
        <v>0.14698899201381399</v>
      </c>
      <c r="O538">
        <v>0</v>
      </c>
      <c r="P538">
        <v>0</v>
      </c>
      <c r="Q538">
        <v>4.7485430606518456E-3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1.7914957910641054E-2</v>
      </c>
      <c r="AF538">
        <v>0</v>
      </c>
      <c r="AG538">
        <v>0</v>
      </c>
      <c r="AH538">
        <v>0</v>
      </c>
      <c r="AI538">
        <v>8.8495575221238954E-3</v>
      </c>
      <c r="AJ538">
        <v>5.2018130800777038E-2</v>
      </c>
      <c r="AK538">
        <v>0</v>
      </c>
      <c r="AL538">
        <v>1.7483272177854524E-2</v>
      </c>
      <c r="AM538">
        <v>0</v>
      </c>
      <c r="AN538">
        <v>1.3166414849989211E-2</v>
      </c>
      <c r="AO538">
        <v>0</v>
      </c>
      <c r="AP538">
        <v>0</v>
      </c>
      <c r="AQ538">
        <v>0</v>
      </c>
      <c r="AR538">
        <v>0</v>
      </c>
      <c r="AS538">
        <v>8.8495575221238954E-3</v>
      </c>
      <c r="AT538">
        <v>2.1584286639326572E-4</v>
      </c>
      <c r="AU538">
        <v>0</v>
      </c>
      <c r="AV538">
        <v>0</v>
      </c>
      <c r="AW538">
        <v>0</v>
      </c>
      <c r="AX538">
        <v>1.3166414849989211E-2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4.3168573278653142E-3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0.19857543708180439</v>
      </c>
      <c r="CB538">
        <v>0</v>
      </c>
    </row>
    <row r="539" spans="1:80">
      <c r="A539">
        <v>538</v>
      </c>
      <c r="B539" t="s">
        <v>67</v>
      </c>
      <c r="C539" s="4" t="s">
        <v>167</v>
      </c>
      <c r="D539" s="4" t="s">
        <v>117</v>
      </c>
      <c r="E539" s="5">
        <v>40260</v>
      </c>
      <c r="F539" s="5">
        <v>40259</v>
      </c>
      <c r="G539">
        <v>1003</v>
      </c>
      <c r="H539" s="4" t="s">
        <v>107</v>
      </c>
      <c r="I539" s="4" t="s">
        <v>109</v>
      </c>
      <c r="J539" s="4" t="str">
        <f t="shared" si="8"/>
        <v>u_con.c_rem</v>
      </c>
      <c r="K539" s="5">
        <v>2</v>
      </c>
      <c r="L539">
        <v>1.2831479897348159E-2</v>
      </c>
      <c r="M539">
        <v>0.20145423438836613</v>
      </c>
      <c r="N539">
        <v>0.56458511548331913</v>
      </c>
      <c r="O539">
        <v>0</v>
      </c>
      <c r="P539">
        <v>0</v>
      </c>
      <c r="Q539">
        <v>1.2831479897348161E-2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8.9820359281437123E-3</v>
      </c>
      <c r="AF539">
        <v>0</v>
      </c>
      <c r="AG539">
        <v>0</v>
      </c>
      <c r="AH539">
        <v>0</v>
      </c>
      <c r="AI539">
        <v>8.9820359281437123E-3</v>
      </c>
      <c r="AJ539">
        <v>1.2831479897348159E-2</v>
      </c>
      <c r="AK539">
        <v>0</v>
      </c>
      <c r="AL539">
        <v>4.2771599657827203E-3</v>
      </c>
      <c r="AM539">
        <v>0</v>
      </c>
      <c r="AN539">
        <v>4.2771599657827203E-3</v>
      </c>
      <c r="AO539">
        <v>0</v>
      </c>
      <c r="AP539">
        <v>0</v>
      </c>
      <c r="AQ539">
        <v>1.2831479897348161E-2</v>
      </c>
      <c r="AR539">
        <v>0</v>
      </c>
      <c r="AS539">
        <v>8.7681779298545755E-3</v>
      </c>
      <c r="AT539">
        <v>0</v>
      </c>
      <c r="AU539">
        <v>0</v>
      </c>
      <c r="AV539">
        <v>0</v>
      </c>
      <c r="AW539">
        <v>0</v>
      </c>
      <c r="AX539">
        <v>1.3900769888793843E-2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4.9187339606501278E-3</v>
      </c>
      <c r="BF539">
        <v>2.13857998289136E-4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0.12831479897348161</v>
      </c>
      <c r="CB539">
        <v>0</v>
      </c>
    </row>
    <row r="540" spans="1:80">
      <c r="A540">
        <v>539</v>
      </c>
      <c r="B540" t="s">
        <v>68</v>
      </c>
      <c r="C540" s="4" t="s">
        <v>167</v>
      </c>
      <c r="D540" s="4" t="s">
        <v>117</v>
      </c>
      <c r="E540" s="5">
        <v>40260</v>
      </c>
      <c r="F540" s="5">
        <v>40259</v>
      </c>
      <c r="G540">
        <v>1003</v>
      </c>
      <c r="H540" s="4" t="s">
        <v>107</v>
      </c>
      <c r="I540" s="4" t="s">
        <v>108</v>
      </c>
      <c r="J540" s="4" t="str">
        <f t="shared" si="8"/>
        <v>u_con.c_con</v>
      </c>
      <c r="K540" s="5">
        <v>19</v>
      </c>
      <c r="L540">
        <v>7.8277886497064592E-3</v>
      </c>
      <c r="M540">
        <v>0.25048923679060658</v>
      </c>
      <c r="N540">
        <v>0.22700587084148729</v>
      </c>
      <c r="O540">
        <v>0</v>
      </c>
      <c r="P540">
        <v>0</v>
      </c>
      <c r="Q540">
        <v>4.1095890410958909E-3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3.5420743639921724E-2</v>
      </c>
      <c r="AF540">
        <v>0</v>
      </c>
      <c r="AG540">
        <v>0</v>
      </c>
      <c r="AH540">
        <v>1.9569471624266148E-4</v>
      </c>
      <c r="AI540">
        <v>7.8277886497064592E-3</v>
      </c>
      <c r="AJ540">
        <v>8.610567514677106E-2</v>
      </c>
      <c r="AK540">
        <v>0</v>
      </c>
      <c r="AL540">
        <v>3.9138943248532296E-3</v>
      </c>
      <c r="AM540">
        <v>0</v>
      </c>
      <c r="AN540">
        <v>1.9569471624266148E-4</v>
      </c>
      <c r="AO540">
        <v>0</v>
      </c>
      <c r="AP540">
        <v>0</v>
      </c>
      <c r="AQ540">
        <v>0</v>
      </c>
      <c r="AR540">
        <v>0</v>
      </c>
      <c r="AS540">
        <v>1.5851272015655581E-2</v>
      </c>
      <c r="AT540">
        <v>1.9569471624266148E-4</v>
      </c>
      <c r="AU540">
        <v>0</v>
      </c>
      <c r="AV540">
        <v>0</v>
      </c>
      <c r="AW540">
        <v>0</v>
      </c>
      <c r="AX540">
        <v>2.7788649706457929E-2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1.2133072407045014E-2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3.9138943248532296E-3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0.3131115459882583</v>
      </c>
      <c r="CB540">
        <v>0</v>
      </c>
    </row>
    <row r="541" spans="1:80" s="1" customFormat="1">
      <c r="A541">
        <v>540</v>
      </c>
      <c r="B541" s="2" t="s">
        <v>69</v>
      </c>
      <c r="C541" s="4" t="s">
        <v>167</v>
      </c>
      <c r="D541" s="4" t="s">
        <v>117</v>
      </c>
      <c r="E541" s="5">
        <v>40260</v>
      </c>
      <c r="F541" s="5">
        <v>40259</v>
      </c>
      <c r="G541">
        <v>1003</v>
      </c>
      <c r="H541" s="4" t="s">
        <v>107</v>
      </c>
      <c r="I541" s="4" t="s">
        <v>109</v>
      </c>
      <c r="J541" s="4" t="str">
        <f t="shared" si="8"/>
        <v>u_con.c_rem</v>
      </c>
      <c r="K541" s="5">
        <v>2</v>
      </c>
      <c r="L541">
        <v>3.9032006245121004E-3</v>
      </c>
      <c r="M541">
        <v>0.13348946135831385</v>
      </c>
      <c r="N541">
        <v>0.156128024980484</v>
      </c>
      <c r="O541">
        <v>0</v>
      </c>
      <c r="P541">
        <v>0</v>
      </c>
      <c r="Q541">
        <v>1.1709601873536302E-2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1.9516003122560502E-4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1.95160031225605E-2</v>
      </c>
      <c r="AF541">
        <v>0</v>
      </c>
      <c r="AG541">
        <v>0</v>
      </c>
      <c r="AH541">
        <v>3.9032006245121004E-3</v>
      </c>
      <c r="AI541">
        <v>1.2099921935987513E-2</v>
      </c>
      <c r="AJ541">
        <v>0.21506635441061664</v>
      </c>
      <c r="AK541">
        <v>0</v>
      </c>
      <c r="AL541">
        <v>2.7322404371584702E-2</v>
      </c>
      <c r="AM541">
        <v>0</v>
      </c>
      <c r="AN541">
        <v>1.6003122560499614E-2</v>
      </c>
      <c r="AO541">
        <v>0</v>
      </c>
      <c r="AP541">
        <v>0</v>
      </c>
      <c r="AQ541">
        <v>0</v>
      </c>
      <c r="AR541">
        <v>0</v>
      </c>
      <c r="AS541">
        <v>8.0015612802498068E-3</v>
      </c>
      <c r="AT541">
        <v>5.8548009367681499E-4</v>
      </c>
      <c r="AU541">
        <v>0</v>
      </c>
      <c r="AV541">
        <v>0</v>
      </c>
      <c r="AW541">
        <v>0</v>
      </c>
      <c r="AX541">
        <v>4.4886807181889156E-3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3.9032006245121004E-3</v>
      </c>
      <c r="BF541">
        <v>7.8064012490242009E-4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0.3590944574551132</v>
      </c>
      <c r="CB541">
        <v>2.3809523809523812E-2</v>
      </c>
    </row>
    <row r="542" spans="1:80">
      <c r="A542">
        <v>541</v>
      </c>
      <c r="B542" t="s">
        <v>71</v>
      </c>
      <c r="C542" s="4" t="s">
        <v>168</v>
      </c>
      <c r="D542" s="4" t="s">
        <v>117</v>
      </c>
      <c r="E542" s="5">
        <v>40260</v>
      </c>
      <c r="F542" s="5">
        <v>40259</v>
      </c>
      <c r="G542">
        <v>1003</v>
      </c>
      <c r="H542" s="4" t="s">
        <v>110</v>
      </c>
      <c r="I542" s="4" t="s">
        <v>108</v>
      </c>
      <c r="J542" s="4" t="str">
        <f t="shared" si="8"/>
        <v>u_rem.c_con</v>
      </c>
      <c r="K542" s="5">
        <v>8</v>
      </c>
      <c r="L542">
        <v>3.8804811796662795E-3</v>
      </c>
      <c r="M542">
        <v>0.24854481955762509</v>
      </c>
      <c r="N542">
        <v>0.33372138145129998</v>
      </c>
      <c r="O542">
        <v>0</v>
      </c>
      <c r="P542">
        <v>0</v>
      </c>
      <c r="Q542">
        <v>1.5909972836631744E-2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1.5521924718665118E-2</v>
      </c>
      <c r="AF542">
        <v>0</v>
      </c>
      <c r="AG542">
        <v>0</v>
      </c>
      <c r="AH542">
        <v>0</v>
      </c>
      <c r="AI542">
        <v>1.5715948777648432E-2</v>
      </c>
      <c r="AJ542">
        <v>0</v>
      </c>
      <c r="AK542">
        <v>0</v>
      </c>
      <c r="AL542">
        <v>4.268529297632908E-3</v>
      </c>
      <c r="AM542">
        <v>0</v>
      </c>
      <c r="AN542">
        <v>0</v>
      </c>
      <c r="AO542">
        <v>0</v>
      </c>
      <c r="AP542">
        <v>0</v>
      </c>
      <c r="AQ542">
        <v>1.2029491656965468E-2</v>
      </c>
      <c r="AR542">
        <v>0</v>
      </c>
      <c r="AS542">
        <v>3.8804811796662795E-3</v>
      </c>
      <c r="AT542">
        <v>1.9402405898331397E-4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1.9402405898331397E-4</v>
      </c>
      <c r="BA542">
        <v>0.1907256499805976</v>
      </c>
      <c r="BB542">
        <v>0</v>
      </c>
      <c r="BC542">
        <v>0</v>
      </c>
      <c r="BD542">
        <v>0</v>
      </c>
      <c r="BE542">
        <v>1.9402405898331397E-4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0.15521924718665114</v>
      </c>
      <c r="CB542">
        <v>0</v>
      </c>
    </row>
    <row r="543" spans="1:80">
      <c r="A543">
        <v>542</v>
      </c>
      <c r="B543" s="1" t="s">
        <v>70</v>
      </c>
      <c r="C543" s="4" t="s">
        <v>168</v>
      </c>
      <c r="D543" s="4" t="s">
        <v>117</v>
      </c>
      <c r="E543" s="5">
        <v>40260</v>
      </c>
      <c r="F543" s="5">
        <v>40259</v>
      </c>
      <c r="G543" s="1">
        <v>1003</v>
      </c>
      <c r="H543" s="4" t="s">
        <v>110</v>
      </c>
      <c r="I543" s="4" t="s">
        <v>109</v>
      </c>
      <c r="J543" s="4" t="str">
        <f t="shared" si="8"/>
        <v>u_rem.c_rem</v>
      </c>
      <c r="K543" s="5">
        <v>1</v>
      </c>
      <c r="L543" s="1">
        <v>1.020408163265306E-2</v>
      </c>
      <c r="M543" s="1">
        <v>4.5918367346938771E-2</v>
      </c>
      <c r="N543" s="1">
        <v>0.12244897959183672</v>
      </c>
      <c r="O543" s="1">
        <v>5.1020408163265302E-3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0.80612244897959184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1.020408163265306E-2</v>
      </c>
      <c r="CB543" s="1">
        <v>0</v>
      </c>
    </row>
    <row r="544" spans="1:80">
      <c r="A544">
        <v>543</v>
      </c>
      <c r="B544" t="s">
        <v>72</v>
      </c>
      <c r="C544" s="4" t="s">
        <v>168</v>
      </c>
      <c r="D544" s="4" t="s">
        <v>117</v>
      </c>
      <c r="E544" s="5">
        <v>40260</v>
      </c>
      <c r="F544" s="5">
        <v>40259</v>
      </c>
      <c r="G544">
        <v>1003</v>
      </c>
      <c r="H544" s="4" t="s">
        <v>110</v>
      </c>
      <c r="I544" s="4" t="s">
        <v>108</v>
      </c>
      <c r="J544" s="4" t="str">
        <f t="shared" si="8"/>
        <v>u_rem.c_con</v>
      </c>
      <c r="K544" s="5">
        <v>8</v>
      </c>
      <c r="L544">
        <v>0</v>
      </c>
      <c r="M544">
        <v>0.16312972873223844</v>
      </c>
      <c r="N544">
        <v>0.2657316848126961</v>
      </c>
      <c r="O544">
        <v>0</v>
      </c>
      <c r="P544">
        <v>0</v>
      </c>
      <c r="Q544">
        <v>1.8453589223103896E-2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2.6204096696807528E-2</v>
      </c>
      <c r="AF544">
        <v>0</v>
      </c>
      <c r="AG544">
        <v>0</v>
      </c>
      <c r="AH544">
        <v>0</v>
      </c>
      <c r="AI544">
        <v>1.8453589223103896E-2</v>
      </c>
      <c r="AJ544">
        <v>0</v>
      </c>
      <c r="AK544">
        <v>0</v>
      </c>
      <c r="AL544">
        <v>3.8752537368518182E-3</v>
      </c>
      <c r="AM544">
        <v>0</v>
      </c>
      <c r="AN544">
        <v>1.9929876360952208E-2</v>
      </c>
      <c r="AO544">
        <v>0</v>
      </c>
      <c r="AP544">
        <v>0</v>
      </c>
      <c r="AQ544">
        <v>3.6907178446207792E-3</v>
      </c>
      <c r="AR544">
        <v>0</v>
      </c>
      <c r="AS544">
        <v>3.6907178446207792E-3</v>
      </c>
      <c r="AT544">
        <v>0</v>
      </c>
      <c r="AU544">
        <v>0</v>
      </c>
      <c r="AV544">
        <v>0</v>
      </c>
      <c r="AW544">
        <v>0</v>
      </c>
      <c r="AX544">
        <v>1.4762871378483117E-2</v>
      </c>
      <c r="AY544">
        <v>0</v>
      </c>
      <c r="AZ544">
        <v>0</v>
      </c>
      <c r="BA544">
        <v>0.3137110167927662</v>
      </c>
      <c r="BB544">
        <v>0</v>
      </c>
      <c r="BC544">
        <v>0</v>
      </c>
      <c r="BD544">
        <v>0</v>
      </c>
      <c r="BE544">
        <v>5.5360767669311681E-4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3.6907178446207792E-3</v>
      </c>
      <c r="BP544">
        <v>0</v>
      </c>
      <c r="BQ544">
        <v>3.8752537368518182E-3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0.14024727809558959</v>
      </c>
      <c r="CB544">
        <v>0</v>
      </c>
    </row>
    <row r="545" spans="1:80">
      <c r="A545">
        <v>544</v>
      </c>
      <c r="B545" s="1" t="s">
        <v>73</v>
      </c>
      <c r="C545" s="4" t="s">
        <v>168</v>
      </c>
      <c r="D545" s="4" t="s">
        <v>117</v>
      </c>
      <c r="E545" s="5">
        <v>40260</v>
      </c>
      <c r="F545" s="5">
        <v>40259</v>
      </c>
      <c r="G545" s="1">
        <v>1003</v>
      </c>
      <c r="H545" s="4" t="s">
        <v>110</v>
      </c>
      <c r="I545" s="4" t="s">
        <v>109</v>
      </c>
      <c r="J545" s="4" t="str">
        <f t="shared" si="8"/>
        <v>u_rem.c_rem</v>
      </c>
      <c r="K545" s="5">
        <v>1</v>
      </c>
      <c r="L545" s="1">
        <v>2.6308866087871613E-2</v>
      </c>
      <c r="M545" s="1">
        <v>0.25782688766114181</v>
      </c>
      <c r="N545" s="1">
        <v>0.25256511444356744</v>
      </c>
      <c r="O545" s="1">
        <v>5.2617732175743231E-3</v>
      </c>
      <c r="P545" s="1">
        <v>5.2617732175743231E-3</v>
      </c>
      <c r="Q545" s="1">
        <v>1.6048408313601686E-2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0.39989476453564843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3.6832412523020261E-2</v>
      </c>
      <c r="CB545" s="1">
        <v>0</v>
      </c>
    </row>
    <row r="546" spans="1:80">
      <c r="A546">
        <v>545</v>
      </c>
      <c r="B546" t="s">
        <v>74</v>
      </c>
      <c r="C546" s="4" t="s">
        <v>169</v>
      </c>
      <c r="D546" s="4" t="s">
        <v>117</v>
      </c>
      <c r="E546" s="5">
        <v>40260</v>
      </c>
      <c r="F546" s="5">
        <v>40259</v>
      </c>
      <c r="G546">
        <v>1003</v>
      </c>
      <c r="H546" s="4" t="s">
        <v>110</v>
      </c>
      <c r="I546" s="4" t="s">
        <v>108</v>
      </c>
      <c r="J546" s="4" t="str">
        <f t="shared" si="8"/>
        <v>u_rem.c_con</v>
      </c>
      <c r="K546" s="5">
        <v>8</v>
      </c>
      <c r="L546">
        <v>4.4464206313917292E-3</v>
      </c>
      <c r="M546">
        <v>0.3379279679857714</v>
      </c>
      <c r="N546">
        <v>0.3734993330369053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4.4464206313917296E-4</v>
      </c>
      <c r="AD546">
        <v>0</v>
      </c>
      <c r="AE546">
        <v>4.4464206313917292E-3</v>
      </c>
      <c r="AF546">
        <v>0</v>
      </c>
      <c r="AG546">
        <v>0</v>
      </c>
      <c r="AH546">
        <v>4.4464206313917292E-3</v>
      </c>
      <c r="AI546">
        <v>6.7140951534015114E-2</v>
      </c>
      <c r="AJ546">
        <v>0</v>
      </c>
      <c r="AK546">
        <v>0</v>
      </c>
      <c r="AL546">
        <v>1.333926189417519E-2</v>
      </c>
      <c r="AM546">
        <v>0</v>
      </c>
      <c r="AN546">
        <v>1.8897287683414851E-2</v>
      </c>
      <c r="AO546">
        <v>0</v>
      </c>
      <c r="AP546">
        <v>0</v>
      </c>
      <c r="AQ546">
        <v>0</v>
      </c>
      <c r="AR546">
        <v>0</v>
      </c>
      <c r="AS546">
        <v>4.4464206313917292E-3</v>
      </c>
      <c r="AT546">
        <v>1.1116051578479323E-3</v>
      </c>
      <c r="AU546">
        <v>0</v>
      </c>
      <c r="AV546">
        <v>0</v>
      </c>
      <c r="AW546">
        <v>0</v>
      </c>
      <c r="AX546">
        <v>4.6687416629613157E-3</v>
      </c>
      <c r="AY546">
        <v>0</v>
      </c>
      <c r="AZ546">
        <v>0</v>
      </c>
      <c r="BA546">
        <v>4.6687416629613157E-3</v>
      </c>
      <c r="BB546">
        <v>0</v>
      </c>
      <c r="BC546">
        <v>0</v>
      </c>
      <c r="BD546">
        <v>0</v>
      </c>
      <c r="BE546">
        <v>2.2232103156958648E-4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4.4464206313917292E-3</v>
      </c>
      <c r="BY546">
        <v>0</v>
      </c>
      <c r="BZ546">
        <v>0</v>
      </c>
      <c r="CA546">
        <v>0.15584704313028011</v>
      </c>
      <c r="CB546">
        <v>0</v>
      </c>
    </row>
    <row r="547" spans="1:80">
      <c r="A547">
        <v>546</v>
      </c>
      <c r="B547" t="s">
        <v>75</v>
      </c>
      <c r="C547" s="4" t="s">
        <v>169</v>
      </c>
      <c r="D547" s="4" t="s">
        <v>117</v>
      </c>
      <c r="E547" s="5">
        <v>40260</v>
      </c>
      <c r="F547" s="5">
        <v>40259</v>
      </c>
      <c r="G547">
        <v>1003</v>
      </c>
      <c r="H547" s="4" t="s">
        <v>110</v>
      </c>
      <c r="I547" s="4" t="s">
        <v>108</v>
      </c>
      <c r="J547" s="4" t="str">
        <f t="shared" si="8"/>
        <v>u_rem.c_con</v>
      </c>
      <c r="K547" s="5">
        <v>8</v>
      </c>
      <c r="L547">
        <v>1.1505092417955488E-2</v>
      </c>
      <c r="M547">
        <v>0.35458317615993962</v>
      </c>
      <c r="N547">
        <v>0.23387400980761963</v>
      </c>
      <c r="O547">
        <v>0</v>
      </c>
      <c r="P547">
        <v>0</v>
      </c>
      <c r="Q547">
        <v>3.7721614485099961E-3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2.715956242927197E-2</v>
      </c>
      <c r="AF547">
        <v>0</v>
      </c>
      <c r="AG547">
        <v>0</v>
      </c>
      <c r="AH547">
        <v>0</v>
      </c>
      <c r="AI547">
        <v>3.0177291588079965E-2</v>
      </c>
      <c r="AJ547">
        <v>0</v>
      </c>
      <c r="AK547">
        <v>0</v>
      </c>
      <c r="AL547">
        <v>0.10562052055827988</v>
      </c>
      <c r="AM547">
        <v>0</v>
      </c>
      <c r="AN547">
        <v>3.1497548095058468E-2</v>
      </c>
      <c r="AO547">
        <v>0</v>
      </c>
      <c r="AP547">
        <v>0</v>
      </c>
      <c r="AQ547">
        <v>0</v>
      </c>
      <c r="AR547">
        <v>0</v>
      </c>
      <c r="AS547">
        <v>7.7329309694454925E-3</v>
      </c>
      <c r="AT547">
        <v>3.9607695209354964E-3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7.9781214635986447E-2</v>
      </c>
      <c r="BB547">
        <v>0</v>
      </c>
      <c r="BC547">
        <v>0</v>
      </c>
      <c r="BD547">
        <v>0</v>
      </c>
      <c r="BE547">
        <v>1.8860807242549981E-4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3.7721614485099961E-3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0.1063749528479819</v>
      </c>
      <c r="CB547">
        <v>0</v>
      </c>
    </row>
    <row r="548" spans="1:80">
      <c r="A548">
        <v>547</v>
      </c>
      <c r="B548" s="1" t="s">
        <v>76</v>
      </c>
      <c r="C548" s="4" t="s">
        <v>169</v>
      </c>
      <c r="D548" s="4" t="s">
        <v>117</v>
      </c>
      <c r="E548" s="5">
        <v>40260</v>
      </c>
      <c r="F548" s="5">
        <v>40259</v>
      </c>
      <c r="G548" s="1">
        <v>1003</v>
      </c>
      <c r="H548" s="4" t="s">
        <v>110</v>
      </c>
      <c r="I548" s="4" t="s">
        <v>109</v>
      </c>
      <c r="J548" s="4" t="str">
        <f t="shared" si="8"/>
        <v>u_rem.c_rem</v>
      </c>
      <c r="K548" s="5">
        <v>1</v>
      </c>
      <c r="L548" s="1">
        <v>5.2884615384615377E-2</v>
      </c>
      <c r="M548" s="1">
        <v>0.58653846153846145</v>
      </c>
      <c r="N548" s="1">
        <v>0.18269230769230771</v>
      </c>
      <c r="O548" s="1">
        <v>1.4423076923076924E-2</v>
      </c>
      <c r="P548" s="1">
        <v>0</v>
      </c>
      <c r="Q548" s="1">
        <v>7.6923076923076941E-2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4.807692307692308E-3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7.6923076923076927E-2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4.807692307692308E-3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</row>
    <row r="549" spans="1:80">
      <c r="A549">
        <v>548</v>
      </c>
      <c r="B549" s="1" t="s">
        <v>77</v>
      </c>
      <c r="C549" s="4" t="s">
        <v>169</v>
      </c>
      <c r="D549" s="4" t="s">
        <v>117</v>
      </c>
      <c r="E549" s="5">
        <v>40260</v>
      </c>
      <c r="F549" s="5">
        <v>40259</v>
      </c>
      <c r="G549" s="1">
        <v>1003</v>
      </c>
      <c r="H549" s="4" t="s">
        <v>110</v>
      </c>
      <c r="I549" s="4" t="s">
        <v>109</v>
      </c>
      <c r="J549" s="4" t="str">
        <f t="shared" si="8"/>
        <v>u_rem.c_rem</v>
      </c>
      <c r="K549" s="5">
        <v>1</v>
      </c>
      <c r="L549" s="1">
        <v>2.6427061310782242E-2</v>
      </c>
      <c r="M549" s="1">
        <v>0.2589852008456659</v>
      </c>
      <c r="N549" s="1">
        <v>0.36469344608879495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3.1712473572938694E-2</v>
      </c>
      <c r="AI549" s="1">
        <v>1.5856236786469347E-2</v>
      </c>
      <c r="AJ549" s="1">
        <v>0</v>
      </c>
      <c r="AK549" s="1">
        <v>0</v>
      </c>
      <c r="AL549" s="1">
        <v>0.11627906976744189</v>
      </c>
      <c r="AM549" s="1">
        <v>0</v>
      </c>
      <c r="AN549" s="1">
        <v>2.1934460887949266E-2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5.2854122621564491E-3</v>
      </c>
      <c r="AV549" s="1">
        <v>0</v>
      </c>
      <c r="AW549" s="1">
        <v>0</v>
      </c>
      <c r="AX549" s="1">
        <v>5.2854122621564491E-3</v>
      </c>
      <c r="AY549" s="1">
        <v>0</v>
      </c>
      <c r="AZ549" s="1">
        <v>0</v>
      </c>
      <c r="BA549" s="1">
        <v>0.15327695560253704</v>
      </c>
      <c r="BB549" s="1">
        <v>0</v>
      </c>
      <c r="BC549" s="1">
        <v>0</v>
      </c>
      <c r="BD549" s="1">
        <v>0</v>
      </c>
      <c r="BE549" s="1">
        <v>2.6427061310782242E-4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</row>
    <row r="550" spans="1:80">
      <c r="A550">
        <v>549</v>
      </c>
      <c r="B550" t="s">
        <v>78</v>
      </c>
      <c r="C550" s="4" t="s">
        <v>170</v>
      </c>
      <c r="D550" s="4" t="s">
        <v>117</v>
      </c>
      <c r="E550" s="5">
        <v>40260</v>
      </c>
      <c r="F550" s="5">
        <v>40259</v>
      </c>
      <c r="G550">
        <v>1003</v>
      </c>
      <c r="H550" s="4" t="s">
        <v>107</v>
      </c>
      <c r="I550" s="4" t="s">
        <v>109</v>
      </c>
      <c r="J550" s="4" t="str">
        <f t="shared" si="8"/>
        <v>u_con.c_rem</v>
      </c>
      <c r="K550" s="5">
        <v>2</v>
      </c>
      <c r="L550">
        <v>4.5258620689655167E-3</v>
      </c>
      <c r="M550">
        <v>0.23749999999999993</v>
      </c>
      <c r="N550">
        <v>0.3103448275862068</v>
      </c>
      <c r="O550">
        <v>0</v>
      </c>
      <c r="P550">
        <v>0</v>
      </c>
      <c r="Q550">
        <v>4.3103448275862068E-3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9.2672413793103443E-3</v>
      </c>
      <c r="AI550">
        <v>0.125</v>
      </c>
      <c r="AJ550">
        <v>0.125</v>
      </c>
      <c r="AK550">
        <v>0</v>
      </c>
      <c r="AL550">
        <v>0</v>
      </c>
      <c r="AM550">
        <v>0</v>
      </c>
      <c r="AN550">
        <v>4.9568965517241383E-3</v>
      </c>
      <c r="AO550">
        <v>0</v>
      </c>
      <c r="AP550">
        <v>0</v>
      </c>
      <c r="AQ550">
        <v>4.5258620689655167E-3</v>
      </c>
      <c r="AR550">
        <v>0</v>
      </c>
      <c r="AS550">
        <v>2.6293103448275859E-2</v>
      </c>
      <c r="AT550">
        <v>5.387931034482759E-3</v>
      </c>
      <c r="AU550">
        <v>0</v>
      </c>
      <c r="AV550">
        <v>0</v>
      </c>
      <c r="AW550">
        <v>0</v>
      </c>
      <c r="AX550">
        <v>4.5258620689655167E-3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4.3103448275862068E-3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4.3103448275862068E-3</v>
      </c>
      <c r="BR550">
        <v>4.3103448275862068E-3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2.1551724137931031E-4</v>
      </c>
      <c r="CA550">
        <v>0.1252155172413793</v>
      </c>
      <c r="CB550">
        <v>0</v>
      </c>
    </row>
    <row r="551" spans="1:80">
      <c r="A551">
        <v>550</v>
      </c>
      <c r="B551" t="s">
        <v>79</v>
      </c>
      <c r="C551" s="4" t="s">
        <v>170</v>
      </c>
      <c r="D551" s="4" t="s">
        <v>117</v>
      </c>
      <c r="E551" s="5">
        <v>40260</v>
      </c>
      <c r="F551" s="5">
        <v>40259</v>
      </c>
      <c r="G551">
        <v>1003</v>
      </c>
      <c r="H551" s="4" t="s">
        <v>107</v>
      </c>
      <c r="I551" s="4" t="s">
        <v>108</v>
      </c>
      <c r="J551" s="4" t="str">
        <f t="shared" si="8"/>
        <v>u_con.c_con</v>
      </c>
      <c r="K551" s="5">
        <v>19</v>
      </c>
      <c r="L551">
        <v>4.3366801965392006E-2</v>
      </c>
      <c r="M551">
        <v>0.12497329630420848</v>
      </c>
      <c r="N551">
        <v>0.26490066225165548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2.6703695791497537E-2</v>
      </c>
      <c r="AF551">
        <v>0</v>
      </c>
      <c r="AG551">
        <v>0</v>
      </c>
      <c r="AH551">
        <v>4.2725913266396061E-3</v>
      </c>
      <c r="AI551">
        <v>0.14526810510574661</v>
      </c>
      <c r="AJ551">
        <v>0.19653920102542186</v>
      </c>
      <c r="AK551">
        <v>0</v>
      </c>
      <c r="AL551">
        <v>0</v>
      </c>
      <c r="AM551">
        <v>0</v>
      </c>
      <c r="AN551">
        <v>5.1271095919675274E-3</v>
      </c>
      <c r="AO551">
        <v>0</v>
      </c>
      <c r="AP551">
        <v>0</v>
      </c>
      <c r="AQ551">
        <v>0</v>
      </c>
      <c r="AR551">
        <v>0</v>
      </c>
      <c r="AS551">
        <v>2.1576586199530012E-2</v>
      </c>
      <c r="AT551">
        <v>4.2725913266396064E-4</v>
      </c>
      <c r="AU551">
        <v>0</v>
      </c>
      <c r="AV551">
        <v>0</v>
      </c>
      <c r="AW551">
        <v>4.4862208929715864E-3</v>
      </c>
      <c r="AX551">
        <v>8.5451826532792121E-3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4.2725913266396061E-3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0.14954069643238618</v>
      </c>
      <c r="CB551">
        <v>0</v>
      </c>
    </row>
    <row r="552" spans="1:80">
      <c r="A552">
        <v>551</v>
      </c>
      <c r="B552" t="s">
        <v>80</v>
      </c>
      <c r="C552" s="4" t="s">
        <v>170</v>
      </c>
      <c r="D552" s="4" t="s">
        <v>117</v>
      </c>
      <c r="E552" s="5">
        <v>40260</v>
      </c>
      <c r="F552" s="5">
        <v>40259</v>
      </c>
      <c r="G552">
        <v>1003</v>
      </c>
      <c r="H552" s="4" t="s">
        <v>107</v>
      </c>
      <c r="I552" s="4" t="s">
        <v>109</v>
      </c>
      <c r="J552" s="4" t="str">
        <f t="shared" si="8"/>
        <v>u_con.c_rem</v>
      </c>
      <c r="K552" s="5">
        <v>2</v>
      </c>
      <c r="L552">
        <v>2.2182786157941438E-4</v>
      </c>
      <c r="M552">
        <v>0.13753327417923691</v>
      </c>
      <c r="N552">
        <v>0.42147293700088723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2.2182786157941438E-4</v>
      </c>
      <c r="AF552">
        <v>0</v>
      </c>
      <c r="AG552">
        <v>0</v>
      </c>
      <c r="AH552">
        <v>0</v>
      </c>
      <c r="AI552">
        <v>2.728482697426797E-2</v>
      </c>
      <c r="AJ552">
        <v>0.24401064773735581</v>
      </c>
      <c r="AK552">
        <v>0</v>
      </c>
      <c r="AL552">
        <v>0</v>
      </c>
      <c r="AM552">
        <v>0</v>
      </c>
      <c r="AN552">
        <v>4.4365572315882877E-4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1.3309671694764866E-2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0.15527950310559008</v>
      </c>
      <c r="CB552">
        <v>0</v>
      </c>
    </row>
    <row r="553" spans="1:80">
      <c r="A553">
        <v>552</v>
      </c>
      <c r="B553" t="s">
        <v>81</v>
      </c>
      <c r="C553" s="4" t="s">
        <v>170</v>
      </c>
      <c r="D553" s="4" t="s">
        <v>117</v>
      </c>
      <c r="E553" s="5">
        <v>40260</v>
      </c>
      <c r="F553" s="5">
        <v>40259</v>
      </c>
      <c r="G553">
        <v>1003</v>
      </c>
      <c r="H553" s="4" t="s">
        <v>107</v>
      </c>
      <c r="I553" s="4" t="s">
        <v>108</v>
      </c>
      <c r="J553" s="4" t="str">
        <f t="shared" si="8"/>
        <v>u_con.c_con</v>
      </c>
      <c r="K553" s="5">
        <v>19</v>
      </c>
      <c r="L553">
        <v>3.5767511177347236E-2</v>
      </c>
      <c r="M553">
        <v>2.6328862394436162E-2</v>
      </c>
      <c r="N553">
        <v>0.24838549428713361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4.9677098857426726E-4</v>
      </c>
      <c r="AF553">
        <v>0</v>
      </c>
      <c r="AG553">
        <v>0</v>
      </c>
      <c r="AH553">
        <v>0</v>
      </c>
      <c r="AI553">
        <v>0.10481867858917039</v>
      </c>
      <c r="AJ553">
        <v>0.28340784898161941</v>
      </c>
      <c r="AK553">
        <v>0</v>
      </c>
      <c r="AL553">
        <v>0</v>
      </c>
      <c r="AM553">
        <v>0</v>
      </c>
      <c r="AN553">
        <v>1.0432190760059612E-2</v>
      </c>
      <c r="AO553">
        <v>0</v>
      </c>
      <c r="AP553">
        <v>0</v>
      </c>
      <c r="AQ553">
        <v>0</v>
      </c>
      <c r="AR553">
        <v>0</v>
      </c>
      <c r="AS553">
        <v>1.4903129657228018E-2</v>
      </c>
      <c r="AT553">
        <v>7.4515648286140079E-4</v>
      </c>
      <c r="AU553">
        <v>0</v>
      </c>
      <c r="AV553">
        <v>3.0303030303030297E-2</v>
      </c>
      <c r="AW553">
        <v>4.9677098857426726E-4</v>
      </c>
      <c r="AX553">
        <v>2.4838549428713363E-4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0.24341778440139089</v>
      </c>
      <c r="CB553">
        <v>0</v>
      </c>
    </row>
    <row r="554" spans="1:80" s="1" customFormat="1">
      <c r="A554">
        <v>553</v>
      </c>
      <c r="B554" t="s">
        <v>82</v>
      </c>
      <c r="C554" s="4" t="s">
        <v>171</v>
      </c>
      <c r="D554" s="4" t="s">
        <v>118</v>
      </c>
      <c r="E554" s="5">
        <v>40259</v>
      </c>
      <c r="F554" s="5">
        <v>40259</v>
      </c>
      <c r="G554">
        <v>1003</v>
      </c>
      <c r="H554" s="4" t="s">
        <v>110</v>
      </c>
      <c r="I554" s="4" t="s">
        <v>109</v>
      </c>
      <c r="J554" s="4" t="str">
        <f t="shared" si="8"/>
        <v>u_rem.c_rem</v>
      </c>
      <c r="K554" s="5">
        <v>1</v>
      </c>
      <c r="L554" s="1">
        <v>9.8789824648061256E-3</v>
      </c>
      <c r="M554" s="1">
        <v>0.11360829834527045</v>
      </c>
      <c r="N554" s="1">
        <v>5.9273894788836753E-2</v>
      </c>
      <c r="O554" s="1">
        <v>4.4455421091627562E-2</v>
      </c>
      <c r="P554" s="1">
        <v>0</v>
      </c>
      <c r="Q554" s="1">
        <v>0</v>
      </c>
      <c r="R554" s="1">
        <v>0</v>
      </c>
      <c r="S554" s="1">
        <v>0</v>
      </c>
      <c r="T554" s="1">
        <v>4.9394912324030628E-3</v>
      </c>
      <c r="U554" s="1">
        <v>0</v>
      </c>
      <c r="V554" s="1">
        <v>0</v>
      </c>
      <c r="W554" s="1">
        <v>0</v>
      </c>
      <c r="X554" s="1">
        <v>0</v>
      </c>
      <c r="Y554" s="1">
        <v>2.9636947394418373E-2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4.9394912324030628E-3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3.1365769325759449E-2</v>
      </c>
      <c r="AO554" s="1">
        <v>0</v>
      </c>
      <c r="AP554" s="1">
        <v>0</v>
      </c>
      <c r="AQ554" s="1">
        <v>1.9757964929612251E-2</v>
      </c>
      <c r="AR554" s="1">
        <v>0</v>
      </c>
      <c r="AS554" s="1">
        <v>4.9394912324030628E-3</v>
      </c>
      <c r="AT554" s="1">
        <v>0</v>
      </c>
      <c r="AU554" s="1">
        <v>0</v>
      </c>
      <c r="AV554" s="1">
        <v>0</v>
      </c>
      <c r="AW554" s="1">
        <v>0</v>
      </c>
      <c r="AX554" s="1">
        <v>9.8789824648061256E-3</v>
      </c>
      <c r="AY554" s="1">
        <v>0</v>
      </c>
      <c r="AZ554" s="1">
        <v>0</v>
      </c>
      <c r="BA554" s="1">
        <v>0.31612743887379591</v>
      </c>
      <c r="BB554" s="1">
        <v>0.21239812299333163</v>
      </c>
      <c r="BC554" s="1">
        <v>0</v>
      </c>
      <c r="BD554" s="1">
        <v>0</v>
      </c>
      <c r="BE554" s="1">
        <v>0.12398122993331685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1.4818473697209187E-2</v>
      </c>
      <c r="CB554" s="1">
        <v>0</v>
      </c>
    </row>
    <row r="555" spans="1:80" s="1" customFormat="1">
      <c r="A555">
        <v>554</v>
      </c>
      <c r="B555" t="s">
        <v>83</v>
      </c>
      <c r="C555" s="4" t="s">
        <v>171</v>
      </c>
      <c r="D555" s="4" t="s">
        <v>118</v>
      </c>
      <c r="E555" s="5">
        <v>40259</v>
      </c>
      <c r="F555" s="5">
        <v>40259</v>
      </c>
      <c r="G555">
        <v>1003</v>
      </c>
      <c r="H555" s="4" t="s">
        <v>110</v>
      </c>
      <c r="I555" s="4" t="s">
        <v>108</v>
      </c>
      <c r="J555" s="4" t="str">
        <f t="shared" si="8"/>
        <v>u_rem.c_con</v>
      </c>
      <c r="K555" s="5">
        <v>8</v>
      </c>
      <c r="L555">
        <v>6.9592628516003882E-2</v>
      </c>
      <c r="M555">
        <v>0.22381183317167794</v>
      </c>
      <c r="N555">
        <v>0.10669253152279343</v>
      </c>
      <c r="O555">
        <v>0</v>
      </c>
      <c r="P555">
        <v>0</v>
      </c>
      <c r="Q555">
        <v>0.17967992240543162</v>
      </c>
      <c r="R555">
        <v>0</v>
      </c>
      <c r="S555">
        <v>0</v>
      </c>
      <c r="T555">
        <v>5.092143549951504E-3</v>
      </c>
      <c r="U555">
        <v>0</v>
      </c>
      <c r="V555">
        <v>0</v>
      </c>
      <c r="W555">
        <v>0</v>
      </c>
      <c r="X555">
        <v>0</v>
      </c>
      <c r="Y555">
        <v>4.849660523763337E-3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1.9398642095053348E-2</v>
      </c>
      <c r="AF555">
        <v>0</v>
      </c>
      <c r="AG555">
        <v>0</v>
      </c>
      <c r="AH555">
        <v>0</v>
      </c>
      <c r="AI555">
        <v>5.334626576139671E-3</v>
      </c>
      <c r="AJ555">
        <v>0</v>
      </c>
      <c r="AK555">
        <v>0</v>
      </c>
      <c r="AL555">
        <v>0</v>
      </c>
      <c r="AM555">
        <v>0</v>
      </c>
      <c r="AN555">
        <v>1.0426770126091174E-2</v>
      </c>
      <c r="AO555">
        <v>0</v>
      </c>
      <c r="AP555">
        <v>0</v>
      </c>
      <c r="AQ555">
        <v>2.9097963142580018E-2</v>
      </c>
      <c r="AR555">
        <v>0</v>
      </c>
      <c r="AS555">
        <v>4.849660523763337E-3</v>
      </c>
      <c r="AT555">
        <v>0</v>
      </c>
      <c r="AU555">
        <v>0</v>
      </c>
      <c r="AV555">
        <v>0</v>
      </c>
      <c r="AW555">
        <v>0</v>
      </c>
      <c r="AX555">
        <v>4.849660523763337E-3</v>
      </c>
      <c r="AY555">
        <v>4.849660523763337E-3</v>
      </c>
      <c r="AZ555">
        <v>0</v>
      </c>
      <c r="BA555">
        <v>0.12124151309408344</v>
      </c>
      <c r="BB555">
        <v>9.3113482056256067E-2</v>
      </c>
      <c r="BC555">
        <v>0</v>
      </c>
      <c r="BD555">
        <v>0</v>
      </c>
      <c r="BE555">
        <v>6.3530552861299702E-2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2.4248302618816683E-4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5.3346265761396693E-2</v>
      </c>
      <c r="CB555">
        <v>0</v>
      </c>
    </row>
    <row r="556" spans="1:80">
      <c r="A556">
        <v>555</v>
      </c>
      <c r="B556" t="s">
        <v>84</v>
      </c>
      <c r="C556" s="4" t="s">
        <v>171</v>
      </c>
      <c r="D556" s="4" t="s">
        <v>118</v>
      </c>
      <c r="E556" s="5">
        <v>40259</v>
      </c>
      <c r="F556" s="5">
        <v>40259</v>
      </c>
      <c r="G556">
        <v>1003</v>
      </c>
      <c r="H556" s="4" t="s">
        <v>110</v>
      </c>
      <c r="I556" s="4" t="s">
        <v>109</v>
      </c>
      <c r="J556" s="4" t="str">
        <f t="shared" si="8"/>
        <v>u_rem.c_rem</v>
      </c>
      <c r="K556" s="5">
        <v>1</v>
      </c>
      <c r="L556" s="1">
        <v>0</v>
      </c>
      <c r="M556" s="1">
        <v>7.3253833049403722E-2</v>
      </c>
      <c r="N556" s="1">
        <v>5.8651740082745173E-2</v>
      </c>
      <c r="O556" s="1">
        <v>2.9204185933317101E-2</v>
      </c>
      <c r="P556" s="1">
        <v>0</v>
      </c>
      <c r="Q556" s="1">
        <v>9.7347286444390349E-3</v>
      </c>
      <c r="R556" s="1">
        <v>0</v>
      </c>
      <c r="S556" s="1">
        <v>0</v>
      </c>
      <c r="T556" s="1">
        <v>4.8673643222195175E-3</v>
      </c>
      <c r="U556" s="1">
        <v>0</v>
      </c>
      <c r="V556" s="1">
        <v>0</v>
      </c>
      <c r="W556" s="1">
        <v>0</v>
      </c>
      <c r="X556" s="1">
        <v>0</v>
      </c>
      <c r="Y556" s="1">
        <v>9.7347286444390349E-3</v>
      </c>
      <c r="Z556" s="1">
        <v>9.7347286444390349E-3</v>
      </c>
      <c r="AA556" s="1">
        <v>0</v>
      </c>
      <c r="AB556" s="1">
        <v>0</v>
      </c>
      <c r="AC556" s="1">
        <v>0</v>
      </c>
      <c r="AD556" s="1">
        <v>0</v>
      </c>
      <c r="AE556" s="1">
        <v>1.4602092966658552E-2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9.7347286444390349E-3</v>
      </c>
      <c r="AM556" s="1">
        <v>0</v>
      </c>
      <c r="AN556" s="1">
        <v>1.0951569724993913E-2</v>
      </c>
      <c r="AO556" s="1">
        <v>0</v>
      </c>
      <c r="AP556" s="1">
        <v>0</v>
      </c>
      <c r="AQ556" s="1">
        <v>4.8673643222195175E-3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9.7347286444390349E-3</v>
      </c>
      <c r="AY556" s="1">
        <v>0</v>
      </c>
      <c r="AZ556" s="1">
        <v>0</v>
      </c>
      <c r="BA556" s="1">
        <v>0.39912387442200037</v>
      </c>
      <c r="BB556" s="1">
        <v>0.11194937941104892</v>
      </c>
      <c r="BC556" s="1">
        <v>0</v>
      </c>
      <c r="BD556" s="1">
        <v>0</v>
      </c>
      <c r="BE556" s="1">
        <v>0.18544658067656358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5.8408371866634223E-2</v>
      </c>
      <c r="CB556" s="1">
        <v>0</v>
      </c>
    </row>
    <row r="557" spans="1:80">
      <c r="A557">
        <v>556</v>
      </c>
      <c r="B557" t="s">
        <v>85</v>
      </c>
      <c r="C557" s="4" t="s">
        <v>171</v>
      </c>
      <c r="D557" s="4" t="s">
        <v>118</v>
      </c>
      <c r="E557" s="5">
        <v>40259</v>
      </c>
      <c r="F557" s="5">
        <v>40259</v>
      </c>
      <c r="G557">
        <v>1003</v>
      </c>
      <c r="H557" s="4" t="s">
        <v>110</v>
      </c>
      <c r="I557" s="4" t="s">
        <v>108</v>
      </c>
      <c r="J557" s="4" t="str">
        <f t="shared" si="8"/>
        <v>u_rem.c_con</v>
      </c>
      <c r="K557" s="5">
        <v>8</v>
      </c>
      <c r="L557">
        <v>4.0997706422018346E-2</v>
      </c>
      <c r="M557">
        <v>0.3500573394495412</v>
      </c>
      <c r="N557">
        <v>4.0424311926605498E-2</v>
      </c>
      <c r="O557">
        <v>5.7339449541284407E-3</v>
      </c>
      <c r="P557">
        <v>0</v>
      </c>
      <c r="Q557">
        <v>0.10378440366972477</v>
      </c>
      <c r="R557">
        <v>0</v>
      </c>
      <c r="S557">
        <v>0</v>
      </c>
      <c r="T557">
        <v>2.3222477064220183E-2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5.7339449541284407E-3</v>
      </c>
      <c r="AE557">
        <v>5.275229357798164E-2</v>
      </c>
      <c r="AF557">
        <v>0</v>
      </c>
      <c r="AG557">
        <v>0</v>
      </c>
      <c r="AH557">
        <v>0</v>
      </c>
      <c r="AI557">
        <v>6.8807339449541288E-3</v>
      </c>
      <c r="AJ557">
        <v>0</v>
      </c>
      <c r="AK557">
        <v>0</v>
      </c>
      <c r="AL557">
        <v>0</v>
      </c>
      <c r="AM557">
        <v>0</v>
      </c>
      <c r="AN557">
        <v>2.8669724770642198E-4</v>
      </c>
      <c r="AO557">
        <v>0</v>
      </c>
      <c r="AP557">
        <v>0</v>
      </c>
      <c r="AQ557">
        <v>4.7305045871559627E-2</v>
      </c>
      <c r="AR557">
        <v>0</v>
      </c>
      <c r="AS557">
        <v>1.7488532110091746E-2</v>
      </c>
      <c r="AT557">
        <v>0</v>
      </c>
      <c r="AU557">
        <v>0</v>
      </c>
      <c r="AV557">
        <v>0</v>
      </c>
      <c r="AW557">
        <v>0</v>
      </c>
      <c r="AX557">
        <v>2.86697247706422E-2</v>
      </c>
      <c r="AY557">
        <v>5.7339449541284407E-3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3.5550458715596325E-2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1.1467889908256881E-2</v>
      </c>
      <c r="BX557">
        <v>0</v>
      </c>
      <c r="BY557">
        <v>0</v>
      </c>
      <c r="BZ557">
        <v>0</v>
      </c>
      <c r="CA557">
        <v>0.22391055045871558</v>
      </c>
      <c r="CB557">
        <v>0</v>
      </c>
    </row>
    <row r="558" spans="1:80">
      <c r="A558">
        <v>557</v>
      </c>
      <c r="B558" t="s">
        <v>86</v>
      </c>
      <c r="C558" s="4" t="s">
        <v>172</v>
      </c>
      <c r="D558" s="4" t="s">
        <v>118</v>
      </c>
      <c r="E558" s="5">
        <v>40259</v>
      </c>
      <c r="F558" s="5">
        <v>40259</v>
      </c>
      <c r="G558">
        <v>1003</v>
      </c>
      <c r="H558" s="4" t="s">
        <v>107</v>
      </c>
      <c r="I558" s="4" t="s">
        <v>108</v>
      </c>
      <c r="J558" s="4" t="str">
        <f t="shared" si="8"/>
        <v>u_con.c_con</v>
      </c>
      <c r="K558" s="5">
        <v>19</v>
      </c>
      <c r="L558">
        <v>0</v>
      </c>
      <c r="M558">
        <v>5.8626090848064458E-2</v>
      </c>
      <c r="N558">
        <v>0.10293130454240328</v>
      </c>
      <c r="O558">
        <v>2.2376370552696357E-4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2.2376370552696357E-4</v>
      </c>
      <c r="Y558">
        <v>6.7129111658089075E-2</v>
      </c>
      <c r="Z558">
        <v>8.9505482210785435E-3</v>
      </c>
      <c r="AA558">
        <v>0</v>
      </c>
      <c r="AB558">
        <v>0</v>
      </c>
      <c r="AC558">
        <v>9.1743119266055068E-3</v>
      </c>
      <c r="AD558">
        <v>0</v>
      </c>
      <c r="AE558">
        <v>3.5802192884314167E-2</v>
      </c>
      <c r="AF558">
        <v>0</v>
      </c>
      <c r="AG558">
        <v>0</v>
      </c>
      <c r="AH558">
        <v>0</v>
      </c>
      <c r="AI558">
        <v>6.7129111658089074E-4</v>
      </c>
      <c r="AJ558">
        <v>0</v>
      </c>
      <c r="AK558">
        <v>0</v>
      </c>
      <c r="AL558">
        <v>0</v>
      </c>
      <c r="AM558">
        <v>0</v>
      </c>
      <c r="AN558">
        <v>5.594092638174091E-3</v>
      </c>
      <c r="AO558">
        <v>0</v>
      </c>
      <c r="AP558">
        <v>0</v>
      </c>
      <c r="AQ558">
        <v>0</v>
      </c>
      <c r="AR558">
        <v>0</v>
      </c>
      <c r="AS558">
        <v>4.5200268516446644E-2</v>
      </c>
      <c r="AT558">
        <v>8.9505482210785429E-4</v>
      </c>
      <c r="AU558">
        <v>0</v>
      </c>
      <c r="AV558">
        <v>0</v>
      </c>
      <c r="AW558">
        <v>1.3425822331617814E-2</v>
      </c>
      <c r="AX558">
        <v>2.2376370552696357E-4</v>
      </c>
      <c r="AY558">
        <v>0</v>
      </c>
      <c r="AZ558">
        <v>0</v>
      </c>
      <c r="BA558">
        <v>0.19266055045871558</v>
      </c>
      <c r="BB558">
        <v>5.8626090848064472E-2</v>
      </c>
      <c r="BC558">
        <v>0</v>
      </c>
      <c r="BD558">
        <v>0</v>
      </c>
      <c r="BE558">
        <v>7.2051913179682278E-2</v>
      </c>
      <c r="BF558">
        <v>4.9228015215931993E-3</v>
      </c>
      <c r="BG558">
        <v>0</v>
      </c>
      <c r="BH558">
        <v>0</v>
      </c>
      <c r="BI558">
        <v>0</v>
      </c>
      <c r="BJ558">
        <v>0</v>
      </c>
      <c r="BK558">
        <v>4.6990378160662351E-3</v>
      </c>
      <c r="BL558">
        <v>0</v>
      </c>
      <c r="BM558">
        <v>0</v>
      </c>
      <c r="BN558">
        <v>9.1743119266055068E-3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4.4752741105392718E-3</v>
      </c>
      <c r="BZ558">
        <v>0</v>
      </c>
      <c r="CA558">
        <v>0.30431863951667038</v>
      </c>
      <c r="CB558">
        <v>0</v>
      </c>
    </row>
    <row r="559" spans="1:80" s="1" customFormat="1">
      <c r="A559">
        <v>558</v>
      </c>
      <c r="B559" t="s">
        <v>87</v>
      </c>
      <c r="C559" s="4" t="s">
        <v>172</v>
      </c>
      <c r="D559" s="4" t="s">
        <v>118</v>
      </c>
      <c r="E559" s="5">
        <v>40259</v>
      </c>
      <c r="F559" s="5">
        <v>40259</v>
      </c>
      <c r="G559">
        <v>1003</v>
      </c>
      <c r="H559" s="4" t="s">
        <v>107</v>
      </c>
      <c r="I559" s="4" t="s">
        <v>109</v>
      </c>
      <c r="J559" s="4" t="str">
        <f t="shared" si="8"/>
        <v>u_con.c_rem</v>
      </c>
      <c r="K559" s="5">
        <v>2</v>
      </c>
      <c r="L559">
        <v>0</v>
      </c>
      <c r="M559">
        <v>4.4858982900288696E-2</v>
      </c>
      <c r="N559">
        <v>0.12902509438152346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8.8829669109482569E-3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0.13346657783699753</v>
      </c>
      <c r="AF559">
        <v>0</v>
      </c>
      <c r="AG559">
        <v>0</v>
      </c>
      <c r="AH559">
        <v>0</v>
      </c>
      <c r="AI559">
        <v>3.6198090162114144E-2</v>
      </c>
      <c r="AJ559">
        <v>0</v>
      </c>
      <c r="AK559">
        <v>0</v>
      </c>
      <c r="AL559">
        <v>0</v>
      </c>
      <c r="AM559">
        <v>0.11592271818787474</v>
      </c>
      <c r="AN559">
        <v>4.8856318010215413E-3</v>
      </c>
      <c r="AO559">
        <v>0</v>
      </c>
      <c r="AP559">
        <v>0</v>
      </c>
      <c r="AQ559">
        <v>0</v>
      </c>
      <c r="AR559">
        <v>0</v>
      </c>
      <c r="AS559">
        <v>2.220741727737064E-2</v>
      </c>
      <c r="AT559">
        <v>2.2207417277370642E-4</v>
      </c>
      <c r="AU559">
        <v>4.4414834554741284E-3</v>
      </c>
      <c r="AV559">
        <v>0</v>
      </c>
      <c r="AW559">
        <v>0</v>
      </c>
      <c r="AX559">
        <v>2.2207417277370642E-4</v>
      </c>
      <c r="AY559">
        <v>0</v>
      </c>
      <c r="AZ559">
        <v>0</v>
      </c>
      <c r="BA559">
        <v>0.27981345769487004</v>
      </c>
      <c r="BB559">
        <v>7.6171441261381298E-2</v>
      </c>
      <c r="BC559">
        <v>0</v>
      </c>
      <c r="BD559">
        <v>0</v>
      </c>
      <c r="BE559">
        <v>5.8405507439484784E-2</v>
      </c>
      <c r="BF559">
        <v>2.2207417277370642E-4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9.3271152564956706E-3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7.572729291583391E-2</v>
      </c>
      <c r="CB559">
        <v>0</v>
      </c>
    </row>
    <row r="560" spans="1:80">
      <c r="A560">
        <v>559</v>
      </c>
      <c r="B560" t="s">
        <v>88</v>
      </c>
      <c r="C560" s="4" t="s">
        <v>172</v>
      </c>
      <c r="D560" s="4" t="s">
        <v>118</v>
      </c>
      <c r="E560" s="5">
        <v>40259</v>
      </c>
      <c r="F560" s="5">
        <v>40259</v>
      </c>
      <c r="G560">
        <v>1003</v>
      </c>
      <c r="H560" s="4" t="s">
        <v>107</v>
      </c>
      <c r="I560" s="4" t="s">
        <v>109</v>
      </c>
      <c r="J560" s="4" t="str">
        <f t="shared" si="8"/>
        <v>u_con.c_rem</v>
      </c>
      <c r="K560" s="5">
        <v>2</v>
      </c>
      <c r="L560">
        <v>0</v>
      </c>
      <c r="M560">
        <v>2.635494155154091E-2</v>
      </c>
      <c r="N560">
        <v>0.27205100956429312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4.463336875664187E-3</v>
      </c>
      <c r="Y560">
        <v>0</v>
      </c>
      <c r="Z560">
        <v>1.2964930924548351E-2</v>
      </c>
      <c r="AA560">
        <v>0</v>
      </c>
      <c r="AB560">
        <v>0</v>
      </c>
      <c r="AC560">
        <v>0</v>
      </c>
      <c r="AD560">
        <v>0</v>
      </c>
      <c r="AE560">
        <v>2.9968119022316681E-2</v>
      </c>
      <c r="AF560">
        <v>0</v>
      </c>
      <c r="AG560">
        <v>0</v>
      </c>
      <c r="AH560">
        <v>4.2507970244420824E-4</v>
      </c>
      <c r="AI560">
        <v>3.9319872476089264E-2</v>
      </c>
      <c r="AJ560">
        <v>0</v>
      </c>
      <c r="AK560">
        <v>0</v>
      </c>
      <c r="AL560">
        <v>0</v>
      </c>
      <c r="AM560">
        <v>0.11498405951115834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3.4218916046758759E-2</v>
      </c>
      <c r="AT560">
        <v>5.1009564293304993E-3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0.32306057385759823</v>
      </c>
      <c r="BB560">
        <v>1.275239107332625E-2</v>
      </c>
      <c r="BC560">
        <v>0</v>
      </c>
      <c r="BD560">
        <v>0</v>
      </c>
      <c r="BE560">
        <v>2.9968119022316681E-2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4.888416578108395E-3</v>
      </c>
      <c r="BO560">
        <v>0</v>
      </c>
      <c r="BP560">
        <v>0</v>
      </c>
      <c r="BQ560">
        <v>4.2507970244420826E-3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4.2507970244420826E-3</v>
      </c>
      <c r="CA560">
        <v>8.0977683315621676E-2</v>
      </c>
      <c r="CB560">
        <v>0</v>
      </c>
    </row>
    <row r="561" spans="1:80">
      <c r="A561">
        <v>560</v>
      </c>
      <c r="B561" t="s">
        <v>89</v>
      </c>
      <c r="C561" s="4" t="s">
        <v>172</v>
      </c>
      <c r="D561" s="4" t="s">
        <v>118</v>
      </c>
      <c r="E561" s="5">
        <v>40259</v>
      </c>
      <c r="F561" s="5">
        <v>40259</v>
      </c>
      <c r="G561">
        <v>1003</v>
      </c>
      <c r="H561" s="4" t="s">
        <v>107</v>
      </c>
      <c r="I561" s="4" t="s">
        <v>108</v>
      </c>
      <c r="J561" s="4" t="str">
        <f t="shared" si="8"/>
        <v>u_con.c_con</v>
      </c>
      <c r="K561" s="5">
        <v>19</v>
      </c>
      <c r="L561">
        <v>0</v>
      </c>
      <c r="M561">
        <v>4.3823038397328871E-3</v>
      </c>
      <c r="N561">
        <v>0.12959098497495825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4.173622704507511E-4</v>
      </c>
      <c r="Y561">
        <v>3.7562604340567601E-2</v>
      </c>
      <c r="Z561">
        <v>2.0868113522537556E-2</v>
      </c>
      <c r="AA561">
        <v>0</v>
      </c>
      <c r="AB561">
        <v>0</v>
      </c>
      <c r="AC561">
        <v>0</v>
      </c>
      <c r="AD561">
        <v>0</v>
      </c>
      <c r="AE561">
        <v>3.4015025041736216E-2</v>
      </c>
      <c r="AF561">
        <v>0</v>
      </c>
      <c r="AG561">
        <v>0</v>
      </c>
      <c r="AH561">
        <v>4.1736227045075115E-3</v>
      </c>
      <c r="AI561">
        <v>1.7320534223706174E-2</v>
      </c>
      <c r="AJ561">
        <v>0</v>
      </c>
      <c r="AK561">
        <v>0</v>
      </c>
      <c r="AL561">
        <v>0</v>
      </c>
      <c r="AM561">
        <v>8.827212020033387E-2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2.525041736227044E-2</v>
      </c>
      <c r="AT561">
        <v>0</v>
      </c>
      <c r="AU561">
        <v>0</v>
      </c>
      <c r="AV561">
        <v>4.1736227045075115E-3</v>
      </c>
      <c r="AW561">
        <v>0</v>
      </c>
      <c r="AX561">
        <v>4.3823038397328871E-3</v>
      </c>
      <c r="AY561">
        <v>0</v>
      </c>
      <c r="AZ561">
        <v>0</v>
      </c>
      <c r="BA561">
        <v>0.27984140233722854</v>
      </c>
      <c r="BB561">
        <v>4.674457429048412E-2</v>
      </c>
      <c r="BC561">
        <v>0</v>
      </c>
      <c r="BD561">
        <v>0</v>
      </c>
      <c r="BE561">
        <v>5.9891485809682787E-2</v>
      </c>
      <c r="BF561">
        <v>1.3146911519198662E-2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4.3823038397328871E-3</v>
      </c>
      <c r="BO561">
        <v>2.0868113522537555E-4</v>
      </c>
      <c r="BP561">
        <v>4.1736227045075115E-3</v>
      </c>
      <c r="BQ561">
        <v>0</v>
      </c>
      <c r="BR561">
        <v>0</v>
      </c>
      <c r="BS561">
        <v>0</v>
      </c>
      <c r="BT561">
        <v>5.008347245409013E-2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0.17111853088480797</v>
      </c>
      <c r="CB561">
        <v>0</v>
      </c>
    </row>
    <row r="562" spans="1:80">
      <c r="A562">
        <v>561</v>
      </c>
      <c r="B562" t="s">
        <v>90</v>
      </c>
      <c r="C562" s="4" t="s">
        <v>173</v>
      </c>
      <c r="D562" s="4" t="s">
        <v>118</v>
      </c>
      <c r="E562" s="5">
        <v>40259</v>
      </c>
      <c r="F562" s="5">
        <v>40259</v>
      </c>
      <c r="G562">
        <v>1003</v>
      </c>
      <c r="H562" s="4" t="s">
        <v>107</v>
      </c>
      <c r="I562" s="4" t="s">
        <v>108</v>
      </c>
      <c r="J562" s="4" t="str">
        <f t="shared" si="8"/>
        <v>u_con.c_con</v>
      </c>
      <c r="K562" s="5">
        <v>19</v>
      </c>
      <c r="L562">
        <v>4.5578851412944399E-3</v>
      </c>
      <c r="M562">
        <v>4.193254329990885E-2</v>
      </c>
      <c r="N562">
        <v>0.2370100273473108</v>
      </c>
      <c r="O562">
        <v>0</v>
      </c>
      <c r="P562">
        <v>0</v>
      </c>
      <c r="Q562">
        <v>4.5578851412944399E-3</v>
      </c>
      <c r="R562">
        <v>5.0136736554238844E-2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4.5578851412944398E-4</v>
      </c>
      <c r="Y562">
        <v>9.1157702825888798E-3</v>
      </c>
      <c r="Z562">
        <v>3.6463081130355512E-2</v>
      </c>
      <c r="AA562">
        <v>0</v>
      </c>
      <c r="AB562">
        <v>0</v>
      </c>
      <c r="AC562">
        <v>4.5578851412944398E-4</v>
      </c>
      <c r="AD562">
        <v>0</v>
      </c>
      <c r="AE562">
        <v>4.5578851412944398E-2</v>
      </c>
      <c r="AF562">
        <v>0</v>
      </c>
      <c r="AG562">
        <v>0</v>
      </c>
      <c r="AH562">
        <v>0</v>
      </c>
      <c r="AI562">
        <v>1.823154056517776E-2</v>
      </c>
      <c r="AJ562">
        <v>0</v>
      </c>
      <c r="AK562">
        <v>0</v>
      </c>
      <c r="AL562">
        <v>1.8459434822242483E-2</v>
      </c>
      <c r="AM562">
        <v>0</v>
      </c>
      <c r="AN562">
        <v>5.4694621695533284E-3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9.7994530537830471E-3</v>
      </c>
      <c r="AU562">
        <v>0</v>
      </c>
      <c r="AV562">
        <v>0</v>
      </c>
      <c r="AW562">
        <v>0</v>
      </c>
      <c r="AX562">
        <v>5.4694621695533284E-3</v>
      </c>
      <c r="AY562">
        <v>0</v>
      </c>
      <c r="AZ562">
        <v>0</v>
      </c>
      <c r="BA562">
        <v>0.26435733819507751</v>
      </c>
      <c r="BB562">
        <v>6.3810391978122175E-2</v>
      </c>
      <c r="BC562">
        <v>0</v>
      </c>
      <c r="BD562">
        <v>0</v>
      </c>
      <c r="BE562">
        <v>2.8258887876025526E-2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1.8459434822242483E-2</v>
      </c>
      <c r="BO562">
        <v>0</v>
      </c>
      <c r="BP562">
        <v>0</v>
      </c>
      <c r="BQ562">
        <v>0</v>
      </c>
      <c r="BR562">
        <v>4.5578851412944398E-4</v>
      </c>
      <c r="BS562">
        <v>0</v>
      </c>
      <c r="BT562">
        <v>0</v>
      </c>
      <c r="BU562">
        <v>0</v>
      </c>
      <c r="BV562">
        <v>0</v>
      </c>
      <c r="BW562">
        <v>4.5578851412944399E-3</v>
      </c>
      <c r="BX562">
        <v>0</v>
      </c>
      <c r="BY562">
        <v>0</v>
      </c>
      <c r="BZ562">
        <v>2.2789425706472199E-4</v>
      </c>
      <c r="CA562">
        <v>0.13217866909753878</v>
      </c>
      <c r="CB562">
        <v>0</v>
      </c>
    </row>
    <row r="563" spans="1:80">
      <c r="A563">
        <v>562</v>
      </c>
      <c r="B563" t="s">
        <v>91</v>
      </c>
      <c r="C563" s="4" t="s">
        <v>173</v>
      </c>
      <c r="D563" s="4" t="s">
        <v>118</v>
      </c>
      <c r="E563" s="5">
        <v>40259</v>
      </c>
      <c r="F563" s="5">
        <v>40259</v>
      </c>
      <c r="G563">
        <v>1003</v>
      </c>
      <c r="H563" s="4" t="s">
        <v>107</v>
      </c>
      <c r="I563" s="4" t="s">
        <v>109</v>
      </c>
      <c r="J563" s="4" t="str">
        <f t="shared" si="8"/>
        <v>u_con.c_rem</v>
      </c>
      <c r="K563" s="5">
        <v>2</v>
      </c>
      <c r="L563">
        <v>2.9914529914529912E-2</v>
      </c>
      <c r="M563">
        <v>0.11918328584995251</v>
      </c>
      <c r="N563">
        <v>0.19017094017094011</v>
      </c>
      <c r="O563">
        <v>0</v>
      </c>
      <c r="P563">
        <v>0</v>
      </c>
      <c r="Q563">
        <v>3.8461538461538457E-2</v>
      </c>
      <c r="R563">
        <v>5.2231718898385564E-2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4.7483380816714148E-3</v>
      </c>
      <c r="Y563">
        <v>1.4245014245014244E-2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9.7340930674264005E-3</v>
      </c>
      <c r="AF563">
        <v>0</v>
      </c>
      <c r="AG563">
        <v>0</v>
      </c>
      <c r="AH563">
        <v>4.7483380816714148E-3</v>
      </c>
      <c r="AI563">
        <v>1.0208926875593542E-2</v>
      </c>
      <c r="AJ563">
        <v>0</v>
      </c>
      <c r="AK563">
        <v>0</v>
      </c>
      <c r="AL563">
        <v>0</v>
      </c>
      <c r="AM563">
        <v>0</v>
      </c>
      <c r="AN563">
        <v>1.5194681861348529E-2</v>
      </c>
      <c r="AO563">
        <v>0</v>
      </c>
      <c r="AP563">
        <v>0</v>
      </c>
      <c r="AQ563">
        <v>0</v>
      </c>
      <c r="AR563">
        <v>0</v>
      </c>
      <c r="AS563">
        <v>4.9857549857549857E-3</v>
      </c>
      <c r="AT563">
        <v>0</v>
      </c>
      <c r="AU563">
        <v>0</v>
      </c>
      <c r="AV563">
        <v>4.7483380816714148E-3</v>
      </c>
      <c r="AW563">
        <v>0</v>
      </c>
      <c r="AX563">
        <v>9.4966761633428296E-3</v>
      </c>
      <c r="AY563">
        <v>0</v>
      </c>
      <c r="AZ563">
        <v>0</v>
      </c>
      <c r="BA563">
        <v>6.7188983855650516E-2</v>
      </c>
      <c r="BB563">
        <v>2.3979107312440642E-2</v>
      </c>
      <c r="BC563">
        <v>0</v>
      </c>
      <c r="BD563">
        <v>0</v>
      </c>
      <c r="BE563">
        <v>9.5916429249762569E-2</v>
      </c>
      <c r="BF563">
        <v>2.4216524216524215E-2</v>
      </c>
      <c r="BG563">
        <v>0</v>
      </c>
      <c r="BH563">
        <v>0</v>
      </c>
      <c r="BI563">
        <v>0</v>
      </c>
      <c r="BJ563">
        <v>0</v>
      </c>
      <c r="BK563">
        <v>1.9230769230769228E-2</v>
      </c>
      <c r="BL563">
        <v>0</v>
      </c>
      <c r="BM563">
        <v>0</v>
      </c>
      <c r="BN563">
        <v>2.3741690408357073E-4</v>
      </c>
      <c r="BO563">
        <v>4.7483380816714148E-3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0.25641025641025628</v>
      </c>
      <c r="CB563">
        <v>0</v>
      </c>
    </row>
    <row r="564" spans="1:80">
      <c r="A564">
        <v>563</v>
      </c>
      <c r="B564" t="s">
        <v>92</v>
      </c>
      <c r="C564" s="4" t="s">
        <v>173</v>
      </c>
      <c r="D564" s="4" t="s">
        <v>118</v>
      </c>
      <c r="E564" s="5">
        <v>40259</v>
      </c>
      <c r="F564" s="5">
        <v>40259</v>
      </c>
      <c r="G564">
        <v>1003</v>
      </c>
      <c r="H564" s="4" t="s">
        <v>107</v>
      </c>
      <c r="I564" s="4" t="s">
        <v>108</v>
      </c>
      <c r="J564" s="4" t="str">
        <f t="shared" si="8"/>
        <v>u_con.c_con</v>
      </c>
      <c r="K564" s="5">
        <v>19</v>
      </c>
      <c r="L564">
        <v>2.7828886844526217E-2</v>
      </c>
      <c r="M564">
        <v>3.3118675252989879E-2</v>
      </c>
      <c r="N564">
        <v>0.22539098436062549</v>
      </c>
      <c r="O564">
        <v>0</v>
      </c>
      <c r="P564">
        <v>0</v>
      </c>
      <c r="Q564">
        <v>1.8629254829806808E-2</v>
      </c>
      <c r="R564">
        <v>6.8997240110395583E-2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2.2999080036798525E-4</v>
      </c>
      <c r="Y564">
        <v>9.4296228150873955E-3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9.1996320147194107E-3</v>
      </c>
      <c r="AF564">
        <v>0</v>
      </c>
      <c r="AG564">
        <v>0</v>
      </c>
      <c r="AH564">
        <v>9.1996320147194107E-3</v>
      </c>
      <c r="AI564">
        <v>2.3459061637534497E-2</v>
      </c>
      <c r="AJ564">
        <v>0</v>
      </c>
      <c r="AK564">
        <v>0</v>
      </c>
      <c r="AL564">
        <v>0</v>
      </c>
      <c r="AM564">
        <v>0</v>
      </c>
      <c r="AN564">
        <v>1.1499540018399263E-3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9.1996320147194101E-4</v>
      </c>
      <c r="AU564">
        <v>0</v>
      </c>
      <c r="AV564">
        <v>0</v>
      </c>
      <c r="AW564">
        <v>4.5998160073597054E-3</v>
      </c>
      <c r="AX564">
        <v>4.5998160073597054E-3</v>
      </c>
      <c r="AY564">
        <v>0</v>
      </c>
      <c r="AZ564">
        <v>4.5998160073597054E-3</v>
      </c>
      <c r="BA564">
        <v>0.26724931002759872</v>
      </c>
      <c r="BB564">
        <v>2.3229070837166511E-2</v>
      </c>
      <c r="BC564">
        <v>0</v>
      </c>
      <c r="BD564">
        <v>0</v>
      </c>
      <c r="BE564">
        <v>7.9116835326586935E-2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4.5998160073597054E-3</v>
      </c>
      <c r="BO564">
        <v>0</v>
      </c>
      <c r="BP564">
        <v>4.5998160073597054E-3</v>
      </c>
      <c r="BQ564">
        <v>2.2999080036798525E-4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0.1796228150873965</v>
      </c>
      <c r="CB564">
        <v>0</v>
      </c>
    </row>
    <row r="565" spans="1:80">
      <c r="A565">
        <v>564</v>
      </c>
      <c r="B565" t="s">
        <v>93</v>
      </c>
      <c r="C565" s="4" t="s">
        <v>173</v>
      </c>
      <c r="D565" s="4" t="s">
        <v>118</v>
      </c>
      <c r="E565" s="5">
        <v>40259</v>
      </c>
      <c r="F565" s="5">
        <v>40259</v>
      </c>
      <c r="G565">
        <v>1003</v>
      </c>
      <c r="H565" s="4" t="s">
        <v>107</v>
      </c>
      <c r="I565" s="4" t="s">
        <v>109</v>
      </c>
      <c r="J565" s="4" t="str">
        <f t="shared" si="8"/>
        <v>u_con.c_rem</v>
      </c>
      <c r="K565" s="5">
        <v>2</v>
      </c>
      <c r="L565">
        <v>8.5792006695961515E-3</v>
      </c>
      <c r="M565">
        <v>4.6243984097091441E-2</v>
      </c>
      <c r="N565">
        <v>0.16321406151914625</v>
      </c>
      <c r="O565">
        <v>0</v>
      </c>
      <c r="P565">
        <v>0</v>
      </c>
      <c r="Q565">
        <v>1.2973425402803936E-2</v>
      </c>
      <c r="R565">
        <v>8.3699518727767319E-2</v>
      </c>
      <c r="S565">
        <v>0</v>
      </c>
      <c r="T565">
        <v>4.1849759363883658E-3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6.319313663946434E-2</v>
      </c>
      <c r="AF565">
        <v>0</v>
      </c>
      <c r="AG565">
        <v>0</v>
      </c>
      <c r="AH565">
        <v>2.5109855618330193E-2</v>
      </c>
      <c r="AI565">
        <v>8.3699518727767316E-3</v>
      </c>
      <c r="AJ565">
        <v>0</v>
      </c>
      <c r="AK565">
        <v>0</v>
      </c>
      <c r="AL565">
        <v>4.1849759363883658E-3</v>
      </c>
      <c r="AM565">
        <v>0</v>
      </c>
      <c r="AN565">
        <v>1.2764176605984518E-2</v>
      </c>
      <c r="AO565">
        <v>0</v>
      </c>
      <c r="AP565">
        <v>0</v>
      </c>
      <c r="AQ565">
        <v>0</v>
      </c>
      <c r="AR565">
        <v>0</v>
      </c>
      <c r="AS565">
        <v>2.092487968194183E-2</v>
      </c>
      <c r="AT565">
        <v>0</v>
      </c>
      <c r="AU565">
        <v>0</v>
      </c>
      <c r="AV565">
        <v>0</v>
      </c>
      <c r="AW565">
        <v>0</v>
      </c>
      <c r="AX565">
        <v>1.6739903745553463E-2</v>
      </c>
      <c r="AY565">
        <v>0</v>
      </c>
      <c r="AZ565">
        <v>2.5109855618330193E-2</v>
      </c>
      <c r="BA565">
        <v>0.20087884494664152</v>
      </c>
      <c r="BB565">
        <v>8.0142289181837231E-2</v>
      </c>
      <c r="BC565">
        <v>0</v>
      </c>
      <c r="BD565">
        <v>0</v>
      </c>
      <c r="BE565">
        <v>5.1265955220757477E-2</v>
      </c>
      <c r="BF565">
        <v>2.0924879681941829E-4</v>
      </c>
      <c r="BG565">
        <v>0</v>
      </c>
      <c r="BH565">
        <v>0</v>
      </c>
      <c r="BI565">
        <v>0</v>
      </c>
      <c r="BJ565">
        <v>0</v>
      </c>
      <c r="BK565">
        <v>8.3699518727767316E-3</v>
      </c>
      <c r="BL565">
        <v>0</v>
      </c>
      <c r="BM565">
        <v>0</v>
      </c>
      <c r="BN565">
        <v>4.3942247332077848E-3</v>
      </c>
      <c r="BO565">
        <v>4.1849759363883658E-3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2.0924879681941829E-4</v>
      </c>
      <c r="BZ565">
        <v>2.0924879681941829E-4</v>
      </c>
      <c r="CA565">
        <v>0.15484410964636952</v>
      </c>
      <c r="CB565">
        <v>0</v>
      </c>
    </row>
    <row r="566" spans="1:80">
      <c r="A566">
        <v>565</v>
      </c>
      <c r="B566" t="s">
        <v>94</v>
      </c>
      <c r="C566" s="4" t="s">
        <v>174</v>
      </c>
      <c r="D566" s="4" t="s">
        <v>118</v>
      </c>
      <c r="E566" s="5">
        <v>40259</v>
      </c>
      <c r="F566" s="5">
        <v>40259</v>
      </c>
      <c r="G566">
        <v>1003</v>
      </c>
      <c r="H566" s="4" t="s">
        <v>110</v>
      </c>
      <c r="I566" s="4" t="s">
        <v>108</v>
      </c>
      <c r="J566" s="4" t="str">
        <f t="shared" si="8"/>
        <v>u_rem.c_con</v>
      </c>
      <c r="K566" s="5">
        <v>8</v>
      </c>
      <c r="L566">
        <v>5.2556139512661249E-2</v>
      </c>
      <c r="M566">
        <v>9.1495461060678476E-2</v>
      </c>
      <c r="N566">
        <v>0.43956043956043955</v>
      </c>
      <c r="O566">
        <v>0</v>
      </c>
      <c r="P566">
        <v>0</v>
      </c>
      <c r="Q566">
        <v>4.7778308647873869E-3</v>
      </c>
      <c r="R566">
        <v>5.2556139512661255E-2</v>
      </c>
      <c r="S566">
        <v>0</v>
      </c>
      <c r="T566">
        <v>2.3889154323936934E-4</v>
      </c>
      <c r="U566">
        <v>0</v>
      </c>
      <c r="V566">
        <v>0</v>
      </c>
      <c r="W566">
        <v>0</v>
      </c>
      <c r="X566">
        <v>4.7778308647873869E-3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1.9111323459149548E-2</v>
      </c>
      <c r="AI566">
        <v>3.0100334448160536E-2</v>
      </c>
      <c r="AJ566">
        <v>1.4333492594362162E-2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2.3889154323936934E-4</v>
      </c>
      <c r="AT566">
        <v>6.2111801242236029E-3</v>
      </c>
      <c r="AU566">
        <v>0</v>
      </c>
      <c r="AV566">
        <v>0</v>
      </c>
      <c r="AW566">
        <v>1.9827998088867656E-2</v>
      </c>
      <c r="AX566">
        <v>0</v>
      </c>
      <c r="AY566">
        <v>0</v>
      </c>
      <c r="AZ566">
        <v>4.7778308647873868E-4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5.016722408026756E-3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0.25322503583373146</v>
      </c>
      <c r="CB566">
        <v>5.4945054945054949E-3</v>
      </c>
    </row>
    <row r="567" spans="1:80">
      <c r="A567">
        <v>566</v>
      </c>
      <c r="B567" t="s">
        <v>95</v>
      </c>
      <c r="C567" s="4" t="s">
        <v>174</v>
      </c>
      <c r="D567" s="4" t="s">
        <v>118</v>
      </c>
      <c r="E567" s="5">
        <v>40259</v>
      </c>
      <c r="F567" s="5">
        <v>40259</v>
      </c>
      <c r="G567">
        <v>1003</v>
      </c>
      <c r="H567" s="4" t="s">
        <v>110</v>
      </c>
      <c r="I567" s="4" t="s">
        <v>109</v>
      </c>
      <c r="J567" s="4" t="str">
        <f t="shared" si="8"/>
        <v>u_rem.c_rem</v>
      </c>
      <c r="K567" s="5">
        <v>1</v>
      </c>
      <c r="L567" s="1">
        <v>1.6029922522041145E-2</v>
      </c>
      <c r="M567" s="1">
        <v>0.10686615014694095</v>
      </c>
      <c r="N567" s="1">
        <v>0.26182206786000539</v>
      </c>
      <c r="O567" s="1">
        <v>5.3433075073470483E-3</v>
      </c>
      <c r="P567" s="1">
        <v>0</v>
      </c>
      <c r="Q567" s="1">
        <v>6.411969008816458E-2</v>
      </c>
      <c r="R567" s="1">
        <v>0</v>
      </c>
      <c r="S567" s="1">
        <v>0</v>
      </c>
      <c r="T567" s="1">
        <v>5.3433075073470483E-3</v>
      </c>
      <c r="U567" s="1">
        <v>0</v>
      </c>
      <c r="V567" s="1">
        <v>0</v>
      </c>
      <c r="W567" s="1">
        <v>0</v>
      </c>
      <c r="X567" s="1">
        <v>0</v>
      </c>
      <c r="Y567" s="1">
        <v>0.1335826876836762</v>
      </c>
      <c r="Z567" s="1">
        <v>3.2059845044082283E-2</v>
      </c>
      <c r="AA567" s="1">
        <v>0</v>
      </c>
      <c r="AB567" s="1">
        <v>0</v>
      </c>
      <c r="AC567" s="1">
        <v>0</v>
      </c>
      <c r="AD567" s="1">
        <v>0</v>
      </c>
      <c r="AE567" s="1">
        <v>3.2059845044082283E-2</v>
      </c>
      <c r="AF567" s="1">
        <v>0</v>
      </c>
      <c r="AG567" s="1">
        <v>0</v>
      </c>
      <c r="AH567" s="1">
        <v>4.8089767566123424E-2</v>
      </c>
      <c r="AI567" s="1">
        <v>2.1373230029388193E-2</v>
      </c>
      <c r="AJ567" s="1">
        <v>0.10686615014694098</v>
      </c>
      <c r="AK567" s="1">
        <v>0</v>
      </c>
      <c r="AL567" s="1">
        <v>0</v>
      </c>
      <c r="AM567" s="1">
        <v>0</v>
      </c>
      <c r="AN567" s="1">
        <v>2.6716537536735242E-4</v>
      </c>
      <c r="AO567" s="1">
        <v>0</v>
      </c>
      <c r="AP567" s="1">
        <v>0</v>
      </c>
      <c r="AQ567" s="1">
        <v>0</v>
      </c>
      <c r="AR567" s="1">
        <v>0</v>
      </c>
      <c r="AS567" s="1">
        <v>2.1373230029388193E-2</v>
      </c>
      <c r="AT567" s="1">
        <v>5.3433075073470483E-4</v>
      </c>
      <c r="AU567" s="1">
        <v>0</v>
      </c>
      <c r="AV567" s="1">
        <v>0</v>
      </c>
      <c r="AW567" s="1">
        <v>1.6029922522041145E-2</v>
      </c>
      <c r="AX567" s="1">
        <v>5.3433075073470483E-3</v>
      </c>
      <c r="AY567" s="1">
        <v>0</v>
      </c>
      <c r="AZ567" s="1">
        <v>0</v>
      </c>
      <c r="BA567" s="1">
        <v>5.3433075073470483E-3</v>
      </c>
      <c r="BB567" s="1">
        <v>0</v>
      </c>
      <c r="BC567" s="1">
        <v>0</v>
      </c>
      <c r="BD567" s="1">
        <v>0</v>
      </c>
      <c r="BE567" s="1">
        <v>5.3433075073470483E-3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0.11220945765428801</v>
      </c>
      <c r="CB567" s="1">
        <v>0</v>
      </c>
    </row>
    <row r="568" spans="1:80">
      <c r="A568">
        <v>567</v>
      </c>
      <c r="B568" t="s">
        <v>96</v>
      </c>
      <c r="C568" s="4" t="s">
        <v>174</v>
      </c>
      <c r="D568" s="4" t="s">
        <v>118</v>
      </c>
      <c r="E568" s="5">
        <v>40259</v>
      </c>
      <c r="F568" s="5">
        <v>40259</v>
      </c>
      <c r="G568">
        <v>1003</v>
      </c>
      <c r="H568" s="4" t="s">
        <v>110</v>
      </c>
      <c r="I568" s="4" t="s">
        <v>109</v>
      </c>
      <c r="J568" s="4" t="str">
        <f t="shared" si="8"/>
        <v>u_rem.c_rem</v>
      </c>
      <c r="K568" s="5">
        <v>1</v>
      </c>
      <c r="L568" s="1">
        <v>1.3759889920880636E-2</v>
      </c>
      <c r="M568" s="1">
        <v>9.6319229446164459E-2</v>
      </c>
      <c r="N568" s="1">
        <v>9.6319229446164459E-2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4.8159614723082222E-2</v>
      </c>
      <c r="U568" s="1">
        <v>0</v>
      </c>
      <c r="V568" s="1">
        <v>0</v>
      </c>
      <c r="W568" s="1">
        <v>0</v>
      </c>
      <c r="X568" s="1">
        <v>0</v>
      </c>
      <c r="Y568" s="1">
        <v>6.8799449604403179E-2</v>
      </c>
      <c r="Z568" s="1">
        <v>6.8799449604403182E-3</v>
      </c>
      <c r="AA568" s="1">
        <v>0</v>
      </c>
      <c r="AB568" s="1">
        <v>0</v>
      </c>
      <c r="AC568" s="1">
        <v>0</v>
      </c>
      <c r="AD568" s="1">
        <v>0</v>
      </c>
      <c r="AE568" s="1">
        <v>6.8799449604403182E-3</v>
      </c>
      <c r="AF568" s="1">
        <v>0</v>
      </c>
      <c r="AG568" s="1">
        <v>0</v>
      </c>
      <c r="AH568" s="1">
        <v>0</v>
      </c>
      <c r="AI568" s="1">
        <v>2.0639834881320956E-2</v>
      </c>
      <c r="AJ568" s="1">
        <v>0.34399724802201576</v>
      </c>
      <c r="AK568" s="1">
        <v>0</v>
      </c>
      <c r="AL568" s="1">
        <v>0</v>
      </c>
      <c r="AM568" s="1">
        <v>0</v>
      </c>
      <c r="AN568" s="1">
        <v>2.2015823873409023E-2</v>
      </c>
      <c r="AO568" s="1">
        <v>0</v>
      </c>
      <c r="AP568" s="1">
        <v>0</v>
      </c>
      <c r="AQ568" s="1">
        <v>0</v>
      </c>
      <c r="AR568" s="1">
        <v>0</v>
      </c>
      <c r="AS568" s="1">
        <v>5.5039559683522539E-2</v>
      </c>
      <c r="AT568" s="1">
        <v>2.8551771585827324E-2</v>
      </c>
      <c r="AU568" s="1">
        <v>0</v>
      </c>
      <c r="AV568" s="1">
        <v>0</v>
      </c>
      <c r="AW568" s="1">
        <v>3.4399724802201589E-2</v>
      </c>
      <c r="AX568" s="1">
        <v>3.4399724802201589E-2</v>
      </c>
      <c r="AY568" s="1">
        <v>1.3759889920880636E-2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0.11007911936704509</v>
      </c>
      <c r="CB568" s="1">
        <v>0</v>
      </c>
    </row>
    <row r="569" spans="1:80">
      <c r="A569">
        <v>568</v>
      </c>
      <c r="B569" t="s">
        <v>97</v>
      </c>
      <c r="C569" s="4" t="s">
        <v>174</v>
      </c>
      <c r="D569" s="4" t="s">
        <v>118</v>
      </c>
      <c r="E569" s="5">
        <v>40259</v>
      </c>
      <c r="F569" s="5">
        <v>40259</v>
      </c>
      <c r="G569">
        <v>1003</v>
      </c>
      <c r="H569" s="4" t="s">
        <v>110</v>
      </c>
      <c r="I569" s="4" t="s">
        <v>108</v>
      </c>
      <c r="J569" s="4" t="str">
        <f t="shared" si="8"/>
        <v>u_rem.c_con</v>
      </c>
      <c r="K569" s="5">
        <v>8</v>
      </c>
      <c r="L569">
        <v>1.5091538842157352E-2</v>
      </c>
      <c r="M569">
        <v>0.1442355269668481</v>
      </c>
      <c r="N569">
        <v>0.21301335972290941</v>
      </c>
      <c r="O569">
        <v>3.4636318654131623E-2</v>
      </c>
      <c r="P569">
        <v>0</v>
      </c>
      <c r="Q569">
        <v>0</v>
      </c>
      <c r="R569">
        <v>8.9312221672439421E-2</v>
      </c>
      <c r="S569">
        <v>0</v>
      </c>
      <c r="T569">
        <v>5.4428500742206842E-3</v>
      </c>
      <c r="U569">
        <v>0</v>
      </c>
      <c r="V569">
        <v>0</v>
      </c>
      <c r="W569">
        <v>0</v>
      </c>
      <c r="X569">
        <v>0</v>
      </c>
      <c r="Y569">
        <v>2.9688273132112818E-2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4.9480455220188039E-3</v>
      </c>
      <c r="AF569">
        <v>0</v>
      </c>
      <c r="AG569">
        <v>0</v>
      </c>
      <c r="AH569">
        <v>2.4740227610094015E-4</v>
      </c>
      <c r="AI569">
        <v>3.5625927758535382E-2</v>
      </c>
      <c r="AJ569">
        <v>5.4428500742206828E-2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3.4883720930232558E-2</v>
      </c>
      <c r="AT569">
        <v>1.6328550222662053E-2</v>
      </c>
      <c r="AU569">
        <v>0</v>
      </c>
      <c r="AV569">
        <v>0</v>
      </c>
      <c r="AW569">
        <v>2.4740227610094015E-4</v>
      </c>
      <c r="AX569">
        <v>2.993567540821376E-2</v>
      </c>
      <c r="AY569">
        <v>4.9480455220188039E-3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1.4844136566056413E-2</v>
      </c>
      <c r="BY569">
        <v>0</v>
      </c>
      <c r="BZ569">
        <v>4.9480455220188039E-3</v>
      </c>
      <c r="CA569">
        <v>0.26719445818901533</v>
      </c>
      <c r="CB569">
        <v>0</v>
      </c>
    </row>
    <row r="570" spans="1:80" s="1" customFormat="1">
      <c r="A570">
        <v>569</v>
      </c>
      <c r="B570" t="s">
        <v>98</v>
      </c>
      <c r="C570" s="4" t="s">
        <v>175</v>
      </c>
      <c r="D570" s="4" t="s">
        <v>118</v>
      </c>
      <c r="E570" s="5">
        <v>40259</v>
      </c>
      <c r="F570" s="5">
        <v>40259</v>
      </c>
      <c r="G570">
        <v>1003</v>
      </c>
      <c r="H570" s="4" t="s">
        <v>107</v>
      </c>
      <c r="I570" s="4" t="s">
        <v>109</v>
      </c>
      <c r="J570" s="4" t="str">
        <f t="shared" si="8"/>
        <v>u_con.c_rem</v>
      </c>
      <c r="K570" s="5">
        <v>2</v>
      </c>
      <c r="L570">
        <v>8.6244070720137983E-3</v>
      </c>
      <c r="M570">
        <v>0.17291936179387665</v>
      </c>
      <c r="N570">
        <v>7.3954290642518336E-2</v>
      </c>
      <c r="O570">
        <v>8.6244070720137983E-3</v>
      </c>
      <c r="P570">
        <v>0</v>
      </c>
      <c r="Q570">
        <v>0</v>
      </c>
      <c r="R570">
        <v>0</v>
      </c>
      <c r="S570">
        <v>0</v>
      </c>
      <c r="T570">
        <v>1.7248814144027597E-2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5.6489866321690375E-2</v>
      </c>
      <c r="AJ570">
        <v>3.0401034928848634E-2</v>
      </c>
      <c r="AK570">
        <v>0</v>
      </c>
      <c r="AL570">
        <v>4.3122035360068992E-3</v>
      </c>
      <c r="AM570">
        <v>0</v>
      </c>
      <c r="AN570">
        <v>1.3799051315222079E-2</v>
      </c>
      <c r="AO570">
        <v>0</v>
      </c>
      <c r="AP570">
        <v>0</v>
      </c>
      <c r="AQ570">
        <v>0</v>
      </c>
      <c r="AR570">
        <v>0</v>
      </c>
      <c r="AS570">
        <v>6.4898663216903824E-2</v>
      </c>
      <c r="AT570">
        <v>2.1561017680034493E-4</v>
      </c>
      <c r="AU570">
        <v>4.5278137128072441E-3</v>
      </c>
      <c r="AV570">
        <v>0</v>
      </c>
      <c r="AW570">
        <v>1.7248814144027597E-2</v>
      </c>
      <c r="AX570">
        <v>4.7434238896075882E-3</v>
      </c>
      <c r="AY570">
        <v>4.3122035360068992E-3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0.11664510564898661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0.39672272531263464</v>
      </c>
      <c r="CB570">
        <v>4.3122035360068992E-3</v>
      </c>
    </row>
    <row r="571" spans="1:80" s="1" customFormat="1">
      <c r="A571">
        <v>570</v>
      </c>
      <c r="B571" t="s">
        <v>99</v>
      </c>
      <c r="C571" s="4" t="s">
        <v>175</v>
      </c>
      <c r="D571" s="4" t="s">
        <v>118</v>
      </c>
      <c r="E571" s="5">
        <v>40259</v>
      </c>
      <c r="F571" s="5">
        <v>40259</v>
      </c>
      <c r="G571">
        <v>1003</v>
      </c>
      <c r="H571" s="4" t="s">
        <v>107</v>
      </c>
      <c r="I571" s="4" t="s">
        <v>108</v>
      </c>
      <c r="J571" s="4" t="str">
        <f t="shared" si="8"/>
        <v>u_con.c_con</v>
      </c>
      <c r="K571" s="5">
        <v>19</v>
      </c>
      <c r="L571">
        <v>0</v>
      </c>
      <c r="M571">
        <v>0.23210831721470015</v>
      </c>
      <c r="N571">
        <v>0.23718568665377168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4.3520309477756286E-2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2.4177949709864605E-2</v>
      </c>
      <c r="AF571">
        <v>0</v>
      </c>
      <c r="AG571">
        <v>0</v>
      </c>
      <c r="AH571">
        <v>0</v>
      </c>
      <c r="AI571">
        <v>7.2775628626692457E-2</v>
      </c>
      <c r="AJ571">
        <v>4.3520309477756286E-2</v>
      </c>
      <c r="AK571">
        <v>0</v>
      </c>
      <c r="AL571">
        <v>0</v>
      </c>
      <c r="AM571">
        <v>0</v>
      </c>
      <c r="AN571">
        <v>1.9584139264990329E-2</v>
      </c>
      <c r="AO571">
        <v>0</v>
      </c>
      <c r="AP571">
        <v>0</v>
      </c>
      <c r="AQ571">
        <v>0</v>
      </c>
      <c r="AR571">
        <v>0</v>
      </c>
      <c r="AS571">
        <v>4.376208897485493E-2</v>
      </c>
      <c r="AT571">
        <v>5.5609284332688589E-3</v>
      </c>
      <c r="AU571">
        <v>0</v>
      </c>
      <c r="AV571">
        <v>0</v>
      </c>
      <c r="AW571">
        <v>4.8355899419729211E-3</v>
      </c>
      <c r="AX571">
        <v>0</v>
      </c>
      <c r="AY571">
        <v>0</v>
      </c>
      <c r="AZ571">
        <v>0</v>
      </c>
      <c r="BA571">
        <v>4.0135396518375242E-2</v>
      </c>
      <c r="BB571">
        <v>0</v>
      </c>
      <c r="BC571">
        <v>0</v>
      </c>
      <c r="BD571">
        <v>0</v>
      </c>
      <c r="BE571">
        <v>8.776595744680854E-2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9.6711798839458421E-3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0.1353965183752418</v>
      </c>
      <c r="CB571">
        <v>0</v>
      </c>
    </row>
    <row r="572" spans="1:80">
      <c r="A572">
        <v>571</v>
      </c>
      <c r="B572" t="s">
        <v>100</v>
      </c>
      <c r="C572" s="4" t="s">
        <v>175</v>
      </c>
      <c r="D572" s="4" t="s">
        <v>118</v>
      </c>
      <c r="E572" s="5">
        <v>40259</v>
      </c>
      <c r="F572" s="5">
        <v>40259</v>
      </c>
      <c r="G572">
        <v>1003</v>
      </c>
      <c r="H572" s="4" t="s">
        <v>107</v>
      </c>
      <c r="I572" s="4" t="s">
        <v>109</v>
      </c>
      <c r="J572" s="4" t="str">
        <f t="shared" si="8"/>
        <v>u_con.c_rem</v>
      </c>
      <c r="K572" s="5">
        <v>2</v>
      </c>
      <c r="L572">
        <v>4.5413260672116261E-3</v>
      </c>
      <c r="M572">
        <v>0.31789282470481373</v>
      </c>
      <c r="N572">
        <v>0.1228428701180745</v>
      </c>
      <c r="O572">
        <v>0</v>
      </c>
      <c r="P572">
        <v>0</v>
      </c>
      <c r="Q572">
        <v>4.7683923705722072E-3</v>
      </c>
      <c r="R572">
        <v>0</v>
      </c>
      <c r="S572">
        <v>0</v>
      </c>
      <c r="T572">
        <v>1.4078110808356043E-2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9.3097184377838333E-3</v>
      </c>
      <c r="AE572">
        <v>9.0826521344232521E-3</v>
      </c>
      <c r="AF572">
        <v>0</v>
      </c>
      <c r="AG572">
        <v>0</v>
      </c>
      <c r="AH572">
        <v>4.5413260672116261E-3</v>
      </c>
      <c r="AI572">
        <v>1.9073569482288829E-2</v>
      </c>
      <c r="AJ572">
        <v>4.5413260672116261E-3</v>
      </c>
      <c r="AK572">
        <v>0</v>
      </c>
      <c r="AL572">
        <v>0</v>
      </c>
      <c r="AM572">
        <v>0</v>
      </c>
      <c r="AN572">
        <v>1.4986376021798368E-2</v>
      </c>
      <c r="AO572">
        <v>0</v>
      </c>
      <c r="AP572">
        <v>0</v>
      </c>
      <c r="AQ572">
        <v>0</v>
      </c>
      <c r="AR572">
        <v>0</v>
      </c>
      <c r="AS572">
        <v>5.0635785649409626E-2</v>
      </c>
      <c r="AT572">
        <v>5.2225249772933696E-3</v>
      </c>
      <c r="AU572">
        <v>0</v>
      </c>
      <c r="AV572">
        <v>0</v>
      </c>
      <c r="AW572">
        <v>0</v>
      </c>
      <c r="AX572">
        <v>9.0826521344232521E-3</v>
      </c>
      <c r="AY572">
        <v>0</v>
      </c>
      <c r="AZ572">
        <v>0</v>
      </c>
      <c r="BA572">
        <v>2.2706630336058131E-4</v>
      </c>
      <c r="BB572">
        <v>0</v>
      </c>
      <c r="BC572">
        <v>0</v>
      </c>
      <c r="BD572">
        <v>0</v>
      </c>
      <c r="BE572">
        <v>0.10490463215258861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4.5413260672116261E-3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0.29972752043596723</v>
      </c>
      <c r="CB572">
        <v>0</v>
      </c>
    </row>
    <row r="573" spans="1:80">
      <c r="A573">
        <v>572</v>
      </c>
      <c r="B573" t="s">
        <v>101</v>
      </c>
      <c r="C573" s="4" t="s">
        <v>175</v>
      </c>
      <c r="D573" s="4" t="s">
        <v>118</v>
      </c>
      <c r="E573" s="5">
        <v>40259</v>
      </c>
      <c r="F573" s="5">
        <v>40259</v>
      </c>
      <c r="G573">
        <v>1003</v>
      </c>
      <c r="H573" s="4" t="s">
        <v>107</v>
      </c>
      <c r="I573" s="4" t="s">
        <v>108</v>
      </c>
      <c r="J573" s="4" t="str">
        <f t="shared" si="8"/>
        <v>u_con.c_con</v>
      </c>
      <c r="K573" s="5">
        <v>19</v>
      </c>
      <c r="L573">
        <v>2.3014959723820485E-4</v>
      </c>
      <c r="M573">
        <v>0.24879171461449942</v>
      </c>
      <c r="N573">
        <v>0.10126582278481017</v>
      </c>
      <c r="O573">
        <v>0</v>
      </c>
      <c r="P573">
        <v>0</v>
      </c>
      <c r="Q573">
        <v>0</v>
      </c>
      <c r="R573">
        <v>0</v>
      </c>
      <c r="S573">
        <v>4.6029919447640975E-3</v>
      </c>
      <c r="T573">
        <v>0.10149597238204834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9.2059838895281951E-3</v>
      </c>
      <c r="AF573">
        <v>0</v>
      </c>
      <c r="AG573">
        <v>0</v>
      </c>
      <c r="AH573">
        <v>1.3808975834292293E-2</v>
      </c>
      <c r="AI573">
        <v>5.592635212888377E-2</v>
      </c>
      <c r="AJ573">
        <v>2.7848101265822787E-2</v>
      </c>
      <c r="AK573">
        <v>0</v>
      </c>
      <c r="AL573">
        <v>0</v>
      </c>
      <c r="AM573">
        <v>0</v>
      </c>
      <c r="AN573">
        <v>9.4361334867663991E-3</v>
      </c>
      <c r="AO573">
        <v>0</v>
      </c>
      <c r="AP573">
        <v>0</v>
      </c>
      <c r="AQ573">
        <v>0</v>
      </c>
      <c r="AR573">
        <v>0</v>
      </c>
      <c r="AS573">
        <v>7.4568469505178384E-2</v>
      </c>
      <c r="AT573">
        <v>2.4626006904487921E-2</v>
      </c>
      <c r="AU573">
        <v>0</v>
      </c>
      <c r="AV573">
        <v>0</v>
      </c>
      <c r="AW573">
        <v>0</v>
      </c>
      <c r="AX573">
        <v>1.8642117376294596E-2</v>
      </c>
      <c r="AY573">
        <v>4.6029919447640975E-3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2.3475258918296896E-2</v>
      </c>
      <c r="BF573">
        <v>4.8331415420023024E-3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9.4361334867663991E-3</v>
      </c>
      <c r="BO573">
        <v>0</v>
      </c>
      <c r="BP573">
        <v>0</v>
      </c>
      <c r="BQ573">
        <v>4.6029919447640975E-3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2.3014959723820485E-4</v>
      </c>
      <c r="BX573">
        <v>4.6029919447640975E-3</v>
      </c>
      <c r="BY573">
        <v>0</v>
      </c>
      <c r="BZ573">
        <v>0</v>
      </c>
      <c r="CA573">
        <v>0.25776754890678943</v>
      </c>
      <c r="CB573">
        <v>0</v>
      </c>
    </row>
    <row r="574" spans="1:80">
      <c r="A574">
        <v>573</v>
      </c>
      <c r="B574" t="s">
        <v>102</v>
      </c>
      <c r="C574" s="4" t="s">
        <v>176</v>
      </c>
      <c r="D574" s="4" t="s">
        <v>118</v>
      </c>
      <c r="E574" s="5">
        <v>40259</v>
      </c>
      <c r="F574" s="5">
        <v>40259</v>
      </c>
      <c r="G574">
        <v>1003</v>
      </c>
      <c r="H574" s="4" t="s">
        <v>110</v>
      </c>
      <c r="I574" s="4" t="s">
        <v>108</v>
      </c>
      <c r="J574" s="4" t="str">
        <f t="shared" si="8"/>
        <v>u_rem.c_con</v>
      </c>
      <c r="K574" s="5">
        <v>8</v>
      </c>
      <c r="L574">
        <v>0</v>
      </c>
      <c r="M574">
        <v>2.0677628300946684E-2</v>
      </c>
      <c r="N574">
        <v>5.9790732436472344E-2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5.979073243647234E-3</v>
      </c>
      <c r="AF574">
        <v>0</v>
      </c>
      <c r="AG574">
        <v>0</v>
      </c>
      <c r="AH574">
        <v>0</v>
      </c>
      <c r="AI574">
        <v>4.9825610363726943E-4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0.49327354260089679</v>
      </c>
      <c r="AP574">
        <v>4.9825610363726947E-3</v>
      </c>
      <c r="AQ574">
        <v>2.4912805181863471E-4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4.9825610363726947E-3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6.5520677628300925E-2</v>
      </c>
      <c r="BF574">
        <v>0</v>
      </c>
      <c r="BG574">
        <v>0</v>
      </c>
      <c r="BH574">
        <v>0</v>
      </c>
      <c r="BI574">
        <v>1.4947683109118082E-2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9.9651220727453887E-2</v>
      </c>
      <c r="CB574">
        <v>0</v>
      </c>
    </row>
    <row r="575" spans="1:80" s="1" customFormat="1">
      <c r="A575">
        <v>574</v>
      </c>
      <c r="B575" t="s">
        <v>103</v>
      </c>
      <c r="C575" s="4" t="s">
        <v>176</v>
      </c>
      <c r="D575" s="4" t="s">
        <v>118</v>
      </c>
      <c r="E575" s="5">
        <v>40259</v>
      </c>
      <c r="F575" s="5">
        <v>40259</v>
      </c>
      <c r="G575">
        <v>1003</v>
      </c>
      <c r="H575" s="4" t="s">
        <v>110</v>
      </c>
      <c r="I575" s="4" t="s">
        <v>109</v>
      </c>
      <c r="J575" s="4" t="str">
        <f t="shared" si="8"/>
        <v>u_rem.c_rem</v>
      </c>
      <c r="K575" s="5">
        <v>1</v>
      </c>
      <c r="L575" s="1">
        <v>1.0735373054213633E-2</v>
      </c>
      <c r="M575" s="1">
        <v>2.1470746108427266E-2</v>
      </c>
      <c r="N575" s="1">
        <v>0.15029522275899088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2.1470746108427266E-2</v>
      </c>
      <c r="AD575" s="1">
        <v>0</v>
      </c>
      <c r="AE575" s="1">
        <v>1.0735373054213633E-2</v>
      </c>
      <c r="AF575" s="1">
        <v>0</v>
      </c>
      <c r="AG575" s="1">
        <v>0</v>
      </c>
      <c r="AH575" s="1">
        <v>0</v>
      </c>
      <c r="AI575" s="1">
        <v>6.9779924852388625E-2</v>
      </c>
      <c r="AJ575" s="1">
        <v>0</v>
      </c>
      <c r="AK575" s="1">
        <v>0</v>
      </c>
      <c r="AL575" s="1">
        <v>0</v>
      </c>
      <c r="AM575" s="1">
        <v>0</v>
      </c>
      <c r="AN575" s="1">
        <v>4.8845947396672022E-2</v>
      </c>
      <c r="AO575" s="1">
        <v>3.2206119162640899E-2</v>
      </c>
      <c r="AP575" s="1">
        <v>0</v>
      </c>
      <c r="AQ575" s="1">
        <v>0</v>
      </c>
      <c r="AR575" s="1">
        <v>0</v>
      </c>
      <c r="AS575" s="1">
        <v>1.0735373054213633E-2</v>
      </c>
      <c r="AT575" s="1">
        <v>8.0515297906602243E-4</v>
      </c>
      <c r="AU575" s="1">
        <v>5.3676865271068165E-2</v>
      </c>
      <c r="AV575" s="1">
        <v>0</v>
      </c>
      <c r="AW575" s="1">
        <v>2.1470746108427266E-2</v>
      </c>
      <c r="AX575" s="1">
        <v>1.1003757380568973E-2</v>
      </c>
      <c r="AY575" s="1">
        <v>0</v>
      </c>
      <c r="AZ575" s="1">
        <v>0</v>
      </c>
      <c r="BA575" s="1">
        <v>0.27911969940955433</v>
      </c>
      <c r="BB575" s="1">
        <v>0</v>
      </c>
      <c r="BC575" s="1">
        <v>0</v>
      </c>
      <c r="BD575" s="1">
        <v>0</v>
      </c>
      <c r="BE575" s="1">
        <v>0.19860440150295219</v>
      </c>
      <c r="BF575" s="1">
        <v>0</v>
      </c>
      <c r="BG575" s="1">
        <v>0</v>
      </c>
      <c r="BH575" s="1">
        <v>0</v>
      </c>
      <c r="BI575" s="1">
        <v>4.2941492216854525E-2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1.610305958132045E-2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</row>
    <row r="576" spans="1:80">
      <c r="A576">
        <v>575</v>
      </c>
      <c r="B576" t="s">
        <v>104</v>
      </c>
      <c r="C576" s="4" t="s">
        <v>176</v>
      </c>
      <c r="D576" s="4" t="s">
        <v>118</v>
      </c>
      <c r="E576" s="5">
        <v>40259</v>
      </c>
      <c r="F576" s="5">
        <v>40259</v>
      </c>
      <c r="G576">
        <v>1003</v>
      </c>
      <c r="H576" s="4" t="s">
        <v>110</v>
      </c>
      <c r="I576" s="4" t="s">
        <v>108</v>
      </c>
      <c r="J576" s="4" t="str">
        <f t="shared" si="8"/>
        <v>u_rem.c_con</v>
      </c>
      <c r="K576" s="5">
        <v>8</v>
      </c>
      <c r="L576">
        <v>2.2366360993066426E-2</v>
      </c>
      <c r="M576">
        <v>0.2415566987251174</v>
      </c>
      <c r="N576">
        <v>5.3902929993290091E-2</v>
      </c>
      <c r="O576">
        <v>0</v>
      </c>
      <c r="P576">
        <v>4.4732721986132859E-3</v>
      </c>
      <c r="Q576">
        <v>4.9205994184746145E-2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2.2366360993066427E-4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3.1536569000223669E-2</v>
      </c>
      <c r="AF576">
        <v>0</v>
      </c>
      <c r="AG576">
        <v>0</v>
      </c>
      <c r="AH576">
        <v>0</v>
      </c>
      <c r="AI576">
        <v>2.7063296801610376E-2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0.1834041601431447</v>
      </c>
      <c r="AP576">
        <v>0</v>
      </c>
      <c r="AQ576">
        <v>4.4732721986132852E-2</v>
      </c>
      <c r="AR576">
        <v>0</v>
      </c>
      <c r="AS576">
        <v>4.6969358085439498E-3</v>
      </c>
      <c r="AT576">
        <v>2.2366360993066427E-4</v>
      </c>
      <c r="AU576">
        <v>4.4732721986132859E-3</v>
      </c>
      <c r="AV576">
        <v>4.4732721986132855E-4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3.1312905390292994E-2</v>
      </c>
      <c r="BF576">
        <v>2.2366360993066427E-4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4.4732721986132859E-3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4.4732721986132852E-2</v>
      </c>
      <c r="CA576">
        <v>0.22813688212927752</v>
      </c>
      <c r="CB576">
        <v>0</v>
      </c>
    </row>
    <row r="577" spans="1:80">
      <c r="A577">
        <v>576</v>
      </c>
      <c r="B577" t="s">
        <v>105</v>
      </c>
      <c r="C577" s="4" t="s">
        <v>176</v>
      </c>
      <c r="D577" s="4" t="s">
        <v>118</v>
      </c>
      <c r="E577" s="5">
        <v>40259</v>
      </c>
      <c r="F577" s="5">
        <v>40259</v>
      </c>
      <c r="G577">
        <v>1003</v>
      </c>
      <c r="H577" s="4" t="s">
        <v>110</v>
      </c>
      <c r="I577" s="4" t="s">
        <v>109</v>
      </c>
      <c r="J577" s="4" t="str">
        <f t="shared" si="8"/>
        <v>u_rem.c_rem</v>
      </c>
      <c r="K577" s="5">
        <v>1</v>
      </c>
      <c r="L577" s="1">
        <v>5.2603892688058923E-3</v>
      </c>
      <c r="M577" s="1">
        <v>5.2603892688058923E-3</v>
      </c>
      <c r="N577" s="1">
        <v>8.4166228300894277E-2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5.2603892688058923E-3</v>
      </c>
      <c r="Z577" s="1">
        <v>0</v>
      </c>
      <c r="AA577" s="1">
        <v>2.1041557075223569E-2</v>
      </c>
      <c r="AB577" s="1">
        <v>0</v>
      </c>
      <c r="AC577" s="1">
        <v>5.7864281956864806E-2</v>
      </c>
      <c r="AD577" s="1">
        <v>1.0520778537611785E-2</v>
      </c>
      <c r="AE577" s="1">
        <v>2.6301946344029461E-2</v>
      </c>
      <c r="AF577" s="1">
        <v>0</v>
      </c>
      <c r="AG577" s="1">
        <v>0</v>
      </c>
      <c r="AH577" s="1">
        <v>1.0520778537611785E-2</v>
      </c>
      <c r="AI577" s="1">
        <v>2.6301946344029461E-2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5.8390320883745406E-2</v>
      </c>
      <c r="AP577" s="1">
        <v>3.682272488164124E-2</v>
      </c>
      <c r="AQ577" s="1">
        <v>0</v>
      </c>
      <c r="AR577" s="1">
        <v>0</v>
      </c>
      <c r="AS577" s="1">
        <v>1.5781167806417678E-2</v>
      </c>
      <c r="AT577" s="1">
        <v>0</v>
      </c>
      <c r="AU577" s="1">
        <v>0</v>
      </c>
      <c r="AV577" s="1">
        <v>0</v>
      </c>
      <c r="AW577" s="1">
        <v>2.1041557075223569E-2</v>
      </c>
      <c r="AX577" s="1">
        <v>1.5781167806417678E-2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0.46291425565491845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5.2603892688058923E-3</v>
      </c>
      <c r="BM577" s="1">
        <v>5.2603892688058923E-3</v>
      </c>
      <c r="BN577" s="1">
        <v>0</v>
      </c>
      <c r="BO577" s="1">
        <v>0</v>
      </c>
      <c r="BP577" s="1">
        <v>0</v>
      </c>
      <c r="BQ577" s="1">
        <v>5.2603892688058923E-3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0.10520778537611787</v>
      </c>
      <c r="CB577" s="1">
        <v>1.5781167806417674E-2</v>
      </c>
    </row>
    <row r="578" spans="1:80">
      <c r="A578">
        <v>577</v>
      </c>
      <c r="B578" t="s">
        <v>35</v>
      </c>
      <c r="C578" s="4" t="s">
        <v>159</v>
      </c>
      <c r="D578" s="4" t="s">
        <v>116</v>
      </c>
      <c r="E578" s="5">
        <v>40332</v>
      </c>
      <c r="F578" s="5">
        <v>40331</v>
      </c>
      <c r="G578">
        <v>1006</v>
      </c>
      <c r="H578" s="4" t="s">
        <v>107</v>
      </c>
      <c r="I578" s="4" t="s">
        <v>108</v>
      </c>
      <c r="J578" s="4" t="str">
        <f t="shared" ref="J578:J641" si="9">CONCATENATE(H578,".",I578)</f>
        <v>u_con.c_con</v>
      </c>
      <c r="K578" s="5">
        <v>19</v>
      </c>
      <c r="L578">
        <v>0</v>
      </c>
      <c r="M578">
        <v>5.9533227848101278E-2</v>
      </c>
      <c r="N578">
        <v>0.30063291139240506</v>
      </c>
      <c r="O578">
        <v>0</v>
      </c>
      <c r="P578">
        <v>0</v>
      </c>
      <c r="Q578">
        <v>2.3931962025316458E-2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4.3710443037974687E-2</v>
      </c>
      <c r="AA578">
        <v>0</v>
      </c>
      <c r="AB578">
        <v>0</v>
      </c>
      <c r="AC578">
        <v>1.977848101265823E-4</v>
      </c>
      <c r="AD578">
        <v>0</v>
      </c>
      <c r="AE578">
        <v>2.3931962025316462E-2</v>
      </c>
      <c r="AF578">
        <v>0</v>
      </c>
      <c r="AG578">
        <v>0</v>
      </c>
      <c r="AH578">
        <v>1.6416139240506333E-2</v>
      </c>
      <c r="AI578">
        <v>3.9556962025316458E-3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4.7666139240506326E-2</v>
      </c>
      <c r="AT578">
        <v>1.977848101265823E-4</v>
      </c>
      <c r="AU578">
        <v>4.3512658227848108E-3</v>
      </c>
      <c r="AV578">
        <v>0</v>
      </c>
      <c r="AW578">
        <v>3.9556962025316458E-3</v>
      </c>
      <c r="AX578">
        <v>0</v>
      </c>
      <c r="AY578">
        <v>0</v>
      </c>
      <c r="AZ578">
        <v>0</v>
      </c>
      <c r="BA578">
        <v>0.13508702531645569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2.7887658227848101E-2</v>
      </c>
      <c r="CA578">
        <v>0.30854430379746833</v>
      </c>
      <c r="CB578">
        <v>0</v>
      </c>
    </row>
    <row r="579" spans="1:80">
      <c r="A579">
        <v>578</v>
      </c>
      <c r="B579" t="s">
        <v>36</v>
      </c>
      <c r="C579" s="4" t="s">
        <v>159</v>
      </c>
      <c r="D579" s="4" t="s">
        <v>116</v>
      </c>
      <c r="E579" s="5">
        <v>40332</v>
      </c>
      <c r="F579" s="5">
        <v>40331</v>
      </c>
      <c r="G579">
        <v>1006</v>
      </c>
      <c r="H579" s="4" t="s">
        <v>107</v>
      </c>
      <c r="I579" s="4" t="s">
        <v>109</v>
      </c>
      <c r="J579" s="4" t="str">
        <f t="shared" si="9"/>
        <v>u_con.c_rem</v>
      </c>
      <c r="K579" s="5">
        <v>2</v>
      </c>
      <c r="L579">
        <v>0</v>
      </c>
      <c r="M579">
        <v>4.553531763660594E-2</v>
      </c>
      <c r="N579">
        <v>0.28431808085295418</v>
      </c>
      <c r="O579">
        <v>1.7992003553976014E-2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0.23123056419369173</v>
      </c>
      <c r="AA579">
        <v>0</v>
      </c>
      <c r="AB579">
        <v>0</v>
      </c>
      <c r="AC579">
        <v>0</v>
      </c>
      <c r="AD579">
        <v>0</v>
      </c>
      <c r="AE579">
        <v>9.3291870279875608E-2</v>
      </c>
      <c r="AF579">
        <v>0</v>
      </c>
      <c r="AG579">
        <v>0</v>
      </c>
      <c r="AH579">
        <v>5.3309640159928933E-3</v>
      </c>
      <c r="AI579">
        <v>1.3771657041314975E-2</v>
      </c>
      <c r="AJ579">
        <v>0</v>
      </c>
      <c r="AK579">
        <v>0</v>
      </c>
      <c r="AL579">
        <v>0</v>
      </c>
      <c r="AM579">
        <v>0</v>
      </c>
      <c r="AN579">
        <v>4.4424700133274104E-4</v>
      </c>
      <c r="AO579">
        <v>0</v>
      </c>
      <c r="AP579">
        <v>0</v>
      </c>
      <c r="AQ579">
        <v>0</v>
      </c>
      <c r="AR579">
        <v>0</v>
      </c>
      <c r="AS579">
        <v>2.6654820079964461E-2</v>
      </c>
      <c r="AT579">
        <v>2.2212350066637052E-4</v>
      </c>
      <c r="AU579">
        <v>8.8849400266548216E-3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4.9977787649933367E-2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3.1319413593958241E-2</v>
      </c>
      <c r="CA579">
        <v>0.19102621057307864</v>
      </c>
      <c r="CB579">
        <v>0</v>
      </c>
    </row>
    <row r="580" spans="1:80">
      <c r="A580">
        <v>579</v>
      </c>
      <c r="B580" t="s">
        <v>37</v>
      </c>
      <c r="C580" s="4" t="s">
        <v>159</v>
      </c>
      <c r="D580" s="4" t="s">
        <v>116</v>
      </c>
      <c r="E580" s="5">
        <v>40332</v>
      </c>
      <c r="F580" s="5">
        <v>40331</v>
      </c>
      <c r="G580">
        <v>1006</v>
      </c>
      <c r="H580" s="4" t="s">
        <v>107</v>
      </c>
      <c r="I580" s="4" t="s">
        <v>109</v>
      </c>
      <c r="J580" s="4" t="str">
        <f t="shared" si="9"/>
        <v>u_con.c_rem</v>
      </c>
      <c r="K580" s="5">
        <v>2</v>
      </c>
      <c r="L580">
        <v>0</v>
      </c>
      <c r="M580">
        <v>0.10807514027811663</v>
      </c>
      <c r="N580">
        <v>0.11246645523298365</v>
      </c>
      <c r="O580">
        <v>0</v>
      </c>
      <c r="P580">
        <v>0</v>
      </c>
      <c r="Q580">
        <v>0.14198585020736765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0.13173944864601125</v>
      </c>
      <c r="Z580">
        <v>0.16125884362039519</v>
      </c>
      <c r="AA580">
        <v>0</v>
      </c>
      <c r="AB580">
        <v>0</v>
      </c>
      <c r="AC580">
        <v>0</v>
      </c>
      <c r="AD580">
        <v>0</v>
      </c>
      <c r="AE580">
        <v>1.0002439619419372E-2</v>
      </c>
      <c r="AF580">
        <v>0</v>
      </c>
      <c r="AG580">
        <v>4.8792388387411569E-4</v>
      </c>
      <c r="AH580">
        <v>0</v>
      </c>
      <c r="AI580">
        <v>5.1232007806782153E-3</v>
      </c>
      <c r="AJ580">
        <v>0</v>
      </c>
      <c r="AK580">
        <v>0</v>
      </c>
      <c r="AL580">
        <v>0</v>
      </c>
      <c r="AM580">
        <v>0</v>
      </c>
      <c r="AN580">
        <v>9.7584776774823137E-4</v>
      </c>
      <c r="AO580">
        <v>0</v>
      </c>
      <c r="AP580">
        <v>0</v>
      </c>
      <c r="AQ580">
        <v>0</v>
      </c>
      <c r="AR580">
        <v>0</v>
      </c>
      <c r="AS580">
        <v>1.0002439619419372E-2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5.6111246645523319E-3</v>
      </c>
      <c r="CA580">
        <v>0.31227128567943396</v>
      </c>
      <c r="CB580">
        <v>0</v>
      </c>
    </row>
    <row r="581" spans="1:80">
      <c r="A581">
        <v>580</v>
      </c>
      <c r="B581" t="s">
        <v>38</v>
      </c>
      <c r="C581" s="4" t="s">
        <v>159</v>
      </c>
      <c r="D581" s="4" t="s">
        <v>116</v>
      </c>
      <c r="E581" s="5">
        <v>40332</v>
      </c>
      <c r="F581" s="5">
        <v>40331</v>
      </c>
      <c r="G581">
        <v>1006</v>
      </c>
      <c r="H581" s="4" t="s">
        <v>107</v>
      </c>
      <c r="I581" s="4" t="s">
        <v>108</v>
      </c>
      <c r="J581" s="4" t="str">
        <f t="shared" si="9"/>
        <v>u_con.c_con</v>
      </c>
      <c r="K581" s="5">
        <v>19</v>
      </c>
      <c r="L581">
        <v>0</v>
      </c>
      <c r="M581">
        <v>8.6354481369587108E-2</v>
      </c>
      <c r="N581">
        <v>0.36757301107754276</v>
      </c>
      <c r="O581">
        <v>0</v>
      </c>
      <c r="P581">
        <v>0</v>
      </c>
      <c r="Q581">
        <v>2.5176233635448137E-4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4.0281973816717019E-2</v>
      </c>
      <c r="Z581">
        <v>5.0352467270896276E-2</v>
      </c>
      <c r="AA581">
        <v>0</v>
      </c>
      <c r="AB581">
        <v>0</v>
      </c>
      <c r="AC581">
        <v>0</v>
      </c>
      <c r="AD581">
        <v>0</v>
      </c>
      <c r="AE581">
        <v>2.5427995971802619E-2</v>
      </c>
      <c r="AF581">
        <v>0</v>
      </c>
      <c r="AG581">
        <v>0</v>
      </c>
      <c r="AH581">
        <v>0</v>
      </c>
      <c r="AI581">
        <v>0.11102719033232629</v>
      </c>
      <c r="AJ581">
        <v>0</v>
      </c>
      <c r="AK581">
        <v>0</v>
      </c>
      <c r="AL581">
        <v>1.0322255790533738E-2</v>
      </c>
      <c r="AM581">
        <v>0</v>
      </c>
      <c r="AN581">
        <v>1.057401812688822E-2</v>
      </c>
      <c r="AO581">
        <v>0</v>
      </c>
      <c r="AP581">
        <v>0</v>
      </c>
      <c r="AQ581">
        <v>0</v>
      </c>
      <c r="AR581">
        <v>0</v>
      </c>
      <c r="AS581">
        <v>1.5357502517623366E-2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0.12134944612286006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0.16112789526686808</v>
      </c>
      <c r="CB581">
        <v>0</v>
      </c>
    </row>
    <row r="582" spans="1:80">
      <c r="A582">
        <v>581</v>
      </c>
      <c r="B582" t="s">
        <v>39</v>
      </c>
      <c r="C582" s="4" t="s">
        <v>160</v>
      </c>
      <c r="D582" s="4" t="s">
        <v>116</v>
      </c>
      <c r="E582" s="5">
        <v>40332</v>
      </c>
      <c r="F582" s="5">
        <v>40331</v>
      </c>
      <c r="G582">
        <v>1006</v>
      </c>
      <c r="H582" s="4" t="s">
        <v>110</v>
      </c>
      <c r="I582" s="4" t="s">
        <v>109</v>
      </c>
      <c r="J582" s="4" t="str">
        <f t="shared" si="9"/>
        <v>u_rem.c_rem</v>
      </c>
      <c r="K582" s="5">
        <v>1</v>
      </c>
      <c r="L582">
        <v>0</v>
      </c>
      <c r="M582">
        <v>4.4523597506678539E-4</v>
      </c>
      <c r="N582">
        <v>0.34728406055209254</v>
      </c>
      <c r="O582">
        <v>0</v>
      </c>
      <c r="P582">
        <v>0</v>
      </c>
      <c r="Q582">
        <v>8.0142475512021388E-2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1.3357079252003561E-2</v>
      </c>
      <c r="Z582">
        <v>5.7880676758682102E-2</v>
      </c>
      <c r="AA582">
        <v>0</v>
      </c>
      <c r="AB582">
        <v>0</v>
      </c>
      <c r="AC582">
        <v>0</v>
      </c>
      <c r="AD582">
        <v>0</v>
      </c>
      <c r="AE582">
        <v>8.9047195013357075E-3</v>
      </c>
      <c r="AF582">
        <v>0</v>
      </c>
      <c r="AG582">
        <v>0</v>
      </c>
      <c r="AH582">
        <v>0</v>
      </c>
      <c r="AI582">
        <v>4.9198575244879791E-2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8.4817453250222635E-2</v>
      </c>
      <c r="AW582">
        <v>0</v>
      </c>
      <c r="AX582">
        <v>0</v>
      </c>
      <c r="AY582">
        <v>0</v>
      </c>
      <c r="AZ582">
        <v>0</v>
      </c>
      <c r="BA582">
        <v>2.2261798753339269E-4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4.56366874443455E-2</v>
      </c>
      <c r="CA582">
        <v>0.31166518254674969</v>
      </c>
      <c r="CB582">
        <v>4.4523597506678539E-4</v>
      </c>
    </row>
    <row r="583" spans="1:80">
      <c r="A583">
        <v>582</v>
      </c>
      <c r="B583" t="s">
        <v>40</v>
      </c>
      <c r="C583" s="4" t="s">
        <v>160</v>
      </c>
      <c r="D583" s="4" t="s">
        <v>116</v>
      </c>
      <c r="E583" s="5">
        <v>40332</v>
      </c>
      <c r="F583" s="5">
        <v>40331</v>
      </c>
      <c r="G583">
        <v>1006</v>
      </c>
      <c r="H583" s="4" t="s">
        <v>110</v>
      </c>
      <c r="I583" s="4" t="s">
        <v>108</v>
      </c>
      <c r="J583" s="4" t="str">
        <f t="shared" si="9"/>
        <v>u_rem.c_con</v>
      </c>
      <c r="K583" s="5">
        <v>8</v>
      </c>
      <c r="L583">
        <v>0</v>
      </c>
      <c r="M583">
        <v>2.5829483410331793E-2</v>
      </c>
      <c r="N583">
        <v>0.29399412011759757</v>
      </c>
      <c r="O583">
        <v>0</v>
      </c>
      <c r="P583">
        <v>0</v>
      </c>
      <c r="Q583">
        <v>4.2209155816883663E-2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6.740865182696347E-2</v>
      </c>
      <c r="Z583">
        <v>1.7009659806803867E-2</v>
      </c>
      <c r="AA583">
        <v>0</v>
      </c>
      <c r="AB583">
        <v>0</v>
      </c>
      <c r="AC583">
        <v>0</v>
      </c>
      <c r="AD583">
        <v>0</v>
      </c>
      <c r="AE583">
        <v>8.81982360352793E-3</v>
      </c>
      <c r="AF583">
        <v>0</v>
      </c>
      <c r="AG583">
        <v>0</v>
      </c>
      <c r="AH583">
        <v>0</v>
      </c>
      <c r="AI583">
        <v>3.8009239815203696E-2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4.1999160016799666E-3</v>
      </c>
      <c r="AT583">
        <v>0</v>
      </c>
      <c r="AU583">
        <v>0</v>
      </c>
      <c r="AV583">
        <v>0.19340613187736247</v>
      </c>
      <c r="AW583">
        <v>0</v>
      </c>
      <c r="AX583">
        <v>0</v>
      </c>
      <c r="AY583">
        <v>0</v>
      </c>
      <c r="AZ583">
        <v>0</v>
      </c>
      <c r="BA583">
        <v>0.11045779084418311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1.3649727005459895E-2</v>
      </c>
      <c r="CA583">
        <v>0.18479630407391848</v>
      </c>
      <c r="CB583">
        <v>0</v>
      </c>
    </row>
    <row r="584" spans="1:80">
      <c r="A584">
        <v>583</v>
      </c>
      <c r="B584" t="s">
        <v>41</v>
      </c>
      <c r="C584" s="4" t="s">
        <v>160</v>
      </c>
      <c r="D584" s="4" t="s">
        <v>116</v>
      </c>
      <c r="E584" s="5">
        <v>40332</v>
      </c>
      <c r="F584" s="5">
        <v>40331</v>
      </c>
      <c r="G584">
        <v>1006</v>
      </c>
      <c r="H584" s="4" t="s">
        <v>110</v>
      </c>
      <c r="I584" s="4" t="s">
        <v>109</v>
      </c>
      <c r="J584" s="4" t="str">
        <f t="shared" si="9"/>
        <v>u_rem.c_rem</v>
      </c>
      <c r="K584" s="5">
        <v>1</v>
      </c>
      <c r="L584">
        <v>0</v>
      </c>
      <c r="M584">
        <v>7.6608784473952999E-4</v>
      </c>
      <c r="N584">
        <v>0.26557711950970375</v>
      </c>
      <c r="O584">
        <v>0</v>
      </c>
      <c r="P584">
        <v>0</v>
      </c>
      <c r="Q584">
        <v>0.12819203268641474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0.1225740551583248</v>
      </c>
      <c r="Z584">
        <v>3.0898876404494378E-2</v>
      </c>
      <c r="AA584">
        <v>0</v>
      </c>
      <c r="AB584">
        <v>0</v>
      </c>
      <c r="AC584">
        <v>0</v>
      </c>
      <c r="AD584">
        <v>0</v>
      </c>
      <c r="AE584">
        <v>1.5321756894790602E-3</v>
      </c>
      <c r="AF584">
        <v>0</v>
      </c>
      <c r="AG584">
        <v>0</v>
      </c>
      <c r="AH584">
        <v>0</v>
      </c>
      <c r="AI584">
        <v>1.0725229826353423E-2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0.20939734422880488</v>
      </c>
      <c r="AW584">
        <v>0</v>
      </c>
      <c r="AX584">
        <v>0</v>
      </c>
      <c r="AY584">
        <v>0</v>
      </c>
      <c r="AZ584">
        <v>0</v>
      </c>
      <c r="BA584">
        <v>5.6179775280898875E-3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0.21961184882533188</v>
      </c>
      <c r="CB584">
        <v>5.1072522982635342E-3</v>
      </c>
    </row>
    <row r="585" spans="1:80">
      <c r="A585">
        <v>584</v>
      </c>
      <c r="B585" t="s">
        <v>42</v>
      </c>
      <c r="C585" s="4" t="s">
        <v>160</v>
      </c>
      <c r="D585" s="4" t="s">
        <v>116</v>
      </c>
      <c r="E585" s="5">
        <v>40332</v>
      </c>
      <c r="F585" s="5">
        <v>40331</v>
      </c>
      <c r="G585">
        <v>1006</v>
      </c>
      <c r="H585" s="4" t="s">
        <v>110</v>
      </c>
      <c r="I585" s="4" t="s">
        <v>108</v>
      </c>
      <c r="J585" s="4" t="str">
        <f t="shared" si="9"/>
        <v>u_rem.c_con</v>
      </c>
      <c r="K585" s="5">
        <v>8</v>
      </c>
      <c r="L585">
        <v>0</v>
      </c>
      <c r="M585">
        <v>5.1229508196721308E-3</v>
      </c>
      <c r="N585">
        <v>0.29713114754098358</v>
      </c>
      <c r="O585">
        <v>0</v>
      </c>
      <c r="P585">
        <v>0</v>
      </c>
      <c r="Q585">
        <v>1.0245901639344262E-2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1.5368852459016393E-2</v>
      </c>
      <c r="AJ585">
        <v>0</v>
      </c>
      <c r="AK585">
        <v>0</v>
      </c>
      <c r="AL585">
        <v>0</v>
      </c>
      <c r="AM585">
        <v>0.44569672131147542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3.5860655737704909E-2</v>
      </c>
      <c r="AT585">
        <v>0</v>
      </c>
      <c r="AU585">
        <v>0</v>
      </c>
      <c r="AV585">
        <v>5.6352459016393444E-3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5.1229508196721308E-3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6.1987704918032772E-2</v>
      </c>
      <c r="CA585">
        <v>0.11782786885245901</v>
      </c>
      <c r="CB585">
        <v>0</v>
      </c>
    </row>
    <row r="586" spans="1:80">
      <c r="A586">
        <v>585</v>
      </c>
      <c r="B586" t="s">
        <v>43</v>
      </c>
      <c r="C586" s="4" t="s">
        <v>161</v>
      </c>
      <c r="D586" s="4" t="s">
        <v>116</v>
      </c>
      <c r="E586" s="5">
        <v>40332</v>
      </c>
      <c r="F586" s="5">
        <v>40331</v>
      </c>
      <c r="G586">
        <v>1006</v>
      </c>
      <c r="H586" s="4" t="s">
        <v>107</v>
      </c>
      <c r="I586" s="4" t="s">
        <v>109</v>
      </c>
      <c r="J586" s="4" t="str">
        <f t="shared" si="9"/>
        <v>u_con.c_rem</v>
      </c>
      <c r="K586" s="5">
        <v>2</v>
      </c>
      <c r="L586">
        <v>0</v>
      </c>
      <c r="M586">
        <v>8.834327673244606E-2</v>
      </c>
      <c r="N586">
        <v>0.38549793483249184</v>
      </c>
      <c r="O586">
        <v>0</v>
      </c>
      <c r="P586">
        <v>0</v>
      </c>
      <c r="Q586">
        <v>4.5892611289582372E-2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4.5892611289582372E-2</v>
      </c>
      <c r="AA586">
        <v>0</v>
      </c>
      <c r="AB586">
        <v>0</v>
      </c>
      <c r="AC586">
        <v>0</v>
      </c>
      <c r="AD586">
        <v>0</v>
      </c>
      <c r="AE586">
        <v>6.8838916934373551E-4</v>
      </c>
      <c r="AF586">
        <v>0</v>
      </c>
      <c r="AG586">
        <v>0</v>
      </c>
      <c r="AH586">
        <v>5.0481872418540619E-3</v>
      </c>
      <c r="AI586">
        <v>4.5892611289582365E-2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4.5892611289582365E-2</v>
      </c>
      <c r="AT586">
        <v>2.2946305644791186E-4</v>
      </c>
      <c r="AU586">
        <v>0</v>
      </c>
      <c r="AV586">
        <v>2.2946305644791186E-4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2.4093620927030747E-2</v>
      </c>
      <c r="CA586">
        <v>0.3120697567691601</v>
      </c>
      <c r="CB586">
        <v>2.2946305644791186E-4</v>
      </c>
    </row>
    <row r="587" spans="1:80">
      <c r="A587">
        <v>586</v>
      </c>
      <c r="B587" t="s">
        <v>44</v>
      </c>
      <c r="C587" s="4" t="s">
        <v>161</v>
      </c>
      <c r="D587" s="4" t="s">
        <v>116</v>
      </c>
      <c r="E587" s="5">
        <v>40332</v>
      </c>
      <c r="F587" s="5">
        <v>40331</v>
      </c>
      <c r="G587">
        <v>1006</v>
      </c>
      <c r="H587" s="4" t="s">
        <v>107</v>
      </c>
      <c r="I587" s="4" t="s">
        <v>109</v>
      </c>
      <c r="J587" s="4" t="str">
        <f t="shared" si="9"/>
        <v>u_con.c_rem</v>
      </c>
      <c r="K587" s="5">
        <v>2</v>
      </c>
      <c r="L587">
        <v>0</v>
      </c>
      <c r="M587">
        <v>6.7355186349348908E-2</v>
      </c>
      <c r="N587">
        <v>0.46250561293219583</v>
      </c>
      <c r="O587">
        <v>0</v>
      </c>
      <c r="P587">
        <v>0</v>
      </c>
      <c r="Q587">
        <v>2.6942074539739558E-2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4.4903457566232603E-2</v>
      </c>
      <c r="Z587">
        <v>5.4108666367310279E-2</v>
      </c>
      <c r="AA587">
        <v>0</v>
      </c>
      <c r="AB587">
        <v>0</v>
      </c>
      <c r="AC587">
        <v>0</v>
      </c>
      <c r="AD587">
        <v>0</v>
      </c>
      <c r="AE587">
        <v>4.4903457566232603E-4</v>
      </c>
      <c r="AF587">
        <v>0</v>
      </c>
      <c r="AG587">
        <v>0</v>
      </c>
      <c r="AH587">
        <v>4.7148630444544233E-3</v>
      </c>
      <c r="AI587">
        <v>2.2676246070947464E-2</v>
      </c>
      <c r="AJ587">
        <v>0</v>
      </c>
      <c r="AK587">
        <v>0</v>
      </c>
      <c r="AL587">
        <v>0</v>
      </c>
      <c r="AM587">
        <v>0</v>
      </c>
      <c r="AN587">
        <v>2.2451728783116302E-4</v>
      </c>
      <c r="AO587">
        <v>0</v>
      </c>
      <c r="AP587">
        <v>0</v>
      </c>
      <c r="AQ587">
        <v>0</v>
      </c>
      <c r="AR587">
        <v>0</v>
      </c>
      <c r="AS587">
        <v>1.3471037269869783E-2</v>
      </c>
      <c r="AT587">
        <v>0</v>
      </c>
      <c r="AU587">
        <v>0</v>
      </c>
      <c r="AV587">
        <v>8.1275258194881017E-2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3.2555006735518636E-2</v>
      </c>
      <c r="CA587">
        <v>0.18881903906600808</v>
      </c>
      <c r="CB587">
        <v>0</v>
      </c>
    </row>
    <row r="588" spans="1:80">
      <c r="A588">
        <v>587</v>
      </c>
      <c r="B588" t="s">
        <v>45</v>
      </c>
      <c r="C588" s="4" t="s">
        <v>161</v>
      </c>
      <c r="D588" s="4" t="s">
        <v>116</v>
      </c>
      <c r="E588" s="5">
        <v>40332</v>
      </c>
      <c r="F588" s="5">
        <v>40331</v>
      </c>
      <c r="G588">
        <v>1006</v>
      </c>
      <c r="H588" s="4" t="s">
        <v>107</v>
      </c>
      <c r="I588" s="4" t="s">
        <v>108</v>
      </c>
      <c r="J588" s="4" t="str">
        <f t="shared" si="9"/>
        <v>u_con.c_con</v>
      </c>
      <c r="K588" s="5">
        <v>19</v>
      </c>
      <c r="L588">
        <v>0</v>
      </c>
      <c r="M588">
        <v>4.269710420629888E-2</v>
      </c>
      <c r="N588">
        <v>0.18241386599027692</v>
      </c>
      <c r="O588">
        <v>0</v>
      </c>
      <c r="P588">
        <v>0</v>
      </c>
      <c r="Q588">
        <v>2.1137180300147965E-4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0.35087719298245618</v>
      </c>
      <c r="AA588">
        <v>0</v>
      </c>
      <c r="AB588">
        <v>0</v>
      </c>
      <c r="AC588">
        <v>0</v>
      </c>
      <c r="AD588">
        <v>0</v>
      </c>
      <c r="AE588">
        <v>4.2274360600295935E-3</v>
      </c>
      <c r="AF588">
        <v>0</v>
      </c>
      <c r="AG588">
        <v>0</v>
      </c>
      <c r="AH588">
        <v>8.454872120059187E-3</v>
      </c>
      <c r="AI588">
        <v>4.6501796660325528E-3</v>
      </c>
      <c r="AJ588">
        <v>0</v>
      </c>
      <c r="AK588">
        <v>0</v>
      </c>
      <c r="AL588">
        <v>0</v>
      </c>
      <c r="AM588">
        <v>0</v>
      </c>
      <c r="AN588">
        <v>2.1137180300147965E-4</v>
      </c>
      <c r="AO588">
        <v>0</v>
      </c>
      <c r="AP588">
        <v>0</v>
      </c>
      <c r="AQ588">
        <v>0</v>
      </c>
      <c r="AR588">
        <v>0</v>
      </c>
      <c r="AS588">
        <v>4.6501796660325528E-2</v>
      </c>
      <c r="AT588">
        <v>4.4388078630310732E-3</v>
      </c>
      <c r="AU588">
        <v>0</v>
      </c>
      <c r="AV588">
        <v>4.2274360600295935E-3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2.1348552103149447E-2</v>
      </c>
      <c r="CA588">
        <v>0.32974001268230824</v>
      </c>
      <c r="CB588">
        <v>0</v>
      </c>
    </row>
    <row r="589" spans="1:80">
      <c r="A589">
        <v>588</v>
      </c>
      <c r="B589" t="s">
        <v>46</v>
      </c>
      <c r="C589" s="4" t="s">
        <v>161</v>
      </c>
      <c r="D589" s="4" t="s">
        <v>116</v>
      </c>
      <c r="E589" s="5">
        <v>40332</v>
      </c>
      <c r="F589" s="5">
        <v>40331</v>
      </c>
      <c r="G589">
        <v>1006</v>
      </c>
      <c r="H589" s="4" t="s">
        <v>107</v>
      </c>
      <c r="I589" s="4" t="s">
        <v>108</v>
      </c>
      <c r="J589" s="4" t="str">
        <f t="shared" si="9"/>
        <v>u_con.c_con</v>
      </c>
      <c r="K589" s="5">
        <v>19</v>
      </c>
      <c r="L589">
        <v>0</v>
      </c>
      <c r="M589">
        <v>0.1247156153050672</v>
      </c>
      <c r="N589">
        <v>0.44674250258531545</v>
      </c>
      <c r="O589">
        <v>0</v>
      </c>
      <c r="P589">
        <v>0</v>
      </c>
      <c r="Q589">
        <v>8.4798345398138571E-3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1.2616339193381594E-2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1.675284384694933E-2</v>
      </c>
      <c r="AI589">
        <v>8.8934850051706309E-3</v>
      </c>
      <c r="AJ589">
        <v>8.2730093071354711E-3</v>
      </c>
      <c r="AK589">
        <v>0</v>
      </c>
      <c r="AL589">
        <v>0</v>
      </c>
      <c r="AM589">
        <v>0</v>
      </c>
      <c r="AN589">
        <v>4.1365046535677351E-4</v>
      </c>
      <c r="AO589">
        <v>0</v>
      </c>
      <c r="AP589">
        <v>0</v>
      </c>
      <c r="AQ589">
        <v>0</v>
      </c>
      <c r="AR589">
        <v>0</v>
      </c>
      <c r="AS589">
        <v>7.4457083764219237E-2</v>
      </c>
      <c r="AT589">
        <v>4.5501551189245084E-3</v>
      </c>
      <c r="AU589">
        <v>2.0682523267838676E-4</v>
      </c>
      <c r="AV589">
        <v>2.481902792140641E-2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1.675284384694933E-2</v>
      </c>
      <c r="CA589">
        <v>0.24405377456049632</v>
      </c>
      <c r="CB589">
        <v>8.2730093071354711E-3</v>
      </c>
    </row>
    <row r="590" spans="1:80">
      <c r="A590">
        <v>589</v>
      </c>
      <c r="B590" t="s">
        <v>47</v>
      </c>
      <c r="C590" s="4" t="s">
        <v>162</v>
      </c>
      <c r="D590" s="4" t="s">
        <v>116</v>
      </c>
      <c r="E590" s="5">
        <v>40332</v>
      </c>
      <c r="F590" s="5">
        <v>40331</v>
      </c>
      <c r="G590">
        <v>1006</v>
      </c>
      <c r="H590" s="4" t="s">
        <v>110</v>
      </c>
      <c r="I590" s="4" t="s">
        <v>108</v>
      </c>
      <c r="J590" s="4" t="str">
        <f t="shared" si="9"/>
        <v>u_rem.c_con</v>
      </c>
      <c r="K590" s="5">
        <v>8</v>
      </c>
      <c r="L590">
        <v>0</v>
      </c>
      <c r="M590">
        <v>0.1216599190283401</v>
      </c>
      <c r="N590">
        <v>0.15384615384615383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1.6194331983805668E-2</v>
      </c>
      <c r="AD590">
        <v>0</v>
      </c>
      <c r="AE590">
        <v>4.0890688259109298E-2</v>
      </c>
      <c r="AF590">
        <v>0</v>
      </c>
      <c r="AG590">
        <v>0</v>
      </c>
      <c r="AH590">
        <v>0.1538461538461538</v>
      </c>
      <c r="AI590">
        <v>2.4291497975708499E-2</v>
      </c>
      <c r="AJ590">
        <v>1.2145748987854249E-2</v>
      </c>
      <c r="AK590">
        <v>0</v>
      </c>
      <c r="AL590">
        <v>0</v>
      </c>
      <c r="AM590">
        <v>0</v>
      </c>
      <c r="AN590">
        <v>7.3481781376518215E-2</v>
      </c>
      <c r="AO590">
        <v>0</v>
      </c>
      <c r="AP590">
        <v>0</v>
      </c>
      <c r="AQ590">
        <v>0</v>
      </c>
      <c r="AR590">
        <v>0</v>
      </c>
      <c r="AS590">
        <v>6.0728744939271245E-2</v>
      </c>
      <c r="AT590">
        <v>2.5303643724696352E-2</v>
      </c>
      <c r="AU590">
        <v>0</v>
      </c>
      <c r="AV590">
        <v>4.048582995951417E-3</v>
      </c>
      <c r="AW590">
        <v>0</v>
      </c>
      <c r="AX590">
        <v>0</v>
      </c>
      <c r="AY590">
        <v>0</v>
      </c>
      <c r="AZ590">
        <v>0</v>
      </c>
      <c r="BA590">
        <v>9.392712550607285E-2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5.7692307692307689E-2</v>
      </c>
      <c r="CA590">
        <v>0.16194331983805665</v>
      </c>
      <c r="CB590">
        <v>0</v>
      </c>
    </row>
    <row r="591" spans="1:80">
      <c r="A591">
        <v>590</v>
      </c>
      <c r="B591" t="s">
        <v>48</v>
      </c>
      <c r="C591" s="4" t="s">
        <v>162</v>
      </c>
      <c r="D591" s="4" t="s">
        <v>116</v>
      </c>
      <c r="E591" s="5">
        <v>40332</v>
      </c>
      <c r="F591" s="5">
        <v>40331</v>
      </c>
      <c r="G591">
        <v>1006</v>
      </c>
      <c r="H591" s="4" t="s">
        <v>110</v>
      </c>
      <c r="I591" s="4" t="s">
        <v>108</v>
      </c>
      <c r="J591" s="4" t="str">
        <f t="shared" si="9"/>
        <v>u_rem.c_con</v>
      </c>
      <c r="K591" s="5">
        <v>8</v>
      </c>
      <c r="L591">
        <v>5.7855722292533003E-2</v>
      </c>
      <c r="M591">
        <v>0.13035617429036342</v>
      </c>
      <c r="N591">
        <v>0.17356716687759896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3.2905442053878138E-2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6.1471704935816322E-2</v>
      </c>
      <c r="AI591">
        <v>3.9956608208280606E-2</v>
      </c>
      <c r="AJ591">
        <v>3.6159826432833127E-3</v>
      </c>
      <c r="AK591">
        <v>0</v>
      </c>
      <c r="AL591">
        <v>0</v>
      </c>
      <c r="AM591">
        <v>0</v>
      </c>
      <c r="AN591">
        <v>3.6340625564997286E-2</v>
      </c>
      <c r="AO591">
        <v>0</v>
      </c>
      <c r="AP591">
        <v>0</v>
      </c>
      <c r="AQ591">
        <v>0</v>
      </c>
      <c r="AR591">
        <v>0</v>
      </c>
      <c r="AS591">
        <v>1.8079913216416561E-2</v>
      </c>
      <c r="AT591">
        <v>7.5935635508949575E-3</v>
      </c>
      <c r="AU591">
        <v>3.7967817754474787E-3</v>
      </c>
      <c r="AV591">
        <v>0</v>
      </c>
      <c r="AW591">
        <v>1.0847947929849937E-2</v>
      </c>
      <c r="AX591">
        <v>0</v>
      </c>
      <c r="AY591">
        <v>3.6159826432833127E-3</v>
      </c>
      <c r="AZ591">
        <v>0</v>
      </c>
      <c r="BA591">
        <v>0.21713975772916289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1.1209546194178271E-2</v>
      </c>
      <c r="CA591">
        <v>0.1807991321641656</v>
      </c>
      <c r="CB591">
        <v>1.0847947929849939E-2</v>
      </c>
    </row>
    <row r="592" spans="1:80">
      <c r="A592">
        <v>591</v>
      </c>
      <c r="B592" t="s">
        <v>49</v>
      </c>
      <c r="C592" s="4" t="s">
        <v>162</v>
      </c>
      <c r="D592" s="4" t="s">
        <v>116</v>
      </c>
      <c r="E592" s="5">
        <v>40332</v>
      </c>
      <c r="F592" s="5">
        <v>40331</v>
      </c>
      <c r="G592">
        <v>1006</v>
      </c>
      <c r="H592" s="4" t="s">
        <v>110</v>
      </c>
      <c r="I592" s="4" t="s">
        <v>109</v>
      </c>
      <c r="J592" s="4" t="str">
        <f t="shared" si="9"/>
        <v>u_rem.c_rem</v>
      </c>
      <c r="K592" s="5">
        <v>1</v>
      </c>
      <c r="L592">
        <v>0</v>
      </c>
      <c r="M592">
        <v>0.23656118947769722</v>
      </c>
      <c r="N592">
        <v>0.19062142584826527</v>
      </c>
      <c r="O592">
        <v>0</v>
      </c>
      <c r="P592">
        <v>0</v>
      </c>
      <c r="Q592">
        <v>7.6248570339306132E-3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9.5310712924132651E-2</v>
      </c>
      <c r="AA592">
        <v>0</v>
      </c>
      <c r="AB592">
        <v>0</v>
      </c>
      <c r="AC592">
        <v>0</v>
      </c>
      <c r="AD592">
        <v>0</v>
      </c>
      <c r="AE592">
        <v>1.1437285550895921E-2</v>
      </c>
      <c r="AF592">
        <v>0</v>
      </c>
      <c r="AG592">
        <v>0</v>
      </c>
      <c r="AH592">
        <v>1.5249714067861226E-2</v>
      </c>
      <c r="AI592">
        <v>8.1967213114754103E-3</v>
      </c>
      <c r="AJ592">
        <v>0</v>
      </c>
      <c r="AK592">
        <v>0</v>
      </c>
      <c r="AL592">
        <v>0</v>
      </c>
      <c r="AM592">
        <v>0</v>
      </c>
      <c r="AN592">
        <v>7.3961113229126949E-2</v>
      </c>
      <c r="AO592">
        <v>0</v>
      </c>
      <c r="AP592">
        <v>0</v>
      </c>
      <c r="AQ592">
        <v>0</v>
      </c>
      <c r="AR592">
        <v>0</v>
      </c>
      <c r="AS592">
        <v>1.6012199771254287E-2</v>
      </c>
      <c r="AT592">
        <v>9.5310712924132665E-4</v>
      </c>
      <c r="AU592">
        <v>0</v>
      </c>
      <c r="AV592">
        <v>3.8124285169653066E-3</v>
      </c>
      <c r="AW592">
        <v>1.1437285550895921E-2</v>
      </c>
      <c r="AX592">
        <v>0</v>
      </c>
      <c r="AY592">
        <v>0</v>
      </c>
      <c r="AZ592">
        <v>0</v>
      </c>
      <c r="BA592">
        <v>0.15688143347312233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2.7068242470453672E-2</v>
      </c>
      <c r="CA592">
        <v>0.14487228364468163</v>
      </c>
      <c r="CB592">
        <v>0</v>
      </c>
    </row>
    <row r="593" spans="1:80">
      <c r="A593">
        <v>592</v>
      </c>
      <c r="B593" t="s">
        <v>50</v>
      </c>
      <c r="C593" s="4" t="s">
        <v>162</v>
      </c>
      <c r="D593" s="4" t="s">
        <v>116</v>
      </c>
      <c r="E593" s="5">
        <v>40332</v>
      </c>
      <c r="F593" s="5">
        <v>40331</v>
      </c>
      <c r="G593">
        <v>1006</v>
      </c>
      <c r="H593" s="4" t="s">
        <v>110</v>
      </c>
      <c r="I593" s="4" t="s">
        <v>109</v>
      </c>
      <c r="J593" s="4" t="str">
        <f t="shared" si="9"/>
        <v>u_rem.c_rem</v>
      </c>
      <c r="K593" s="5">
        <v>1</v>
      </c>
      <c r="L593">
        <v>0</v>
      </c>
      <c r="M593">
        <v>0.10854176498348278</v>
      </c>
      <c r="N593">
        <v>0.11821613968853231</v>
      </c>
      <c r="O593">
        <v>0</v>
      </c>
      <c r="P593">
        <v>0</v>
      </c>
      <c r="Q593">
        <v>3.7753657385559213E-2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0.16540821142048132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4.9551675318546479E-3</v>
      </c>
      <c r="AI593">
        <v>9.4384143463898049E-3</v>
      </c>
      <c r="AJ593">
        <v>0.13709296838131191</v>
      </c>
      <c r="AK593">
        <v>0</v>
      </c>
      <c r="AL593">
        <v>4.7192071731949024E-3</v>
      </c>
      <c r="AM593">
        <v>0</v>
      </c>
      <c r="AN593">
        <v>2.9731005191127886E-2</v>
      </c>
      <c r="AO593">
        <v>0</v>
      </c>
      <c r="AP593">
        <v>0</v>
      </c>
      <c r="AQ593">
        <v>0</v>
      </c>
      <c r="AR593">
        <v>0</v>
      </c>
      <c r="AS593">
        <v>1.46295422369042E-2</v>
      </c>
      <c r="AT593">
        <v>0</v>
      </c>
      <c r="AU593">
        <v>2.3596035865974512E-4</v>
      </c>
      <c r="AV593">
        <v>0</v>
      </c>
      <c r="AW593">
        <v>0</v>
      </c>
      <c r="AX593">
        <v>9.4384143463898049E-3</v>
      </c>
      <c r="AY593">
        <v>0</v>
      </c>
      <c r="AZ593">
        <v>0</v>
      </c>
      <c r="BA593">
        <v>3.3506370929683803E-2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9.9103350637092958E-3</v>
      </c>
      <c r="CA593">
        <v>0.3069844266163283</v>
      </c>
      <c r="CB593">
        <v>9.4384143463898049E-3</v>
      </c>
    </row>
    <row r="594" spans="1:80">
      <c r="A594">
        <v>593</v>
      </c>
      <c r="B594" t="s">
        <v>51</v>
      </c>
      <c r="C594" s="4" t="s">
        <v>163</v>
      </c>
      <c r="D594" s="4" t="s">
        <v>116</v>
      </c>
      <c r="E594" s="5">
        <v>40332</v>
      </c>
      <c r="F594" s="5">
        <v>40331</v>
      </c>
      <c r="G594">
        <v>1006</v>
      </c>
      <c r="H594" s="4" t="s">
        <v>107</v>
      </c>
      <c r="I594" s="4" t="s">
        <v>109</v>
      </c>
      <c r="J594" s="4" t="str">
        <f t="shared" si="9"/>
        <v>u_con.c_rem</v>
      </c>
      <c r="K594" s="5">
        <v>2</v>
      </c>
      <c r="L594">
        <v>0</v>
      </c>
      <c r="M594">
        <v>3.3914272256241169E-2</v>
      </c>
      <c r="N594">
        <v>0.20725388601036274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7.0890249646726342E-2</v>
      </c>
      <c r="AA594">
        <v>0</v>
      </c>
      <c r="AB594">
        <v>0</v>
      </c>
      <c r="AC594">
        <v>4.7103155911446077E-3</v>
      </c>
      <c r="AD594">
        <v>0</v>
      </c>
      <c r="AE594">
        <v>4.7103155911446074E-4</v>
      </c>
      <c r="AF594">
        <v>0</v>
      </c>
      <c r="AG594">
        <v>0</v>
      </c>
      <c r="AH594">
        <v>1.9076778144135661E-2</v>
      </c>
      <c r="AI594">
        <v>2.9203956665096564E-2</v>
      </c>
      <c r="AJ594">
        <v>5.2284503061705137E-2</v>
      </c>
      <c r="AK594">
        <v>0</v>
      </c>
      <c r="AL594">
        <v>0</v>
      </c>
      <c r="AM594">
        <v>0</v>
      </c>
      <c r="AN594">
        <v>1.0362694300518137E-2</v>
      </c>
      <c r="AO594">
        <v>0</v>
      </c>
      <c r="AP594">
        <v>0</v>
      </c>
      <c r="AQ594">
        <v>0</v>
      </c>
      <c r="AR594">
        <v>0</v>
      </c>
      <c r="AS594">
        <v>8.0781912388130026E-2</v>
      </c>
      <c r="AT594">
        <v>0</v>
      </c>
      <c r="AU594">
        <v>3.8153556288271315E-2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2.4258125294394729E-2</v>
      </c>
      <c r="CA594">
        <v>0.41450777202072542</v>
      </c>
      <c r="CB594">
        <v>1.4130946773433824E-2</v>
      </c>
    </row>
    <row r="595" spans="1:80">
      <c r="A595">
        <v>594</v>
      </c>
      <c r="B595" t="s">
        <v>52</v>
      </c>
      <c r="C595" s="4" t="s">
        <v>163</v>
      </c>
      <c r="D595" s="4" t="s">
        <v>116</v>
      </c>
      <c r="E595" s="5">
        <v>40332</v>
      </c>
      <c r="F595" s="5">
        <v>40331</v>
      </c>
      <c r="G595">
        <v>1006</v>
      </c>
      <c r="H595" s="4" t="s">
        <v>107</v>
      </c>
      <c r="I595" s="4" t="s">
        <v>109</v>
      </c>
      <c r="J595" s="4" t="str">
        <f t="shared" si="9"/>
        <v>u_con.c_rem</v>
      </c>
      <c r="K595" s="5">
        <v>2</v>
      </c>
      <c r="L595">
        <v>0</v>
      </c>
      <c r="M595">
        <v>9.8847139197267286E-2</v>
      </c>
      <c r="N595">
        <v>0.16225448334756623</v>
      </c>
      <c r="O595">
        <v>0</v>
      </c>
      <c r="P595">
        <v>0</v>
      </c>
      <c r="Q595">
        <v>3.0315969257045262E-2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0.19235695986336465</v>
      </c>
      <c r="AA595">
        <v>0</v>
      </c>
      <c r="AB595">
        <v>0</v>
      </c>
      <c r="AC595">
        <v>0</v>
      </c>
      <c r="AD595">
        <v>0</v>
      </c>
      <c r="AE595">
        <v>2.1349274124679763E-4</v>
      </c>
      <c r="AF595">
        <v>0</v>
      </c>
      <c r="AG595">
        <v>0</v>
      </c>
      <c r="AH595">
        <v>8.5397096498719058E-3</v>
      </c>
      <c r="AI595">
        <v>1.7079419299743812E-2</v>
      </c>
      <c r="AJ595">
        <v>8.1340734415029911E-2</v>
      </c>
      <c r="AK595">
        <v>0</v>
      </c>
      <c r="AL595">
        <v>0</v>
      </c>
      <c r="AM595">
        <v>0</v>
      </c>
      <c r="AN595">
        <v>5.6789069171648172E-2</v>
      </c>
      <c r="AO595">
        <v>0</v>
      </c>
      <c r="AP595">
        <v>0</v>
      </c>
      <c r="AQ595">
        <v>0</v>
      </c>
      <c r="AR595">
        <v>0</v>
      </c>
      <c r="AS595">
        <v>2.1776259607173359E-2</v>
      </c>
      <c r="AT595">
        <v>4.2698548249359527E-4</v>
      </c>
      <c r="AU595">
        <v>5.1238257899231436E-3</v>
      </c>
      <c r="AV595">
        <v>0</v>
      </c>
      <c r="AW595">
        <v>0</v>
      </c>
      <c r="AX595">
        <v>4.2698548249359529E-3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1.7506404782237407E-2</v>
      </c>
      <c r="CA595">
        <v>0.2903501280956447</v>
      </c>
      <c r="CB595">
        <v>1.2809564474807859E-2</v>
      </c>
    </row>
    <row r="596" spans="1:80">
      <c r="A596">
        <v>595</v>
      </c>
      <c r="B596" t="s">
        <v>53</v>
      </c>
      <c r="C596" s="4" t="s">
        <v>163</v>
      </c>
      <c r="D596" s="4" t="s">
        <v>116</v>
      </c>
      <c r="E596" s="5">
        <v>40332</v>
      </c>
      <c r="F596" s="5">
        <v>40331</v>
      </c>
      <c r="G596">
        <v>1006</v>
      </c>
      <c r="H596" s="4" t="s">
        <v>107</v>
      </c>
      <c r="I596" s="4" t="s">
        <v>108</v>
      </c>
      <c r="J596" s="4" t="str">
        <f t="shared" si="9"/>
        <v>u_con.c_con</v>
      </c>
      <c r="K596" s="5">
        <v>19</v>
      </c>
      <c r="L596">
        <v>0</v>
      </c>
      <c r="M596">
        <v>1.8876611418047883E-2</v>
      </c>
      <c r="N596">
        <v>0.20257826887661137</v>
      </c>
      <c r="O596">
        <v>0</v>
      </c>
      <c r="P596">
        <v>0</v>
      </c>
      <c r="Q596">
        <v>1.4502762430939228E-2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0.17564456721915286</v>
      </c>
      <c r="AA596">
        <v>0</v>
      </c>
      <c r="AB596">
        <v>0</v>
      </c>
      <c r="AC596">
        <v>0</v>
      </c>
      <c r="AD596">
        <v>0</v>
      </c>
      <c r="AE596">
        <v>2.3020257826887659E-4</v>
      </c>
      <c r="AF596">
        <v>0</v>
      </c>
      <c r="AG596">
        <v>0</v>
      </c>
      <c r="AH596">
        <v>1.3812154696132598E-2</v>
      </c>
      <c r="AI596">
        <v>0</v>
      </c>
      <c r="AJ596">
        <v>8.2872928176795577E-2</v>
      </c>
      <c r="AK596">
        <v>0</v>
      </c>
      <c r="AL596">
        <v>3.706261510128913E-2</v>
      </c>
      <c r="AM596">
        <v>0</v>
      </c>
      <c r="AN596">
        <v>1.4732965009208104E-2</v>
      </c>
      <c r="AO596">
        <v>0</v>
      </c>
      <c r="AP596">
        <v>0</v>
      </c>
      <c r="AQ596">
        <v>0</v>
      </c>
      <c r="AR596">
        <v>0</v>
      </c>
      <c r="AS596">
        <v>1.4042357274401474E-2</v>
      </c>
      <c r="AT596">
        <v>4.8342541436464086E-3</v>
      </c>
      <c r="AU596">
        <v>9.6685082872928173E-3</v>
      </c>
      <c r="AV596">
        <v>0</v>
      </c>
      <c r="AW596">
        <v>9.2081031307550635E-3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3.821362799263351E-2</v>
      </c>
      <c r="CA596">
        <v>0.34990791896869239</v>
      </c>
      <c r="CB596">
        <v>1.3812154696132598E-2</v>
      </c>
    </row>
    <row r="597" spans="1:80">
      <c r="A597">
        <v>596</v>
      </c>
      <c r="B597" t="s">
        <v>54</v>
      </c>
      <c r="C597" s="4" t="s">
        <v>163</v>
      </c>
      <c r="D597" s="4" t="s">
        <v>116</v>
      </c>
      <c r="E597" s="5">
        <v>40332</v>
      </c>
      <c r="F597" s="5">
        <v>40331</v>
      </c>
      <c r="G597">
        <v>1006</v>
      </c>
      <c r="H597" s="4" t="s">
        <v>107</v>
      </c>
      <c r="I597" s="4" t="s">
        <v>108</v>
      </c>
      <c r="J597" s="4" t="str">
        <f t="shared" si="9"/>
        <v>u_con.c_con</v>
      </c>
      <c r="K597" s="5">
        <v>19</v>
      </c>
      <c r="L597">
        <v>0</v>
      </c>
      <c r="M597">
        <v>3.8558786346396964E-2</v>
      </c>
      <c r="N597">
        <v>8.9549093973872743E-2</v>
      </c>
      <c r="O597">
        <v>0</v>
      </c>
      <c r="P597">
        <v>0</v>
      </c>
      <c r="Q597">
        <v>7.2482090181205258E-2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0.3329119258322798</v>
      </c>
      <c r="AA597">
        <v>0</v>
      </c>
      <c r="AB597">
        <v>0</v>
      </c>
      <c r="AC597">
        <v>0</v>
      </c>
      <c r="AD597">
        <v>0</v>
      </c>
      <c r="AE597">
        <v>4.2140750105351885E-3</v>
      </c>
      <c r="AF597">
        <v>0</v>
      </c>
      <c r="AG597">
        <v>0</v>
      </c>
      <c r="AH597">
        <v>8.4281500210703769E-3</v>
      </c>
      <c r="AI597">
        <v>8.4281500210703769E-3</v>
      </c>
      <c r="AJ597">
        <v>0</v>
      </c>
      <c r="AK597">
        <v>0</v>
      </c>
      <c r="AL597">
        <v>0</v>
      </c>
      <c r="AM597">
        <v>0</v>
      </c>
      <c r="AN597">
        <v>2.6548672566371685E-2</v>
      </c>
      <c r="AO597">
        <v>0</v>
      </c>
      <c r="AP597">
        <v>0</v>
      </c>
      <c r="AQ597">
        <v>0</v>
      </c>
      <c r="AR597">
        <v>0</v>
      </c>
      <c r="AS597">
        <v>3.0341340075853353E-2</v>
      </c>
      <c r="AT597">
        <v>0</v>
      </c>
      <c r="AU597">
        <v>8.4281500210703769E-3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9.2709650231774157E-3</v>
      </c>
      <c r="CA597">
        <v>0.37083860092709653</v>
      </c>
      <c r="CB597">
        <v>0</v>
      </c>
    </row>
    <row r="598" spans="1:80">
      <c r="A598">
        <v>597</v>
      </c>
      <c r="B598" t="s">
        <v>55</v>
      </c>
      <c r="C598" s="4" t="s">
        <v>164</v>
      </c>
      <c r="D598" s="4" t="s">
        <v>116</v>
      </c>
      <c r="E598" s="5">
        <v>40332</v>
      </c>
      <c r="F598" s="5">
        <v>40331</v>
      </c>
      <c r="G598">
        <v>1006</v>
      </c>
      <c r="H598" s="4" t="s">
        <v>110</v>
      </c>
      <c r="I598" s="4" t="s">
        <v>108</v>
      </c>
      <c r="J598" s="4" t="str">
        <f t="shared" si="9"/>
        <v>u_rem.c_con</v>
      </c>
      <c r="K598" s="5">
        <v>8</v>
      </c>
      <c r="L598">
        <v>0</v>
      </c>
      <c r="M598">
        <v>6.7390822434050104E-2</v>
      </c>
      <c r="N598">
        <v>7.6036355575260492E-2</v>
      </c>
      <c r="O598">
        <v>0</v>
      </c>
      <c r="P598">
        <v>0</v>
      </c>
      <c r="Q598">
        <v>1.3522500554200845E-2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2.2168033695411218E-2</v>
      </c>
      <c r="AA598">
        <v>4.4336067390822438E-3</v>
      </c>
      <c r="AB598">
        <v>0</v>
      </c>
      <c r="AC598">
        <v>0</v>
      </c>
      <c r="AD598">
        <v>0</v>
      </c>
      <c r="AE598">
        <v>8.8672134781644877E-3</v>
      </c>
      <c r="AF598">
        <v>0</v>
      </c>
      <c r="AG598">
        <v>0</v>
      </c>
      <c r="AH598">
        <v>1.3744180891154957E-2</v>
      </c>
      <c r="AI598">
        <v>2.2389714032365331E-2</v>
      </c>
      <c r="AJ598">
        <v>0</v>
      </c>
      <c r="AK598">
        <v>0</v>
      </c>
      <c r="AL598">
        <v>5.320328086898693E-2</v>
      </c>
      <c r="AM598">
        <v>0</v>
      </c>
      <c r="AN598">
        <v>1.9286189315007762E-2</v>
      </c>
      <c r="AO598">
        <v>0</v>
      </c>
      <c r="AP598">
        <v>0</v>
      </c>
      <c r="AQ598">
        <v>0</v>
      </c>
      <c r="AR598">
        <v>0</v>
      </c>
      <c r="AS598">
        <v>3.6133894923520281E-2</v>
      </c>
      <c r="AT598">
        <v>0</v>
      </c>
      <c r="AU598">
        <v>3.6355575260474393E-2</v>
      </c>
      <c r="AV598">
        <v>0</v>
      </c>
      <c r="AW598">
        <v>8.8672134781644877E-3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4.4336067390822438E-3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4.4336067390822438E-3</v>
      </c>
      <c r="BZ598">
        <v>3.2365329195300378E-2</v>
      </c>
      <c r="CA598">
        <v>0.57636887608069154</v>
      </c>
      <c r="CB598">
        <v>0</v>
      </c>
    </row>
    <row r="599" spans="1:80">
      <c r="A599">
        <v>598</v>
      </c>
      <c r="B599" t="s">
        <v>56</v>
      </c>
      <c r="C599" s="4" t="s">
        <v>164</v>
      </c>
      <c r="D599" s="4" t="s">
        <v>116</v>
      </c>
      <c r="E599" s="5">
        <v>40332</v>
      </c>
      <c r="F599" s="5">
        <v>40331</v>
      </c>
      <c r="G599">
        <v>1006</v>
      </c>
      <c r="H599" s="4" t="s">
        <v>110</v>
      </c>
      <c r="I599" s="4" t="s">
        <v>109</v>
      </c>
      <c r="J599" s="4" t="str">
        <f t="shared" si="9"/>
        <v>u_rem.c_rem</v>
      </c>
      <c r="K599" s="5">
        <v>1</v>
      </c>
      <c r="L599">
        <v>0</v>
      </c>
      <c r="M599">
        <v>1.5129682997118157E-2</v>
      </c>
      <c r="N599">
        <v>0.20172910662824209</v>
      </c>
      <c r="O599">
        <v>0</v>
      </c>
      <c r="P599">
        <v>0</v>
      </c>
      <c r="Q599">
        <v>7.2046109510086451E-4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4.8030739673390974E-3</v>
      </c>
      <c r="Y599">
        <v>0</v>
      </c>
      <c r="Z599">
        <v>6.2439961575408265E-2</v>
      </c>
      <c r="AA599">
        <v>0</v>
      </c>
      <c r="AB599">
        <v>0</v>
      </c>
      <c r="AC599">
        <v>0</v>
      </c>
      <c r="AD599">
        <v>0</v>
      </c>
      <c r="AE599">
        <v>1.921229586935639E-2</v>
      </c>
      <c r="AF599">
        <v>0</v>
      </c>
      <c r="AG599">
        <v>0</v>
      </c>
      <c r="AH599">
        <v>0</v>
      </c>
      <c r="AI599">
        <v>5.787704130643611E-2</v>
      </c>
      <c r="AJ599">
        <v>0</v>
      </c>
      <c r="AK599">
        <v>0</v>
      </c>
      <c r="AL599">
        <v>0.37944284341978868</v>
      </c>
      <c r="AM599">
        <v>0</v>
      </c>
      <c r="AN599">
        <v>1.0806916426512971E-2</v>
      </c>
      <c r="AO599">
        <v>0</v>
      </c>
      <c r="AP599">
        <v>0</v>
      </c>
      <c r="AQ599">
        <v>0</v>
      </c>
      <c r="AR599">
        <v>0</v>
      </c>
      <c r="AS599">
        <v>4.4188280499519686E-2</v>
      </c>
      <c r="AT599">
        <v>5.2833813640730072E-3</v>
      </c>
      <c r="AU599">
        <v>3.8664745437079727E-2</v>
      </c>
      <c r="AV599">
        <v>0</v>
      </c>
      <c r="AW599">
        <v>9.6061479346781949E-3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1.9452449567723344E-2</v>
      </c>
      <c r="CA599">
        <v>0.13064361191162346</v>
      </c>
      <c r="CB599">
        <v>0</v>
      </c>
    </row>
    <row r="600" spans="1:80">
      <c r="A600">
        <v>599</v>
      </c>
      <c r="B600" t="s">
        <v>57</v>
      </c>
      <c r="C600" s="4" t="s">
        <v>164</v>
      </c>
      <c r="D600" s="4" t="s">
        <v>116</v>
      </c>
      <c r="E600" s="5">
        <v>40332</v>
      </c>
      <c r="F600" s="5">
        <v>40331</v>
      </c>
      <c r="G600">
        <v>1006</v>
      </c>
      <c r="H600" s="4" t="s">
        <v>110</v>
      </c>
      <c r="I600" s="4" t="s">
        <v>108</v>
      </c>
      <c r="J600" s="4" t="str">
        <f t="shared" si="9"/>
        <v>u_rem.c_con</v>
      </c>
      <c r="K600" s="5">
        <v>8</v>
      </c>
      <c r="L600">
        <v>0</v>
      </c>
      <c r="M600">
        <v>5.8942632170978629E-2</v>
      </c>
      <c r="N600">
        <v>6.3667041619797526E-2</v>
      </c>
      <c r="O600">
        <v>0</v>
      </c>
      <c r="P600">
        <v>0</v>
      </c>
      <c r="Q600">
        <v>3.6220472440944874E-2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5.4218222722159731E-2</v>
      </c>
      <c r="AA600">
        <v>0</v>
      </c>
      <c r="AB600">
        <v>0</v>
      </c>
      <c r="AC600">
        <v>0</v>
      </c>
      <c r="AD600">
        <v>0</v>
      </c>
      <c r="AE600">
        <v>1.8222722159730035E-2</v>
      </c>
      <c r="AF600">
        <v>0</v>
      </c>
      <c r="AG600">
        <v>0</v>
      </c>
      <c r="AH600">
        <v>4.9493813273340835E-3</v>
      </c>
      <c r="AI600">
        <v>9.4488188976377951E-3</v>
      </c>
      <c r="AJ600">
        <v>0</v>
      </c>
      <c r="AK600">
        <v>0</v>
      </c>
      <c r="AL600">
        <v>0.14420697412823394</v>
      </c>
      <c r="AM600">
        <v>0</v>
      </c>
      <c r="AN600">
        <v>9.8987626546681671E-3</v>
      </c>
      <c r="AO600">
        <v>0</v>
      </c>
      <c r="AP600">
        <v>0</v>
      </c>
      <c r="AQ600">
        <v>0</v>
      </c>
      <c r="AR600">
        <v>0</v>
      </c>
      <c r="AS600">
        <v>3.2170978627671536E-2</v>
      </c>
      <c r="AT600">
        <v>2.2497187851518559E-4</v>
      </c>
      <c r="AU600">
        <v>2.3172103487064118E-2</v>
      </c>
      <c r="AV600">
        <v>0</v>
      </c>
      <c r="AW600">
        <v>4.4994375703037116E-3</v>
      </c>
      <c r="AX600">
        <v>0</v>
      </c>
      <c r="AY600">
        <v>0</v>
      </c>
      <c r="AZ600">
        <v>0</v>
      </c>
      <c r="BA600">
        <v>4.4994375703037116E-3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2.2722159730033744E-2</v>
      </c>
      <c r="CA600">
        <v>0.51293588301462312</v>
      </c>
      <c r="CB600">
        <v>0</v>
      </c>
    </row>
    <row r="601" spans="1:80">
      <c r="A601">
        <v>600</v>
      </c>
      <c r="B601" t="s">
        <v>58</v>
      </c>
      <c r="C601" s="4" t="s">
        <v>164</v>
      </c>
      <c r="D601" s="4" t="s">
        <v>116</v>
      </c>
      <c r="E601" s="5">
        <v>40332</v>
      </c>
      <c r="F601" s="5">
        <v>40331</v>
      </c>
      <c r="G601">
        <v>1006</v>
      </c>
      <c r="H601" s="4" t="s">
        <v>110</v>
      </c>
      <c r="I601" s="4" t="s">
        <v>109</v>
      </c>
      <c r="J601" s="4" t="str">
        <f t="shared" si="9"/>
        <v>u_rem.c_rem</v>
      </c>
      <c r="K601" s="5">
        <v>1</v>
      </c>
      <c r="L601">
        <v>0</v>
      </c>
      <c r="M601">
        <v>3.073904512753433E-2</v>
      </c>
      <c r="N601">
        <v>0.12295618051013731</v>
      </c>
      <c r="O601">
        <v>0</v>
      </c>
      <c r="P601">
        <v>0</v>
      </c>
      <c r="Q601">
        <v>3.5535208197078692E-2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0.18792238936123826</v>
      </c>
      <c r="AA601">
        <v>0</v>
      </c>
      <c r="AB601">
        <v>0</v>
      </c>
      <c r="AC601">
        <v>0</v>
      </c>
      <c r="AD601">
        <v>0</v>
      </c>
      <c r="AE601">
        <v>4.3819489862655318E-2</v>
      </c>
      <c r="AF601">
        <v>0</v>
      </c>
      <c r="AG601">
        <v>0</v>
      </c>
      <c r="AH601">
        <v>0</v>
      </c>
      <c r="AI601">
        <v>1.7658600392413341E-2</v>
      </c>
      <c r="AJ601">
        <v>0</v>
      </c>
      <c r="AK601">
        <v>0</v>
      </c>
      <c r="AL601">
        <v>0</v>
      </c>
      <c r="AM601">
        <v>0</v>
      </c>
      <c r="AN601">
        <v>6.3222149553084804E-3</v>
      </c>
      <c r="AO601">
        <v>0</v>
      </c>
      <c r="AP601">
        <v>0</v>
      </c>
      <c r="AQ601">
        <v>0</v>
      </c>
      <c r="AR601">
        <v>0</v>
      </c>
      <c r="AS601">
        <v>4.7961630695443631E-2</v>
      </c>
      <c r="AT601">
        <v>0</v>
      </c>
      <c r="AU601">
        <v>8.9383039023326789E-3</v>
      </c>
      <c r="AV601">
        <v>3.095705253978635E-2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8.7202964900806625E-3</v>
      </c>
      <c r="BZ601">
        <v>7.4776542402441679E-2</v>
      </c>
      <c r="CA601">
        <v>0.3749727490734685</v>
      </c>
      <c r="CB601">
        <v>8.7202964900806625E-3</v>
      </c>
    </row>
    <row r="602" spans="1:80">
      <c r="A602">
        <v>601</v>
      </c>
      <c r="B602" t="s">
        <v>59</v>
      </c>
      <c r="C602" s="4" t="s">
        <v>165</v>
      </c>
      <c r="D602" s="4" t="s">
        <v>117</v>
      </c>
      <c r="E602" s="5">
        <v>40331</v>
      </c>
      <c r="F602" s="5">
        <v>40331</v>
      </c>
      <c r="G602">
        <v>1006</v>
      </c>
      <c r="H602" s="4" t="s">
        <v>107</v>
      </c>
      <c r="I602" s="4" t="s">
        <v>109</v>
      </c>
      <c r="J602" s="4" t="str">
        <f t="shared" si="9"/>
        <v>u_con.c_rem</v>
      </c>
      <c r="K602" s="5">
        <v>2</v>
      </c>
      <c r="L602">
        <v>0</v>
      </c>
      <c r="M602">
        <v>0.23231606340193978</v>
      </c>
      <c r="N602">
        <v>4.3529690087532512E-2</v>
      </c>
      <c r="O602">
        <v>0</v>
      </c>
      <c r="P602">
        <v>0</v>
      </c>
      <c r="Q602">
        <v>0.11355571327182398</v>
      </c>
      <c r="R602">
        <v>4.7314880529926648E-2</v>
      </c>
      <c r="S602">
        <v>0</v>
      </c>
      <c r="T602">
        <v>2.8862077123255257E-2</v>
      </c>
      <c r="U602">
        <v>2.3657440264963326E-4</v>
      </c>
      <c r="V602">
        <v>0</v>
      </c>
      <c r="W602">
        <v>0</v>
      </c>
      <c r="X602">
        <v>4.7314880529926657E-3</v>
      </c>
      <c r="Y602">
        <v>0</v>
      </c>
      <c r="Z602">
        <v>0</v>
      </c>
      <c r="AA602">
        <v>4.7314880529926657E-3</v>
      </c>
      <c r="AB602">
        <v>0</v>
      </c>
      <c r="AC602">
        <v>0</v>
      </c>
      <c r="AD602">
        <v>0</v>
      </c>
      <c r="AE602">
        <v>5.2992666193517841E-2</v>
      </c>
      <c r="AF602">
        <v>0</v>
      </c>
      <c r="AG602">
        <v>0</v>
      </c>
      <c r="AH602">
        <v>0</v>
      </c>
      <c r="AI602">
        <v>9.4629761059853313E-3</v>
      </c>
      <c r="AJ602">
        <v>0.15188076650106458</v>
      </c>
      <c r="AK602">
        <v>0</v>
      </c>
      <c r="AL602">
        <v>1.4667612964277264E-2</v>
      </c>
      <c r="AM602">
        <v>0</v>
      </c>
      <c r="AN602">
        <v>1.0409273716583865E-2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5.6777856635911988E-3</v>
      </c>
      <c r="AU602">
        <v>0</v>
      </c>
      <c r="AV602">
        <v>0</v>
      </c>
      <c r="AW602">
        <v>9.4629761059853313E-3</v>
      </c>
      <c r="AX602">
        <v>9.9361249112845974E-3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0.2602318429145965</v>
      </c>
      <c r="CB602">
        <v>0</v>
      </c>
    </row>
    <row r="603" spans="1:80">
      <c r="A603">
        <v>602</v>
      </c>
      <c r="B603" t="s">
        <v>60</v>
      </c>
      <c r="C603" s="4" t="s">
        <v>165</v>
      </c>
      <c r="D603" s="4" t="s">
        <v>117</v>
      </c>
      <c r="E603" s="5">
        <v>40331</v>
      </c>
      <c r="F603" s="5">
        <v>40331</v>
      </c>
      <c r="G603">
        <v>1006</v>
      </c>
      <c r="H603" s="4" t="s">
        <v>107</v>
      </c>
      <c r="I603" s="4" t="s">
        <v>108</v>
      </c>
      <c r="J603" s="4" t="str">
        <f t="shared" si="9"/>
        <v>u_con.c_con</v>
      </c>
      <c r="K603" s="5">
        <v>19</v>
      </c>
      <c r="L603">
        <v>0</v>
      </c>
      <c r="M603">
        <v>0.42057522123893792</v>
      </c>
      <c r="N603">
        <v>9.0707964601769893E-3</v>
      </c>
      <c r="O603">
        <v>0</v>
      </c>
      <c r="P603">
        <v>0</v>
      </c>
      <c r="Q603">
        <v>0.13318584070796458</v>
      </c>
      <c r="R603">
        <v>4.8893805309734514E-2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4.424778761061946E-3</v>
      </c>
      <c r="AD603">
        <v>0</v>
      </c>
      <c r="AE603">
        <v>1.8805309734513272E-2</v>
      </c>
      <c r="AF603">
        <v>0</v>
      </c>
      <c r="AG603">
        <v>0</v>
      </c>
      <c r="AH603">
        <v>0</v>
      </c>
      <c r="AI603">
        <v>9.2920353982300866E-3</v>
      </c>
      <c r="AJ603">
        <v>1.7699115044247784E-2</v>
      </c>
      <c r="AK603">
        <v>0</v>
      </c>
      <c r="AL603">
        <v>0.1152654867256637</v>
      </c>
      <c r="AM603">
        <v>0</v>
      </c>
      <c r="AN603">
        <v>5.0884955752212389E-3</v>
      </c>
      <c r="AO603">
        <v>0</v>
      </c>
      <c r="AP603">
        <v>0</v>
      </c>
      <c r="AQ603">
        <v>0</v>
      </c>
      <c r="AR603">
        <v>0</v>
      </c>
      <c r="AS603">
        <v>3.0973451327433621E-2</v>
      </c>
      <c r="AT603">
        <v>0</v>
      </c>
      <c r="AU603">
        <v>0</v>
      </c>
      <c r="AV603">
        <v>0</v>
      </c>
      <c r="AW603">
        <v>0</v>
      </c>
      <c r="AX603">
        <v>9.2920353982300866E-3</v>
      </c>
      <c r="AY603">
        <v>0</v>
      </c>
      <c r="AZ603">
        <v>0</v>
      </c>
      <c r="BA603">
        <v>9.0707964601769893E-3</v>
      </c>
      <c r="BB603">
        <v>0</v>
      </c>
      <c r="BC603">
        <v>0</v>
      </c>
      <c r="BD603">
        <v>0</v>
      </c>
      <c r="BE603">
        <v>0</v>
      </c>
      <c r="BF603">
        <v>8.8495575221238919E-3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4.424778761061946E-3</v>
      </c>
      <c r="BP603">
        <v>0</v>
      </c>
      <c r="BQ603">
        <v>0</v>
      </c>
      <c r="BR603">
        <v>4.424778761061946E-3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2.2123893805309729E-4</v>
      </c>
      <c r="CA603">
        <v>0.15044247787610618</v>
      </c>
      <c r="CB603">
        <v>0</v>
      </c>
    </row>
    <row r="604" spans="1:80">
      <c r="A604">
        <v>603</v>
      </c>
      <c r="B604" t="s">
        <v>61</v>
      </c>
      <c r="C604" s="4" t="s">
        <v>165</v>
      </c>
      <c r="D604" s="4" t="s">
        <v>117</v>
      </c>
      <c r="E604" s="5">
        <v>40331</v>
      </c>
      <c r="F604" s="5">
        <v>40331</v>
      </c>
      <c r="G604">
        <v>1006</v>
      </c>
      <c r="H604" s="4" t="s">
        <v>107</v>
      </c>
      <c r="I604" s="4" t="s">
        <v>109</v>
      </c>
      <c r="J604" s="4" t="str">
        <f t="shared" si="9"/>
        <v>u_con.c_rem</v>
      </c>
      <c r="K604" s="5">
        <v>2</v>
      </c>
      <c r="L604">
        <v>0</v>
      </c>
      <c r="M604">
        <v>0.30895522388059693</v>
      </c>
      <c r="N604">
        <v>0.10945273631840799</v>
      </c>
      <c r="O604">
        <v>0</v>
      </c>
      <c r="P604">
        <v>0</v>
      </c>
      <c r="Q604">
        <v>5.0248756218905469E-2</v>
      </c>
      <c r="R604">
        <v>9.9751243781094512E-2</v>
      </c>
      <c r="S604">
        <v>0</v>
      </c>
      <c r="T604">
        <v>4.9751243781094526E-3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5.2238805970149255E-3</v>
      </c>
      <c r="AD604">
        <v>0</v>
      </c>
      <c r="AE604">
        <v>3.5074626865671636E-2</v>
      </c>
      <c r="AF604">
        <v>0</v>
      </c>
      <c r="AG604">
        <v>0</v>
      </c>
      <c r="AH604">
        <v>2.4875621890547262E-4</v>
      </c>
      <c r="AI604">
        <v>0</v>
      </c>
      <c r="AJ604">
        <v>4.5024875621890538E-2</v>
      </c>
      <c r="AK604">
        <v>0</v>
      </c>
      <c r="AL604">
        <v>5.7213930348258705E-3</v>
      </c>
      <c r="AM604">
        <v>0</v>
      </c>
      <c r="AN604">
        <v>1.4925373134328358E-3</v>
      </c>
      <c r="AO604">
        <v>0</v>
      </c>
      <c r="AP604">
        <v>0</v>
      </c>
      <c r="AQ604">
        <v>0</v>
      </c>
      <c r="AR604">
        <v>0</v>
      </c>
      <c r="AS604">
        <v>2.4875621890547262E-4</v>
      </c>
      <c r="AT604">
        <v>2.4875621890547262E-4</v>
      </c>
      <c r="AU604">
        <v>0</v>
      </c>
      <c r="AV604">
        <v>0</v>
      </c>
      <c r="AW604">
        <v>0</v>
      </c>
      <c r="AX604">
        <v>9.9502487562189053E-3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0.308457711442786</v>
      </c>
      <c r="CB604">
        <v>1.492537313432836E-2</v>
      </c>
    </row>
    <row r="605" spans="1:80">
      <c r="A605">
        <v>604</v>
      </c>
      <c r="B605" t="s">
        <v>62</v>
      </c>
      <c r="C605" s="4" t="s">
        <v>165</v>
      </c>
      <c r="D605" s="4" t="s">
        <v>117</v>
      </c>
      <c r="E605" s="5">
        <v>40331</v>
      </c>
      <c r="F605" s="5">
        <v>40331</v>
      </c>
      <c r="G605">
        <v>1006</v>
      </c>
      <c r="H605" s="4" t="s">
        <v>107</v>
      </c>
      <c r="I605" s="4" t="s">
        <v>108</v>
      </c>
      <c r="J605" s="4" t="str">
        <f t="shared" si="9"/>
        <v>u_con.c_con</v>
      </c>
      <c r="K605" s="5">
        <v>19</v>
      </c>
      <c r="L605">
        <v>0</v>
      </c>
      <c r="M605">
        <v>7.6148521082441786E-2</v>
      </c>
      <c r="N605">
        <v>0.10950283196979235</v>
      </c>
      <c r="O605">
        <v>0</v>
      </c>
      <c r="P605">
        <v>0</v>
      </c>
      <c r="Q605">
        <v>0.10971260750996432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2.0977554017201594E-4</v>
      </c>
      <c r="AA605">
        <v>0</v>
      </c>
      <c r="AB605">
        <v>0</v>
      </c>
      <c r="AC605">
        <v>0</v>
      </c>
      <c r="AD605">
        <v>0</v>
      </c>
      <c r="AE605">
        <v>1.3215859030837006E-2</v>
      </c>
      <c r="AF605">
        <v>0</v>
      </c>
      <c r="AG605">
        <v>0</v>
      </c>
      <c r="AH605">
        <v>8.391021606880638E-3</v>
      </c>
      <c r="AI605">
        <v>4.4052863436123352E-3</v>
      </c>
      <c r="AJ605">
        <v>0</v>
      </c>
      <c r="AK605">
        <v>0</v>
      </c>
      <c r="AL605">
        <v>0.15145794000419549</v>
      </c>
      <c r="AM605">
        <v>0</v>
      </c>
      <c r="AN605">
        <v>1.0069225928256766E-2</v>
      </c>
      <c r="AO605">
        <v>0</v>
      </c>
      <c r="AP605">
        <v>0</v>
      </c>
      <c r="AQ605">
        <v>0</v>
      </c>
      <c r="AR605">
        <v>0</v>
      </c>
      <c r="AS605">
        <v>4.8248374239563676E-3</v>
      </c>
      <c r="AT605">
        <v>0</v>
      </c>
      <c r="AU605">
        <v>0</v>
      </c>
      <c r="AV605">
        <v>0</v>
      </c>
      <c r="AW605">
        <v>0</v>
      </c>
      <c r="AX605">
        <v>2.0977554017201593E-2</v>
      </c>
      <c r="AY605">
        <v>0</v>
      </c>
      <c r="AZ605">
        <v>4.195510803440319E-3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2.0977554017201594E-4</v>
      </c>
      <c r="BX605">
        <v>0</v>
      </c>
      <c r="BY605">
        <v>0</v>
      </c>
      <c r="BZ605">
        <v>0</v>
      </c>
      <c r="CA605">
        <v>0.48667925319907696</v>
      </c>
      <c r="CB605">
        <v>0</v>
      </c>
    </row>
    <row r="606" spans="1:80">
      <c r="A606">
        <v>605</v>
      </c>
      <c r="B606" t="s">
        <v>106</v>
      </c>
      <c r="C606" s="4" t="s">
        <v>166</v>
      </c>
      <c r="D606" s="4" t="s">
        <v>117</v>
      </c>
      <c r="E606" s="5">
        <v>40331</v>
      </c>
      <c r="F606" s="5">
        <v>40331</v>
      </c>
      <c r="G606">
        <v>1006</v>
      </c>
      <c r="H606" s="4" t="s">
        <v>110</v>
      </c>
      <c r="I606" s="4" t="s">
        <v>109</v>
      </c>
      <c r="J606" s="4" t="str">
        <f t="shared" si="9"/>
        <v>u_rem.c_rem</v>
      </c>
      <c r="K606" s="5">
        <v>1</v>
      </c>
      <c r="L606">
        <v>1.381851681252879E-2</v>
      </c>
      <c r="M606">
        <v>7.0244127130354675E-2</v>
      </c>
      <c r="N606">
        <v>0.24873330262551813</v>
      </c>
      <c r="O606">
        <v>0</v>
      </c>
      <c r="P606">
        <v>0</v>
      </c>
      <c r="Q606">
        <v>1.8424689083371717E-2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3.2703823122984796E-2</v>
      </c>
      <c r="AF606">
        <v>0</v>
      </c>
      <c r="AG606">
        <v>0</v>
      </c>
      <c r="AH606">
        <v>4.8364808843850762E-3</v>
      </c>
      <c r="AI606">
        <v>2.3030861354214648E-4</v>
      </c>
      <c r="AJ606">
        <v>0.13380930446798711</v>
      </c>
      <c r="AK606">
        <v>0</v>
      </c>
      <c r="AL606">
        <v>1.381851681252879E-2</v>
      </c>
      <c r="AM606">
        <v>0</v>
      </c>
      <c r="AN606">
        <v>6.9092584062643934E-4</v>
      </c>
      <c r="AO606">
        <v>0</v>
      </c>
      <c r="AP606">
        <v>0</v>
      </c>
      <c r="AQ606">
        <v>0</v>
      </c>
      <c r="AR606">
        <v>0</v>
      </c>
      <c r="AS606">
        <v>4.8364808843850762E-3</v>
      </c>
      <c r="AT606">
        <v>1.0363887609396593E-2</v>
      </c>
      <c r="AU606">
        <v>0</v>
      </c>
      <c r="AV606">
        <v>0</v>
      </c>
      <c r="AW606">
        <v>0</v>
      </c>
      <c r="AX606">
        <v>1.450944265315523E-2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0.43298019345923539</v>
      </c>
      <c r="CB606">
        <v>0</v>
      </c>
    </row>
    <row r="607" spans="1:80">
      <c r="A607">
        <v>606</v>
      </c>
      <c r="B607" t="s">
        <v>63</v>
      </c>
      <c r="C607" s="4" t="s">
        <v>166</v>
      </c>
      <c r="D607" s="4" t="s">
        <v>117</v>
      </c>
      <c r="E607" s="5">
        <v>40331</v>
      </c>
      <c r="F607" s="5">
        <v>40331</v>
      </c>
      <c r="G607">
        <v>1006</v>
      </c>
      <c r="H607" s="4" t="s">
        <v>110</v>
      </c>
      <c r="I607" s="4" t="s">
        <v>108</v>
      </c>
      <c r="J607" s="4" t="str">
        <f t="shared" si="9"/>
        <v>u_rem.c_con</v>
      </c>
      <c r="K607" s="5">
        <v>8</v>
      </c>
      <c r="L607">
        <v>0</v>
      </c>
      <c r="M607">
        <v>0.14175423547072707</v>
      </c>
      <c r="N607">
        <v>0.29165773107441562</v>
      </c>
      <c r="O607">
        <v>0</v>
      </c>
      <c r="P607">
        <v>0</v>
      </c>
      <c r="Q607">
        <v>2.1659875616555871E-2</v>
      </c>
      <c r="R607">
        <v>2.5734505683036677E-2</v>
      </c>
      <c r="S607">
        <v>0</v>
      </c>
      <c r="T607">
        <v>2.5734505683036677E-2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3.860175852455501E-2</v>
      </c>
      <c r="AE607">
        <v>2.6163414111087288E-2</v>
      </c>
      <c r="AF607">
        <v>0</v>
      </c>
      <c r="AG607">
        <v>0</v>
      </c>
      <c r="AH607">
        <v>4.2890842805061132E-4</v>
      </c>
      <c r="AI607">
        <v>4.2890842805061134E-3</v>
      </c>
      <c r="AJ607">
        <v>4.4177568089212964E-2</v>
      </c>
      <c r="AK607">
        <v>0</v>
      </c>
      <c r="AL607">
        <v>4.2890842805061134E-3</v>
      </c>
      <c r="AM607">
        <v>0</v>
      </c>
      <c r="AN607">
        <v>2.1445421402530566E-4</v>
      </c>
      <c r="AO607">
        <v>0</v>
      </c>
      <c r="AP607">
        <v>0</v>
      </c>
      <c r="AQ607">
        <v>0</v>
      </c>
      <c r="AR607">
        <v>0</v>
      </c>
      <c r="AS607">
        <v>4.9324469225820308E-3</v>
      </c>
      <c r="AT607">
        <v>1.3296161269568953E-2</v>
      </c>
      <c r="AU607">
        <v>0</v>
      </c>
      <c r="AV607">
        <v>0</v>
      </c>
      <c r="AW607">
        <v>2.1445421402530566E-4</v>
      </c>
      <c r="AX607">
        <v>5.1469011366073363E-3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0.35170491100150125</v>
      </c>
      <c r="CB607">
        <v>0</v>
      </c>
    </row>
    <row r="608" spans="1:80">
      <c r="A608">
        <v>607</v>
      </c>
      <c r="B608" t="s">
        <v>64</v>
      </c>
      <c r="C608" s="4" t="s">
        <v>166</v>
      </c>
      <c r="D608" s="4" t="s">
        <v>117</v>
      </c>
      <c r="E608" s="5">
        <v>40331</v>
      </c>
      <c r="F608" s="5">
        <v>40331</v>
      </c>
      <c r="G608">
        <v>1006</v>
      </c>
      <c r="H608" s="4" t="s">
        <v>110</v>
      </c>
      <c r="I608" s="4" t="s">
        <v>109</v>
      </c>
      <c r="J608" s="4" t="str">
        <f t="shared" si="9"/>
        <v>u_rem.c_rem</v>
      </c>
      <c r="K608" s="5">
        <v>1</v>
      </c>
      <c r="L608">
        <v>0</v>
      </c>
      <c r="M608">
        <v>5.6725397507520404E-2</v>
      </c>
      <c r="N608">
        <v>0.42973785990545754</v>
      </c>
      <c r="O608">
        <v>0</v>
      </c>
      <c r="P608">
        <v>0</v>
      </c>
      <c r="Q608">
        <v>8.5947571981091521E-3</v>
      </c>
      <c r="R608">
        <v>0</v>
      </c>
      <c r="S608">
        <v>0</v>
      </c>
      <c r="T608">
        <v>8.5947571981091521E-3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1.3536742587021918E-2</v>
      </c>
      <c r="AF608">
        <v>0</v>
      </c>
      <c r="AG608">
        <v>0</v>
      </c>
      <c r="AH608">
        <v>0</v>
      </c>
      <c r="AI608">
        <v>4.297378599054576E-3</v>
      </c>
      <c r="AJ608">
        <v>9.926944563816073E-2</v>
      </c>
      <c r="AK608">
        <v>0</v>
      </c>
      <c r="AL608">
        <v>0</v>
      </c>
      <c r="AM608">
        <v>0</v>
      </c>
      <c r="AN608">
        <v>4.727116458960034E-3</v>
      </c>
      <c r="AO608">
        <v>0</v>
      </c>
      <c r="AP608">
        <v>0</v>
      </c>
      <c r="AQ608">
        <v>4.5122475290073055E-3</v>
      </c>
      <c r="AR608">
        <v>0</v>
      </c>
      <c r="AS608">
        <v>4.297378599054576E-3</v>
      </c>
      <c r="AT608">
        <v>0</v>
      </c>
      <c r="AU608">
        <v>0</v>
      </c>
      <c r="AV608">
        <v>0</v>
      </c>
      <c r="AW608">
        <v>0</v>
      </c>
      <c r="AX608">
        <v>4.727116458960034E-3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0.36097980232058441</v>
      </c>
      <c r="CB608">
        <v>0</v>
      </c>
    </row>
    <row r="609" spans="1:80">
      <c r="A609">
        <v>608</v>
      </c>
      <c r="B609" t="s">
        <v>65</v>
      </c>
      <c r="C609" s="4" t="s">
        <v>166</v>
      </c>
      <c r="D609" s="4" t="s">
        <v>117</v>
      </c>
      <c r="E609" s="5">
        <v>40331</v>
      </c>
      <c r="F609" s="5">
        <v>40331</v>
      </c>
      <c r="G609">
        <v>1006</v>
      </c>
      <c r="H609" s="4" t="s">
        <v>110</v>
      </c>
      <c r="I609" s="4" t="s">
        <v>108</v>
      </c>
      <c r="J609" s="4" t="str">
        <f t="shared" si="9"/>
        <v>u_rem.c_con</v>
      </c>
      <c r="K609" s="5">
        <v>8</v>
      </c>
      <c r="L609">
        <v>3.7365813377374074E-2</v>
      </c>
      <c r="M609">
        <v>0.16535920726672171</v>
      </c>
      <c r="N609">
        <v>0.21469859620148632</v>
      </c>
      <c r="O609">
        <v>0</v>
      </c>
      <c r="P609">
        <v>0</v>
      </c>
      <c r="Q609">
        <v>4.1288191577208925E-3</v>
      </c>
      <c r="R609">
        <v>4.1288191577208925E-3</v>
      </c>
      <c r="S609">
        <v>0</v>
      </c>
      <c r="T609">
        <v>2.0850536746490504E-2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1.6721717588769613E-2</v>
      </c>
      <c r="AE609">
        <v>4.7481420313790264E-3</v>
      </c>
      <c r="AF609">
        <v>0</v>
      </c>
      <c r="AG609">
        <v>0</v>
      </c>
      <c r="AH609">
        <v>0</v>
      </c>
      <c r="AI609">
        <v>0</v>
      </c>
      <c r="AJ609">
        <v>0.12819983484723374</v>
      </c>
      <c r="AK609">
        <v>0</v>
      </c>
      <c r="AL609">
        <v>4.3352601156069369E-3</v>
      </c>
      <c r="AM609">
        <v>0</v>
      </c>
      <c r="AN609">
        <v>1.7341040462427747E-2</v>
      </c>
      <c r="AO609">
        <v>0</v>
      </c>
      <c r="AP609">
        <v>0</v>
      </c>
      <c r="AQ609">
        <v>2.0644095788604461E-4</v>
      </c>
      <c r="AR609">
        <v>0</v>
      </c>
      <c r="AS609">
        <v>4.1288191577208925E-3</v>
      </c>
      <c r="AT609">
        <v>1.6515276630883569E-3</v>
      </c>
      <c r="AU609">
        <v>0</v>
      </c>
      <c r="AV609">
        <v>0</v>
      </c>
      <c r="AW609">
        <v>0</v>
      </c>
      <c r="AX609">
        <v>1.2799339388934768E-2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0.36333608587943855</v>
      </c>
      <c r="CB609">
        <v>0</v>
      </c>
    </row>
    <row r="610" spans="1:80">
      <c r="A610">
        <v>609</v>
      </c>
      <c r="B610" t="s">
        <v>66</v>
      </c>
      <c r="C610" s="4" t="s">
        <v>167</v>
      </c>
      <c r="D610" s="4" t="s">
        <v>117</v>
      </c>
      <c r="E610" s="5">
        <v>40331</v>
      </c>
      <c r="F610" s="5">
        <v>40331</v>
      </c>
      <c r="G610">
        <v>1006</v>
      </c>
      <c r="H610" s="4" t="s">
        <v>107</v>
      </c>
      <c r="I610" s="4" t="s">
        <v>108</v>
      </c>
      <c r="J610" s="4" t="str">
        <f t="shared" si="9"/>
        <v>u_con.c_con</v>
      </c>
      <c r="K610" s="5">
        <v>19</v>
      </c>
      <c r="L610">
        <v>1.1378002528445008E-2</v>
      </c>
      <c r="M610">
        <v>0.42622358677984468</v>
      </c>
      <c r="N610">
        <v>0.12281018602131118</v>
      </c>
      <c r="O610">
        <v>0</v>
      </c>
      <c r="P610">
        <v>0</v>
      </c>
      <c r="Q610">
        <v>0.10113780025284448</v>
      </c>
      <c r="R610">
        <v>1.4448257178977785E-2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8.1271446631750056E-3</v>
      </c>
      <c r="AF610">
        <v>0</v>
      </c>
      <c r="AG610">
        <v>0</v>
      </c>
      <c r="AH610">
        <v>3.6120642947444462E-3</v>
      </c>
      <c r="AI610">
        <v>3.6120642947444462E-3</v>
      </c>
      <c r="AJ610">
        <v>3.9732707242188916E-3</v>
      </c>
      <c r="AK610">
        <v>0</v>
      </c>
      <c r="AL610">
        <v>2.9077117572692789E-2</v>
      </c>
      <c r="AM610">
        <v>0</v>
      </c>
      <c r="AN610">
        <v>1.1197399313707786E-2</v>
      </c>
      <c r="AO610">
        <v>0</v>
      </c>
      <c r="AP610">
        <v>0</v>
      </c>
      <c r="AQ610">
        <v>0</v>
      </c>
      <c r="AR610">
        <v>0</v>
      </c>
      <c r="AS610">
        <v>1.806032147372223E-4</v>
      </c>
      <c r="AT610">
        <v>1.806032147372223E-4</v>
      </c>
      <c r="AU610">
        <v>0</v>
      </c>
      <c r="AV610">
        <v>0</v>
      </c>
      <c r="AW610">
        <v>0</v>
      </c>
      <c r="AX610">
        <v>3.6120642947444462E-3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1.806032147372223E-4</v>
      </c>
      <c r="BF610">
        <v>7.4047318042261149E-3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0.25284450063211122</v>
      </c>
      <c r="CB610">
        <v>0</v>
      </c>
    </row>
    <row r="611" spans="1:80">
      <c r="A611">
        <v>610</v>
      </c>
      <c r="B611" t="s">
        <v>67</v>
      </c>
      <c r="C611" s="4" t="s">
        <v>167</v>
      </c>
      <c r="D611" s="4" t="s">
        <v>117</v>
      </c>
      <c r="E611" s="5">
        <v>40331</v>
      </c>
      <c r="F611" s="5">
        <v>40331</v>
      </c>
      <c r="G611">
        <v>1006</v>
      </c>
      <c r="H611" s="4" t="s">
        <v>107</v>
      </c>
      <c r="I611" s="4" t="s">
        <v>109</v>
      </c>
      <c r="J611" s="4" t="str">
        <f t="shared" si="9"/>
        <v>u_con.c_rem</v>
      </c>
      <c r="K611" s="5">
        <v>2</v>
      </c>
      <c r="L611">
        <v>0</v>
      </c>
      <c r="M611">
        <v>0.1861122325393621</v>
      </c>
      <c r="N611">
        <v>0.49253128784820344</v>
      </c>
      <c r="O611">
        <v>0</v>
      </c>
      <c r="P611">
        <v>0</v>
      </c>
      <c r="Q611">
        <v>2.0185708518368994E-2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4.4408558740411793E-3</v>
      </c>
      <c r="AF611">
        <v>0</v>
      </c>
      <c r="AG611">
        <v>0</v>
      </c>
      <c r="AH611">
        <v>0</v>
      </c>
      <c r="AI611">
        <v>4.4408558740411793E-3</v>
      </c>
      <c r="AJ611">
        <v>2.8259991925716592E-2</v>
      </c>
      <c r="AK611">
        <v>0</v>
      </c>
      <c r="AL611">
        <v>4.0371417036737991E-3</v>
      </c>
      <c r="AM611">
        <v>0</v>
      </c>
      <c r="AN611">
        <v>4.0371417036737991E-3</v>
      </c>
      <c r="AO611">
        <v>0</v>
      </c>
      <c r="AP611">
        <v>0</v>
      </c>
      <c r="AQ611">
        <v>1.2111425111021399E-2</v>
      </c>
      <c r="AR611">
        <v>0</v>
      </c>
      <c r="AS611">
        <v>4.0371417036737991E-3</v>
      </c>
      <c r="AT611">
        <v>0</v>
      </c>
      <c r="AU611">
        <v>0</v>
      </c>
      <c r="AV611">
        <v>0</v>
      </c>
      <c r="AW611">
        <v>2.0185708518368997E-4</v>
      </c>
      <c r="AX611">
        <v>8.4779975777149793E-3</v>
      </c>
      <c r="AY611">
        <v>0</v>
      </c>
      <c r="AZ611">
        <v>0</v>
      </c>
      <c r="BA611">
        <v>4.0371417036737991E-3</v>
      </c>
      <c r="BB611">
        <v>0</v>
      </c>
      <c r="BC611">
        <v>0</v>
      </c>
      <c r="BD611">
        <v>0</v>
      </c>
      <c r="BE611">
        <v>6.0557125555106984E-4</v>
      </c>
      <c r="BF611">
        <v>2.0185708518368997E-4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2.0185708518368997E-4</v>
      </c>
      <c r="CA611">
        <v>0.22607993540573273</v>
      </c>
      <c r="CB611">
        <v>0</v>
      </c>
    </row>
    <row r="612" spans="1:80">
      <c r="A612">
        <v>611</v>
      </c>
      <c r="B612" t="s">
        <v>68</v>
      </c>
      <c r="C612" s="4" t="s">
        <v>167</v>
      </c>
      <c r="D612" s="4" t="s">
        <v>117</v>
      </c>
      <c r="E612" s="5">
        <v>40331</v>
      </c>
      <c r="F612" s="5">
        <v>40331</v>
      </c>
      <c r="G612">
        <v>1006</v>
      </c>
      <c r="H612" s="4" t="s">
        <v>107</v>
      </c>
      <c r="I612" s="4" t="s">
        <v>108</v>
      </c>
      <c r="J612" s="4" t="str">
        <f t="shared" si="9"/>
        <v>u_con.c_con</v>
      </c>
      <c r="K612" s="5">
        <v>19</v>
      </c>
      <c r="L612">
        <v>3.7629350893697085E-3</v>
      </c>
      <c r="M612">
        <v>0.23725305738476005</v>
      </c>
      <c r="N612">
        <v>0.19962370649106304</v>
      </c>
      <c r="O612">
        <v>0</v>
      </c>
      <c r="P612">
        <v>0</v>
      </c>
      <c r="Q612">
        <v>4.9482596425211675E-2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1.5804327375352777E-2</v>
      </c>
      <c r="AF612">
        <v>0</v>
      </c>
      <c r="AG612">
        <v>0</v>
      </c>
      <c r="AH612">
        <v>0</v>
      </c>
      <c r="AI612">
        <v>0</v>
      </c>
      <c r="AJ612">
        <v>7.1495766698024474E-2</v>
      </c>
      <c r="AK612">
        <v>0</v>
      </c>
      <c r="AL612">
        <v>3.7629350893697081E-2</v>
      </c>
      <c r="AM612">
        <v>0</v>
      </c>
      <c r="AN612">
        <v>1.8814675446848542E-4</v>
      </c>
      <c r="AO612">
        <v>0</v>
      </c>
      <c r="AP612">
        <v>0</v>
      </c>
      <c r="AQ612">
        <v>0</v>
      </c>
      <c r="AR612">
        <v>0</v>
      </c>
      <c r="AS612">
        <v>7.7140169332079031E-3</v>
      </c>
      <c r="AT612">
        <v>4.1392285983066794E-3</v>
      </c>
      <c r="AU612">
        <v>0</v>
      </c>
      <c r="AV612">
        <v>0</v>
      </c>
      <c r="AW612">
        <v>0</v>
      </c>
      <c r="AX612">
        <v>1.9002822201317028E-2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1.1476952022577612E-2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3.7629350893697085E-3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0.33866415804327377</v>
      </c>
      <c r="CB612">
        <v>0</v>
      </c>
    </row>
    <row r="613" spans="1:80">
      <c r="A613">
        <v>612</v>
      </c>
      <c r="B613" s="2" t="s">
        <v>69</v>
      </c>
      <c r="C613" s="4" t="s">
        <v>167</v>
      </c>
      <c r="D613" s="4" t="s">
        <v>117</v>
      </c>
      <c r="E613" s="5">
        <v>40331</v>
      </c>
      <c r="F613" s="5">
        <v>40331</v>
      </c>
      <c r="G613">
        <v>1006</v>
      </c>
      <c r="H613" s="4" t="s">
        <v>107</v>
      </c>
      <c r="I613" s="4" t="s">
        <v>109</v>
      </c>
      <c r="J613" s="4" t="str">
        <f t="shared" si="9"/>
        <v>u_con.c_rem</v>
      </c>
      <c r="K613" s="5">
        <v>2</v>
      </c>
      <c r="L613">
        <v>7.9726651480637803E-3</v>
      </c>
      <c r="M613">
        <v>0.12984054669703873</v>
      </c>
      <c r="N613">
        <v>0.13667425968109337</v>
      </c>
      <c r="O613">
        <v>0</v>
      </c>
      <c r="P613">
        <v>0</v>
      </c>
      <c r="Q613">
        <v>0.10288534548215639</v>
      </c>
      <c r="R613">
        <v>0</v>
      </c>
      <c r="S613">
        <v>0</v>
      </c>
      <c r="T613">
        <v>3.7965072133637049E-3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1.1389521640091117E-2</v>
      </c>
      <c r="AF613">
        <v>0</v>
      </c>
      <c r="AG613">
        <v>0</v>
      </c>
      <c r="AH613">
        <v>3.9863325740318901E-3</v>
      </c>
      <c r="AI613">
        <v>3.9863325740318901E-3</v>
      </c>
      <c r="AJ613">
        <v>8.4282460136674259E-2</v>
      </c>
      <c r="AK613">
        <v>0</v>
      </c>
      <c r="AL613">
        <v>5.3340926347760047E-2</v>
      </c>
      <c r="AM613">
        <v>0</v>
      </c>
      <c r="AN613">
        <v>1.1769172361427485E-2</v>
      </c>
      <c r="AO613">
        <v>0</v>
      </c>
      <c r="AP613">
        <v>0</v>
      </c>
      <c r="AQ613">
        <v>0</v>
      </c>
      <c r="AR613">
        <v>0</v>
      </c>
      <c r="AS613">
        <v>7.5930144267274101E-4</v>
      </c>
      <c r="AT613">
        <v>5.6947608200455567E-4</v>
      </c>
      <c r="AU613">
        <v>0</v>
      </c>
      <c r="AV613">
        <v>0</v>
      </c>
      <c r="AW613">
        <v>0</v>
      </c>
      <c r="AX613">
        <v>3.9863325740318901E-3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0.42520880789673499</v>
      </c>
      <c r="CB613">
        <v>1.9552012148823079E-2</v>
      </c>
    </row>
    <row r="614" spans="1:80">
      <c r="A614">
        <v>613</v>
      </c>
      <c r="B614" t="s">
        <v>71</v>
      </c>
      <c r="C614" s="4" t="s">
        <v>168</v>
      </c>
      <c r="D614" s="4" t="s">
        <v>117</v>
      </c>
      <c r="E614" s="5">
        <v>40331</v>
      </c>
      <c r="F614" s="5">
        <v>40331</v>
      </c>
      <c r="G614">
        <v>1006</v>
      </c>
      <c r="H614" s="4" t="s">
        <v>110</v>
      </c>
      <c r="I614" s="4" t="s">
        <v>108</v>
      </c>
      <c r="J614" s="4" t="str">
        <f t="shared" si="9"/>
        <v>u_rem.c_con</v>
      </c>
      <c r="K614" s="5">
        <v>8</v>
      </c>
      <c r="L614">
        <v>2.2613531047265989E-2</v>
      </c>
      <c r="M614">
        <v>0.25597775718257643</v>
      </c>
      <c r="N614">
        <v>0.29304911955514368</v>
      </c>
      <c r="O614">
        <v>0</v>
      </c>
      <c r="P614">
        <v>0</v>
      </c>
      <c r="Q614">
        <v>8.8971269694161276E-2</v>
      </c>
      <c r="R614">
        <v>0</v>
      </c>
      <c r="S614">
        <v>1.8535681186283598E-4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7.4142724745134394E-4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7.5996292863762752E-3</v>
      </c>
      <c r="AM614">
        <v>0</v>
      </c>
      <c r="AN614">
        <v>1.8535681186283598E-4</v>
      </c>
      <c r="AO614">
        <v>0</v>
      </c>
      <c r="AP614">
        <v>0</v>
      </c>
      <c r="AQ614">
        <v>7.5996292863762752E-3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0.19295644114921223</v>
      </c>
      <c r="BB614">
        <v>0</v>
      </c>
      <c r="BC614">
        <v>0</v>
      </c>
      <c r="BD614">
        <v>0</v>
      </c>
      <c r="BE614">
        <v>1.8535681186283598E-4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0.12993512511584804</v>
      </c>
      <c r="CB614">
        <v>0</v>
      </c>
    </row>
    <row r="615" spans="1:80">
      <c r="A615">
        <v>614</v>
      </c>
      <c r="B615" t="s">
        <v>70</v>
      </c>
      <c r="C615" s="4" t="s">
        <v>168</v>
      </c>
      <c r="D615" s="4" t="s">
        <v>117</v>
      </c>
      <c r="E615" s="5">
        <v>40331</v>
      </c>
      <c r="F615" s="5">
        <v>40331</v>
      </c>
      <c r="G615">
        <v>1006</v>
      </c>
      <c r="H615" s="4" t="s">
        <v>110</v>
      </c>
      <c r="I615" s="4" t="s">
        <v>109</v>
      </c>
      <c r="J615" s="4" t="str">
        <f t="shared" si="9"/>
        <v>u_rem.c_rem</v>
      </c>
      <c r="K615" s="5">
        <v>1</v>
      </c>
      <c r="L615">
        <v>4.738497837200157E-2</v>
      </c>
      <c r="M615">
        <v>0.11836413684624458</v>
      </c>
      <c r="N615">
        <v>0.5033425088478175</v>
      </c>
      <c r="O615">
        <v>0</v>
      </c>
      <c r="P615">
        <v>0</v>
      </c>
      <c r="Q615">
        <v>3.9323633503735743E-3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0.2438065277231615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8.3169484860401099E-2</v>
      </c>
      <c r="CB615">
        <v>0</v>
      </c>
    </row>
    <row r="616" spans="1:80">
      <c r="A616">
        <v>615</v>
      </c>
      <c r="B616" t="s">
        <v>72</v>
      </c>
      <c r="C616" s="4" t="s">
        <v>168</v>
      </c>
      <c r="D616" s="4" t="s">
        <v>117</v>
      </c>
      <c r="E616" s="5">
        <v>40331</v>
      </c>
      <c r="F616" s="5">
        <v>40331</v>
      </c>
      <c r="G616">
        <v>1006</v>
      </c>
      <c r="H616" s="4" t="s">
        <v>110</v>
      </c>
      <c r="I616" s="4" t="s">
        <v>108</v>
      </c>
      <c r="J616" s="4" t="str">
        <f t="shared" si="9"/>
        <v>u_rem.c_con</v>
      </c>
      <c r="K616" s="5">
        <v>8</v>
      </c>
      <c r="L616">
        <v>0</v>
      </c>
      <c r="M616">
        <v>0.16300643695569855</v>
      </c>
      <c r="N616">
        <v>0.20087088224157512</v>
      </c>
      <c r="O616">
        <v>0</v>
      </c>
      <c r="P616">
        <v>0</v>
      </c>
      <c r="Q616">
        <v>9.8636879969708463E-2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1.1737978038621736E-2</v>
      </c>
      <c r="AF616">
        <v>0</v>
      </c>
      <c r="AG616">
        <v>0</v>
      </c>
      <c r="AH616">
        <v>0</v>
      </c>
      <c r="AI616">
        <v>3.9757667550170397E-3</v>
      </c>
      <c r="AJ616">
        <v>0</v>
      </c>
      <c r="AK616">
        <v>0</v>
      </c>
      <c r="AL616">
        <v>7.5728890571753124E-3</v>
      </c>
      <c r="AM616">
        <v>0</v>
      </c>
      <c r="AN616">
        <v>8.8981446421809943E-3</v>
      </c>
      <c r="AO616">
        <v>0</v>
      </c>
      <c r="AP616">
        <v>0</v>
      </c>
      <c r="AQ616">
        <v>3.7864445285876562E-3</v>
      </c>
      <c r="AR616">
        <v>0</v>
      </c>
      <c r="AS616">
        <v>4.5437334343051876E-3</v>
      </c>
      <c r="AT616">
        <v>0</v>
      </c>
      <c r="AU616">
        <v>0</v>
      </c>
      <c r="AV616">
        <v>0</v>
      </c>
      <c r="AW616">
        <v>0</v>
      </c>
      <c r="AX616">
        <v>1.5335100340780009E-2</v>
      </c>
      <c r="AY616">
        <v>0</v>
      </c>
      <c r="AZ616">
        <v>0</v>
      </c>
      <c r="BA616">
        <v>0.29155622870124953</v>
      </c>
      <c r="BB616">
        <v>0</v>
      </c>
      <c r="BC616">
        <v>0</v>
      </c>
      <c r="BD616">
        <v>0</v>
      </c>
      <c r="BE616">
        <v>3.786444528587656E-4</v>
      </c>
      <c r="BF616">
        <v>3.7864445285876562E-3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3.7864445285876562E-3</v>
      </c>
      <c r="BP616">
        <v>0</v>
      </c>
      <c r="BQ616">
        <v>3.9757667550170397E-3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0.17815221507004916</v>
      </c>
      <c r="CB616">
        <v>0</v>
      </c>
    </row>
    <row r="617" spans="1:80">
      <c r="A617">
        <v>616</v>
      </c>
      <c r="B617" t="s">
        <v>73</v>
      </c>
      <c r="C617" s="4" t="s">
        <v>168</v>
      </c>
      <c r="D617" s="4" t="s">
        <v>117</v>
      </c>
      <c r="E617" s="5">
        <v>40331</v>
      </c>
      <c r="F617" s="5">
        <v>40331</v>
      </c>
      <c r="G617">
        <v>1006</v>
      </c>
      <c r="H617" s="4" t="s">
        <v>110</v>
      </c>
      <c r="I617" s="4" t="s">
        <v>109</v>
      </c>
      <c r="J617" s="4" t="str">
        <f t="shared" si="9"/>
        <v>u_rem.c_rem</v>
      </c>
      <c r="K617" s="5">
        <v>1</v>
      </c>
      <c r="L617">
        <v>3.0195712954333643E-2</v>
      </c>
      <c r="M617">
        <v>0.24603914259086673</v>
      </c>
      <c r="N617">
        <v>0.30959925442684061</v>
      </c>
      <c r="O617">
        <v>0</v>
      </c>
      <c r="P617">
        <v>0</v>
      </c>
      <c r="Q617">
        <v>7.8285181733457623E-2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3.7278657968313144E-3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3.7278657968313144E-3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0.12712022367194784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0.20130475302889098</v>
      </c>
      <c r="CB617">
        <v>0</v>
      </c>
    </row>
    <row r="618" spans="1:80">
      <c r="A618">
        <v>617</v>
      </c>
      <c r="B618" t="s">
        <v>74</v>
      </c>
      <c r="C618" s="4" t="s">
        <v>169</v>
      </c>
      <c r="D618" s="4" t="s">
        <v>117</v>
      </c>
      <c r="E618" s="5">
        <v>40331</v>
      </c>
      <c r="F618" s="5">
        <v>40331</v>
      </c>
      <c r="G618">
        <v>1006</v>
      </c>
      <c r="H618" s="4" t="s">
        <v>110</v>
      </c>
      <c r="I618" s="4" t="s">
        <v>108</v>
      </c>
      <c r="J618" s="4" t="str">
        <f t="shared" si="9"/>
        <v>u_rem.c_con</v>
      </c>
      <c r="K618" s="5">
        <v>8</v>
      </c>
      <c r="L618">
        <v>2.7033115566569045E-2</v>
      </c>
      <c r="M618">
        <v>0.31538634827663886</v>
      </c>
      <c r="N618">
        <v>0.36044154088758729</v>
      </c>
      <c r="O618">
        <v>0</v>
      </c>
      <c r="P618">
        <v>0</v>
      </c>
      <c r="Q618">
        <v>9.0110385221896828E-3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4.5055192610948412E-4</v>
      </c>
      <c r="AD618">
        <v>0</v>
      </c>
      <c r="AE618">
        <v>2.2527596305474206E-4</v>
      </c>
      <c r="AF618">
        <v>0</v>
      </c>
      <c r="AG618">
        <v>0</v>
      </c>
      <c r="AH618">
        <v>0</v>
      </c>
      <c r="AI618">
        <v>5.9022302320342432E-2</v>
      </c>
      <c r="AJ618">
        <v>9.2363144852444252E-3</v>
      </c>
      <c r="AK618">
        <v>0</v>
      </c>
      <c r="AL618">
        <v>2.7708943455733274E-2</v>
      </c>
      <c r="AM618">
        <v>0</v>
      </c>
      <c r="AN618">
        <v>2.3203424194638434E-2</v>
      </c>
      <c r="AO618">
        <v>0</v>
      </c>
      <c r="AP618">
        <v>0</v>
      </c>
      <c r="AQ618">
        <v>0</v>
      </c>
      <c r="AR618">
        <v>0</v>
      </c>
      <c r="AS618">
        <v>4.7307952241495838E-3</v>
      </c>
      <c r="AT618">
        <v>6.7582788916422613E-4</v>
      </c>
      <c r="AU618">
        <v>0</v>
      </c>
      <c r="AV618">
        <v>0</v>
      </c>
      <c r="AW618">
        <v>0</v>
      </c>
      <c r="AX618">
        <v>1.3741833746339265E-2</v>
      </c>
      <c r="AY618">
        <v>0</v>
      </c>
      <c r="AZ618">
        <v>0</v>
      </c>
      <c r="BA618">
        <v>9.0110385221896828E-3</v>
      </c>
      <c r="BB618">
        <v>0</v>
      </c>
      <c r="BC618">
        <v>0</v>
      </c>
      <c r="BD618">
        <v>0</v>
      </c>
      <c r="BE618">
        <v>0</v>
      </c>
      <c r="BF618">
        <v>4.5055192610948414E-3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2.2527596305474206E-4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4.5055192610948414E-3</v>
      </c>
      <c r="BY618">
        <v>0</v>
      </c>
      <c r="BZ618">
        <v>0</v>
      </c>
      <c r="CA618">
        <v>0.13088533453480516</v>
      </c>
      <c r="CB618">
        <v>0</v>
      </c>
    </row>
    <row r="619" spans="1:80">
      <c r="A619">
        <v>618</v>
      </c>
      <c r="B619" t="s">
        <v>75</v>
      </c>
      <c r="C619" s="4" t="s">
        <v>169</v>
      </c>
      <c r="D619" s="4" t="s">
        <v>117</v>
      </c>
      <c r="E619" s="5">
        <v>40331</v>
      </c>
      <c r="F619" s="5">
        <v>40331</v>
      </c>
      <c r="G619">
        <v>1006</v>
      </c>
      <c r="H619" s="4" t="s">
        <v>110</v>
      </c>
      <c r="I619" s="4" t="s">
        <v>108</v>
      </c>
      <c r="J619" s="4" t="str">
        <f t="shared" si="9"/>
        <v>u_rem.c_con</v>
      </c>
      <c r="K619" s="5">
        <v>8</v>
      </c>
      <c r="L619">
        <v>1.2144136969938286E-2</v>
      </c>
      <c r="M619">
        <v>0.32649810869998008</v>
      </c>
      <c r="N619">
        <v>0.21501094963169418</v>
      </c>
      <c r="O619">
        <v>0</v>
      </c>
      <c r="P619">
        <v>0</v>
      </c>
      <c r="Q619">
        <v>4.5789368903045996E-3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3.6432410909814854E-2</v>
      </c>
      <c r="AF619">
        <v>0</v>
      </c>
      <c r="AG619">
        <v>0</v>
      </c>
      <c r="AH619">
        <v>0</v>
      </c>
      <c r="AI619">
        <v>1.6723073860242885E-2</v>
      </c>
      <c r="AJ619">
        <v>0</v>
      </c>
      <c r="AK619">
        <v>0</v>
      </c>
      <c r="AL619">
        <v>0.14334063308779613</v>
      </c>
      <c r="AM619">
        <v>0</v>
      </c>
      <c r="AN619">
        <v>2.9066295042803107E-2</v>
      </c>
      <c r="AO619">
        <v>0</v>
      </c>
      <c r="AP619">
        <v>0</v>
      </c>
      <c r="AQ619">
        <v>0</v>
      </c>
      <c r="AR619">
        <v>0</v>
      </c>
      <c r="AS619">
        <v>4.1807684650607213E-3</v>
      </c>
      <c r="AT619">
        <v>1.9908421262193911E-4</v>
      </c>
      <c r="AU619">
        <v>0</v>
      </c>
      <c r="AV619">
        <v>0</v>
      </c>
      <c r="AW619">
        <v>0</v>
      </c>
      <c r="AX619">
        <v>1.9908421262193911E-4</v>
      </c>
      <c r="AY619">
        <v>0</v>
      </c>
      <c r="AZ619">
        <v>0</v>
      </c>
      <c r="BA619">
        <v>8.0031853474019546E-2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0.13159466454310173</v>
      </c>
      <c r="CB619">
        <v>0</v>
      </c>
    </row>
    <row r="620" spans="1:80">
      <c r="A620">
        <v>619</v>
      </c>
      <c r="B620" t="s">
        <v>76</v>
      </c>
      <c r="C620" s="4" t="s">
        <v>169</v>
      </c>
      <c r="D620" s="4" t="s">
        <v>117</v>
      </c>
      <c r="E620" s="5">
        <v>40331</v>
      </c>
      <c r="F620" s="5">
        <v>40331</v>
      </c>
      <c r="G620">
        <v>1006</v>
      </c>
      <c r="H620" s="4" t="s">
        <v>110</v>
      </c>
      <c r="I620" s="4" t="s">
        <v>109</v>
      </c>
      <c r="J620" s="4" t="str">
        <f t="shared" si="9"/>
        <v>u_rem.c_rem</v>
      </c>
      <c r="K620" s="5">
        <v>1</v>
      </c>
      <c r="L620">
        <v>7.723412858875861E-2</v>
      </c>
      <c r="M620">
        <v>0.54993934492519214</v>
      </c>
      <c r="N620">
        <v>0.16983420946219166</v>
      </c>
      <c r="O620">
        <v>7.2786089769510731E-2</v>
      </c>
      <c r="P620">
        <v>0</v>
      </c>
      <c r="Q620">
        <v>2.0218358269308536E-2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2.0218358269308536E-4</v>
      </c>
      <c r="AI620">
        <v>4.0436716538617073E-4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9.7048119692680956E-2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1.2333198544278208E-2</v>
      </c>
      <c r="CB620">
        <v>0</v>
      </c>
    </row>
    <row r="621" spans="1:80">
      <c r="A621">
        <v>620</v>
      </c>
      <c r="B621" t="s">
        <v>77</v>
      </c>
      <c r="C621" s="4" t="s">
        <v>169</v>
      </c>
      <c r="D621" s="4" t="s">
        <v>117</v>
      </c>
      <c r="E621" s="5">
        <v>40331</v>
      </c>
      <c r="F621" s="5">
        <v>40331</v>
      </c>
      <c r="G621">
        <v>1006</v>
      </c>
      <c r="H621" s="4" t="s">
        <v>110</v>
      </c>
      <c r="I621" s="4" t="s">
        <v>109</v>
      </c>
      <c r="J621" s="4" t="str">
        <f t="shared" si="9"/>
        <v>u_rem.c_rem</v>
      </c>
      <c r="K621" s="5">
        <v>1</v>
      </c>
      <c r="L621">
        <v>1.0267857142857143E-2</v>
      </c>
      <c r="M621">
        <v>0.26785714285714274</v>
      </c>
      <c r="N621">
        <v>0.29464285714285704</v>
      </c>
      <c r="O621">
        <v>0</v>
      </c>
      <c r="P621">
        <v>0</v>
      </c>
      <c r="Q621">
        <v>4.9107142857142856E-3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8.9732142857142858E-2</v>
      </c>
      <c r="AJ621">
        <v>0</v>
      </c>
      <c r="AK621">
        <v>0</v>
      </c>
      <c r="AL621">
        <v>0.12968750000000001</v>
      </c>
      <c r="AM621">
        <v>0</v>
      </c>
      <c r="AN621">
        <v>9.5982142857142863E-3</v>
      </c>
      <c r="AO621">
        <v>0</v>
      </c>
      <c r="AP621">
        <v>0</v>
      </c>
      <c r="AQ621">
        <v>0</v>
      </c>
      <c r="AR621">
        <v>0</v>
      </c>
      <c r="AS621">
        <v>4.464285714285714E-3</v>
      </c>
      <c r="AT621">
        <v>4.4642857142857141E-4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9.8437500000000011E-2</v>
      </c>
      <c r="BB621">
        <v>0</v>
      </c>
      <c r="BC621">
        <v>0</v>
      </c>
      <c r="BD621">
        <v>0</v>
      </c>
      <c r="BE621">
        <v>6.6964285714285704E-4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4.464285714285714E-3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8.4821428571428575E-2</v>
      </c>
      <c r="CB621">
        <v>0</v>
      </c>
    </row>
    <row r="622" spans="1:80">
      <c r="A622">
        <v>621</v>
      </c>
      <c r="B622" t="s">
        <v>78</v>
      </c>
      <c r="C622" s="4" t="s">
        <v>170</v>
      </c>
      <c r="D622" s="4" t="s">
        <v>117</v>
      </c>
      <c r="E622" s="5">
        <v>40331</v>
      </c>
      <c r="F622" s="5">
        <v>40331</v>
      </c>
      <c r="G622">
        <v>1006</v>
      </c>
      <c r="H622" s="4" t="s">
        <v>107</v>
      </c>
      <c r="I622" s="4" t="s">
        <v>109</v>
      </c>
      <c r="J622" s="4" t="str">
        <f t="shared" si="9"/>
        <v>u_con.c_rem</v>
      </c>
      <c r="K622" s="5">
        <v>2</v>
      </c>
      <c r="L622">
        <v>4.7158688988446133E-4</v>
      </c>
      <c r="M622">
        <v>0.25512850742749354</v>
      </c>
      <c r="N622">
        <v>0.32067908512143367</v>
      </c>
      <c r="O622">
        <v>4.7158688988446131E-3</v>
      </c>
      <c r="P622">
        <v>0</v>
      </c>
      <c r="Q622">
        <v>9.6675312426314584E-3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5.2110351332232976E-2</v>
      </c>
      <c r="AI622">
        <v>4.7866069323272822E-2</v>
      </c>
      <c r="AJ622">
        <v>0.14147606696533843</v>
      </c>
      <c r="AK622">
        <v>0</v>
      </c>
      <c r="AL622">
        <v>0</v>
      </c>
      <c r="AM622">
        <v>0</v>
      </c>
      <c r="AN622">
        <v>7.0738033482669195E-4</v>
      </c>
      <c r="AO622">
        <v>0</v>
      </c>
      <c r="AP622">
        <v>0</v>
      </c>
      <c r="AQ622">
        <v>2.8531006838009909E-2</v>
      </c>
      <c r="AR622">
        <v>0</v>
      </c>
      <c r="AS622">
        <v>2.8531006838009909E-2</v>
      </c>
      <c r="AT622">
        <v>4.7158688988446133E-4</v>
      </c>
      <c r="AU622">
        <v>0</v>
      </c>
      <c r="AV622">
        <v>0</v>
      </c>
      <c r="AW622">
        <v>0</v>
      </c>
      <c r="AX622">
        <v>4.9516623437868444E-3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4.9516623437868444E-3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2.3579344494223067E-4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4.7158688988446131E-3</v>
      </c>
      <c r="BZ622">
        <v>4.9516623437868444E-3</v>
      </c>
      <c r="CA622">
        <v>8.9837302522989909E-2</v>
      </c>
      <c r="CB622">
        <v>0</v>
      </c>
    </row>
    <row r="623" spans="1:80">
      <c r="A623">
        <v>622</v>
      </c>
      <c r="B623" t="s">
        <v>79</v>
      </c>
      <c r="C623" s="4" t="s">
        <v>170</v>
      </c>
      <c r="D623" s="4" t="s">
        <v>117</v>
      </c>
      <c r="E623" s="5">
        <v>40331</v>
      </c>
      <c r="F623" s="5">
        <v>40331</v>
      </c>
      <c r="G623">
        <v>1006</v>
      </c>
      <c r="H623" s="4" t="s">
        <v>107</v>
      </c>
      <c r="I623" s="4" t="s">
        <v>108</v>
      </c>
      <c r="J623" s="4" t="str">
        <f t="shared" si="9"/>
        <v>u_con.c_con</v>
      </c>
      <c r="K623" s="5">
        <v>19</v>
      </c>
      <c r="L623">
        <v>1.8723994452149791E-2</v>
      </c>
      <c r="M623">
        <v>0.13060564031437816</v>
      </c>
      <c r="N623">
        <v>0.30513176144244097</v>
      </c>
      <c r="O623">
        <v>0</v>
      </c>
      <c r="P623">
        <v>0</v>
      </c>
      <c r="Q623">
        <v>1.8723994452149791E-2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2.8895053166897822E-2</v>
      </c>
      <c r="AF623">
        <v>0</v>
      </c>
      <c r="AG623">
        <v>0</v>
      </c>
      <c r="AH623">
        <v>2.404068423485899E-2</v>
      </c>
      <c r="AI623">
        <v>0.10171058714748035</v>
      </c>
      <c r="AJ623">
        <v>0.18492834026814606</v>
      </c>
      <c r="AK623">
        <v>0</v>
      </c>
      <c r="AL623">
        <v>0</v>
      </c>
      <c r="AM623">
        <v>0</v>
      </c>
      <c r="AN623">
        <v>9.9398982894128522E-3</v>
      </c>
      <c r="AO623">
        <v>0</v>
      </c>
      <c r="AP623">
        <v>0</v>
      </c>
      <c r="AQ623">
        <v>0</v>
      </c>
      <c r="AR623">
        <v>0</v>
      </c>
      <c r="AS623">
        <v>1.8955154877484975E-2</v>
      </c>
      <c r="AT623">
        <v>6.9348127600554776E-4</v>
      </c>
      <c r="AU623">
        <v>0</v>
      </c>
      <c r="AV623">
        <v>0</v>
      </c>
      <c r="AW623">
        <v>4.8543689320388345E-3</v>
      </c>
      <c r="AX623">
        <v>9.4775774387424877E-3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0.14331946370781318</v>
      </c>
      <c r="CB623">
        <v>0</v>
      </c>
    </row>
    <row r="624" spans="1:80">
      <c r="A624">
        <v>623</v>
      </c>
      <c r="B624" t="s">
        <v>80</v>
      </c>
      <c r="C624" s="4" t="s">
        <v>170</v>
      </c>
      <c r="D624" s="4" t="s">
        <v>117</v>
      </c>
      <c r="E624" s="5">
        <v>40331</v>
      </c>
      <c r="F624" s="5">
        <v>40331</v>
      </c>
      <c r="G624">
        <v>1006</v>
      </c>
      <c r="H624" s="4" t="s">
        <v>107</v>
      </c>
      <c r="I624" s="4" t="s">
        <v>109</v>
      </c>
      <c r="J624" s="4" t="str">
        <f t="shared" si="9"/>
        <v>u_con.c_rem</v>
      </c>
      <c r="K624" s="5">
        <v>2</v>
      </c>
      <c r="L624">
        <v>4.7716428084526256E-3</v>
      </c>
      <c r="M624">
        <v>0.12747102931152016</v>
      </c>
      <c r="N624">
        <v>0.45444217223358335</v>
      </c>
      <c r="O624">
        <v>0</v>
      </c>
      <c r="P624">
        <v>0</v>
      </c>
      <c r="Q624">
        <v>4.5444217223358343E-3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2.272210861167917E-4</v>
      </c>
      <c r="AF624">
        <v>0</v>
      </c>
      <c r="AG624">
        <v>0</v>
      </c>
      <c r="AH624">
        <v>1.4087707339241086E-2</v>
      </c>
      <c r="AI624">
        <v>2.8175414678482169E-2</v>
      </c>
      <c r="AJ624">
        <v>0.29084299022949339</v>
      </c>
      <c r="AK624">
        <v>0</v>
      </c>
      <c r="AL624">
        <v>0</v>
      </c>
      <c r="AM624">
        <v>0</v>
      </c>
      <c r="AN624">
        <v>2.272210861167917E-4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4.544421722335834E-4</v>
      </c>
      <c r="AU624">
        <v>0</v>
      </c>
      <c r="AV624">
        <v>0</v>
      </c>
      <c r="AW624">
        <v>1.3633265167007504E-2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4.5444217223358343E-3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5.6350829356964345E-2</v>
      </c>
      <c r="CB624">
        <v>0</v>
      </c>
    </row>
    <row r="625" spans="1:80">
      <c r="A625">
        <v>624</v>
      </c>
      <c r="B625" t="s">
        <v>81</v>
      </c>
      <c r="C625" s="4" t="s">
        <v>170</v>
      </c>
      <c r="D625" s="4" t="s">
        <v>117</v>
      </c>
      <c r="E625" s="5">
        <v>40331</v>
      </c>
      <c r="F625" s="5">
        <v>40331</v>
      </c>
      <c r="G625">
        <v>1006</v>
      </c>
      <c r="H625" s="4" t="s">
        <v>107</v>
      </c>
      <c r="I625" s="4" t="s">
        <v>108</v>
      </c>
      <c r="J625" s="4" t="str">
        <f t="shared" si="9"/>
        <v>u_con.c_con</v>
      </c>
      <c r="K625" s="5">
        <v>19</v>
      </c>
      <c r="L625">
        <v>3.3263488737558924E-2</v>
      </c>
      <c r="M625">
        <v>6.0502881089575661E-2</v>
      </c>
      <c r="N625">
        <v>0.22001047668936613</v>
      </c>
      <c r="O625">
        <v>0</v>
      </c>
      <c r="P625">
        <v>0</v>
      </c>
      <c r="Q625">
        <v>5.2383446830801461E-3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2.6191723415400729E-4</v>
      </c>
      <c r="AF625">
        <v>0</v>
      </c>
      <c r="AG625">
        <v>0</v>
      </c>
      <c r="AH625">
        <v>2.6453640649554737E-2</v>
      </c>
      <c r="AI625">
        <v>6.8622315348349922E-2</v>
      </c>
      <c r="AJ625">
        <v>0.35646935568360388</v>
      </c>
      <c r="AK625">
        <v>0</v>
      </c>
      <c r="AL625">
        <v>0</v>
      </c>
      <c r="AM625">
        <v>0</v>
      </c>
      <c r="AN625">
        <v>6.024096385542169E-3</v>
      </c>
      <c r="AO625">
        <v>0</v>
      </c>
      <c r="AP625">
        <v>0</v>
      </c>
      <c r="AQ625">
        <v>0</v>
      </c>
      <c r="AR625">
        <v>0</v>
      </c>
      <c r="AS625">
        <v>5.2383446830801461E-3</v>
      </c>
      <c r="AT625">
        <v>1.0476689366160292E-3</v>
      </c>
      <c r="AU625">
        <v>0</v>
      </c>
      <c r="AV625">
        <v>2.121529596647459E-2</v>
      </c>
      <c r="AW625">
        <v>5.2383446830801459E-4</v>
      </c>
      <c r="AX625">
        <v>5.2383446830801459E-4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0.19434258774227339</v>
      </c>
      <c r="CB625">
        <v>0</v>
      </c>
    </row>
    <row r="626" spans="1:80">
      <c r="A626">
        <v>625</v>
      </c>
      <c r="B626" t="s">
        <v>82</v>
      </c>
      <c r="C626" s="4" t="s">
        <v>171</v>
      </c>
      <c r="D626" s="4" t="s">
        <v>118</v>
      </c>
      <c r="E626" s="5">
        <v>40331</v>
      </c>
      <c r="F626" s="5">
        <v>40331</v>
      </c>
      <c r="G626">
        <v>1006</v>
      </c>
      <c r="H626" s="4" t="s">
        <v>110</v>
      </c>
      <c r="I626" s="4" t="s">
        <v>109</v>
      </c>
      <c r="J626" s="4" t="str">
        <f t="shared" si="9"/>
        <v>u_rem.c_rem</v>
      </c>
      <c r="K626" s="5">
        <v>1</v>
      </c>
      <c r="L626">
        <v>3.95335046451868E-3</v>
      </c>
      <c r="M626">
        <v>0.11899584898201228</v>
      </c>
      <c r="N626">
        <v>0.10733346511168215</v>
      </c>
      <c r="O626">
        <v>0</v>
      </c>
      <c r="P626">
        <v>0</v>
      </c>
      <c r="Q626">
        <v>9.9031429136192922E-2</v>
      </c>
      <c r="R626">
        <v>0</v>
      </c>
      <c r="S626">
        <v>0</v>
      </c>
      <c r="T626">
        <v>3.95335046451868E-3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7.9067009290373601E-3</v>
      </c>
      <c r="AF626">
        <v>0</v>
      </c>
      <c r="AG626">
        <v>0</v>
      </c>
      <c r="AH626">
        <v>0</v>
      </c>
      <c r="AI626">
        <v>1.9766752322593399E-4</v>
      </c>
      <c r="AJ626">
        <v>0</v>
      </c>
      <c r="AK626">
        <v>0</v>
      </c>
      <c r="AL626">
        <v>0</v>
      </c>
      <c r="AM626">
        <v>0</v>
      </c>
      <c r="AN626">
        <v>3.2615141332279114E-2</v>
      </c>
      <c r="AO626">
        <v>0</v>
      </c>
      <c r="AP626">
        <v>0</v>
      </c>
      <c r="AQ626">
        <v>2.7673453251630759E-2</v>
      </c>
      <c r="AR626">
        <v>0</v>
      </c>
      <c r="AS626">
        <v>3.9533504645186798E-4</v>
      </c>
      <c r="AT626">
        <v>1.9766752322593399E-4</v>
      </c>
      <c r="AU626">
        <v>0</v>
      </c>
      <c r="AV626">
        <v>0</v>
      </c>
      <c r="AW626">
        <v>0</v>
      </c>
      <c r="AX626">
        <v>1.9766752322593399E-4</v>
      </c>
      <c r="AY626">
        <v>0</v>
      </c>
      <c r="AZ626">
        <v>0</v>
      </c>
      <c r="BA626">
        <v>0.16208736904526588</v>
      </c>
      <c r="BB626">
        <v>0.24135204585886533</v>
      </c>
      <c r="BC626">
        <v>0</v>
      </c>
      <c r="BD626">
        <v>0</v>
      </c>
      <c r="BE626">
        <v>0.12670488238782368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1.9766752322593399E-4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6.7206957896817576E-2</v>
      </c>
      <c r="CB626">
        <v>0</v>
      </c>
    </row>
    <row r="627" spans="1:80">
      <c r="A627">
        <v>626</v>
      </c>
      <c r="B627" t="s">
        <v>83</v>
      </c>
      <c r="C627" s="4" t="s">
        <v>171</v>
      </c>
      <c r="D627" s="4" t="s">
        <v>118</v>
      </c>
      <c r="E627" s="5">
        <v>40331</v>
      </c>
      <c r="F627" s="5">
        <v>40331</v>
      </c>
      <c r="G627">
        <v>1006</v>
      </c>
      <c r="H627" s="4" t="s">
        <v>110</v>
      </c>
      <c r="I627" s="4" t="s">
        <v>108</v>
      </c>
      <c r="J627" s="4" t="str">
        <f t="shared" si="9"/>
        <v>u_rem.c_con</v>
      </c>
      <c r="K627" s="5">
        <v>8</v>
      </c>
      <c r="L627">
        <v>9.8914354644149619E-3</v>
      </c>
      <c r="M627">
        <v>0.2132689987937274</v>
      </c>
      <c r="N627">
        <v>0.11121833534378775</v>
      </c>
      <c r="O627">
        <v>4.8250904704463223E-3</v>
      </c>
      <c r="P627">
        <v>0</v>
      </c>
      <c r="Q627">
        <v>0.18817852834740659</v>
      </c>
      <c r="R627">
        <v>0</v>
      </c>
      <c r="S627">
        <v>0</v>
      </c>
      <c r="T627">
        <v>5.0663449939686387E-3</v>
      </c>
      <c r="U627">
        <v>0</v>
      </c>
      <c r="V627">
        <v>0</v>
      </c>
      <c r="W627">
        <v>0</v>
      </c>
      <c r="X627">
        <v>5.0663449939686387E-3</v>
      </c>
      <c r="Y627">
        <v>1.9300361881785289E-2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1.5199034981905918E-2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1.0373944511459595E-2</v>
      </c>
      <c r="AO627">
        <v>0</v>
      </c>
      <c r="AP627">
        <v>0</v>
      </c>
      <c r="AQ627">
        <v>1.4475271411338969E-2</v>
      </c>
      <c r="AR627">
        <v>0</v>
      </c>
      <c r="AS627">
        <v>9.6501809408926446E-3</v>
      </c>
      <c r="AT627">
        <v>2.4125452352231612E-4</v>
      </c>
      <c r="AU627">
        <v>0</v>
      </c>
      <c r="AV627">
        <v>0</v>
      </c>
      <c r="AW627">
        <v>0</v>
      </c>
      <c r="AX627">
        <v>4.8250904704463223E-3</v>
      </c>
      <c r="AY627">
        <v>0</v>
      </c>
      <c r="AZ627">
        <v>0</v>
      </c>
      <c r="BA627">
        <v>8.2509047044632133E-2</v>
      </c>
      <c r="BB627">
        <v>0.15995174909529558</v>
      </c>
      <c r="BC627">
        <v>0</v>
      </c>
      <c r="BD627">
        <v>0</v>
      </c>
      <c r="BE627">
        <v>7.3100120627261761E-2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4.8250904704463223E-3</v>
      </c>
      <c r="BO627">
        <v>4.8250904704463223E-3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6.320868516284682E-2</v>
      </c>
      <c r="CB627">
        <v>0</v>
      </c>
    </row>
    <row r="628" spans="1:80">
      <c r="A628">
        <v>627</v>
      </c>
      <c r="B628" t="s">
        <v>84</v>
      </c>
      <c r="C628" s="4" t="s">
        <v>171</v>
      </c>
      <c r="D628" s="4" t="s">
        <v>118</v>
      </c>
      <c r="E628" s="5">
        <v>40331</v>
      </c>
      <c r="F628" s="5">
        <v>40331</v>
      </c>
      <c r="G628">
        <v>1006</v>
      </c>
      <c r="H628" s="4" t="s">
        <v>110</v>
      </c>
      <c r="I628" s="4" t="s">
        <v>109</v>
      </c>
      <c r="J628" s="4" t="str">
        <f t="shared" si="9"/>
        <v>u_rem.c_rem</v>
      </c>
      <c r="K628" s="5">
        <v>1</v>
      </c>
      <c r="L628">
        <v>2.5523226135783564E-4</v>
      </c>
      <c r="M628">
        <v>8.7034201123021959E-2</v>
      </c>
      <c r="N628">
        <v>9.1883614088820828E-2</v>
      </c>
      <c r="O628">
        <v>1.531393568147014E-2</v>
      </c>
      <c r="P628">
        <v>0</v>
      </c>
      <c r="Q628">
        <v>9.2649310872894339E-2</v>
      </c>
      <c r="R628">
        <v>5.1046452271567132E-3</v>
      </c>
      <c r="S628">
        <v>0</v>
      </c>
      <c r="T628">
        <v>1.0209290454313426E-2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5.6151097498723847E-3</v>
      </c>
      <c r="AA628">
        <v>0</v>
      </c>
      <c r="AB628">
        <v>0</v>
      </c>
      <c r="AC628">
        <v>0</v>
      </c>
      <c r="AD628">
        <v>0</v>
      </c>
      <c r="AE628">
        <v>5.1046452271567132E-3</v>
      </c>
      <c r="AF628">
        <v>0</v>
      </c>
      <c r="AG628">
        <v>0</v>
      </c>
      <c r="AH628">
        <v>0</v>
      </c>
      <c r="AI628">
        <v>5.1046452271567132E-3</v>
      </c>
      <c r="AJ628">
        <v>0</v>
      </c>
      <c r="AK628">
        <v>0</v>
      </c>
      <c r="AL628">
        <v>0</v>
      </c>
      <c r="AM628">
        <v>0</v>
      </c>
      <c r="AN628">
        <v>6.6360387953037269E-3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5.1046452271567132E-3</v>
      </c>
      <c r="AY628">
        <v>0</v>
      </c>
      <c r="AZ628">
        <v>0</v>
      </c>
      <c r="BA628">
        <v>0.16385911179173049</v>
      </c>
      <c r="BB628">
        <v>0.25548749361919343</v>
      </c>
      <c r="BC628">
        <v>0</v>
      </c>
      <c r="BD628">
        <v>0</v>
      </c>
      <c r="BE628">
        <v>0.20469627360898415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4.5941807044410407E-2</v>
      </c>
      <c r="CB628">
        <v>0</v>
      </c>
    </row>
    <row r="629" spans="1:80">
      <c r="A629">
        <v>628</v>
      </c>
      <c r="B629" t="s">
        <v>85</v>
      </c>
      <c r="C629" s="4" t="s">
        <v>171</v>
      </c>
      <c r="D629" s="4" t="s">
        <v>118</v>
      </c>
      <c r="E629" s="5">
        <v>40331</v>
      </c>
      <c r="F629" s="5">
        <v>40331</v>
      </c>
      <c r="G629">
        <v>1006</v>
      </c>
      <c r="H629" s="4" t="s">
        <v>110</v>
      </c>
      <c r="I629" s="4" t="s">
        <v>108</v>
      </c>
      <c r="J629" s="4" t="str">
        <f t="shared" si="9"/>
        <v>u_rem.c_con</v>
      </c>
      <c r="K629" s="5">
        <v>8</v>
      </c>
      <c r="L629">
        <v>2.6089225150013044E-4</v>
      </c>
      <c r="M629">
        <v>0.15183929037307595</v>
      </c>
      <c r="N629">
        <v>2.0871380120010437E-2</v>
      </c>
      <c r="O629">
        <v>0</v>
      </c>
      <c r="P629">
        <v>3.1567962431515786E-2</v>
      </c>
      <c r="Q629">
        <v>0.28228541612314118</v>
      </c>
      <c r="R629">
        <v>0</v>
      </c>
      <c r="S629">
        <v>0</v>
      </c>
      <c r="T629">
        <v>2.1132272371510569E-2</v>
      </c>
      <c r="U629">
        <v>0</v>
      </c>
      <c r="V629">
        <v>0</v>
      </c>
      <c r="W629">
        <v>0</v>
      </c>
      <c r="X629">
        <v>0</v>
      </c>
      <c r="Y629">
        <v>4.1742760240020875E-2</v>
      </c>
      <c r="Z629">
        <v>0</v>
      </c>
      <c r="AA629">
        <v>0</v>
      </c>
      <c r="AB629">
        <v>0</v>
      </c>
      <c r="AC629">
        <v>0</v>
      </c>
      <c r="AD629">
        <v>5.2178450300026094E-3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2.6089225150013044E-4</v>
      </c>
      <c r="AO629">
        <v>0</v>
      </c>
      <c r="AP629">
        <v>0</v>
      </c>
      <c r="AQ629">
        <v>1.5914427341507959E-2</v>
      </c>
      <c r="AR629">
        <v>0</v>
      </c>
      <c r="AS629">
        <v>5.7396295330028706E-3</v>
      </c>
      <c r="AT629">
        <v>2.6089225150013044E-4</v>
      </c>
      <c r="AU629">
        <v>0</v>
      </c>
      <c r="AV629">
        <v>0</v>
      </c>
      <c r="AW629">
        <v>0</v>
      </c>
      <c r="AX629">
        <v>0</v>
      </c>
      <c r="AY629">
        <v>5.2178450300026094E-3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8.3746412731541889E-2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1.0435690060005219E-2</v>
      </c>
      <c r="BX629">
        <v>0</v>
      </c>
      <c r="BY629">
        <v>1.0435690060005219E-2</v>
      </c>
      <c r="BZ629">
        <v>0</v>
      </c>
      <c r="CA629">
        <v>0.3130707018001565</v>
      </c>
      <c r="CB629">
        <v>0</v>
      </c>
    </row>
    <row r="630" spans="1:80">
      <c r="A630">
        <v>629</v>
      </c>
      <c r="B630" t="s">
        <v>86</v>
      </c>
      <c r="C630" s="4" t="s">
        <v>172</v>
      </c>
      <c r="D630" s="4" t="s">
        <v>118</v>
      </c>
      <c r="E630" s="5">
        <v>40331</v>
      </c>
      <c r="F630" s="5">
        <v>40331</v>
      </c>
      <c r="G630">
        <v>1006</v>
      </c>
      <c r="H630" s="4" t="s">
        <v>107</v>
      </c>
      <c r="I630" s="4" t="s">
        <v>108</v>
      </c>
      <c r="J630" s="4" t="str">
        <f t="shared" si="9"/>
        <v>u_con.c_con</v>
      </c>
      <c r="K630" s="5">
        <v>19</v>
      </c>
      <c r="L630">
        <v>0</v>
      </c>
      <c r="M630">
        <v>5.2942566769085306E-2</v>
      </c>
      <c r="N630">
        <v>0.11344835736232571</v>
      </c>
      <c r="O630">
        <v>0</v>
      </c>
      <c r="P630">
        <v>0</v>
      </c>
      <c r="Q630">
        <v>2.3635074450484514E-4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0.1607185062632947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4.2543134010872119E-2</v>
      </c>
      <c r="AF630">
        <v>0</v>
      </c>
      <c r="AG630">
        <v>5.1997163791065934E-3</v>
      </c>
      <c r="AH630">
        <v>0</v>
      </c>
      <c r="AI630">
        <v>9.4540297801938057E-4</v>
      </c>
      <c r="AJ630">
        <v>0</v>
      </c>
      <c r="AK630">
        <v>0</v>
      </c>
      <c r="AL630">
        <v>0</v>
      </c>
      <c r="AM630">
        <v>0</v>
      </c>
      <c r="AN630">
        <v>5.90876861262113E-3</v>
      </c>
      <c r="AO630">
        <v>0</v>
      </c>
      <c r="AP630">
        <v>0</v>
      </c>
      <c r="AQ630">
        <v>0</v>
      </c>
      <c r="AR630">
        <v>0</v>
      </c>
      <c r="AS630">
        <v>2.4107775939494206E-2</v>
      </c>
      <c r="AT630">
        <v>7.0905223351453535E-4</v>
      </c>
      <c r="AU630">
        <v>0</v>
      </c>
      <c r="AV630">
        <v>0</v>
      </c>
      <c r="AW630">
        <v>4.7270148900969032E-3</v>
      </c>
      <c r="AX630">
        <v>2.3635074450484514E-4</v>
      </c>
      <c r="AY630">
        <v>0</v>
      </c>
      <c r="AZ630">
        <v>0</v>
      </c>
      <c r="BA630">
        <v>0.17017253604348848</v>
      </c>
      <c r="BB630">
        <v>7.6577641219569836E-2</v>
      </c>
      <c r="BC630">
        <v>0</v>
      </c>
      <c r="BD630">
        <v>0</v>
      </c>
      <c r="BE630">
        <v>9.5012999290947781E-2</v>
      </c>
      <c r="BF630">
        <v>2.3635074450484514E-4</v>
      </c>
      <c r="BG630">
        <v>0</v>
      </c>
      <c r="BH630">
        <v>0</v>
      </c>
      <c r="BI630">
        <v>0</v>
      </c>
      <c r="BJ630">
        <v>0</v>
      </c>
      <c r="BK630">
        <v>4.7270148900969032E-3</v>
      </c>
      <c r="BL630">
        <v>0</v>
      </c>
      <c r="BM630">
        <v>0</v>
      </c>
      <c r="BN630">
        <v>0</v>
      </c>
      <c r="BO630">
        <v>0</v>
      </c>
      <c r="BP630">
        <v>4.9633656346017487E-3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0.23635074450484508</v>
      </c>
      <c r="CB630">
        <v>2.3635074450484514E-4</v>
      </c>
    </row>
    <row r="631" spans="1:80">
      <c r="A631">
        <v>630</v>
      </c>
      <c r="B631" t="s">
        <v>87</v>
      </c>
      <c r="C631" s="4" t="s">
        <v>172</v>
      </c>
      <c r="D631" s="4" t="s">
        <v>118</v>
      </c>
      <c r="E631" s="5">
        <v>40331</v>
      </c>
      <c r="F631" s="5">
        <v>40331</v>
      </c>
      <c r="G631">
        <v>1006</v>
      </c>
      <c r="H631" s="4" t="s">
        <v>107</v>
      </c>
      <c r="I631" s="4" t="s">
        <v>109</v>
      </c>
      <c r="J631" s="4" t="str">
        <f t="shared" si="9"/>
        <v>u_con.c_rem</v>
      </c>
      <c r="K631" s="5">
        <v>2</v>
      </c>
      <c r="L631">
        <v>0</v>
      </c>
      <c r="M631">
        <v>2.7449230082570854E-2</v>
      </c>
      <c r="N631">
        <v>0.12519526891318905</v>
      </c>
      <c r="O631">
        <v>0</v>
      </c>
      <c r="P631">
        <v>0</v>
      </c>
      <c r="Q631">
        <v>4.4632894443204646E-3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1.7853157777281858E-2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6.2486052220486511E-2</v>
      </c>
      <c r="AF631">
        <v>0</v>
      </c>
      <c r="AG631">
        <v>0</v>
      </c>
      <c r="AH631">
        <v>0</v>
      </c>
      <c r="AI631">
        <v>1.8299486721713904E-2</v>
      </c>
      <c r="AJ631">
        <v>0</v>
      </c>
      <c r="AK631">
        <v>0</v>
      </c>
      <c r="AL631">
        <v>0</v>
      </c>
      <c r="AM631">
        <v>4.485605891542066E-2</v>
      </c>
      <c r="AN631">
        <v>6.6949341664806952E-4</v>
      </c>
      <c r="AO631">
        <v>0</v>
      </c>
      <c r="AP631">
        <v>0</v>
      </c>
      <c r="AQ631">
        <v>0</v>
      </c>
      <c r="AR631">
        <v>0</v>
      </c>
      <c r="AS631">
        <v>2.231644722160232E-2</v>
      </c>
      <c r="AT631">
        <v>4.6864539165364875E-3</v>
      </c>
      <c r="AU631">
        <v>0</v>
      </c>
      <c r="AV631">
        <v>0</v>
      </c>
      <c r="AW631">
        <v>0</v>
      </c>
      <c r="AX631">
        <v>2.2316447221602321E-4</v>
      </c>
      <c r="AY631">
        <v>0</v>
      </c>
      <c r="AZ631">
        <v>0</v>
      </c>
      <c r="BA631">
        <v>0.30350368221379154</v>
      </c>
      <c r="BB631">
        <v>0.15643829502343226</v>
      </c>
      <c r="BC631">
        <v>0</v>
      </c>
      <c r="BD631">
        <v>0</v>
      </c>
      <c r="BE631">
        <v>6.3378710109350589E-2</v>
      </c>
      <c r="BF631">
        <v>6.6949341664806952E-4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3.1466190582459266E-2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0.11604552555233211</v>
      </c>
      <c r="CB631">
        <v>0</v>
      </c>
    </row>
    <row r="632" spans="1:80">
      <c r="A632">
        <v>631</v>
      </c>
      <c r="B632" t="s">
        <v>88</v>
      </c>
      <c r="C632" s="4" t="s">
        <v>172</v>
      </c>
      <c r="D632" s="4" t="s">
        <v>118</v>
      </c>
      <c r="E632" s="5">
        <v>40331</v>
      </c>
      <c r="F632" s="5">
        <v>40331</v>
      </c>
      <c r="G632">
        <v>1006</v>
      </c>
      <c r="H632" s="4" t="s">
        <v>107</v>
      </c>
      <c r="I632" s="4" t="s">
        <v>109</v>
      </c>
      <c r="J632" s="4" t="str">
        <f t="shared" si="9"/>
        <v>u_con.c_rem</v>
      </c>
      <c r="K632" s="5">
        <v>2</v>
      </c>
      <c r="L632">
        <v>4.1442188147534191E-3</v>
      </c>
      <c r="M632">
        <v>9.3244923331951939E-3</v>
      </c>
      <c r="N632">
        <v>0.15333609614587654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4.1442188147534191E-3</v>
      </c>
      <c r="Z632">
        <v>8.2884376295068382E-3</v>
      </c>
      <c r="AA632">
        <v>0</v>
      </c>
      <c r="AB632">
        <v>0</v>
      </c>
      <c r="AC632">
        <v>0</v>
      </c>
      <c r="AD632">
        <v>0</v>
      </c>
      <c r="AE632">
        <v>4.5793617903025274E-2</v>
      </c>
      <c r="AF632">
        <v>0</v>
      </c>
      <c r="AG632">
        <v>0</v>
      </c>
      <c r="AH632">
        <v>4.1442188147534191E-3</v>
      </c>
      <c r="AI632">
        <v>1.719850808122669E-2</v>
      </c>
      <c r="AJ632">
        <v>0</v>
      </c>
      <c r="AK632">
        <v>0</v>
      </c>
      <c r="AL632">
        <v>0</v>
      </c>
      <c r="AM632">
        <v>3.0045586406962282E-2</v>
      </c>
      <c r="AN632">
        <v>2.0721094073767094E-4</v>
      </c>
      <c r="AO632">
        <v>0</v>
      </c>
      <c r="AP632">
        <v>0</v>
      </c>
      <c r="AQ632">
        <v>0</v>
      </c>
      <c r="AR632">
        <v>0</v>
      </c>
      <c r="AS632">
        <v>2.5072523829258182E-2</v>
      </c>
      <c r="AT632">
        <v>4.5586406962287605E-3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4.1442188147534191E-3</v>
      </c>
      <c r="BA632">
        <v>0.44757563199336925</v>
      </c>
      <c r="BB632">
        <v>3.7297969332780762E-2</v>
      </c>
      <c r="BC632">
        <v>0</v>
      </c>
      <c r="BD632">
        <v>0</v>
      </c>
      <c r="BE632">
        <v>3.3568172399502688E-2</v>
      </c>
      <c r="BF632">
        <v>4.1442188147534188E-4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8.7028595109821805E-3</v>
      </c>
      <c r="BO632">
        <v>0</v>
      </c>
      <c r="BP632">
        <v>0</v>
      </c>
      <c r="BQ632">
        <v>8.2884376295068382E-3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4.1442188147534191E-3</v>
      </c>
      <c r="BX632">
        <v>0</v>
      </c>
      <c r="BY632">
        <v>0</v>
      </c>
      <c r="BZ632">
        <v>4.1442188147534191E-3</v>
      </c>
      <c r="CA632">
        <v>0.12867799419809367</v>
      </c>
      <c r="CB632">
        <v>1.2432656444260257E-2</v>
      </c>
    </row>
    <row r="633" spans="1:80">
      <c r="A633">
        <v>632</v>
      </c>
      <c r="B633" t="s">
        <v>89</v>
      </c>
      <c r="C633" s="4" t="s">
        <v>172</v>
      </c>
      <c r="D633" s="4" t="s">
        <v>118</v>
      </c>
      <c r="E633" s="5">
        <v>40331</v>
      </c>
      <c r="F633" s="5">
        <v>40331</v>
      </c>
      <c r="G633">
        <v>1006</v>
      </c>
      <c r="H633" s="4" t="s">
        <v>107</v>
      </c>
      <c r="I633" s="4" t="s">
        <v>108</v>
      </c>
      <c r="J633" s="4" t="str">
        <f t="shared" si="9"/>
        <v>u_con.c_con</v>
      </c>
      <c r="K633" s="5">
        <v>19</v>
      </c>
      <c r="L633">
        <v>0</v>
      </c>
      <c r="M633">
        <v>2.9253112033195028E-2</v>
      </c>
      <c r="N633">
        <v>0.12053941908713695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4.1493775933609963E-4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5.4149377593360998E-2</v>
      </c>
      <c r="AF633">
        <v>0</v>
      </c>
      <c r="AG633">
        <v>0</v>
      </c>
      <c r="AH633">
        <v>4.3568464730290466E-3</v>
      </c>
      <c r="AI633">
        <v>8.2987551867219934E-3</v>
      </c>
      <c r="AJ633">
        <v>0</v>
      </c>
      <c r="AK633">
        <v>0</v>
      </c>
      <c r="AL633">
        <v>0</v>
      </c>
      <c r="AM633">
        <v>4.1908713692946062E-2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1.6597510373443987E-2</v>
      </c>
      <c r="AT633">
        <v>0</v>
      </c>
      <c r="AU633">
        <v>0</v>
      </c>
      <c r="AV633">
        <v>4.1493775933609967E-3</v>
      </c>
      <c r="AW633">
        <v>4.3568464730290466E-3</v>
      </c>
      <c r="AX633">
        <v>2.0746887966804981E-4</v>
      </c>
      <c r="AY633">
        <v>0</v>
      </c>
      <c r="AZ633">
        <v>0</v>
      </c>
      <c r="BA633">
        <v>0.25726141078838166</v>
      </c>
      <c r="BB633">
        <v>6.721991701244813E-2</v>
      </c>
      <c r="BC633">
        <v>0</v>
      </c>
      <c r="BD633">
        <v>0</v>
      </c>
      <c r="BE633">
        <v>5.9128630705394196E-2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4.1493775933609967E-3</v>
      </c>
      <c r="BO633">
        <v>4.1493775933609967E-3</v>
      </c>
      <c r="BP633">
        <v>0</v>
      </c>
      <c r="BQ633">
        <v>0</v>
      </c>
      <c r="BR633">
        <v>0</v>
      </c>
      <c r="BS633">
        <v>0</v>
      </c>
      <c r="BT633">
        <v>5.4149377593361005E-2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0.26556016597510373</v>
      </c>
      <c r="CB633">
        <v>4.1493775933609967E-3</v>
      </c>
    </row>
    <row r="634" spans="1:80">
      <c r="A634">
        <v>633</v>
      </c>
      <c r="B634" t="s">
        <v>90</v>
      </c>
      <c r="C634" s="4" t="s">
        <v>173</v>
      </c>
      <c r="D634" s="4" t="s">
        <v>118</v>
      </c>
      <c r="E634" s="5">
        <v>40331</v>
      </c>
      <c r="F634" s="5">
        <v>40331</v>
      </c>
      <c r="G634">
        <v>1006</v>
      </c>
      <c r="H634" s="4" t="s">
        <v>107</v>
      </c>
      <c r="I634" s="4" t="s">
        <v>108</v>
      </c>
      <c r="J634" s="4" t="str">
        <f t="shared" si="9"/>
        <v>u_con.c_con</v>
      </c>
      <c r="K634" s="5">
        <v>19</v>
      </c>
      <c r="L634">
        <v>4.1433602651750577E-3</v>
      </c>
      <c r="M634">
        <v>3.8118914439610525E-2</v>
      </c>
      <c r="N634">
        <v>0.15351149782473589</v>
      </c>
      <c r="O634">
        <v>0</v>
      </c>
      <c r="P634">
        <v>0</v>
      </c>
      <c r="Q634">
        <v>2.1545473378910298E-2</v>
      </c>
      <c r="R634">
        <v>2.4860161591050343E-2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2.4860161591050343E-2</v>
      </c>
      <c r="Z634">
        <v>4.143360265175057E-2</v>
      </c>
      <c r="AA634">
        <v>0</v>
      </c>
      <c r="AB634">
        <v>0</v>
      </c>
      <c r="AC634">
        <v>0</v>
      </c>
      <c r="AD634">
        <v>0</v>
      </c>
      <c r="AE634">
        <v>3.7290242386575516E-2</v>
      </c>
      <c r="AF634">
        <v>0</v>
      </c>
      <c r="AG634">
        <v>2.90035218562254E-2</v>
      </c>
      <c r="AH634">
        <v>2.0716801325875288E-4</v>
      </c>
      <c r="AI634">
        <v>8.2867205303501154E-3</v>
      </c>
      <c r="AJ634">
        <v>0</v>
      </c>
      <c r="AK634">
        <v>0</v>
      </c>
      <c r="AL634">
        <v>4.3505282784338109E-3</v>
      </c>
      <c r="AM634">
        <v>0</v>
      </c>
      <c r="AN634">
        <v>4.9720323182100689E-3</v>
      </c>
      <c r="AO634">
        <v>0</v>
      </c>
      <c r="AP634">
        <v>0</v>
      </c>
      <c r="AQ634">
        <v>0</v>
      </c>
      <c r="AR634">
        <v>0</v>
      </c>
      <c r="AS634">
        <v>4.1433602651750577E-3</v>
      </c>
      <c r="AT634">
        <v>8.4938885436088678E-3</v>
      </c>
      <c r="AU634">
        <v>0</v>
      </c>
      <c r="AV634">
        <v>0</v>
      </c>
      <c r="AW634">
        <v>0</v>
      </c>
      <c r="AX634">
        <v>1.3258752848560186E-2</v>
      </c>
      <c r="AY634">
        <v>0</v>
      </c>
      <c r="AZ634">
        <v>0</v>
      </c>
      <c r="BA634">
        <v>0.20302465299357783</v>
      </c>
      <c r="BB634">
        <v>0.15786202610316966</v>
      </c>
      <c r="BC634">
        <v>0</v>
      </c>
      <c r="BD634">
        <v>0</v>
      </c>
      <c r="BE634">
        <v>9.1153925833851266E-3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1.2637248808783927E-2</v>
      </c>
      <c r="BO634">
        <v>4.1433602651750577E-3</v>
      </c>
      <c r="BP634">
        <v>4.1433602651750577E-3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4.1433602651750577E-3</v>
      </c>
      <c r="BX634">
        <v>0</v>
      </c>
      <c r="BY634">
        <v>0</v>
      </c>
      <c r="BZ634">
        <v>0</v>
      </c>
      <c r="CA634">
        <v>0.1864512119328775</v>
      </c>
      <c r="CB634">
        <v>0</v>
      </c>
    </row>
    <row r="635" spans="1:80">
      <c r="A635">
        <v>634</v>
      </c>
      <c r="B635" t="s">
        <v>91</v>
      </c>
      <c r="C635" s="4" t="s">
        <v>173</v>
      </c>
      <c r="D635" s="4" t="s">
        <v>118</v>
      </c>
      <c r="E635" s="5">
        <v>40331</v>
      </c>
      <c r="F635" s="5">
        <v>40331</v>
      </c>
      <c r="G635">
        <v>1006</v>
      </c>
      <c r="H635" s="4" t="s">
        <v>107</v>
      </c>
      <c r="I635" s="4" t="s">
        <v>109</v>
      </c>
      <c r="J635" s="4" t="str">
        <f t="shared" si="9"/>
        <v>u_con.c_rem</v>
      </c>
      <c r="K635" s="5">
        <v>2</v>
      </c>
      <c r="L635">
        <v>1.3407107895296876E-2</v>
      </c>
      <c r="M635">
        <v>9.4275377739944696E-2</v>
      </c>
      <c r="N635">
        <v>9.3849755267078117E-2</v>
      </c>
      <c r="O635">
        <v>0</v>
      </c>
      <c r="P635">
        <v>0</v>
      </c>
      <c r="Q635">
        <v>8.5337305809746772E-2</v>
      </c>
      <c r="R635">
        <v>7.661204511598213E-2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5.9587146201319434E-2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4.4690359650989579E-3</v>
      </c>
      <c r="AF635">
        <v>0</v>
      </c>
      <c r="AG635">
        <v>0</v>
      </c>
      <c r="AH635">
        <v>4.2562247286656741E-3</v>
      </c>
      <c r="AI635">
        <v>2.1281123643328371E-4</v>
      </c>
      <c r="AJ635">
        <v>0</v>
      </c>
      <c r="AK635">
        <v>0</v>
      </c>
      <c r="AL635">
        <v>4.2562247286656741E-3</v>
      </c>
      <c r="AM635">
        <v>0</v>
      </c>
      <c r="AN635">
        <v>1.7237710151095979E-2</v>
      </c>
      <c r="AO635">
        <v>0</v>
      </c>
      <c r="AP635">
        <v>0</v>
      </c>
      <c r="AQ635">
        <v>0</v>
      </c>
      <c r="AR635">
        <v>0</v>
      </c>
      <c r="AS635">
        <v>4.6818472015322417E-3</v>
      </c>
      <c r="AT635">
        <v>2.1281123643328371E-4</v>
      </c>
      <c r="AU635">
        <v>0</v>
      </c>
      <c r="AV635">
        <v>0</v>
      </c>
      <c r="AW635">
        <v>0</v>
      </c>
      <c r="AX635">
        <v>4.2562247286656741E-3</v>
      </c>
      <c r="AY635">
        <v>0</v>
      </c>
      <c r="AZ635">
        <v>0</v>
      </c>
      <c r="BA635">
        <v>4.7456905724622266E-2</v>
      </c>
      <c r="BB635">
        <v>3.4049797829325386E-2</v>
      </c>
      <c r="BC635">
        <v>0</v>
      </c>
      <c r="BD635">
        <v>0</v>
      </c>
      <c r="BE635">
        <v>0.14471164077463292</v>
      </c>
      <c r="BF635">
        <v>4.2562247286656738E-2</v>
      </c>
      <c r="BG635">
        <v>0</v>
      </c>
      <c r="BH635">
        <v>0</v>
      </c>
      <c r="BI635">
        <v>0</v>
      </c>
      <c r="BJ635">
        <v>0</v>
      </c>
      <c r="BK635">
        <v>2.9793573100659717E-2</v>
      </c>
      <c r="BL635">
        <v>0</v>
      </c>
      <c r="BM635">
        <v>0</v>
      </c>
      <c r="BN635">
        <v>2.1281123643328371E-4</v>
      </c>
      <c r="BO635">
        <v>4.4690359650989579E-3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0.23409236007661208</v>
      </c>
      <c r="CB635">
        <v>0</v>
      </c>
    </row>
    <row r="636" spans="1:80">
      <c r="A636">
        <v>635</v>
      </c>
      <c r="B636" t="s">
        <v>92</v>
      </c>
      <c r="C636" s="4" t="s">
        <v>173</v>
      </c>
      <c r="D636" s="4" t="s">
        <v>118</v>
      </c>
      <c r="E636" s="5">
        <v>40331</v>
      </c>
      <c r="F636" s="5">
        <v>40331</v>
      </c>
      <c r="G636">
        <v>1006</v>
      </c>
      <c r="H636" s="4" t="s">
        <v>107</v>
      </c>
      <c r="I636" s="4" t="s">
        <v>108</v>
      </c>
      <c r="J636" s="4" t="str">
        <f t="shared" si="9"/>
        <v>u_con.c_con</v>
      </c>
      <c r="K636" s="5">
        <v>19</v>
      </c>
      <c r="L636">
        <v>9.7179426404361228E-3</v>
      </c>
      <c r="M636">
        <v>1.5169471438729558E-2</v>
      </c>
      <c r="N636">
        <v>0.21806115193173728</v>
      </c>
      <c r="O636">
        <v>0</v>
      </c>
      <c r="P636">
        <v>0</v>
      </c>
      <c r="Q636">
        <v>6.2100023702299126E-2</v>
      </c>
      <c r="R636">
        <v>4.7404598246029869E-2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6.6366437544441825E-2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5.2145058070632863E-3</v>
      </c>
      <c r="AI636">
        <v>1.4932448447499412E-2</v>
      </c>
      <c r="AJ636">
        <v>0</v>
      </c>
      <c r="AK636">
        <v>0</v>
      </c>
      <c r="AL636">
        <v>3.3183218772220906E-2</v>
      </c>
      <c r="AM636">
        <v>0</v>
      </c>
      <c r="AN636">
        <v>1.4221379473808961E-3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6.1625977719838828E-3</v>
      </c>
      <c r="AU636">
        <v>0</v>
      </c>
      <c r="AV636">
        <v>0</v>
      </c>
      <c r="AW636">
        <v>4.7404598246029873E-3</v>
      </c>
      <c r="AX636">
        <v>0</v>
      </c>
      <c r="AY636">
        <v>0</v>
      </c>
      <c r="AZ636">
        <v>4.7404598246029873E-3</v>
      </c>
      <c r="BA636">
        <v>0.19909931263332545</v>
      </c>
      <c r="BB636">
        <v>3.4368333728371656E-2</v>
      </c>
      <c r="BC636">
        <v>0</v>
      </c>
      <c r="BD636">
        <v>0</v>
      </c>
      <c r="BE636">
        <v>9.5757288456980352E-2</v>
      </c>
      <c r="BF636">
        <v>7.1106897369044796E-4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2.3702299123014935E-4</v>
      </c>
      <c r="BQ636">
        <v>2.3702299123014935E-4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0.18037449632614366</v>
      </c>
      <c r="CB636">
        <v>0</v>
      </c>
    </row>
    <row r="637" spans="1:80">
      <c r="A637">
        <v>636</v>
      </c>
      <c r="B637" t="s">
        <v>93</v>
      </c>
      <c r="C637" s="4" t="s">
        <v>173</v>
      </c>
      <c r="D637" s="4" t="s">
        <v>118</v>
      </c>
      <c r="E637" s="5">
        <v>40331</v>
      </c>
      <c r="F637" s="5">
        <v>40331</v>
      </c>
      <c r="G637">
        <v>1006</v>
      </c>
      <c r="H637" s="4" t="s">
        <v>107</v>
      </c>
      <c r="I637" s="4" t="s">
        <v>109</v>
      </c>
      <c r="J637" s="4" t="str">
        <f t="shared" si="9"/>
        <v>u_con.c_rem</v>
      </c>
      <c r="K637" s="5">
        <v>2</v>
      </c>
      <c r="L637">
        <v>9.0748118636564852E-3</v>
      </c>
      <c r="M637">
        <v>3.0987162461266045E-2</v>
      </c>
      <c r="N637">
        <v>0.12859672421425414</v>
      </c>
      <c r="O637">
        <v>0</v>
      </c>
      <c r="P637">
        <v>0</v>
      </c>
      <c r="Q637">
        <v>2.6781761841522797E-2</v>
      </c>
      <c r="R637">
        <v>3.9840637450199202E-2</v>
      </c>
      <c r="S637">
        <v>0</v>
      </c>
      <c r="T637">
        <v>4.4267374944665788E-3</v>
      </c>
      <c r="U637">
        <v>0</v>
      </c>
      <c r="V637">
        <v>0</v>
      </c>
      <c r="W637">
        <v>0</v>
      </c>
      <c r="X637">
        <v>0</v>
      </c>
      <c r="Y637">
        <v>5.3120849933598946E-2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8.8534749889331577E-3</v>
      </c>
      <c r="AF637">
        <v>0</v>
      </c>
      <c r="AG637">
        <v>0</v>
      </c>
      <c r="AH637">
        <v>0</v>
      </c>
      <c r="AI637">
        <v>4.4267374944665782E-4</v>
      </c>
      <c r="AJ637">
        <v>0</v>
      </c>
      <c r="AK637">
        <v>0</v>
      </c>
      <c r="AL637">
        <v>0</v>
      </c>
      <c r="AM637">
        <v>0</v>
      </c>
      <c r="AN637">
        <v>1.3944223107569724E-2</v>
      </c>
      <c r="AO637">
        <v>0</v>
      </c>
      <c r="AP637">
        <v>0</v>
      </c>
      <c r="AQ637">
        <v>0</v>
      </c>
      <c r="AR637">
        <v>0</v>
      </c>
      <c r="AS637">
        <v>8.8534749889331577E-3</v>
      </c>
      <c r="AT637">
        <v>0</v>
      </c>
      <c r="AU637">
        <v>0</v>
      </c>
      <c r="AV637">
        <v>0</v>
      </c>
      <c r="AW637">
        <v>0</v>
      </c>
      <c r="AX637">
        <v>4.6480743691899072E-3</v>
      </c>
      <c r="AY637">
        <v>0</v>
      </c>
      <c r="AZ637">
        <v>0</v>
      </c>
      <c r="BA637">
        <v>0.13280212483399736</v>
      </c>
      <c r="BB637">
        <v>0.12903939796370073</v>
      </c>
      <c r="BC637">
        <v>0</v>
      </c>
      <c r="BD637">
        <v>0</v>
      </c>
      <c r="BE637">
        <v>4.9800796812748994E-2</v>
      </c>
      <c r="BF637">
        <v>2.2133687472332891E-4</v>
      </c>
      <c r="BG637">
        <v>0</v>
      </c>
      <c r="BH637">
        <v>0</v>
      </c>
      <c r="BI637">
        <v>0</v>
      </c>
      <c r="BJ637">
        <v>0</v>
      </c>
      <c r="BK637">
        <v>4.4267374944665788E-3</v>
      </c>
      <c r="BL637">
        <v>0</v>
      </c>
      <c r="BM637">
        <v>0</v>
      </c>
      <c r="BN637">
        <v>4.4267374944665788E-3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0.34971226206285971</v>
      </c>
      <c r="CB637">
        <v>0</v>
      </c>
    </row>
    <row r="638" spans="1:80">
      <c r="A638">
        <v>637</v>
      </c>
      <c r="B638" t="s">
        <v>94</v>
      </c>
      <c r="C638" s="4" t="s">
        <v>174</v>
      </c>
      <c r="D638" s="4" t="s">
        <v>118</v>
      </c>
      <c r="E638" s="5">
        <v>40331</v>
      </c>
      <c r="F638" s="5">
        <v>40331</v>
      </c>
      <c r="G638">
        <v>1006</v>
      </c>
      <c r="H638" s="4" t="s">
        <v>110</v>
      </c>
      <c r="I638" s="4" t="s">
        <v>108</v>
      </c>
      <c r="J638" s="4" t="str">
        <f t="shared" si="9"/>
        <v>u_rem.c_con</v>
      </c>
      <c r="K638" s="5">
        <v>8</v>
      </c>
      <c r="L638">
        <v>4.0723981900452483E-2</v>
      </c>
      <c r="M638">
        <v>9.6028154851684297E-2</v>
      </c>
      <c r="N638">
        <v>0.33685268979386618</v>
      </c>
      <c r="O638">
        <v>0</v>
      </c>
      <c r="P638">
        <v>0</v>
      </c>
      <c r="Q638">
        <v>5.0276520864756162E-3</v>
      </c>
      <c r="R638">
        <v>0.24132730015082954</v>
      </c>
      <c r="S638">
        <v>0</v>
      </c>
      <c r="T638">
        <v>2.5138260432378077E-4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2.5138260432378077E-4</v>
      </c>
      <c r="AF638">
        <v>0</v>
      </c>
      <c r="AG638">
        <v>0</v>
      </c>
      <c r="AH638">
        <v>1.6088486676721973E-2</v>
      </c>
      <c r="AI638">
        <v>3.0920060331825035E-2</v>
      </c>
      <c r="AJ638">
        <v>1.0055304172951232E-2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5.0276520864756162E-3</v>
      </c>
      <c r="AT638">
        <v>7.5414781297134231E-4</v>
      </c>
      <c r="AU638">
        <v>0</v>
      </c>
      <c r="AV638">
        <v>0</v>
      </c>
      <c r="AW638">
        <v>1.0055304172951232E-2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5.0276520864756162E-3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2.5138260432378077E-4</v>
      </c>
      <c r="CA638">
        <v>0.20135746606334839</v>
      </c>
      <c r="CB638">
        <v>0</v>
      </c>
    </row>
    <row r="639" spans="1:80">
      <c r="A639">
        <v>638</v>
      </c>
      <c r="B639" t="s">
        <v>95</v>
      </c>
      <c r="C639" s="4" t="s">
        <v>174</v>
      </c>
      <c r="D639" s="4" t="s">
        <v>118</v>
      </c>
      <c r="E639" s="5">
        <v>40331</v>
      </c>
      <c r="F639" s="5">
        <v>40331</v>
      </c>
      <c r="G639">
        <v>1006</v>
      </c>
      <c r="H639" s="4" t="s">
        <v>110</v>
      </c>
      <c r="I639" s="4" t="s">
        <v>109</v>
      </c>
      <c r="J639" s="4" t="str">
        <f t="shared" si="9"/>
        <v>u_rem.c_rem</v>
      </c>
      <c r="K639" s="5">
        <v>1</v>
      </c>
      <c r="L639">
        <v>1.788908765652952E-2</v>
      </c>
      <c r="M639">
        <v>9.5706618962432932E-2</v>
      </c>
      <c r="N639">
        <v>0.30411449016100184</v>
      </c>
      <c r="O639">
        <v>1.1926058437686345E-2</v>
      </c>
      <c r="P639">
        <v>0</v>
      </c>
      <c r="Q639">
        <v>7.7519379844961253E-2</v>
      </c>
      <c r="R639">
        <v>0</v>
      </c>
      <c r="S639">
        <v>0</v>
      </c>
      <c r="T639">
        <v>5.9630292188431726E-3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1.8187239117471676E-2</v>
      </c>
      <c r="AA639">
        <v>0</v>
      </c>
      <c r="AB639">
        <v>0</v>
      </c>
      <c r="AC639">
        <v>0</v>
      </c>
      <c r="AD639">
        <v>0</v>
      </c>
      <c r="AE639">
        <v>3.6076326774001195E-2</v>
      </c>
      <c r="AF639">
        <v>0</v>
      </c>
      <c r="AG639">
        <v>0</v>
      </c>
      <c r="AH639">
        <v>4.8002385211687537E-2</v>
      </c>
      <c r="AI639">
        <v>4.2039355992844363E-2</v>
      </c>
      <c r="AJ639">
        <v>0.167262969588551</v>
      </c>
      <c r="AK639">
        <v>0</v>
      </c>
      <c r="AL639">
        <v>0</v>
      </c>
      <c r="AM639">
        <v>0</v>
      </c>
      <c r="AN639">
        <v>2.9815146094215865E-4</v>
      </c>
      <c r="AO639">
        <v>0</v>
      </c>
      <c r="AP639">
        <v>0</v>
      </c>
      <c r="AQ639">
        <v>0</v>
      </c>
      <c r="AR639">
        <v>0</v>
      </c>
      <c r="AS639">
        <v>2.9815146094215865E-4</v>
      </c>
      <c r="AT639">
        <v>7.4537865235539654E-3</v>
      </c>
      <c r="AU639">
        <v>0</v>
      </c>
      <c r="AV639">
        <v>0</v>
      </c>
      <c r="AW639">
        <v>5.9630292188431726E-3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5.9630292188431726E-3</v>
      </c>
      <c r="BY639">
        <v>0</v>
      </c>
      <c r="BZ639">
        <v>2.9815146094215865E-4</v>
      </c>
      <c r="CA639">
        <v>0.15503875968992251</v>
      </c>
      <c r="CB639">
        <v>0</v>
      </c>
    </row>
    <row r="640" spans="1:80">
      <c r="A640">
        <v>639</v>
      </c>
      <c r="B640" t="s">
        <v>96</v>
      </c>
      <c r="C640" s="4" t="s">
        <v>174</v>
      </c>
      <c r="D640" s="4" t="s">
        <v>118</v>
      </c>
      <c r="E640" s="5">
        <v>40331</v>
      </c>
      <c r="F640" s="5">
        <v>40331</v>
      </c>
      <c r="G640">
        <v>1006</v>
      </c>
      <c r="H640" s="4" t="s">
        <v>110</v>
      </c>
      <c r="I640" s="4" t="s">
        <v>109</v>
      </c>
      <c r="J640" s="4" t="str">
        <f t="shared" si="9"/>
        <v>u_rem.c_rem</v>
      </c>
      <c r="K640" s="5">
        <v>1</v>
      </c>
      <c r="L640">
        <v>4.9224710804824023E-3</v>
      </c>
      <c r="M640">
        <v>7.9990155057839032E-2</v>
      </c>
      <c r="N640">
        <v>0.32488309131183851</v>
      </c>
      <c r="O640">
        <v>0</v>
      </c>
      <c r="P640">
        <v>0</v>
      </c>
      <c r="Q640">
        <v>4.9224710804824023E-3</v>
      </c>
      <c r="R640">
        <v>0</v>
      </c>
      <c r="S640">
        <v>0</v>
      </c>
      <c r="T640">
        <v>3.002707359094265E-2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9.8449421609648046E-3</v>
      </c>
      <c r="AF640">
        <v>0</v>
      </c>
      <c r="AG640">
        <v>0</v>
      </c>
      <c r="AH640">
        <v>1.0337189269013045E-2</v>
      </c>
      <c r="AI640">
        <v>2.5104602510460251E-2</v>
      </c>
      <c r="AJ640">
        <v>0.29559438838296803</v>
      </c>
      <c r="AK640">
        <v>0</v>
      </c>
      <c r="AL640">
        <v>0</v>
      </c>
      <c r="AM640">
        <v>0</v>
      </c>
      <c r="AN640">
        <v>1.0583312823037165E-2</v>
      </c>
      <c r="AO640">
        <v>0</v>
      </c>
      <c r="AP640">
        <v>0</v>
      </c>
      <c r="AQ640">
        <v>0</v>
      </c>
      <c r="AR640">
        <v>0</v>
      </c>
      <c r="AS640">
        <v>1.9936007875953728E-2</v>
      </c>
      <c r="AT640">
        <v>3.101156780703913E-2</v>
      </c>
      <c r="AU640">
        <v>0</v>
      </c>
      <c r="AV640">
        <v>0</v>
      </c>
      <c r="AW640">
        <v>1.9689884321929609E-2</v>
      </c>
      <c r="AX640">
        <v>2.4612355402412009E-2</v>
      </c>
      <c r="AY640">
        <v>0</v>
      </c>
      <c r="AZ640">
        <v>4.9224710804824023E-3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0.10361801624415458</v>
      </c>
      <c r="CB640">
        <v>0</v>
      </c>
    </row>
    <row r="641" spans="1:80">
      <c r="A641">
        <v>640</v>
      </c>
      <c r="B641" t="s">
        <v>97</v>
      </c>
      <c r="C641" s="4" t="s">
        <v>174</v>
      </c>
      <c r="D641" s="4" t="s">
        <v>118</v>
      </c>
      <c r="E641" s="5">
        <v>40331</v>
      </c>
      <c r="F641" s="5">
        <v>40331</v>
      </c>
      <c r="G641">
        <v>1006</v>
      </c>
      <c r="H641" s="4" t="s">
        <v>110</v>
      </c>
      <c r="I641" s="4" t="s">
        <v>108</v>
      </c>
      <c r="J641" s="4" t="str">
        <f t="shared" si="9"/>
        <v>u_rem.c_con</v>
      </c>
      <c r="K641" s="5">
        <v>8</v>
      </c>
      <c r="L641">
        <v>0</v>
      </c>
      <c r="M641">
        <v>0.13103292737934147</v>
      </c>
      <c r="N641">
        <v>0.21650879566982398</v>
      </c>
      <c r="O641">
        <v>1.3531799729364004E-2</v>
      </c>
      <c r="P641">
        <v>1.8042399639152006E-2</v>
      </c>
      <c r="Q641">
        <v>2.7063599458728011E-2</v>
      </c>
      <c r="R641">
        <v>6.3148398737032013E-2</v>
      </c>
      <c r="S641">
        <v>0</v>
      </c>
      <c r="T641">
        <v>1.3531799729364006E-2</v>
      </c>
      <c r="U641">
        <v>0</v>
      </c>
      <c r="V641">
        <v>0</v>
      </c>
      <c r="W641">
        <v>0</v>
      </c>
      <c r="X641">
        <v>0</v>
      </c>
      <c r="Y641">
        <v>1.3531799729364004E-2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2.7514659449706807E-2</v>
      </c>
      <c r="AJ641">
        <v>2.2552999548940009E-2</v>
      </c>
      <c r="AK641">
        <v>0</v>
      </c>
      <c r="AL641">
        <v>4.5105999097880016E-3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2.7514659449706807E-2</v>
      </c>
      <c r="AT641">
        <v>1.4884979702300408E-2</v>
      </c>
      <c r="AU641">
        <v>0</v>
      </c>
      <c r="AV641">
        <v>0</v>
      </c>
      <c r="AW641">
        <v>2.2552999548940009E-4</v>
      </c>
      <c r="AX641">
        <v>1.8267929634641408E-2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1.3531799729364006E-2</v>
      </c>
      <c r="BY641">
        <v>0</v>
      </c>
      <c r="BZ641">
        <v>4.5105999097880016E-3</v>
      </c>
      <c r="CA641">
        <v>0.36986919260261608</v>
      </c>
      <c r="CB641">
        <v>0</v>
      </c>
    </row>
    <row r="642" spans="1:80">
      <c r="A642">
        <v>641</v>
      </c>
      <c r="B642" t="s">
        <v>98</v>
      </c>
      <c r="C642" s="4" t="s">
        <v>175</v>
      </c>
      <c r="D642" s="4" t="s">
        <v>118</v>
      </c>
      <c r="E642" s="5">
        <v>40331</v>
      </c>
      <c r="F642" s="5">
        <v>40331</v>
      </c>
      <c r="G642">
        <v>1006</v>
      </c>
      <c r="H642" s="4" t="s">
        <v>107</v>
      </c>
      <c r="I642" s="4" t="s">
        <v>109</v>
      </c>
      <c r="J642" s="4" t="str">
        <f t="shared" ref="J642:J705" si="10">CONCATENATE(H642,".",I642)</f>
        <v>u_con.c_rem</v>
      </c>
      <c r="K642" s="5">
        <v>2</v>
      </c>
      <c r="L642">
        <v>0</v>
      </c>
      <c r="M642">
        <v>0.16376460216001762</v>
      </c>
      <c r="N642">
        <v>8.4417015649107349E-2</v>
      </c>
      <c r="O642">
        <v>0</v>
      </c>
      <c r="P642">
        <v>0</v>
      </c>
      <c r="Q642">
        <v>8.8163985012122536E-3</v>
      </c>
      <c r="R642">
        <v>0</v>
      </c>
      <c r="S642">
        <v>0</v>
      </c>
      <c r="T642">
        <v>1.7632797002424507E-2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4.4081992506061268E-3</v>
      </c>
      <c r="AI642">
        <v>3.5926823892439931E-2</v>
      </c>
      <c r="AJ642">
        <v>2.6449195503636759E-2</v>
      </c>
      <c r="AK642">
        <v>0</v>
      </c>
      <c r="AL642">
        <v>0</v>
      </c>
      <c r="AM642">
        <v>0</v>
      </c>
      <c r="AN642">
        <v>1.3885827639409303E-2</v>
      </c>
      <c r="AO642">
        <v>0</v>
      </c>
      <c r="AP642">
        <v>0</v>
      </c>
      <c r="AQ642">
        <v>0</v>
      </c>
      <c r="AR642">
        <v>0</v>
      </c>
      <c r="AS642">
        <v>6.171478950848578E-2</v>
      </c>
      <c r="AT642">
        <v>4.4081992506061268E-3</v>
      </c>
      <c r="AU642">
        <v>0</v>
      </c>
      <c r="AV642">
        <v>0</v>
      </c>
      <c r="AW642">
        <v>2.2040996253030635E-2</v>
      </c>
      <c r="AX642">
        <v>0</v>
      </c>
      <c r="AY642">
        <v>4.4081992506061268E-3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8.8604804937183188E-2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4.4081992506061268E-3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0.44963632356182481</v>
      </c>
      <c r="CB642">
        <v>8.8163985012122536E-3</v>
      </c>
    </row>
    <row r="643" spans="1:80">
      <c r="A643">
        <v>642</v>
      </c>
      <c r="B643" t="s">
        <v>99</v>
      </c>
      <c r="C643" s="4" t="s">
        <v>175</v>
      </c>
      <c r="D643" s="4" t="s">
        <v>118</v>
      </c>
      <c r="E643" s="5">
        <v>40331</v>
      </c>
      <c r="F643" s="5">
        <v>40331</v>
      </c>
      <c r="G643">
        <v>1006</v>
      </c>
      <c r="H643" s="4" t="s">
        <v>107</v>
      </c>
      <c r="I643" s="4" t="s">
        <v>108</v>
      </c>
      <c r="J643" s="4" t="str">
        <f t="shared" si="10"/>
        <v>u_con.c_con</v>
      </c>
      <c r="K643" s="5">
        <v>19</v>
      </c>
      <c r="L643">
        <v>0</v>
      </c>
      <c r="M643">
        <v>0.19930675909878676</v>
      </c>
      <c r="N643">
        <v>0.22985268630849218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3.0329289428076254E-2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4.3327556325823222E-3</v>
      </c>
      <c r="AF643">
        <v>0</v>
      </c>
      <c r="AG643">
        <v>0</v>
      </c>
      <c r="AH643">
        <v>0</v>
      </c>
      <c r="AI643">
        <v>8.6871750433275566E-2</v>
      </c>
      <c r="AJ643">
        <v>6.0875216637781636E-2</v>
      </c>
      <c r="AK643">
        <v>0</v>
      </c>
      <c r="AL643">
        <v>0</v>
      </c>
      <c r="AM643">
        <v>0</v>
      </c>
      <c r="AN643">
        <v>2.1663778162911609E-2</v>
      </c>
      <c r="AO643">
        <v>0</v>
      </c>
      <c r="AP643">
        <v>0</v>
      </c>
      <c r="AQ643">
        <v>0</v>
      </c>
      <c r="AR643">
        <v>0</v>
      </c>
      <c r="AS643">
        <v>3.09792027729636E-2</v>
      </c>
      <c r="AT643">
        <v>1.3648180242634316E-2</v>
      </c>
      <c r="AU643">
        <v>0</v>
      </c>
      <c r="AV643">
        <v>0</v>
      </c>
      <c r="AW643">
        <v>4.5493934142114383E-3</v>
      </c>
      <c r="AX643">
        <v>0</v>
      </c>
      <c r="AY643">
        <v>0</v>
      </c>
      <c r="AZ643">
        <v>0</v>
      </c>
      <c r="BA643">
        <v>6.5424610051993085E-2</v>
      </c>
      <c r="BB643">
        <v>0</v>
      </c>
      <c r="BC643">
        <v>0</v>
      </c>
      <c r="BD643">
        <v>0</v>
      </c>
      <c r="BE643">
        <v>8.7521663778162909E-2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0.16464471403812825</v>
      </c>
      <c r="CB643">
        <v>0</v>
      </c>
    </row>
    <row r="644" spans="1:80">
      <c r="A644">
        <v>643</v>
      </c>
      <c r="B644" t="s">
        <v>100</v>
      </c>
      <c r="C644" s="4" t="s">
        <v>175</v>
      </c>
      <c r="D644" s="4" t="s">
        <v>118</v>
      </c>
      <c r="E644" s="5">
        <v>40331</v>
      </c>
      <c r="F644" s="5">
        <v>40331</v>
      </c>
      <c r="G644">
        <v>1006</v>
      </c>
      <c r="H644" s="4" t="s">
        <v>107</v>
      </c>
      <c r="I644" s="4" t="s">
        <v>109</v>
      </c>
      <c r="J644" s="4" t="str">
        <f t="shared" si="10"/>
        <v>u_con.c_rem</v>
      </c>
      <c r="K644" s="5">
        <v>2</v>
      </c>
      <c r="L644">
        <v>0</v>
      </c>
      <c r="M644">
        <v>0.29057421451787652</v>
      </c>
      <c r="N644">
        <v>0.10855904658721567</v>
      </c>
      <c r="O644">
        <v>0</v>
      </c>
      <c r="P644">
        <v>0</v>
      </c>
      <c r="Q644">
        <v>1.7334777898158182E-2</v>
      </c>
      <c r="R644">
        <v>0</v>
      </c>
      <c r="S644">
        <v>0</v>
      </c>
      <c r="T644">
        <v>4.7670639219935008E-3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1.3001083423618639E-2</v>
      </c>
      <c r="AE644">
        <v>4.3336944745395456E-3</v>
      </c>
      <c r="AF644">
        <v>0</v>
      </c>
      <c r="AG644">
        <v>0</v>
      </c>
      <c r="AH644">
        <v>8.6673889490790921E-4</v>
      </c>
      <c r="AI644">
        <v>8.6673889490790921E-4</v>
      </c>
      <c r="AJ644">
        <v>4.3336944745395456E-3</v>
      </c>
      <c r="AK644">
        <v>0</v>
      </c>
      <c r="AL644">
        <v>0</v>
      </c>
      <c r="AM644">
        <v>0</v>
      </c>
      <c r="AN644">
        <v>1.4301191765980504E-2</v>
      </c>
      <c r="AO644">
        <v>0</v>
      </c>
      <c r="AP644">
        <v>0</v>
      </c>
      <c r="AQ644">
        <v>0</v>
      </c>
      <c r="AR644">
        <v>0</v>
      </c>
      <c r="AS644">
        <v>3.9869989165763821E-2</v>
      </c>
      <c r="AT644">
        <v>6.5005417118093193E-3</v>
      </c>
      <c r="AU644">
        <v>0</v>
      </c>
      <c r="AV644">
        <v>0</v>
      </c>
      <c r="AW644">
        <v>0</v>
      </c>
      <c r="AX644">
        <v>4.5503791982665232E-3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0.10010834236186353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0.3900325027085591</v>
      </c>
      <c r="CB644">
        <v>0</v>
      </c>
    </row>
    <row r="645" spans="1:80">
      <c r="A645">
        <v>644</v>
      </c>
      <c r="B645" t="s">
        <v>101</v>
      </c>
      <c r="C645" s="4" t="s">
        <v>175</v>
      </c>
      <c r="D645" s="4" t="s">
        <v>118</v>
      </c>
      <c r="E645" s="5">
        <v>40331</v>
      </c>
      <c r="F645" s="5">
        <v>40331</v>
      </c>
      <c r="G645">
        <v>1006</v>
      </c>
      <c r="H645" s="4" t="s">
        <v>107</v>
      </c>
      <c r="I645" s="4" t="s">
        <v>108</v>
      </c>
      <c r="J645" s="4" t="str">
        <f t="shared" si="10"/>
        <v>u_con.c_con</v>
      </c>
      <c r="K645" s="5">
        <v>19</v>
      </c>
      <c r="L645">
        <v>0</v>
      </c>
      <c r="M645">
        <v>0.19030558482613277</v>
      </c>
      <c r="N645">
        <v>0.10537407797681773</v>
      </c>
      <c r="O645">
        <v>0</v>
      </c>
      <c r="P645">
        <v>0</v>
      </c>
      <c r="Q645">
        <v>2.1074815595363542E-4</v>
      </c>
      <c r="R645">
        <v>0</v>
      </c>
      <c r="S645">
        <v>0</v>
      </c>
      <c r="T645">
        <v>8.0295047418335083E-2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4.2149631190727087E-3</v>
      </c>
      <c r="AF645">
        <v>0</v>
      </c>
      <c r="AG645">
        <v>0</v>
      </c>
      <c r="AH645">
        <v>4.2149631190727087E-3</v>
      </c>
      <c r="AI645">
        <v>1.3066385669125399E-2</v>
      </c>
      <c r="AJ645">
        <v>1.6859852476290835E-2</v>
      </c>
      <c r="AK645">
        <v>0</v>
      </c>
      <c r="AL645">
        <v>0</v>
      </c>
      <c r="AM645">
        <v>0</v>
      </c>
      <c r="AN645">
        <v>8.8514225500526886E-3</v>
      </c>
      <c r="AO645">
        <v>0</v>
      </c>
      <c r="AP645">
        <v>0</v>
      </c>
      <c r="AQ645">
        <v>0</v>
      </c>
      <c r="AR645">
        <v>0</v>
      </c>
      <c r="AS645">
        <v>5.5216016859852481E-2</v>
      </c>
      <c r="AT645">
        <v>2.5289778714436247E-3</v>
      </c>
      <c r="AU645">
        <v>0</v>
      </c>
      <c r="AV645">
        <v>0</v>
      </c>
      <c r="AW645">
        <v>0</v>
      </c>
      <c r="AX645">
        <v>8.4299262381454174E-3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1.707060063224447E-2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4.2149631190727087E-3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2.1074815595363542E-4</v>
      </c>
      <c r="BX645">
        <v>0</v>
      </c>
      <c r="BY645">
        <v>0</v>
      </c>
      <c r="BZ645">
        <v>0</v>
      </c>
      <c r="CA645">
        <v>0.48893572181243417</v>
      </c>
      <c r="CB645">
        <v>0</v>
      </c>
    </row>
    <row r="646" spans="1:80">
      <c r="A646">
        <v>645</v>
      </c>
      <c r="B646" t="s">
        <v>102</v>
      </c>
      <c r="C646" s="4" t="s">
        <v>176</v>
      </c>
      <c r="D646" s="4" t="s">
        <v>118</v>
      </c>
      <c r="E646" s="5">
        <v>40331</v>
      </c>
      <c r="F646" s="5">
        <v>40331</v>
      </c>
      <c r="G646">
        <v>1006</v>
      </c>
      <c r="H646" s="4" t="s">
        <v>110</v>
      </c>
      <c r="I646" s="4" t="s">
        <v>108</v>
      </c>
      <c r="J646" s="4" t="str">
        <f t="shared" si="10"/>
        <v>u_rem.c_con</v>
      </c>
      <c r="K646" s="5">
        <v>8</v>
      </c>
      <c r="L646">
        <v>2.3293733985557886E-4</v>
      </c>
      <c r="M646">
        <v>7.0812951316095968E-2</v>
      </c>
      <c r="N646">
        <v>2.8185418122525039E-2</v>
      </c>
      <c r="O646">
        <v>0</v>
      </c>
      <c r="P646">
        <v>0</v>
      </c>
      <c r="Q646">
        <v>9.3174935942231547E-3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9.3174935942231547E-3</v>
      </c>
      <c r="AF646">
        <v>0</v>
      </c>
      <c r="AG646">
        <v>0</v>
      </c>
      <c r="AH646">
        <v>0</v>
      </c>
      <c r="AI646">
        <v>4.8916841369671567E-3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0.29373398555788488</v>
      </c>
      <c r="AP646">
        <v>2.3293733985557886E-4</v>
      </c>
      <c r="AQ646">
        <v>4.2161658513859772E-2</v>
      </c>
      <c r="AR646">
        <v>0</v>
      </c>
      <c r="AS646">
        <v>2.3293733985557886E-4</v>
      </c>
      <c r="AT646">
        <v>0</v>
      </c>
      <c r="AU646">
        <v>0</v>
      </c>
      <c r="AV646">
        <v>0</v>
      </c>
      <c r="AW646">
        <v>0</v>
      </c>
      <c r="AX646">
        <v>4.6587467971115773E-3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0.121127416724901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0.16328907523876077</v>
      </c>
      <c r="CB646">
        <v>0</v>
      </c>
    </row>
    <row r="647" spans="1:80">
      <c r="A647">
        <v>646</v>
      </c>
      <c r="B647" t="s">
        <v>103</v>
      </c>
      <c r="C647" s="4" t="s">
        <v>176</v>
      </c>
      <c r="D647" s="4" t="s">
        <v>118</v>
      </c>
      <c r="E647" s="5">
        <v>40331</v>
      </c>
      <c r="F647" s="5">
        <v>40331</v>
      </c>
      <c r="G647">
        <v>1006</v>
      </c>
      <c r="H647" s="4" t="s">
        <v>110</v>
      </c>
      <c r="I647" s="4" t="s">
        <v>109</v>
      </c>
      <c r="J647" s="4" t="str">
        <f t="shared" si="10"/>
        <v>u_rem.c_rem</v>
      </c>
      <c r="K647" s="5">
        <v>1</v>
      </c>
      <c r="L647">
        <v>1.3132400430570505E-2</v>
      </c>
      <c r="M647">
        <v>4.4133476856835274E-2</v>
      </c>
      <c r="N647">
        <v>0.24111948331539282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4.3057050592034442E-3</v>
      </c>
      <c r="AD647">
        <v>0</v>
      </c>
      <c r="AE647">
        <v>4.3057050592034442E-3</v>
      </c>
      <c r="AF647">
        <v>0</v>
      </c>
      <c r="AG647">
        <v>0</v>
      </c>
      <c r="AH647">
        <v>4.3057050592034442E-3</v>
      </c>
      <c r="AI647">
        <v>3.4660925726587716E-2</v>
      </c>
      <c r="AJ647">
        <v>0</v>
      </c>
      <c r="AK647">
        <v>0</v>
      </c>
      <c r="AL647">
        <v>0</v>
      </c>
      <c r="AM647">
        <v>0</v>
      </c>
      <c r="AN647">
        <v>3.4660925726587716E-2</v>
      </c>
      <c r="AO647">
        <v>9.2572658772874048E-3</v>
      </c>
      <c r="AP647">
        <v>0</v>
      </c>
      <c r="AQ647">
        <v>0</v>
      </c>
      <c r="AR647">
        <v>0</v>
      </c>
      <c r="AS647">
        <v>0</v>
      </c>
      <c r="AT647">
        <v>1.076426264800861E-3</v>
      </c>
      <c r="AU647">
        <v>2.1959095801937563E-2</v>
      </c>
      <c r="AV647">
        <v>0</v>
      </c>
      <c r="AW647">
        <v>1.2917115177610331E-2</v>
      </c>
      <c r="AX647">
        <v>2.1528525296017219E-4</v>
      </c>
      <c r="AY647">
        <v>0</v>
      </c>
      <c r="AZ647">
        <v>4.520990312163616E-3</v>
      </c>
      <c r="BA647">
        <v>0.24111948331539279</v>
      </c>
      <c r="BB647">
        <v>0</v>
      </c>
      <c r="BC647">
        <v>0</v>
      </c>
      <c r="BD647">
        <v>0</v>
      </c>
      <c r="BE647">
        <v>0.15974165769644777</v>
      </c>
      <c r="BF647">
        <v>0</v>
      </c>
      <c r="BG647">
        <v>0</v>
      </c>
      <c r="BH647">
        <v>0</v>
      </c>
      <c r="BI647">
        <v>4.7362755651237883E-2</v>
      </c>
      <c r="BJ647">
        <v>0</v>
      </c>
      <c r="BK647">
        <v>0</v>
      </c>
      <c r="BL647">
        <v>0</v>
      </c>
      <c r="BM647">
        <v>0</v>
      </c>
      <c r="BN647">
        <v>4.3057050592034442E-3</v>
      </c>
      <c r="BO647">
        <v>0</v>
      </c>
      <c r="BP647">
        <v>0</v>
      </c>
      <c r="BQ647">
        <v>8.8266953713670594E-3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8.6114101184068884E-3</v>
      </c>
      <c r="BY647">
        <v>0</v>
      </c>
      <c r="BZ647">
        <v>4.3057050592034442E-3</v>
      </c>
      <c r="CA647">
        <v>8.6544671689989222E-2</v>
      </c>
      <c r="CB647">
        <v>8.6114101184068884E-3</v>
      </c>
    </row>
    <row r="648" spans="1:80">
      <c r="A648">
        <v>647</v>
      </c>
      <c r="B648" t="s">
        <v>104</v>
      </c>
      <c r="C648" s="4" t="s">
        <v>176</v>
      </c>
      <c r="D648" s="4" t="s">
        <v>118</v>
      </c>
      <c r="E648" s="5">
        <v>40331</v>
      </c>
      <c r="F648" s="5">
        <v>40331</v>
      </c>
      <c r="G648">
        <v>1006</v>
      </c>
      <c r="H648" s="4" t="s">
        <v>110</v>
      </c>
      <c r="I648" s="4" t="s">
        <v>108</v>
      </c>
      <c r="J648" s="4" t="str">
        <f t="shared" si="10"/>
        <v>u_rem.c_con</v>
      </c>
      <c r="K648" s="5">
        <v>8</v>
      </c>
      <c r="L648">
        <v>4.8227634434530979E-3</v>
      </c>
      <c r="M648">
        <v>0.20279720279720276</v>
      </c>
      <c r="N648">
        <v>5.7873161321437182E-2</v>
      </c>
      <c r="O648">
        <v>0</v>
      </c>
      <c r="P648">
        <v>7.2341451651796465E-2</v>
      </c>
      <c r="Q648">
        <v>6.7759826380516044E-2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9.8866650590788523E-3</v>
      </c>
      <c r="AF648">
        <v>0</v>
      </c>
      <c r="AG648">
        <v>0</v>
      </c>
      <c r="AH648">
        <v>0</v>
      </c>
      <c r="AI648">
        <v>4.8227634434530979E-3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0.1784422474077646</v>
      </c>
      <c r="AP648">
        <v>0</v>
      </c>
      <c r="AQ648">
        <v>5.305039787798408E-2</v>
      </c>
      <c r="AR648">
        <v>0</v>
      </c>
      <c r="AS648">
        <v>0</v>
      </c>
      <c r="AT648">
        <v>0</v>
      </c>
      <c r="AU648">
        <v>0</v>
      </c>
      <c r="AV648">
        <v>2.4113817217265491E-4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1.4950566674704607E-2</v>
      </c>
      <c r="BF648">
        <v>4.8227634434530979E-3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9.6455268869061958E-3</v>
      </c>
      <c r="BQ648">
        <v>4.8227634434530979E-3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4.8227634434530979E-2</v>
      </c>
      <c r="CA648">
        <v>0.24113817217265476</v>
      </c>
      <c r="CB648">
        <v>0</v>
      </c>
    </row>
    <row r="649" spans="1:80">
      <c r="A649">
        <v>648</v>
      </c>
      <c r="B649" t="s">
        <v>105</v>
      </c>
      <c r="C649" s="4" t="s">
        <v>176</v>
      </c>
      <c r="D649" s="4" t="s">
        <v>118</v>
      </c>
      <c r="E649" s="5">
        <v>40331</v>
      </c>
      <c r="F649" s="5">
        <v>40331</v>
      </c>
      <c r="G649">
        <v>1006</v>
      </c>
      <c r="H649" s="4" t="s">
        <v>110</v>
      </c>
      <c r="I649" s="4" t="s">
        <v>109</v>
      </c>
      <c r="J649" s="4" t="str">
        <f t="shared" si="10"/>
        <v>u_rem.c_rem</v>
      </c>
      <c r="K649" s="5">
        <v>1</v>
      </c>
      <c r="L649">
        <v>0</v>
      </c>
      <c r="M649">
        <v>1.4566642388929355E-2</v>
      </c>
      <c r="N649">
        <v>8.7885409079873786E-2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1.0196649672250549E-2</v>
      </c>
      <c r="AB649">
        <v>0</v>
      </c>
      <c r="AC649">
        <v>4.3699927166788062E-2</v>
      </c>
      <c r="AD649">
        <v>1.9422189851905809E-2</v>
      </c>
      <c r="AE649">
        <v>9.9538722991017268E-3</v>
      </c>
      <c r="AF649">
        <v>0</v>
      </c>
      <c r="AG649">
        <v>0</v>
      </c>
      <c r="AH649">
        <v>0</v>
      </c>
      <c r="AI649">
        <v>1.9422189851905809E-2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3.0347171643602823E-2</v>
      </c>
      <c r="AP649">
        <v>2.9376062151007531E-2</v>
      </c>
      <c r="AQ649">
        <v>0</v>
      </c>
      <c r="AR649">
        <v>0</v>
      </c>
      <c r="AS649">
        <v>5.5838795824229206E-3</v>
      </c>
      <c r="AT649">
        <v>0</v>
      </c>
      <c r="AU649">
        <v>0</v>
      </c>
      <c r="AV649">
        <v>0</v>
      </c>
      <c r="AW649">
        <v>2.9376062151007531E-2</v>
      </c>
      <c r="AX649">
        <v>1.4566642388929357E-2</v>
      </c>
      <c r="AY649">
        <v>0</v>
      </c>
      <c r="AZ649">
        <v>0</v>
      </c>
      <c r="BA649">
        <v>5.0983248361252745E-3</v>
      </c>
      <c r="BB649">
        <v>0</v>
      </c>
      <c r="BC649">
        <v>0</v>
      </c>
      <c r="BD649">
        <v>0</v>
      </c>
      <c r="BE649">
        <v>0.47584365137169221</v>
      </c>
      <c r="BF649">
        <v>4.8555474629764523E-3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1.9422189851905809E-2</v>
      </c>
      <c r="BN649">
        <v>0</v>
      </c>
      <c r="BO649">
        <v>0</v>
      </c>
      <c r="BP649">
        <v>2.4277737314882259E-4</v>
      </c>
      <c r="BQ649">
        <v>5.0983248361252745E-3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1.966496722505463E-2</v>
      </c>
      <c r="BY649">
        <v>0</v>
      </c>
      <c r="BZ649">
        <v>0</v>
      </c>
      <c r="CA649">
        <v>0.15537751881524645</v>
      </c>
      <c r="CB649">
        <v>0</v>
      </c>
    </row>
    <row r="650" spans="1:80">
      <c r="A650">
        <v>649</v>
      </c>
      <c r="B650" t="s">
        <v>35</v>
      </c>
      <c r="C650" s="4" t="s">
        <v>159</v>
      </c>
      <c r="D650" s="4" t="s">
        <v>116</v>
      </c>
      <c r="E650" s="5">
        <v>40420</v>
      </c>
      <c r="F650" s="5">
        <v>40420</v>
      </c>
      <c r="G650">
        <v>1009</v>
      </c>
      <c r="H650" s="4" t="s">
        <v>107</v>
      </c>
      <c r="I650" s="4" t="s">
        <v>108</v>
      </c>
      <c r="J650" s="4" t="str">
        <f t="shared" si="10"/>
        <v>u_con.c_con</v>
      </c>
      <c r="K650" s="5">
        <v>19</v>
      </c>
      <c r="L650">
        <v>0</v>
      </c>
      <c r="M650">
        <v>6.5717141429285378E-2</v>
      </c>
      <c r="N650">
        <v>0.17491254372813597</v>
      </c>
      <c r="O650">
        <v>1.499250374812594E-2</v>
      </c>
      <c r="P650">
        <v>0</v>
      </c>
      <c r="Q650">
        <v>4.9975012493753135E-3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5.9970014992503755E-2</v>
      </c>
      <c r="Z650">
        <v>4.0729635182408803E-2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9.995002498750627E-3</v>
      </c>
      <c r="AH650">
        <v>3.023488255872064E-2</v>
      </c>
      <c r="AI650">
        <v>4.0229885057471264E-2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3.5732133933033483E-2</v>
      </c>
      <c r="AT650">
        <v>4.9975012493753133E-4</v>
      </c>
      <c r="AU650">
        <v>2.4987506246876566E-4</v>
      </c>
      <c r="AV650">
        <v>0</v>
      </c>
      <c r="AW650">
        <v>0</v>
      </c>
      <c r="AX650">
        <v>2.4987506246876566E-4</v>
      </c>
      <c r="AY650">
        <v>0</v>
      </c>
      <c r="AZ650">
        <v>0</v>
      </c>
      <c r="BA650">
        <v>4.1229385307346329E-2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4.9975012493753133E-4</v>
      </c>
      <c r="BX650">
        <v>0</v>
      </c>
      <c r="BY650">
        <v>0</v>
      </c>
      <c r="BZ650">
        <v>0</v>
      </c>
      <c r="CA650">
        <v>0.47976011994003004</v>
      </c>
      <c r="CB650">
        <v>0</v>
      </c>
    </row>
    <row r="651" spans="1:80">
      <c r="A651">
        <v>650</v>
      </c>
      <c r="B651" t="s">
        <v>36</v>
      </c>
      <c r="C651" s="4" t="s">
        <v>159</v>
      </c>
      <c r="D651" s="4" t="s">
        <v>116</v>
      </c>
      <c r="E651" s="5">
        <v>40420</v>
      </c>
      <c r="F651" s="5">
        <v>40420</v>
      </c>
      <c r="G651">
        <v>1009</v>
      </c>
      <c r="H651" s="4" t="s">
        <v>107</v>
      </c>
      <c r="I651" s="4" t="s">
        <v>109</v>
      </c>
      <c r="J651" s="4" t="str">
        <f t="shared" si="10"/>
        <v>u_con.c_rem</v>
      </c>
      <c r="K651" s="5">
        <v>2</v>
      </c>
      <c r="L651">
        <v>9.4786729857819912E-3</v>
      </c>
      <c r="M651">
        <v>2.9620853080568717E-2</v>
      </c>
      <c r="N651">
        <v>0.2087677725118483</v>
      </c>
      <c r="O651">
        <v>0</v>
      </c>
      <c r="P651">
        <v>0</v>
      </c>
      <c r="Q651">
        <v>4.7393364928909956E-3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5.6872037914691941E-2</v>
      </c>
      <c r="Z651">
        <v>0.20876777251184833</v>
      </c>
      <c r="AA651">
        <v>0</v>
      </c>
      <c r="AB651">
        <v>0</v>
      </c>
      <c r="AC651">
        <v>0</v>
      </c>
      <c r="AD651">
        <v>0</v>
      </c>
      <c r="AE651">
        <v>2.3696682464454974E-4</v>
      </c>
      <c r="AF651">
        <v>0</v>
      </c>
      <c r="AG651">
        <v>0</v>
      </c>
      <c r="AH651">
        <v>1.4928909952606637E-2</v>
      </c>
      <c r="AI651">
        <v>3.3412322274881515E-2</v>
      </c>
      <c r="AJ651">
        <v>0</v>
      </c>
      <c r="AK651">
        <v>0</v>
      </c>
      <c r="AL651">
        <v>0</v>
      </c>
      <c r="AM651">
        <v>0</v>
      </c>
      <c r="AN651">
        <v>9.71563981042654E-3</v>
      </c>
      <c r="AO651">
        <v>0</v>
      </c>
      <c r="AP651">
        <v>0</v>
      </c>
      <c r="AQ651">
        <v>0</v>
      </c>
      <c r="AR651">
        <v>0</v>
      </c>
      <c r="AS651">
        <v>3.3412322274881515E-2</v>
      </c>
      <c r="AT651">
        <v>2.3696682464454974E-4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6.2322274881516593E-2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4.7393364928909956E-3</v>
      </c>
      <c r="BO651">
        <v>4.7393364928909956E-3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9.9526066350710905E-3</v>
      </c>
      <c r="CA651">
        <v>0.3080568720379146</v>
      </c>
      <c r="CB651">
        <v>0</v>
      </c>
    </row>
    <row r="652" spans="1:80">
      <c r="A652">
        <v>651</v>
      </c>
      <c r="B652" t="s">
        <v>37</v>
      </c>
      <c r="C652" s="4" t="s">
        <v>159</v>
      </c>
      <c r="D652" s="4" t="s">
        <v>116</v>
      </c>
      <c r="E652" s="5">
        <v>40420</v>
      </c>
      <c r="F652" s="5">
        <v>40420</v>
      </c>
      <c r="G652">
        <v>1009</v>
      </c>
      <c r="H652" s="4" t="s">
        <v>107</v>
      </c>
      <c r="I652" s="4" t="s">
        <v>109</v>
      </c>
      <c r="J652" s="4" t="str">
        <f t="shared" si="10"/>
        <v>u_con.c_rem</v>
      </c>
      <c r="K652" s="5">
        <v>2</v>
      </c>
      <c r="L652">
        <v>5.0787201625190469E-3</v>
      </c>
      <c r="M652">
        <v>7.6434738445911657E-2</v>
      </c>
      <c r="N652">
        <v>0.19807008633824283</v>
      </c>
      <c r="O652">
        <v>2.5393600812595233E-2</v>
      </c>
      <c r="P652">
        <v>0</v>
      </c>
      <c r="Q652">
        <v>0.1726764855256476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8.63382427628238E-2</v>
      </c>
      <c r="Z652">
        <v>0.10741493143727783</v>
      </c>
      <c r="AA652">
        <v>0</v>
      </c>
      <c r="AB652">
        <v>0</v>
      </c>
      <c r="AC652">
        <v>0</v>
      </c>
      <c r="AD652">
        <v>0</v>
      </c>
      <c r="AE652">
        <v>1.5744032503809048E-2</v>
      </c>
      <c r="AF652">
        <v>0</v>
      </c>
      <c r="AG652">
        <v>0</v>
      </c>
      <c r="AH652">
        <v>1.0919248349415952E-2</v>
      </c>
      <c r="AI652">
        <v>7.6180802437785693E-4</v>
      </c>
      <c r="AJ652">
        <v>0</v>
      </c>
      <c r="AK652">
        <v>0</v>
      </c>
      <c r="AL652">
        <v>0</v>
      </c>
      <c r="AM652">
        <v>0</v>
      </c>
      <c r="AN652">
        <v>5.3326561706449997E-3</v>
      </c>
      <c r="AO652">
        <v>0</v>
      </c>
      <c r="AP652">
        <v>0</v>
      </c>
      <c r="AQ652">
        <v>0</v>
      </c>
      <c r="AR652">
        <v>0</v>
      </c>
      <c r="AS652">
        <v>1.0411376333164047E-2</v>
      </c>
      <c r="AT652">
        <v>2.5393600812595235E-4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5.0787201625190469E-4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2.5393600812595235E-4</v>
      </c>
      <c r="CA652">
        <v>0.28440832910106661</v>
      </c>
      <c r="CB652">
        <v>0</v>
      </c>
    </row>
    <row r="653" spans="1:80">
      <c r="A653">
        <v>652</v>
      </c>
      <c r="B653" t="s">
        <v>38</v>
      </c>
      <c r="C653" s="4" t="s">
        <v>159</v>
      </c>
      <c r="D653" s="4" t="s">
        <v>116</v>
      </c>
      <c r="E653" s="5">
        <v>40420</v>
      </c>
      <c r="F653" s="5">
        <v>40420</v>
      </c>
      <c r="G653">
        <v>1009</v>
      </c>
      <c r="H653" s="4" t="s">
        <v>107</v>
      </c>
      <c r="I653" s="4" t="s">
        <v>108</v>
      </c>
      <c r="J653" s="4" t="str">
        <f t="shared" si="10"/>
        <v>u_con.c_con</v>
      </c>
      <c r="K653" s="5">
        <v>19</v>
      </c>
      <c r="L653">
        <v>4.899559039686429E-3</v>
      </c>
      <c r="M653">
        <v>7.0308672219500254E-2</v>
      </c>
      <c r="N653">
        <v>0.23517883390494851</v>
      </c>
      <c r="O653">
        <v>0</v>
      </c>
      <c r="P653">
        <v>0</v>
      </c>
      <c r="Q653">
        <v>6.8593826555610027E-2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4.899559039686429E-3</v>
      </c>
      <c r="Z653">
        <v>4.899559039686429E-2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3.4541891229789325E-2</v>
      </c>
      <c r="AI653">
        <v>0.10289073983341504</v>
      </c>
      <c r="AJ653">
        <v>0</v>
      </c>
      <c r="AK653">
        <v>0</v>
      </c>
      <c r="AL653">
        <v>0</v>
      </c>
      <c r="AM653">
        <v>0</v>
      </c>
      <c r="AN653">
        <v>1.004409603135718E-2</v>
      </c>
      <c r="AO653">
        <v>0</v>
      </c>
      <c r="AP653">
        <v>0</v>
      </c>
      <c r="AQ653">
        <v>0</v>
      </c>
      <c r="AR653">
        <v>0</v>
      </c>
      <c r="AS653">
        <v>1.4698677119059289E-2</v>
      </c>
      <c r="AT653">
        <v>1.7148456638902503E-3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8.4272415482606583E-2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3.4541891229789325E-2</v>
      </c>
      <c r="CA653">
        <v>0.28417442430181289</v>
      </c>
      <c r="CB653">
        <v>0</v>
      </c>
    </row>
    <row r="654" spans="1:80">
      <c r="A654">
        <v>653</v>
      </c>
      <c r="B654" t="s">
        <v>39</v>
      </c>
      <c r="C654" s="4" t="s">
        <v>160</v>
      </c>
      <c r="D654" s="4" t="s">
        <v>116</v>
      </c>
      <c r="E654" s="5">
        <v>40420</v>
      </c>
      <c r="F654" s="5">
        <v>40420</v>
      </c>
      <c r="G654">
        <v>1009</v>
      </c>
      <c r="H654" s="4" t="s">
        <v>110</v>
      </c>
      <c r="I654" s="4" t="s">
        <v>109</v>
      </c>
      <c r="J654" s="4" t="str">
        <f t="shared" si="10"/>
        <v>u_rem.c_rem</v>
      </c>
      <c r="K654" s="5">
        <v>1</v>
      </c>
      <c r="L654">
        <v>0</v>
      </c>
      <c r="M654">
        <v>5.6526207605344294E-3</v>
      </c>
      <c r="N654">
        <v>0.36485097636176772</v>
      </c>
      <c r="O654">
        <v>5.3956834532374104E-3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6.1921891058581709E-2</v>
      </c>
      <c r="AA654">
        <v>0</v>
      </c>
      <c r="AB654">
        <v>0</v>
      </c>
      <c r="AC654">
        <v>0</v>
      </c>
      <c r="AD654">
        <v>0</v>
      </c>
      <c r="AE654">
        <v>2.5693730729701953E-4</v>
      </c>
      <c r="AF654">
        <v>0</v>
      </c>
      <c r="AG654">
        <v>0</v>
      </c>
      <c r="AH654">
        <v>0</v>
      </c>
      <c r="AI654">
        <v>2.6464542651593009E-2</v>
      </c>
      <c r="AJ654">
        <v>0</v>
      </c>
      <c r="AK654">
        <v>0</v>
      </c>
      <c r="AL654">
        <v>8.7615621788283651E-2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5.1387461459403904E-3</v>
      </c>
      <c r="AT654">
        <v>0</v>
      </c>
      <c r="AU654">
        <v>0</v>
      </c>
      <c r="AV654">
        <v>0.10817060637204524</v>
      </c>
      <c r="AW654">
        <v>0</v>
      </c>
      <c r="AX654">
        <v>0</v>
      </c>
      <c r="AY654">
        <v>0</v>
      </c>
      <c r="AZ654">
        <v>0</v>
      </c>
      <c r="BA654">
        <v>1.0534429599177801E-2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0.11330935251798566</v>
      </c>
      <c r="CA654">
        <v>0.19527235354573483</v>
      </c>
      <c r="CB654">
        <v>1.5416238437821174E-2</v>
      </c>
    </row>
    <row r="655" spans="1:80">
      <c r="A655">
        <v>654</v>
      </c>
      <c r="B655" t="s">
        <v>40</v>
      </c>
      <c r="C655" s="4" t="s">
        <v>160</v>
      </c>
      <c r="D655" s="4" t="s">
        <v>116</v>
      </c>
      <c r="E655" s="5">
        <v>40420</v>
      </c>
      <c r="F655" s="5">
        <v>40420</v>
      </c>
      <c r="G655">
        <v>1009</v>
      </c>
      <c r="H655" s="4" t="s">
        <v>110</v>
      </c>
      <c r="I655" s="4" t="s">
        <v>108</v>
      </c>
      <c r="J655" s="4" t="str">
        <f t="shared" si="10"/>
        <v>u_rem.c_con</v>
      </c>
      <c r="K655" s="5">
        <v>8</v>
      </c>
      <c r="L655">
        <v>0</v>
      </c>
      <c r="M655">
        <v>1.5533980582524276E-2</v>
      </c>
      <c r="N655">
        <v>0.44660194174757289</v>
      </c>
      <c r="O655">
        <v>0</v>
      </c>
      <c r="P655">
        <v>0</v>
      </c>
      <c r="Q655">
        <v>2.4271844660194182E-4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1.9417475728155345E-2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4.8543689320388363E-3</v>
      </c>
      <c r="AI655">
        <v>1.0194174757281557E-2</v>
      </c>
      <c r="AJ655">
        <v>0</v>
      </c>
      <c r="AK655">
        <v>0</v>
      </c>
      <c r="AL655">
        <v>1.9417475728155345E-2</v>
      </c>
      <c r="AM655">
        <v>0</v>
      </c>
      <c r="AN655">
        <v>2.4271844660194182E-4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0.175242718446602</v>
      </c>
      <c r="AW655">
        <v>0</v>
      </c>
      <c r="AX655">
        <v>0</v>
      </c>
      <c r="AY655">
        <v>0</v>
      </c>
      <c r="AZ655">
        <v>0</v>
      </c>
      <c r="BA655">
        <v>4.9757281553398071E-2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4.9514563106796118E-2</v>
      </c>
      <c r="CA655">
        <v>0.2089805825242719</v>
      </c>
      <c r="CB655">
        <v>0</v>
      </c>
    </row>
    <row r="656" spans="1:80">
      <c r="A656">
        <v>655</v>
      </c>
      <c r="B656" t="s">
        <v>41</v>
      </c>
      <c r="C656" s="4" t="s">
        <v>160</v>
      </c>
      <c r="D656" s="4" t="s">
        <v>116</v>
      </c>
      <c r="E656" s="5">
        <v>40420</v>
      </c>
      <c r="F656" s="5">
        <v>40420</v>
      </c>
      <c r="G656">
        <v>1009</v>
      </c>
      <c r="H656" s="4" t="s">
        <v>110</v>
      </c>
      <c r="I656" s="4" t="s">
        <v>109</v>
      </c>
      <c r="J656" s="4" t="str">
        <f t="shared" si="10"/>
        <v>u_rem.c_rem</v>
      </c>
      <c r="K656" s="5">
        <v>1</v>
      </c>
      <c r="L656">
        <v>0</v>
      </c>
      <c r="M656">
        <v>0</v>
      </c>
      <c r="N656">
        <v>0.30965839272548523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2.9491275497665274E-2</v>
      </c>
      <c r="AA656">
        <v>0</v>
      </c>
      <c r="AB656">
        <v>0</v>
      </c>
      <c r="AC656">
        <v>0</v>
      </c>
      <c r="AD656">
        <v>0</v>
      </c>
      <c r="AE656">
        <v>1.0321946424182847E-2</v>
      </c>
      <c r="AF656">
        <v>0</v>
      </c>
      <c r="AG656">
        <v>0</v>
      </c>
      <c r="AH656">
        <v>0</v>
      </c>
      <c r="AI656">
        <v>9.8304251658884265E-3</v>
      </c>
      <c r="AJ656">
        <v>0</v>
      </c>
      <c r="AK656">
        <v>0</v>
      </c>
      <c r="AL656">
        <v>0.1966085033177685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0.14770213811747362</v>
      </c>
      <c r="AW656">
        <v>0</v>
      </c>
      <c r="AX656">
        <v>0</v>
      </c>
      <c r="AY656">
        <v>0</v>
      </c>
      <c r="AZ656">
        <v>0</v>
      </c>
      <c r="BA656">
        <v>1.499139837797985E-2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6.512656672401082E-2</v>
      </c>
      <c r="CA656">
        <v>0.21626935364954533</v>
      </c>
      <c r="CB656">
        <v>0</v>
      </c>
    </row>
    <row r="657" spans="1:80">
      <c r="A657">
        <v>656</v>
      </c>
      <c r="B657" t="s">
        <v>42</v>
      </c>
      <c r="C657" s="4" t="s">
        <v>160</v>
      </c>
      <c r="D657" s="4" t="s">
        <v>116</v>
      </c>
      <c r="E657" s="5">
        <v>40420</v>
      </c>
      <c r="F657" s="5">
        <v>40420</v>
      </c>
      <c r="G657">
        <v>1009</v>
      </c>
      <c r="H657" s="4" t="s">
        <v>110</v>
      </c>
      <c r="I657" s="4" t="s">
        <v>108</v>
      </c>
      <c r="J657" s="4" t="str">
        <f t="shared" si="10"/>
        <v>u_rem.c_con</v>
      </c>
      <c r="K657" s="5">
        <v>8</v>
      </c>
      <c r="L657">
        <v>0</v>
      </c>
      <c r="M657">
        <v>1.9347037484885126E-2</v>
      </c>
      <c r="N657">
        <v>0.22974607013301085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6.3482466747279316E-3</v>
      </c>
      <c r="AF657">
        <v>0</v>
      </c>
      <c r="AG657">
        <v>0</v>
      </c>
      <c r="AH657">
        <v>6.3482466747279316E-3</v>
      </c>
      <c r="AI657">
        <v>1.2394195888754534E-2</v>
      </c>
      <c r="AJ657">
        <v>0</v>
      </c>
      <c r="AK657">
        <v>0</v>
      </c>
      <c r="AL657">
        <v>0</v>
      </c>
      <c r="AM657">
        <v>0.37515114873035049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6.9528415961305923E-3</v>
      </c>
      <c r="AT657">
        <v>1.2091898428053202E-3</v>
      </c>
      <c r="AU657">
        <v>0</v>
      </c>
      <c r="AV657">
        <v>0.18772672309552599</v>
      </c>
      <c r="AW657">
        <v>0</v>
      </c>
      <c r="AX657">
        <v>0</v>
      </c>
      <c r="AY657">
        <v>0</v>
      </c>
      <c r="AZ657">
        <v>3.0229746070133004E-4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1.8440145102781132E-2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3.8996372430471576E-2</v>
      </c>
      <c r="CA657">
        <v>9.7037484885126979E-2</v>
      </c>
      <c r="CB657">
        <v>0</v>
      </c>
    </row>
    <row r="658" spans="1:80">
      <c r="A658">
        <v>657</v>
      </c>
      <c r="B658" t="s">
        <v>43</v>
      </c>
      <c r="C658" s="4" t="s">
        <v>161</v>
      </c>
      <c r="D658" s="4" t="s">
        <v>116</v>
      </c>
      <c r="E658" s="5">
        <v>40420</v>
      </c>
      <c r="F658" s="5">
        <v>40420</v>
      </c>
      <c r="G658">
        <v>1009</v>
      </c>
      <c r="H658" s="4" t="s">
        <v>107</v>
      </c>
      <c r="I658" s="4" t="s">
        <v>109</v>
      </c>
      <c r="J658" s="4" t="str">
        <f t="shared" si="10"/>
        <v>u_con.c_rem</v>
      </c>
      <c r="K658" s="5">
        <v>2</v>
      </c>
      <c r="L658">
        <v>4.9633656346017505E-3</v>
      </c>
      <c r="M658">
        <v>8.6268021744268522E-2</v>
      </c>
      <c r="N658">
        <v>0.44433939966910901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2.8362089340581431E-2</v>
      </c>
      <c r="AA658">
        <v>0</v>
      </c>
      <c r="AB658">
        <v>0</v>
      </c>
      <c r="AC658">
        <v>0</v>
      </c>
      <c r="AD658">
        <v>0</v>
      </c>
      <c r="AE658">
        <v>7.0905223351453578E-4</v>
      </c>
      <c r="AF658">
        <v>0</v>
      </c>
      <c r="AG658">
        <v>0</v>
      </c>
      <c r="AH658">
        <v>4.727014890096905E-4</v>
      </c>
      <c r="AI658">
        <v>2.387142519498937E-2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5.6724178681162862E-3</v>
      </c>
      <c r="AT658">
        <v>6.381470101630822E-3</v>
      </c>
      <c r="AU658">
        <v>4.277948475537699E-2</v>
      </c>
      <c r="AV658">
        <v>1.0635783502718038E-2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4.7270148900969058E-3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4.727014890096905E-4</v>
      </c>
      <c r="CA658">
        <v>0.34034507208697712</v>
      </c>
      <c r="CB658">
        <v>0</v>
      </c>
    </row>
    <row r="659" spans="1:80">
      <c r="A659">
        <v>658</v>
      </c>
      <c r="B659" t="s">
        <v>44</v>
      </c>
      <c r="C659" s="4" t="s">
        <v>161</v>
      </c>
      <c r="D659" s="4" t="s">
        <v>116</v>
      </c>
      <c r="E659" s="5">
        <v>40420</v>
      </c>
      <c r="F659" s="5">
        <v>40420</v>
      </c>
      <c r="G659">
        <v>1009</v>
      </c>
      <c r="H659" s="4" t="s">
        <v>107</v>
      </c>
      <c r="I659" s="4" t="s">
        <v>109</v>
      </c>
      <c r="J659" s="4" t="str">
        <f t="shared" si="10"/>
        <v>u_con.c_rem</v>
      </c>
      <c r="K659" s="5">
        <v>2</v>
      </c>
      <c r="L659">
        <v>0</v>
      </c>
      <c r="M659">
        <v>5.5871446229913461E-2</v>
      </c>
      <c r="N659">
        <v>0.5142150803461063</v>
      </c>
      <c r="O659">
        <v>0</v>
      </c>
      <c r="P659">
        <v>0</v>
      </c>
      <c r="Q659">
        <v>5.19159456118665E-3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3.9802224969097653E-2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4.944375772558714E-3</v>
      </c>
      <c r="AI659">
        <v>1.03831891223733E-2</v>
      </c>
      <c r="AJ659">
        <v>0</v>
      </c>
      <c r="AK659">
        <v>0</v>
      </c>
      <c r="AL659">
        <v>0</v>
      </c>
      <c r="AM659">
        <v>0</v>
      </c>
      <c r="AN659">
        <v>4.944375772558714E-3</v>
      </c>
      <c r="AO659">
        <v>0</v>
      </c>
      <c r="AP659">
        <v>0</v>
      </c>
      <c r="AQ659">
        <v>0</v>
      </c>
      <c r="AR659">
        <v>0</v>
      </c>
      <c r="AS659">
        <v>1.4833127317676144E-2</v>
      </c>
      <c r="AT659">
        <v>7.4165636588380713E-4</v>
      </c>
      <c r="AU659">
        <v>4.944375772558714E-3</v>
      </c>
      <c r="AV659">
        <v>0.13943139678615574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2.6452410383189122E-2</v>
      </c>
      <c r="CA659">
        <v>0.17824474660074166</v>
      </c>
      <c r="CB659">
        <v>0</v>
      </c>
    </row>
    <row r="660" spans="1:80">
      <c r="A660">
        <v>659</v>
      </c>
      <c r="B660" t="s">
        <v>45</v>
      </c>
      <c r="C660" s="4" t="s">
        <v>161</v>
      </c>
      <c r="D660" s="4" t="s">
        <v>116</v>
      </c>
      <c r="E660" s="5">
        <v>40420</v>
      </c>
      <c r="F660" s="5">
        <v>40420</v>
      </c>
      <c r="G660">
        <v>1009</v>
      </c>
      <c r="H660" s="4" t="s">
        <v>107</v>
      </c>
      <c r="I660" s="4" t="s">
        <v>108</v>
      </c>
      <c r="J660" s="4" t="str">
        <f t="shared" si="10"/>
        <v>u_con.c_con</v>
      </c>
      <c r="K660" s="5">
        <v>19</v>
      </c>
      <c r="L660">
        <v>0</v>
      </c>
      <c r="M660">
        <v>3.0463242698892241E-2</v>
      </c>
      <c r="N660">
        <v>0.23665659617321247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5.0352467270896265E-3</v>
      </c>
      <c r="Y660">
        <v>0</v>
      </c>
      <c r="Z660">
        <v>0.37764350453172196</v>
      </c>
      <c r="AA660">
        <v>0</v>
      </c>
      <c r="AB660">
        <v>0</v>
      </c>
      <c r="AC660">
        <v>0</v>
      </c>
      <c r="AD660">
        <v>0</v>
      </c>
      <c r="AE660">
        <v>2.0140986908358506E-2</v>
      </c>
      <c r="AF660">
        <v>0</v>
      </c>
      <c r="AG660">
        <v>0</v>
      </c>
      <c r="AH660">
        <v>5.0352467270896265E-3</v>
      </c>
      <c r="AI660">
        <v>6.5709969788519618E-2</v>
      </c>
      <c r="AJ660">
        <v>0</v>
      </c>
      <c r="AK660">
        <v>0</v>
      </c>
      <c r="AL660">
        <v>1.510574018126888E-2</v>
      </c>
      <c r="AM660">
        <v>0</v>
      </c>
      <c r="AN660">
        <v>5.0352467270896265E-3</v>
      </c>
      <c r="AO660">
        <v>0</v>
      </c>
      <c r="AP660">
        <v>0</v>
      </c>
      <c r="AQ660">
        <v>0</v>
      </c>
      <c r="AR660">
        <v>0</v>
      </c>
      <c r="AS660">
        <v>3.0715005035246722E-2</v>
      </c>
      <c r="AT660">
        <v>6.0422960725075529E-3</v>
      </c>
      <c r="AU660">
        <v>5.0352467270896265E-3</v>
      </c>
      <c r="AV660">
        <v>5.7905337361530713E-3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2.5176233635448132E-4</v>
      </c>
      <c r="BY660">
        <v>0</v>
      </c>
      <c r="BZ660">
        <v>1.0070493454179253E-2</v>
      </c>
      <c r="CA660">
        <v>0.18126888217522658</v>
      </c>
      <c r="CB660">
        <v>0</v>
      </c>
    </row>
    <row r="661" spans="1:80">
      <c r="A661">
        <v>660</v>
      </c>
      <c r="B661" t="s">
        <v>46</v>
      </c>
      <c r="C661" s="4" t="s">
        <v>161</v>
      </c>
      <c r="D661" s="4" t="s">
        <v>116</v>
      </c>
      <c r="E661" s="5">
        <v>40420</v>
      </c>
      <c r="F661" s="5">
        <v>40420</v>
      </c>
      <c r="G661">
        <v>1009</v>
      </c>
      <c r="H661" s="4" t="s">
        <v>107</v>
      </c>
      <c r="I661" s="4" t="s">
        <v>108</v>
      </c>
      <c r="J661" s="4" t="str">
        <f t="shared" si="10"/>
        <v>u_con.c_con</v>
      </c>
      <c r="K661" s="5">
        <v>19</v>
      </c>
      <c r="L661">
        <v>0</v>
      </c>
      <c r="M661">
        <v>8.0554250821982171E-2</v>
      </c>
      <c r="N661">
        <v>0.51667449506810714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1.4325974635979335E-2</v>
      </c>
      <c r="AA661">
        <v>0</v>
      </c>
      <c r="AB661">
        <v>0</v>
      </c>
      <c r="AC661">
        <v>0</v>
      </c>
      <c r="AD661">
        <v>0</v>
      </c>
      <c r="AE661">
        <v>4.6970408642555191E-3</v>
      </c>
      <c r="AF661">
        <v>0</v>
      </c>
      <c r="AG661">
        <v>0</v>
      </c>
      <c r="AH661">
        <v>4.931892907468296E-3</v>
      </c>
      <c r="AI661">
        <v>3.8515735086895257E-2</v>
      </c>
      <c r="AJ661">
        <v>0</v>
      </c>
      <c r="AK661">
        <v>0</v>
      </c>
      <c r="AL661">
        <v>1.8788163457022077E-2</v>
      </c>
      <c r="AM661">
        <v>0</v>
      </c>
      <c r="AN661">
        <v>4.931892907468296E-3</v>
      </c>
      <c r="AO661">
        <v>0</v>
      </c>
      <c r="AP661">
        <v>0</v>
      </c>
      <c r="AQ661">
        <v>0</v>
      </c>
      <c r="AR661">
        <v>0</v>
      </c>
      <c r="AS661">
        <v>4.2743071864725223E-2</v>
      </c>
      <c r="AT661">
        <v>2.3485204321277596E-4</v>
      </c>
      <c r="AU661">
        <v>4.2273367778299674E-2</v>
      </c>
      <c r="AV661">
        <v>9.8637858149365931E-2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2.9121653358384219E-2</v>
      </c>
      <c r="CA661">
        <v>0.10356975105683421</v>
      </c>
      <c r="CB661">
        <v>0</v>
      </c>
    </row>
    <row r="662" spans="1:80">
      <c r="A662">
        <v>661</v>
      </c>
      <c r="B662" t="s">
        <v>47</v>
      </c>
      <c r="C662" s="4" t="s">
        <v>162</v>
      </c>
      <c r="D662" s="4" t="s">
        <v>116</v>
      </c>
      <c r="E662" s="5">
        <v>40420</v>
      </c>
      <c r="F662" s="5">
        <v>40420</v>
      </c>
      <c r="G662">
        <v>1009</v>
      </c>
      <c r="H662" s="4" t="s">
        <v>110</v>
      </c>
      <c r="I662" s="4" t="s">
        <v>108</v>
      </c>
      <c r="J662" s="4" t="str">
        <f t="shared" si="10"/>
        <v>u_rem.c_con</v>
      </c>
      <c r="K662" s="5">
        <v>8</v>
      </c>
      <c r="L662">
        <v>0</v>
      </c>
      <c r="M662">
        <v>8.421311072919227E-2</v>
      </c>
      <c r="N662">
        <v>0.12349619445126445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1.473115639577707E-2</v>
      </c>
      <c r="AD662">
        <v>0</v>
      </c>
      <c r="AE662">
        <v>9.8207709305180475E-3</v>
      </c>
      <c r="AF662">
        <v>0</v>
      </c>
      <c r="AG662">
        <v>0</v>
      </c>
      <c r="AH662">
        <v>0.19690645715688687</v>
      </c>
      <c r="AI662">
        <v>2.4797446599558067E-2</v>
      </c>
      <c r="AJ662">
        <v>4.9103854652590238E-3</v>
      </c>
      <c r="AK662">
        <v>0</v>
      </c>
      <c r="AL662">
        <v>0</v>
      </c>
      <c r="AM662">
        <v>0</v>
      </c>
      <c r="AN662">
        <v>8.4213110729192256E-2</v>
      </c>
      <c r="AO662">
        <v>0</v>
      </c>
      <c r="AP662">
        <v>0</v>
      </c>
      <c r="AQ662">
        <v>0</v>
      </c>
      <c r="AR662">
        <v>0</v>
      </c>
      <c r="AS662">
        <v>4.4930027007120066E-2</v>
      </c>
      <c r="AT662">
        <v>4.1983795727964644E-2</v>
      </c>
      <c r="AU662">
        <v>9.8207709305180475E-3</v>
      </c>
      <c r="AV662">
        <v>5.8924625583108283E-3</v>
      </c>
      <c r="AW662">
        <v>0</v>
      </c>
      <c r="AX662">
        <v>2.4551927326295114E-4</v>
      </c>
      <c r="AY662">
        <v>0</v>
      </c>
      <c r="AZ662">
        <v>0</v>
      </c>
      <c r="BA662">
        <v>0.23103363614043701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4.9103854652590238E-3</v>
      </c>
      <c r="BY662">
        <v>0</v>
      </c>
      <c r="BZ662">
        <v>0</v>
      </c>
      <c r="CA662">
        <v>0.11809477043947952</v>
      </c>
      <c r="CB662">
        <v>0</v>
      </c>
    </row>
    <row r="663" spans="1:80">
      <c r="A663">
        <v>662</v>
      </c>
      <c r="B663" t="s">
        <v>48</v>
      </c>
      <c r="C663" s="4" t="s">
        <v>162</v>
      </c>
      <c r="D663" s="4" t="s">
        <v>116</v>
      </c>
      <c r="E663" s="5">
        <v>40420</v>
      </c>
      <c r="F663" s="5">
        <v>40420</v>
      </c>
      <c r="G663">
        <v>1009</v>
      </c>
      <c r="H663" s="4" t="s">
        <v>110</v>
      </c>
      <c r="I663" s="4" t="s">
        <v>108</v>
      </c>
      <c r="J663" s="4" t="str">
        <f t="shared" si="10"/>
        <v>u_rem.c_con</v>
      </c>
      <c r="K663" s="5">
        <v>8</v>
      </c>
      <c r="L663">
        <v>5.2020636285468616E-2</v>
      </c>
      <c r="M663">
        <v>0.12080825451418746</v>
      </c>
      <c r="N663">
        <v>0.23215821152192606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4.2992261392949267E-2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0.14230438521066208</v>
      </c>
      <c r="AI663">
        <v>4.3852106620808261E-2</v>
      </c>
      <c r="AJ663">
        <v>2.1496130696474638E-4</v>
      </c>
      <c r="AK663">
        <v>0</v>
      </c>
      <c r="AL663">
        <v>1.2897678417884782E-2</v>
      </c>
      <c r="AM663">
        <v>0</v>
      </c>
      <c r="AN663">
        <v>4.3852106620808261E-2</v>
      </c>
      <c r="AO663">
        <v>0</v>
      </c>
      <c r="AP663">
        <v>0</v>
      </c>
      <c r="AQ663">
        <v>0</v>
      </c>
      <c r="AR663">
        <v>0</v>
      </c>
      <c r="AS663">
        <v>1.311263972484953E-2</v>
      </c>
      <c r="AT663">
        <v>3.6973344797936375E-2</v>
      </c>
      <c r="AU663">
        <v>0</v>
      </c>
      <c r="AV663">
        <v>4.7291487532244211E-3</v>
      </c>
      <c r="AW663">
        <v>1.7196904557179711E-2</v>
      </c>
      <c r="AX663">
        <v>0</v>
      </c>
      <c r="AY663">
        <v>0</v>
      </c>
      <c r="AZ663">
        <v>0</v>
      </c>
      <c r="BA663">
        <v>0.18508168529664656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5.1805674978503864E-2</v>
      </c>
      <c r="CB663">
        <v>0</v>
      </c>
    </row>
    <row r="664" spans="1:80">
      <c r="A664">
        <v>663</v>
      </c>
      <c r="B664" t="s">
        <v>49</v>
      </c>
      <c r="C664" s="4" t="s">
        <v>162</v>
      </c>
      <c r="D664" s="4" t="s">
        <v>116</v>
      </c>
      <c r="E664" s="5">
        <v>40420</v>
      </c>
      <c r="F664" s="5">
        <v>40420</v>
      </c>
      <c r="G664">
        <v>1009</v>
      </c>
      <c r="H664" s="4" t="s">
        <v>110</v>
      </c>
      <c r="I664" s="4" t="s">
        <v>109</v>
      </c>
      <c r="J664" s="4" t="str">
        <f t="shared" si="10"/>
        <v>u_rem.c_rem</v>
      </c>
      <c r="K664" s="5">
        <v>1</v>
      </c>
      <c r="L664">
        <v>1.6078017923036377E-2</v>
      </c>
      <c r="M664">
        <v>0.23247232472324722</v>
      </c>
      <c r="N664">
        <v>0.16895097522403799</v>
      </c>
      <c r="O664">
        <v>0</v>
      </c>
      <c r="P664">
        <v>0</v>
      </c>
      <c r="Q664">
        <v>1.5814443858724304E-2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9.4886663152345813E-2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2.6357406431207171E-2</v>
      </c>
      <c r="AI664">
        <v>5.535055350553506E-3</v>
      </c>
      <c r="AJ664">
        <v>0</v>
      </c>
      <c r="AK664">
        <v>0</v>
      </c>
      <c r="AL664">
        <v>0</v>
      </c>
      <c r="AM664">
        <v>0</v>
      </c>
      <c r="AN664">
        <v>8.0653663679493948E-2</v>
      </c>
      <c r="AO664">
        <v>0</v>
      </c>
      <c r="AP664">
        <v>0</v>
      </c>
      <c r="AQ664">
        <v>0</v>
      </c>
      <c r="AR664">
        <v>0</v>
      </c>
      <c r="AS664">
        <v>5.7986294148655781E-3</v>
      </c>
      <c r="AT664">
        <v>1.9504480759093314E-2</v>
      </c>
      <c r="AU664">
        <v>5.2714812862414348E-3</v>
      </c>
      <c r="AV664">
        <v>5.7986294148655772E-3</v>
      </c>
      <c r="AW664">
        <v>0</v>
      </c>
      <c r="AX664">
        <v>1.6078017923036377E-2</v>
      </c>
      <c r="AY664">
        <v>0</v>
      </c>
      <c r="AZ664">
        <v>0</v>
      </c>
      <c r="BA664">
        <v>0.21085925144965736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2.6357406431207171E-4</v>
      </c>
      <c r="CA664">
        <v>9.5413811280969971E-2</v>
      </c>
      <c r="CB664">
        <v>0</v>
      </c>
    </row>
    <row r="665" spans="1:80">
      <c r="A665">
        <v>664</v>
      </c>
      <c r="B665" t="s">
        <v>50</v>
      </c>
      <c r="C665" s="4" t="s">
        <v>162</v>
      </c>
      <c r="D665" s="4" t="s">
        <v>116</v>
      </c>
      <c r="E665" s="5">
        <v>40420</v>
      </c>
      <c r="F665" s="5">
        <v>40420</v>
      </c>
      <c r="G665">
        <v>1009</v>
      </c>
      <c r="H665" s="4" t="s">
        <v>110</v>
      </c>
      <c r="I665" s="4" t="s">
        <v>109</v>
      </c>
      <c r="J665" s="4" t="str">
        <f t="shared" si="10"/>
        <v>u_rem.c_rem</v>
      </c>
      <c r="K665" s="5">
        <v>1</v>
      </c>
      <c r="L665">
        <v>5.5432372505543233E-3</v>
      </c>
      <c r="M665">
        <v>0.2441796008869179</v>
      </c>
      <c r="N665">
        <v>0</v>
      </c>
      <c r="O665">
        <v>5.8203991130820398E-3</v>
      </c>
      <c r="P665">
        <v>0</v>
      </c>
      <c r="Q665">
        <v>3.880266075388026E-2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5.8203991130820398E-3</v>
      </c>
      <c r="AF665">
        <v>0</v>
      </c>
      <c r="AG665">
        <v>5.5432372505543233E-3</v>
      </c>
      <c r="AH665">
        <v>1.1363636363636362E-2</v>
      </c>
      <c r="AI665">
        <v>6.1252771618625267E-2</v>
      </c>
      <c r="AJ665">
        <v>0.18292682926829265</v>
      </c>
      <c r="AK665">
        <v>0</v>
      </c>
      <c r="AL665">
        <v>9.4235033259423492E-2</v>
      </c>
      <c r="AM665">
        <v>0</v>
      </c>
      <c r="AN665">
        <v>4.6008869179600877E-2</v>
      </c>
      <c r="AO665">
        <v>0</v>
      </c>
      <c r="AP665">
        <v>0</v>
      </c>
      <c r="AQ665">
        <v>0</v>
      </c>
      <c r="AR665">
        <v>0</v>
      </c>
      <c r="AS665">
        <v>1.1086474501108645E-3</v>
      </c>
      <c r="AT665">
        <v>1.9401330376940132E-3</v>
      </c>
      <c r="AU665">
        <v>1.164079822616408E-2</v>
      </c>
      <c r="AV665">
        <v>0</v>
      </c>
      <c r="AW665">
        <v>0</v>
      </c>
      <c r="AX665">
        <v>5.5432372505543233E-3</v>
      </c>
      <c r="AY665">
        <v>0</v>
      </c>
      <c r="AZ665">
        <v>0</v>
      </c>
      <c r="BA665">
        <v>5.6263858093126382E-2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2.2172949002217293E-2</v>
      </c>
      <c r="CA665">
        <v>0.19983370288248331</v>
      </c>
      <c r="CB665">
        <v>0</v>
      </c>
    </row>
    <row r="666" spans="1:80">
      <c r="A666">
        <v>665</v>
      </c>
      <c r="B666" t="s">
        <v>51</v>
      </c>
      <c r="C666" s="4" t="s">
        <v>163</v>
      </c>
      <c r="D666" s="4" t="s">
        <v>116</v>
      </c>
      <c r="E666" s="5">
        <v>40420</v>
      </c>
      <c r="F666" s="5">
        <v>40420</v>
      </c>
      <c r="G666">
        <v>1009</v>
      </c>
      <c r="H666" s="4" t="s">
        <v>107</v>
      </c>
      <c r="I666" s="4" t="s">
        <v>109</v>
      </c>
      <c r="J666" s="4" t="str">
        <f t="shared" si="10"/>
        <v>u_con.c_rem</v>
      </c>
      <c r="K666" s="5">
        <v>2</v>
      </c>
      <c r="L666">
        <v>0</v>
      </c>
      <c r="M666">
        <v>5.3305996924654028E-2</v>
      </c>
      <c r="N666">
        <v>0.14864172219374683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0.1181445412608919</v>
      </c>
      <c r="AA666">
        <v>0</v>
      </c>
      <c r="AB666">
        <v>0</v>
      </c>
      <c r="AC666">
        <v>5.1255766273705797E-3</v>
      </c>
      <c r="AD666">
        <v>0</v>
      </c>
      <c r="AE666">
        <v>5.1255766273705797E-3</v>
      </c>
      <c r="AF666">
        <v>0</v>
      </c>
      <c r="AG666">
        <v>0</v>
      </c>
      <c r="AH666">
        <v>5.6637621732444916E-2</v>
      </c>
      <c r="AI666">
        <v>5.2537160430548423E-2</v>
      </c>
      <c r="AJ666">
        <v>3.0753459764223483E-2</v>
      </c>
      <c r="AK666">
        <v>0</v>
      </c>
      <c r="AL666">
        <v>7.7139928241927225E-2</v>
      </c>
      <c r="AM666">
        <v>0</v>
      </c>
      <c r="AN666">
        <v>6.1506919528446962E-3</v>
      </c>
      <c r="AO666">
        <v>0</v>
      </c>
      <c r="AP666">
        <v>0</v>
      </c>
      <c r="AQ666">
        <v>0</v>
      </c>
      <c r="AR666">
        <v>0</v>
      </c>
      <c r="AS666">
        <v>2.7165556125064074E-2</v>
      </c>
      <c r="AT666">
        <v>8.20092260379293E-3</v>
      </c>
      <c r="AU666">
        <v>7.7139928241927239E-2</v>
      </c>
      <c r="AV666">
        <v>5.3818554587391088E-3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1.5376729882111742E-2</v>
      </c>
      <c r="CA666">
        <v>0.31266017426960535</v>
      </c>
      <c r="CB666">
        <v>0</v>
      </c>
    </row>
    <row r="667" spans="1:80">
      <c r="A667">
        <v>666</v>
      </c>
      <c r="B667" t="s">
        <v>52</v>
      </c>
      <c r="C667" s="4" t="s">
        <v>163</v>
      </c>
      <c r="D667" s="4" t="s">
        <v>116</v>
      </c>
      <c r="E667" s="5">
        <v>40420</v>
      </c>
      <c r="F667" s="5">
        <v>40420</v>
      </c>
      <c r="G667">
        <v>1009</v>
      </c>
      <c r="H667" s="4" t="s">
        <v>107</v>
      </c>
      <c r="I667" s="4" t="s">
        <v>109</v>
      </c>
      <c r="J667" s="4" t="str">
        <f t="shared" si="10"/>
        <v>u_con.c_rem</v>
      </c>
      <c r="K667" s="5">
        <v>2</v>
      </c>
      <c r="L667">
        <v>0</v>
      </c>
      <c r="M667">
        <v>0.10609659540775929</v>
      </c>
      <c r="N667">
        <v>0.14832409606756403</v>
      </c>
      <c r="O667">
        <v>1.583531274742676E-2</v>
      </c>
      <c r="P667">
        <v>0</v>
      </c>
      <c r="Q667">
        <v>1.0820797044074954E-2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5.2784375824755873E-3</v>
      </c>
      <c r="Y667">
        <v>0</v>
      </c>
      <c r="Z667">
        <v>0.24307205067300072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2.6656109791501716E-2</v>
      </c>
      <c r="AI667">
        <v>1.0820797044074954E-2</v>
      </c>
      <c r="AJ667">
        <v>8.9997360781208777E-2</v>
      </c>
      <c r="AK667">
        <v>0</v>
      </c>
      <c r="AL667">
        <v>0</v>
      </c>
      <c r="AM667">
        <v>0</v>
      </c>
      <c r="AN667">
        <v>5.9118500923726572E-2</v>
      </c>
      <c r="AO667">
        <v>0</v>
      </c>
      <c r="AP667">
        <v>0</v>
      </c>
      <c r="AQ667">
        <v>0</v>
      </c>
      <c r="AR667">
        <v>0</v>
      </c>
      <c r="AS667">
        <v>5.8062813407231458E-3</v>
      </c>
      <c r="AT667">
        <v>7.9176563737133835E-3</v>
      </c>
      <c r="AU667">
        <v>3.7740828714700449E-2</v>
      </c>
      <c r="AV667">
        <v>0</v>
      </c>
      <c r="AW667">
        <v>5.5423594615993674E-3</v>
      </c>
      <c r="AX667">
        <v>5.2784375824755873E-3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0.22169437846397463</v>
      </c>
      <c r="CB667">
        <v>0</v>
      </c>
    </row>
    <row r="668" spans="1:80">
      <c r="A668">
        <v>667</v>
      </c>
      <c r="B668" t="s">
        <v>53</v>
      </c>
      <c r="C668" s="4" t="s">
        <v>163</v>
      </c>
      <c r="D668" s="4" t="s">
        <v>116</v>
      </c>
      <c r="E668" s="5">
        <v>40420</v>
      </c>
      <c r="F668" s="5">
        <v>40420</v>
      </c>
      <c r="G668">
        <v>1009</v>
      </c>
      <c r="H668" s="4" t="s">
        <v>107</v>
      </c>
      <c r="I668" s="4" t="s">
        <v>108</v>
      </c>
      <c r="J668" s="4" t="str">
        <f t="shared" si="10"/>
        <v>u_con.c_con</v>
      </c>
      <c r="K668" s="5">
        <v>19</v>
      </c>
      <c r="L668">
        <v>0</v>
      </c>
      <c r="M668">
        <v>8.558670305135202E-2</v>
      </c>
      <c r="N668">
        <v>0.18357727611014638</v>
      </c>
      <c r="O668">
        <v>0</v>
      </c>
      <c r="P668">
        <v>0</v>
      </c>
      <c r="Q668">
        <v>2.5055817415033484E-2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2.9769288017861564E-2</v>
      </c>
      <c r="Z668">
        <v>0.18953113371371863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6.0034730836020823E-2</v>
      </c>
      <c r="AI668">
        <v>5.5073182833043889E-2</v>
      </c>
      <c r="AJ668">
        <v>9.9230960059538565E-3</v>
      </c>
      <c r="AK668">
        <v>0</v>
      </c>
      <c r="AL668">
        <v>0.11411560406846935</v>
      </c>
      <c r="AM668">
        <v>0</v>
      </c>
      <c r="AN668">
        <v>1.5132721409079631E-2</v>
      </c>
      <c r="AO668">
        <v>0</v>
      </c>
      <c r="AP668">
        <v>0</v>
      </c>
      <c r="AQ668">
        <v>0</v>
      </c>
      <c r="AR668">
        <v>0</v>
      </c>
      <c r="AS668">
        <v>4.9615480029769276E-4</v>
      </c>
      <c r="AT668">
        <v>6.4500124038700058E-3</v>
      </c>
      <c r="AU668">
        <v>4.0436616224261958E-2</v>
      </c>
      <c r="AV668">
        <v>2.4807740014884638E-4</v>
      </c>
      <c r="AW668">
        <v>9.9230960059538565E-3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2.4807740014884638E-4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4.9615480029769276E-4</v>
      </c>
      <c r="CA668">
        <v>0.1739022575043413</v>
      </c>
      <c r="CB668">
        <v>0</v>
      </c>
    </row>
    <row r="669" spans="1:80">
      <c r="A669">
        <v>668</v>
      </c>
      <c r="B669" t="s">
        <v>54</v>
      </c>
      <c r="C669" s="4" t="s">
        <v>163</v>
      </c>
      <c r="D669" s="4" t="s">
        <v>116</v>
      </c>
      <c r="E669" s="5">
        <v>40420</v>
      </c>
      <c r="F669" s="5">
        <v>40420</v>
      </c>
      <c r="G669">
        <v>1009</v>
      </c>
      <c r="H669" s="4" t="s">
        <v>107</v>
      </c>
      <c r="I669" s="4" t="s">
        <v>108</v>
      </c>
      <c r="J669" s="4" t="str">
        <f t="shared" si="10"/>
        <v>u_con.c_con</v>
      </c>
      <c r="K669" s="5">
        <v>19</v>
      </c>
      <c r="L669">
        <v>0</v>
      </c>
      <c r="M669">
        <v>1.4426379665674383E-2</v>
      </c>
      <c r="N669">
        <v>8.7016258300893115E-2</v>
      </c>
      <c r="O669">
        <v>1.3968399358827576E-2</v>
      </c>
      <c r="P669">
        <v>0</v>
      </c>
      <c r="Q669">
        <v>5.5186626975040079E-2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0.37119303869933595</v>
      </c>
      <c r="AA669">
        <v>0</v>
      </c>
      <c r="AB669">
        <v>0</v>
      </c>
      <c r="AC669">
        <v>0</v>
      </c>
      <c r="AD669">
        <v>0</v>
      </c>
      <c r="AE669">
        <v>4.5798030684680575E-4</v>
      </c>
      <c r="AF669">
        <v>0</v>
      </c>
      <c r="AG669">
        <v>0</v>
      </c>
      <c r="AH669">
        <v>1.3739409205404174E-2</v>
      </c>
      <c r="AI669">
        <v>4.5798030684680571E-3</v>
      </c>
      <c r="AJ669">
        <v>0</v>
      </c>
      <c r="AK669">
        <v>0</v>
      </c>
      <c r="AL669">
        <v>2.7478818410808348E-2</v>
      </c>
      <c r="AM669">
        <v>0</v>
      </c>
      <c r="AN669">
        <v>2.4501946416304106E-2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1.3739409205404173E-3</v>
      </c>
      <c r="AU669">
        <v>2.4043966109457301E-2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4.8087932218914605E-3</v>
      </c>
      <c r="CA669">
        <v>0.35722463934050847</v>
      </c>
      <c r="CB669">
        <v>0</v>
      </c>
    </row>
    <row r="670" spans="1:80">
      <c r="A670">
        <v>669</v>
      </c>
      <c r="B670" t="s">
        <v>55</v>
      </c>
      <c r="C670" s="4" t="s">
        <v>164</v>
      </c>
      <c r="D670" s="4" t="s">
        <v>116</v>
      </c>
      <c r="E670" s="5">
        <v>40420</v>
      </c>
      <c r="F670" s="5">
        <v>40420</v>
      </c>
      <c r="G670">
        <v>1009</v>
      </c>
      <c r="H670" s="4" t="s">
        <v>110</v>
      </c>
      <c r="I670" s="4" t="s">
        <v>108</v>
      </c>
      <c r="J670" s="4" t="str">
        <f t="shared" si="10"/>
        <v>u_rem.c_con</v>
      </c>
      <c r="K670" s="5">
        <v>8</v>
      </c>
      <c r="L670">
        <v>0</v>
      </c>
      <c r="M670">
        <v>6.0251535536706632E-2</v>
      </c>
      <c r="N670">
        <v>7.6338110558642883E-2</v>
      </c>
      <c r="O670">
        <v>5.3231939163498089E-2</v>
      </c>
      <c r="P670">
        <v>0</v>
      </c>
      <c r="Q670">
        <v>2.3983620941795847E-2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1.1699327288680899E-2</v>
      </c>
      <c r="AA670">
        <v>0</v>
      </c>
      <c r="AB670">
        <v>0</v>
      </c>
      <c r="AC670">
        <v>0</v>
      </c>
      <c r="AD670">
        <v>0</v>
      </c>
      <c r="AE670">
        <v>3.0125767768353316E-2</v>
      </c>
      <c r="AF670">
        <v>0</v>
      </c>
      <c r="AG670">
        <v>5.8496636443404492E-4</v>
      </c>
      <c r="AH670">
        <v>1.286926001754899E-2</v>
      </c>
      <c r="AI670">
        <v>6.1421468265574729E-3</v>
      </c>
      <c r="AJ670">
        <v>5.8496636443404497E-3</v>
      </c>
      <c r="AK670">
        <v>0</v>
      </c>
      <c r="AL670">
        <v>0.12284293653114944</v>
      </c>
      <c r="AM670">
        <v>0</v>
      </c>
      <c r="AN670">
        <v>3.7145364141561853E-2</v>
      </c>
      <c r="AO670">
        <v>0</v>
      </c>
      <c r="AP670">
        <v>0</v>
      </c>
      <c r="AQ670">
        <v>0</v>
      </c>
      <c r="AR670">
        <v>0</v>
      </c>
      <c r="AS670">
        <v>4.1532611874817188E-2</v>
      </c>
      <c r="AT670">
        <v>7.312079555425564E-3</v>
      </c>
      <c r="AU670">
        <v>3.0125767768353316E-2</v>
      </c>
      <c r="AV670">
        <v>0</v>
      </c>
      <c r="AW670">
        <v>5.8496636443404497E-3</v>
      </c>
      <c r="AX670">
        <v>6.1421468265574729E-3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1.1699327288680899E-2</v>
      </c>
      <c r="CA670">
        <v>0.45627376425855498</v>
      </c>
      <c r="CB670">
        <v>0</v>
      </c>
    </row>
    <row r="671" spans="1:80">
      <c r="A671">
        <v>670</v>
      </c>
      <c r="B671" t="s">
        <v>56</v>
      </c>
      <c r="C671" s="4" t="s">
        <v>164</v>
      </c>
      <c r="D671" s="4" t="s">
        <v>116</v>
      </c>
      <c r="E671" s="5">
        <v>40420</v>
      </c>
      <c r="F671" s="5">
        <v>40420</v>
      </c>
      <c r="G671">
        <v>1009</v>
      </c>
      <c r="H671" s="4" t="s">
        <v>110</v>
      </c>
      <c r="I671" s="4" t="s">
        <v>109</v>
      </c>
      <c r="J671" s="4" t="str">
        <f t="shared" si="10"/>
        <v>u_rem.c_rem</v>
      </c>
      <c r="K671" s="5">
        <v>1</v>
      </c>
      <c r="L671">
        <v>0</v>
      </c>
      <c r="M671">
        <v>2.1525378687217645E-2</v>
      </c>
      <c r="N671">
        <v>0.17565771990433166</v>
      </c>
      <c r="O671">
        <v>1.0895562051554611E-2</v>
      </c>
      <c r="P671">
        <v>0</v>
      </c>
      <c r="Q671">
        <v>2.6574541589157585E-4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6.3778899813978218E-2</v>
      </c>
      <c r="AA671">
        <v>0</v>
      </c>
      <c r="AB671">
        <v>0</v>
      </c>
      <c r="AC671">
        <v>0</v>
      </c>
      <c r="AD671">
        <v>0</v>
      </c>
      <c r="AE671">
        <v>1.0629816635663035E-2</v>
      </c>
      <c r="AF671">
        <v>0</v>
      </c>
      <c r="AG671">
        <v>0</v>
      </c>
      <c r="AH671">
        <v>5.8463991496146691E-3</v>
      </c>
      <c r="AI671">
        <v>5.368057401009832E-2</v>
      </c>
      <c r="AJ671">
        <v>0</v>
      </c>
      <c r="AK671">
        <v>0</v>
      </c>
      <c r="AL671">
        <v>0.56364602710603251</v>
      </c>
      <c r="AM671">
        <v>0</v>
      </c>
      <c r="AN671">
        <v>1.3287270794578793E-3</v>
      </c>
      <c r="AO671">
        <v>0</v>
      </c>
      <c r="AP671">
        <v>0</v>
      </c>
      <c r="AQ671">
        <v>0</v>
      </c>
      <c r="AR671">
        <v>0</v>
      </c>
      <c r="AS671">
        <v>1.0895562051554611E-2</v>
      </c>
      <c r="AT671">
        <v>5.8463991496146691E-3</v>
      </c>
      <c r="AU671">
        <v>2.684028700504916E-2</v>
      </c>
      <c r="AV671">
        <v>5.8463991496146691E-3</v>
      </c>
      <c r="AW671">
        <v>5.5806537337230932E-3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3.2155195322880678E-2</v>
      </c>
      <c r="CB671">
        <v>5.5806537337230932E-3</v>
      </c>
    </row>
    <row r="672" spans="1:80">
      <c r="A672">
        <v>671</v>
      </c>
      <c r="B672" t="s">
        <v>57</v>
      </c>
      <c r="C672" s="4" t="s">
        <v>164</v>
      </c>
      <c r="D672" s="4" t="s">
        <v>116</v>
      </c>
      <c r="E672" s="5">
        <v>40420</v>
      </c>
      <c r="F672" s="5">
        <v>40420</v>
      </c>
      <c r="G672">
        <v>1009</v>
      </c>
      <c r="H672" s="4" t="s">
        <v>110</v>
      </c>
      <c r="I672" s="4" t="s">
        <v>108</v>
      </c>
      <c r="J672" s="4" t="str">
        <f t="shared" si="10"/>
        <v>u_rem.c_con</v>
      </c>
      <c r="K672" s="5">
        <v>8</v>
      </c>
      <c r="L672">
        <v>0</v>
      </c>
      <c r="M672">
        <v>1.0337871911245588E-2</v>
      </c>
      <c r="N672">
        <v>9.0771558245083206E-2</v>
      </c>
      <c r="O672">
        <v>1.5128593040847202E-2</v>
      </c>
      <c r="P672">
        <v>0</v>
      </c>
      <c r="Q672">
        <v>1.0337871911245588E-2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3.0761472516389304E-2</v>
      </c>
      <c r="AA672">
        <v>0</v>
      </c>
      <c r="AB672">
        <v>0</v>
      </c>
      <c r="AC672">
        <v>0</v>
      </c>
      <c r="AD672">
        <v>0</v>
      </c>
      <c r="AE672">
        <v>5.5471507816439742E-3</v>
      </c>
      <c r="AF672">
        <v>0</v>
      </c>
      <c r="AG672">
        <v>0</v>
      </c>
      <c r="AH672">
        <v>1.059001512859304E-2</v>
      </c>
      <c r="AI672">
        <v>5.0428643469490665E-4</v>
      </c>
      <c r="AJ672">
        <v>0</v>
      </c>
      <c r="AK672">
        <v>0</v>
      </c>
      <c r="AL672">
        <v>0.34291477559253647</v>
      </c>
      <c r="AM672">
        <v>0</v>
      </c>
      <c r="AN672">
        <v>6.303580433686333E-3</v>
      </c>
      <c r="AO672">
        <v>0</v>
      </c>
      <c r="AP672">
        <v>0</v>
      </c>
      <c r="AQ672">
        <v>0</v>
      </c>
      <c r="AR672">
        <v>0</v>
      </c>
      <c r="AS672">
        <v>1.1346444780635401E-2</v>
      </c>
      <c r="AT672">
        <v>5.7992939989914265E-3</v>
      </c>
      <c r="AU672">
        <v>5.0428643469490664E-2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5.2950075642965201E-3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2.5214321734745332E-2</v>
      </c>
      <c r="CA672">
        <v>0.37821482602118001</v>
      </c>
      <c r="CB672">
        <v>0</v>
      </c>
    </row>
    <row r="673" spans="1:80">
      <c r="A673">
        <v>672</v>
      </c>
      <c r="B673" t="s">
        <v>58</v>
      </c>
      <c r="C673" s="4" t="s">
        <v>164</v>
      </c>
      <c r="D673" s="4" t="s">
        <v>116</v>
      </c>
      <c r="E673" s="5">
        <v>40420</v>
      </c>
      <c r="F673" s="5">
        <v>40420</v>
      </c>
      <c r="G673">
        <v>1009</v>
      </c>
      <c r="H673" s="4" t="s">
        <v>110</v>
      </c>
      <c r="I673" s="4" t="s">
        <v>109</v>
      </c>
      <c r="J673" s="4" t="str">
        <f t="shared" si="10"/>
        <v>u_rem.c_rem</v>
      </c>
      <c r="K673" s="5">
        <v>1</v>
      </c>
      <c r="L673">
        <v>0</v>
      </c>
      <c r="M673">
        <v>1.2198097096852896E-3</v>
      </c>
      <c r="N673">
        <v>0.12246889485240305</v>
      </c>
      <c r="O673">
        <v>4.9036350329348645E-2</v>
      </c>
      <c r="P673">
        <v>0</v>
      </c>
      <c r="Q673">
        <v>8.3191022200536757E-2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1.4637716516223476E-2</v>
      </c>
      <c r="Z673">
        <v>0.17589656013661872</v>
      </c>
      <c r="AA673">
        <v>0</v>
      </c>
      <c r="AB673">
        <v>0</v>
      </c>
      <c r="AC673">
        <v>0</v>
      </c>
      <c r="AD673">
        <v>0</v>
      </c>
      <c r="AE673">
        <v>5.4403513051963906E-2</v>
      </c>
      <c r="AF673">
        <v>0</v>
      </c>
      <c r="AG673">
        <v>0</v>
      </c>
      <c r="AH673">
        <v>1.0734325445230548E-2</v>
      </c>
      <c r="AI673">
        <v>5.367162722615274E-3</v>
      </c>
      <c r="AJ673">
        <v>0</v>
      </c>
      <c r="AK673">
        <v>0</v>
      </c>
      <c r="AL673">
        <v>2.4396194193705791E-2</v>
      </c>
      <c r="AM673">
        <v>0</v>
      </c>
      <c r="AN673">
        <v>1.2198097096852897E-2</v>
      </c>
      <c r="AO673">
        <v>0</v>
      </c>
      <c r="AP673">
        <v>0</v>
      </c>
      <c r="AQ673">
        <v>0</v>
      </c>
      <c r="AR673">
        <v>0</v>
      </c>
      <c r="AS673">
        <v>1.536960234203465E-2</v>
      </c>
      <c r="AT673">
        <v>1.4637716516223474E-3</v>
      </c>
      <c r="AU673">
        <v>2.4640156135642848E-2</v>
      </c>
      <c r="AV673">
        <v>0</v>
      </c>
      <c r="AW673">
        <v>0</v>
      </c>
      <c r="AX673">
        <v>4.8792388387411583E-3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0.40009758477677493</v>
      </c>
      <c r="CB673">
        <v>0</v>
      </c>
    </row>
    <row r="674" spans="1:80">
      <c r="A674">
        <v>673</v>
      </c>
      <c r="B674" t="s">
        <v>59</v>
      </c>
      <c r="C674" s="4" t="s">
        <v>165</v>
      </c>
      <c r="D674" s="4" t="s">
        <v>117</v>
      </c>
      <c r="E674" s="5">
        <v>40421</v>
      </c>
      <c r="F674" s="5">
        <v>40420</v>
      </c>
      <c r="G674">
        <v>1009</v>
      </c>
      <c r="H674" s="4" t="s">
        <v>107</v>
      </c>
      <c r="I674" s="4" t="s">
        <v>109</v>
      </c>
      <c r="J674" s="4" t="str">
        <f t="shared" si="10"/>
        <v>u_con.c_rem</v>
      </c>
      <c r="K674" s="5">
        <v>2</v>
      </c>
      <c r="L674">
        <v>2.541942043721403E-2</v>
      </c>
      <c r="M674">
        <v>0.16344687341128619</v>
      </c>
      <c r="N674">
        <v>4.067107269954244E-2</v>
      </c>
      <c r="O674">
        <v>3.5841382816471777E-2</v>
      </c>
      <c r="P674">
        <v>0</v>
      </c>
      <c r="Q674">
        <v>2.592780884595831E-2</v>
      </c>
      <c r="R674">
        <v>3.5587188612099641E-2</v>
      </c>
      <c r="S674">
        <v>0</v>
      </c>
      <c r="T674">
        <v>1.0421962379257754E-2</v>
      </c>
      <c r="U674">
        <v>0</v>
      </c>
      <c r="V674">
        <v>0</v>
      </c>
      <c r="W674">
        <v>0</v>
      </c>
      <c r="X674">
        <v>2.0843924758515507E-2</v>
      </c>
      <c r="Y674">
        <v>4.5754956786985247E-2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2.5419420437214032E-4</v>
      </c>
      <c r="AF674">
        <v>0</v>
      </c>
      <c r="AG674">
        <v>0</v>
      </c>
      <c r="AH674">
        <v>0</v>
      </c>
      <c r="AI674">
        <v>5.8464667005592276E-3</v>
      </c>
      <c r="AJ674">
        <v>0.19344178952719879</v>
      </c>
      <c r="AK674">
        <v>0</v>
      </c>
      <c r="AL674">
        <v>6.1260803253685825E-2</v>
      </c>
      <c r="AM674">
        <v>0</v>
      </c>
      <c r="AN674">
        <v>1.2709710218607015E-3</v>
      </c>
      <c r="AO674">
        <v>0</v>
      </c>
      <c r="AP674">
        <v>0</v>
      </c>
      <c r="AQ674">
        <v>0</v>
      </c>
      <c r="AR674">
        <v>0</v>
      </c>
      <c r="AS674">
        <v>2.5419420437214032E-4</v>
      </c>
      <c r="AT674">
        <v>6.6090493136756493E-3</v>
      </c>
      <c r="AU674">
        <v>0</v>
      </c>
      <c r="AV674">
        <v>2.5419420437214032E-4</v>
      </c>
      <c r="AW674">
        <v>1.525165226232842E-2</v>
      </c>
      <c r="AX674">
        <v>7.6258261311642084E-4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5.8464667005592268E-3</v>
      </c>
      <c r="CA674">
        <v>0.2745297407219115</v>
      </c>
      <c r="CB674">
        <v>3.0503304524656834E-2</v>
      </c>
    </row>
    <row r="675" spans="1:80">
      <c r="A675">
        <v>674</v>
      </c>
      <c r="B675" t="s">
        <v>60</v>
      </c>
      <c r="C675" s="4" t="s">
        <v>165</v>
      </c>
      <c r="D675" s="4" t="s">
        <v>117</v>
      </c>
      <c r="E675" s="5">
        <v>40421</v>
      </c>
      <c r="F675" s="5">
        <v>40420</v>
      </c>
      <c r="G675">
        <v>1009</v>
      </c>
      <c r="H675" s="4" t="s">
        <v>107</v>
      </c>
      <c r="I675" s="4" t="s">
        <v>108</v>
      </c>
      <c r="J675" s="4" t="str">
        <f t="shared" si="10"/>
        <v>u_con.c_con</v>
      </c>
      <c r="K675" s="5">
        <v>19</v>
      </c>
      <c r="L675">
        <v>5.0143266475644712E-3</v>
      </c>
      <c r="M675">
        <v>0.20558739255014327</v>
      </c>
      <c r="N675">
        <v>5.2769818529130853E-2</v>
      </c>
      <c r="O675">
        <v>0</v>
      </c>
      <c r="P675">
        <v>0</v>
      </c>
      <c r="Q675">
        <v>5.7784145176695334E-2</v>
      </c>
      <c r="R675">
        <v>5.730659025787966E-2</v>
      </c>
      <c r="S675">
        <v>0</v>
      </c>
      <c r="T675">
        <v>4.7755491881566392E-3</v>
      </c>
      <c r="U675">
        <v>0</v>
      </c>
      <c r="V675">
        <v>0</v>
      </c>
      <c r="W675">
        <v>0</v>
      </c>
      <c r="X675">
        <v>7.1633237822349579E-4</v>
      </c>
      <c r="Y675">
        <v>9.073543457497614E-2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7.1633237822349579E-4</v>
      </c>
      <c r="AF675">
        <v>0</v>
      </c>
      <c r="AG675">
        <v>0</v>
      </c>
      <c r="AH675">
        <v>0</v>
      </c>
      <c r="AI675">
        <v>2.3877745940783192E-4</v>
      </c>
      <c r="AJ675">
        <v>9.7898758357211103E-3</v>
      </c>
      <c r="AK675">
        <v>0</v>
      </c>
      <c r="AL675">
        <v>0.1862464183381089</v>
      </c>
      <c r="AM675">
        <v>0</v>
      </c>
      <c r="AN675">
        <v>7.1633237822349579E-4</v>
      </c>
      <c r="AO675">
        <v>0</v>
      </c>
      <c r="AP675">
        <v>0</v>
      </c>
      <c r="AQ675">
        <v>0</v>
      </c>
      <c r="AR675">
        <v>0</v>
      </c>
      <c r="AS675">
        <v>5.4918815663801343E-3</v>
      </c>
      <c r="AT675">
        <v>0</v>
      </c>
      <c r="AU675">
        <v>0</v>
      </c>
      <c r="AV675">
        <v>0</v>
      </c>
      <c r="AW675">
        <v>0</v>
      </c>
      <c r="AX675">
        <v>2.3877745940783192E-4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4.7755491881566384E-4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4.7755491881566392E-3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5.9694364851957983E-3</v>
      </c>
      <c r="CA675">
        <v>0.30563514804202474</v>
      </c>
      <c r="CB675">
        <v>5.0143266475644712E-3</v>
      </c>
    </row>
    <row r="676" spans="1:80">
      <c r="A676">
        <v>675</v>
      </c>
      <c r="B676" t="s">
        <v>61</v>
      </c>
      <c r="C676" s="4" t="s">
        <v>165</v>
      </c>
      <c r="D676" s="4" t="s">
        <v>117</v>
      </c>
      <c r="E676" s="5">
        <v>40421</v>
      </c>
      <c r="F676" s="5">
        <v>40420</v>
      </c>
      <c r="G676">
        <v>1009</v>
      </c>
      <c r="H676" s="4" t="s">
        <v>107</v>
      </c>
      <c r="I676" s="4" t="s">
        <v>109</v>
      </c>
      <c r="J676" s="4" t="str">
        <f t="shared" si="10"/>
        <v>u_con.c_rem</v>
      </c>
      <c r="K676" s="5">
        <v>2</v>
      </c>
      <c r="L676">
        <v>2.5551972215331186E-2</v>
      </c>
      <c r="M676">
        <v>0.33242371619945416</v>
      </c>
      <c r="N676">
        <v>6.4748201438848921E-2</v>
      </c>
      <c r="O676">
        <v>0</v>
      </c>
      <c r="P676">
        <v>0</v>
      </c>
      <c r="Q676">
        <v>4.96154800297693E-3</v>
      </c>
      <c r="R676">
        <v>0.12900024807740018</v>
      </c>
      <c r="S676">
        <v>0</v>
      </c>
      <c r="T676">
        <v>2.4807740014884649E-4</v>
      </c>
      <c r="U676">
        <v>0</v>
      </c>
      <c r="V676">
        <v>0</v>
      </c>
      <c r="W676">
        <v>0</v>
      </c>
      <c r="X676">
        <v>1.0667328206400399E-2</v>
      </c>
      <c r="Y676">
        <v>1.4884644008930787E-2</v>
      </c>
      <c r="Z676">
        <v>7.4423220044653941E-4</v>
      </c>
      <c r="AA676">
        <v>0</v>
      </c>
      <c r="AB676">
        <v>0</v>
      </c>
      <c r="AC676">
        <v>0</v>
      </c>
      <c r="AD676">
        <v>0</v>
      </c>
      <c r="AE676">
        <v>2.4807740014884649E-4</v>
      </c>
      <c r="AF676">
        <v>0</v>
      </c>
      <c r="AG676">
        <v>0</v>
      </c>
      <c r="AH676">
        <v>0</v>
      </c>
      <c r="AI676">
        <v>5.2096254031257765E-3</v>
      </c>
      <c r="AJ676">
        <v>0.11907715207144633</v>
      </c>
      <c r="AK676">
        <v>0</v>
      </c>
      <c r="AL676">
        <v>1.0419250806251553E-2</v>
      </c>
      <c r="AM676">
        <v>0</v>
      </c>
      <c r="AN676">
        <v>1.0419250806251553E-2</v>
      </c>
      <c r="AO676">
        <v>0</v>
      </c>
      <c r="AP676">
        <v>0</v>
      </c>
      <c r="AQ676">
        <v>0</v>
      </c>
      <c r="AR676">
        <v>0</v>
      </c>
      <c r="AS676">
        <v>1.0915405606549246E-2</v>
      </c>
      <c r="AT676">
        <v>7.4423220044653941E-4</v>
      </c>
      <c r="AU676">
        <v>0</v>
      </c>
      <c r="AV676">
        <v>0</v>
      </c>
      <c r="AW676">
        <v>0</v>
      </c>
      <c r="AX676">
        <v>1.0171173406102706E-2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5.4577028032746231E-3</v>
      </c>
      <c r="BY676">
        <v>0</v>
      </c>
      <c r="BZ676">
        <v>9.9230960059538595E-4</v>
      </c>
      <c r="CA676">
        <v>0.2431158521458695</v>
      </c>
      <c r="CB676">
        <v>0</v>
      </c>
    </row>
    <row r="677" spans="1:80">
      <c r="A677">
        <v>676</v>
      </c>
      <c r="B677" t="s">
        <v>62</v>
      </c>
      <c r="C677" s="4" t="s">
        <v>165</v>
      </c>
      <c r="D677" s="4" t="s">
        <v>117</v>
      </c>
      <c r="E677" s="5">
        <v>40421</v>
      </c>
      <c r="F677" s="5">
        <v>40420</v>
      </c>
      <c r="G677">
        <v>1009</v>
      </c>
      <c r="H677" s="4" t="s">
        <v>107</v>
      </c>
      <c r="I677" s="4" t="s">
        <v>108</v>
      </c>
      <c r="J677" s="4" t="str">
        <f t="shared" si="10"/>
        <v>u_con.c_con</v>
      </c>
      <c r="K677" s="5">
        <v>19</v>
      </c>
      <c r="L677">
        <v>0</v>
      </c>
      <c r="M677">
        <v>3.3411214953271026E-2</v>
      </c>
      <c r="N677">
        <v>4.2056074766355145E-2</v>
      </c>
      <c r="O677">
        <v>9.3457943925233655E-3</v>
      </c>
      <c r="P677">
        <v>0</v>
      </c>
      <c r="Q677">
        <v>0.12663551401869158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2.8738317757009347E-2</v>
      </c>
      <c r="Y677">
        <v>0.20560747663551404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4.6728971962616828E-3</v>
      </c>
      <c r="AF677">
        <v>0</v>
      </c>
      <c r="AG677">
        <v>0</v>
      </c>
      <c r="AH677">
        <v>0</v>
      </c>
      <c r="AI677">
        <v>9.8130841121495341E-3</v>
      </c>
      <c r="AJ677">
        <v>0</v>
      </c>
      <c r="AK677">
        <v>0</v>
      </c>
      <c r="AL677">
        <v>0.17289719626168226</v>
      </c>
      <c r="AM677">
        <v>0</v>
      </c>
      <c r="AN677">
        <v>1.4719626168224302E-2</v>
      </c>
      <c r="AO677">
        <v>0</v>
      </c>
      <c r="AP677">
        <v>0</v>
      </c>
      <c r="AQ677">
        <v>0</v>
      </c>
      <c r="AR677">
        <v>0</v>
      </c>
      <c r="AS677">
        <v>4.6728971962616824E-4</v>
      </c>
      <c r="AT677">
        <v>0</v>
      </c>
      <c r="AU677">
        <v>0</v>
      </c>
      <c r="AV677">
        <v>9.3457943925233649E-4</v>
      </c>
      <c r="AW677">
        <v>0</v>
      </c>
      <c r="AX677">
        <v>0</v>
      </c>
      <c r="AY677">
        <v>0</v>
      </c>
      <c r="AZ677">
        <v>0</v>
      </c>
      <c r="BA677">
        <v>9.5794392523364507E-3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4.6728971962616828E-3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0.3364485981308411</v>
      </c>
      <c r="CB677">
        <v>0</v>
      </c>
    </row>
    <row r="678" spans="1:80">
      <c r="A678">
        <v>677</v>
      </c>
      <c r="B678" t="s">
        <v>106</v>
      </c>
      <c r="C678" s="4" t="s">
        <v>166</v>
      </c>
      <c r="D678" s="4" t="s">
        <v>117</v>
      </c>
      <c r="E678" s="5">
        <v>40421</v>
      </c>
      <c r="F678" s="5">
        <v>40420</v>
      </c>
      <c r="G678">
        <v>1009</v>
      </c>
      <c r="H678" s="4" t="s">
        <v>110</v>
      </c>
      <c r="I678" s="4" t="s">
        <v>109</v>
      </c>
      <c r="J678" s="4" t="str">
        <f t="shared" si="10"/>
        <v>u_rem.c_rem</v>
      </c>
      <c r="K678" s="5">
        <v>1</v>
      </c>
      <c r="L678">
        <v>0</v>
      </c>
      <c r="M678">
        <v>4.4305321454370335E-2</v>
      </c>
      <c r="N678">
        <v>0.10113171201541056</v>
      </c>
      <c r="O678">
        <v>4.815795810257646E-3</v>
      </c>
      <c r="P678">
        <v>0</v>
      </c>
      <c r="Q678">
        <v>3.8526366482061161E-2</v>
      </c>
      <c r="R678">
        <v>4.8157958102576455E-2</v>
      </c>
      <c r="S678">
        <v>0</v>
      </c>
      <c r="T678">
        <v>2.407897905128823E-4</v>
      </c>
      <c r="U678">
        <v>0</v>
      </c>
      <c r="V678">
        <v>0</v>
      </c>
      <c r="W678">
        <v>0</v>
      </c>
      <c r="X678">
        <v>4.815795810257646E-3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1.035396099205394E-2</v>
      </c>
      <c r="AF678">
        <v>0</v>
      </c>
      <c r="AG678">
        <v>0</v>
      </c>
      <c r="AH678">
        <v>0</v>
      </c>
      <c r="AI678">
        <v>2.407897905128823E-4</v>
      </c>
      <c r="AJ678">
        <v>0.15916205152901519</v>
      </c>
      <c r="AK678">
        <v>0</v>
      </c>
      <c r="AL678">
        <v>6.2605345533349399E-2</v>
      </c>
      <c r="AM678">
        <v>0</v>
      </c>
      <c r="AN678">
        <v>9.631591620515292E-4</v>
      </c>
      <c r="AO678">
        <v>0</v>
      </c>
      <c r="AP678">
        <v>0</v>
      </c>
      <c r="AQ678">
        <v>0</v>
      </c>
      <c r="AR678">
        <v>0</v>
      </c>
      <c r="AS678">
        <v>4.815795810257646E-4</v>
      </c>
      <c r="AT678">
        <v>1.757765470744041E-2</v>
      </c>
      <c r="AU678">
        <v>0</v>
      </c>
      <c r="AV678">
        <v>0</v>
      </c>
      <c r="AW678">
        <v>0</v>
      </c>
      <c r="AX678">
        <v>9.8723814110281746E-3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4.815795810257646E-4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2.407897905128823E-4</v>
      </c>
      <c r="CA678">
        <v>0.49602696845653754</v>
      </c>
      <c r="CB678">
        <v>0</v>
      </c>
    </row>
    <row r="679" spans="1:80">
      <c r="A679">
        <v>678</v>
      </c>
      <c r="B679" t="s">
        <v>63</v>
      </c>
      <c r="C679" s="4" t="s">
        <v>166</v>
      </c>
      <c r="D679" s="4" t="s">
        <v>117</v>
      </c>
      <c r="E679" s="5">
        <v>40421</v>
      </c>
      <c r="F679" s="5">
        <v>40420</v>
      </c>
      <c r="G679">
        <v>1009</v>
      </c>
      <c r="H679" s="4" t="s">
        <v>110</v>
      </c>
      <c r="I679" s="4" t="s">
        <v>108</v>
      </c>
      <c r="J679" s="4" t="str">
        <f t="shared" si="10"/>
        <v>u_rem.c_con</v>
      </c>
      <c r="K679" s="5">
        <v>8</v>
      </c>
      <c r="L679">
        <v>9.4658553076403008E-3</v>
      </c>
      <c r="M679">
        <v>9.6236195627676366E-2</v>
      </c>
      <c r="N679">
        <v>0.17128690556682447</v>
      </c>
      <c r="O679">
        <v>9.0151002929907617E-3</v>
      </c>
      <c r="P679">
        <v>0</v>
      </c>
      <c r="Q679">
        <v>3.2003606040117205E-2</v>
      </c>
      <c r="R679">
        <v>1.8030200585981523E-2</v>
      </c>
      <c r="S679">
        <v>0</v>
      </c>
      <c r="T679">
        <v>4.5526256479603344E-2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2.2763128239801672E-2</v>
      </c>
      <c r="AA679">
        <v>0</v>
      </c>
      <c r="AB679">
        <v>0</v>
      </c>
      <c r="AC679">
        <v>0</v>
      </c>
      <c r="AD679">
        <v>0</v>
      </c>
      <c r="AE679">
        <v>1.3748027946810914E-2</v>
      </c>
      <c r="AF679">
        <v>0</v>
      </c>
      <c r="AG679">
        <v>0</v>
      </c>
      <c r="AH679">
        <v>0</v>
      </c>
      <c r="AI679">
        <v>2.2537750732476905E-4</v>
      </c>
      <c r="AJ679">
        <v>0.12192923146270006</v>
      </c>
      <c r="AK679">
        <v>0</v>
      </c>
      <c r="AL679">
        <v>3.6285778679287811E-2</v>
      </c>
      <c r="AM679">
        <v>0</v>
      </c>
      <c r="AN679">
        <v>4.507550146495381E-4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2.4791525805724591E-3</v>
      </c>
      <c r="AU679">
        <v>0</v>
      </c>
      <c r="AV679">
        <v>0</v>
      </c>
      <c r="AW679">
        <v>2.2537750732476905E-4</v>
      </c>
      <c r="AX679">
        <v>4.9583051611449191E-3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2.2537750732476905E-4</v>
      </c>
      <c r="BZ679">
        <v>2.2537750732476905E-4</v>
      </c>
      <c r="CA679">
        <v>0.41469461347757508</v>
      </c>
      <c r="CB679">
        <v>0</v>
      </c>
    </row>
    <row r="680" spans="1:80">
      <c r="A680">
        <v>679</v>
      </c>
      <c r="B680" t="s">
        <v>64</v>
      </c>
      <c r="C680" s="4" t="s">
        <v>166</v>
      </c>
      <c r="D680" s="4" t="s">
        <v>117</v>
      </c>
      <c r="E680" s="5">
        <v>40421</v>
      </c>
      <c r="F680" s="5">
        <v>40420</v>
      </c>
      <c r="G680">
        <v>1009</v>
      </c>
      <c r="H680" s="4" t="s">
        <v>110</v>
      </c>
      <c r="I680" s="4" t="s">
        <v>109</v>
      </c>
      <c r="J680" s="4" t="str">
        <f t="shared" si="10"/>
        <v>u_rem.c_rem</v>
      </c>
      <c r="K680" s="5">
        <v>1</v>
      </c>
      <c r="L680">
        <v>4.4883303411131066E-4</v>
      </c>
      <c r="M680">
        <v>4.6005385996409347E-2</v>
      </c>
      <c r="N680">
        <v>0.38599640933572721</v>
      </c>
      <c r="O680">
        <v>2.2441651705565533E-4</v>
      </c>
      <c r="P680">
        <v>0</v>
      </c>
      <c r="Q680">
        <v>2.6929982046678638E-2</v>
      </c>
      <c r="R680">
        <v>4.039497307001795E-2</v>
      </c>
      <c r="S680">
        <v>0</v>
      </c>
      <c r="T680">
        <v>9.201077199281869E-3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2.2441651705565533E-4</v>
      </c>
      <c r="AF680">
        <v>0</v>
      </c>
      <c r="AG680">
        <v>0</v>
      </c>
      <c r="AH680">
        <v>0</v>
      </c>
      <c r="AI680">
        <v>4.4883303411131066E-4</v>
      </c>
      <c r="AJ680">
        <v>0.11243267504488332</v>
      </c>
      <c r="AK680">
        <v>1.8402154398563738E-2</v>
      </c>
      <c r="AL680">
        <v>1.3464991023339321E-2</v>
      </c>
      <c r="AM680">
        <v>0</v>
      </c>
      <c r="AN680">
        <v>4.488330341113107E-3</v>
      </c>
      <c r="AO680">
        <v>0</v>
      </c>
      <c r="AP680">
        <v>0</v>
      </c>
      <c r="AQ680">
        <v>8.9766606822262139E-3</v>
      </c>
      <c r="AR680">
        <v>0</v>
      </c>
      <c r="AS680">
        <v>0</v>
      </c>
      <c r="AT680">
        <v>0</v>
      </c>
      <c r="AU680">
        <v>0</v>
      </c>
      <c r="AV680">
        <v>2.2441651705565533E-4</v>
      </c>
      <c r="AW680">
        <v>0</v>
      </c>
      <c r="AX680">
        <v>8.9766606822262139E-3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0.3231597845601436</v>
      </c>
      <c r="CB680">
        <v>0</v>
      </c>
    </row>
    <row r="681" spans="1:80">
      <c r="A681">
        <v>680</v>
      </c>
      <c r="B681" t="s">
        <v>65</v>
      </c>
      <c r="C681" s="4" t="s">
        <v>166</v>
      </c>
      <c r="D681" s="4" t="s">
        <v>117</v>
      </c>
      <c r="E681" s="5">
        <v>40421</v>
      </c>
      <c r="F681" s="5">
        <v>40420</v>
      </c>
      <c r="G681">
        <v>1009</v>
      </c>
      <c r="H681" s="4" t="s">
        <v>110</v>
      </c>
      <c r="I681" s="4" t="s">
        <v>108</v>
      </c>
      <c r="J681" s="4" t="str">
        <f t="shared" si="10"/>
        <v>u_rem.c_con</v>
      </c>
      <c r="K681" s="5">
        <v>8</v>
      </c>
      <c r="L681">
        <v>1.4479430016088259E-2</v>
      </c>
      <c r="M681">
        <v>0.10158584233509541</v>
      </c>
      <c r="N681">
        <v>6.0675706734084137E-2</v>
      </c>
      <c r="O681">
        <v>0</v>
      </c>
      <c r="P681">
        <v>0</v>
      </c>
      <c r="Q681">
        <v>3.2636175591817973E-2</v>
      </c>
      <c r="R681">
        <v>5.0563088945070105E-2</v>
      </c>
      <c r="S681">
        <v>0</v>
      </c>
      <c r="T681">
        <v>3.2866007814295564E-2</v>
      </c>
      <c r="U681">
        <v>0</v>
      </c>
      <c r="V681">
        <v>0</v>
      </c>
      <c r="W681">
        <v>0</v>
      </c>
      <c r="X681">
        <v>2.2983222247759138E-4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1.838657779820731E-2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0.18869225465410253</v>
      </c>
      <c r="AK681">
        <v>0</v>
      </c>
      <c r="AL681">
        <v>4.1369800045966444E-2</v>
      </c>
      <c r="AM681">
        <v>0</v>
      </c>
      <c r="AN681">
        <v>1.0112617789014022E-2</v>
      </c>
      <c r="AO681">
        <v>0</v>
      </c>
      <c r="AP681">
        <v>0</v>
      </c>
      <c r="AQ681">
        <v>0</v>
      </c>
      <c r="AR681">
        <v>0</v>
      </c>
      <c r="AS681">
        <v>4.5966444495518276E-4</v>
      </c>
      <c r="AT681">
        <v>1.0802114456446797E-2</v>
      </c>
      <c r="AU681">
        <v>0</v>
      </c>
      <c r="AV681">
        <v>0</v>
      </c>
      <c r="AW681">
        <v>0</v>
      </c>
      <c r="AX681">
        <v>1.4019765571133077E-2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2.2983222247759138E-4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0.42289128935876807</v>
      </c>
      <c r="CB681">
        <v>0</v>
      </c>
    </row>
    <row r="682" spans="1:80">
      <c r="A682">
        <v>681</v>
      </c>
      <c r="B682" t="s">
        <v>66</v>
      </c>
      <c r="C682" s="4" t="s">
        <v>167</v>
      </c>
      <c r="D682" s="4" t="s">
        <v>117</v>
      </c>
      <c r="E682" s="5">
        <v>40421</v>
      </c>
      <c r="F682" s="5">
        <v>40420</v>
      </c>
      <c r="G682">
        <v>1009</v>
      </c>
      <c r="H682" s="4" t="s">
        <v>107</v>
      </c>
      <c r="I682" s="4" t="s">
        <v>108</v>
      </c>
      <c r="J682" s="4" t="str">
        <f t="shared" si="10"/>
        <v>u_con.c_con</v>
      </c>
      <c r="K682" s="5">
        <v>19</v>
      </c>
      <c r="L682">
        <v>7.0788107597923554E-4</v>
      </c>
      <c r="M682">
        <v>0.42968381311939602</v>
      </c>
      <c r="N682">
        <v>0.13237376120811706</v>
      </c>
      <c r="O682">
        <v>0</v>
      </c>
      <c r="P682">
        <v>0</v>
      </c>
      <c r="Q682">
        <v>3.3034450212364327E-2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2.359603586597452E-4</v>
      </c>
      <c r="AF682">
        <v>0</v>
      </c>
      <c r="AG682">
        <v>0</v>
      </c>
      <c r="AH682">
        <v>0</v>
      </c>
      <c r="AI682">
        <v>9.4384143463898079E-4</v>
      </c>
      <c r="AJ682">
        <v>8.0226521944313386E-2</v>
      </c>
      <c r="AK682">
        <v>0</v>
      </c>
      <c r="AL682">
        <v>0.14157621519584712</v>
      </c>
      <c r="AM682">
        <v>0</v>
      </c>
      <c r="AN682">
        <v>9.9103350637092993E-3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2.359603586597452E-4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7.0788107597923554E-4</v>
      </c>
      <c r="BF682">
        <v>9.9103350637092993E-3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1.4157621519584711E-2</v>
      </c>
      <c r="BY682">
        <v>4.7192071731949042E-3</v>
      </c>
      <c r="BZ682">
        <v>0</v>
      </c>
      <c r="CA682">
        <v>0.14157621519584715</v>
      </c>
      <c r="CB682">
        <v>0</v>
      </c>
    </row>
    <row r="683" spans="1:80">
      <c r="A683">
        <v>682</v>
      </c>
      <c r="B683" t="s">
        <v>67</v>
      </c>
      <c r="C683" s="4" t="s">
        <v>167</v>
      </c>
      <c r="D683" s="4" t="s">
        <v>117</v>
      </c>
      <c r="E683" s="5">
        <v>40421</v>
      </c>
      <c r="F683" s="5">
        <v>40420</v>
      </c>
      <c r="G683">
        <v>1009</v>
      </c>
      <c r="H683" s="4" t="s">
        <v>107</v>
      </c>
      <c r="I683" s="4" t="s">
        <v>109</v>
      </c>
      <c r="J683" s="4" t="str">
        <f t="shared" si="10"/>
        <v>u_con.c_rem</v>
      </c>
      <c r="K683" s="5">
        <v>2</v>
      </c>
      <c r="L683">
        <v>0</v>
      </c>
      <c r="M683">
        <v>0.1752624372432679</v>
      </c>
      <c r="N683">
        <v>0.57507987220447288</v>
      </c>
      <c r="O683">
        <v>0</v>
      </c>
      <c r="P683">
        <v>0</v>
      </c>
      <c r="Q683">
        <v>2.7384755819260614E-2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5.2487448653582838E-3</v>
      </c>
      <c r="AF683">
        <v>0</v>
      </c>
      <c r="AG683">
        <v>0</v>
      </c>
      <c r="AH683">
        <v>0</v>
      </c>
      <c r="AI683">
        <v>5.4769511638521227E-3</v>
      </c>
      <c r="AJ683">
        <v>2.7384755819260611E-2</v>
      </c>
      <c r="AK683">
        <v>0</v>
      </c>
      <c r="AL683">
        <v>1.8256503879507075E-2</v>
      </c>
      <c r="AM683">
        <v>0</v>
      </c>
      <c r="AN683">
        <v>4.7923322683706077E-3</v>
      </c>
      <c r="AO683">
        <v>0</v>
      </c>
      <c r="AP683">
        <v>0</v>
      </c>
      <c r="AQ683">
        <v>1.3692377909630307E-2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2.2820629849383843E-2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1.0041077133728891E-2</v>
      </c>
      <c r="BF683">
        <v>2.2820629849383843E-4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0.11433135554541309</v>
      </c>
      <c r="CB683">
        <v>0</v>
      </c>
    </row>
    <row r="684" spans="1:80">
      <c r="A684">
        <v>683</v>
      </c>
      <c r="B684" t="s">
        <v>68</v>
      </c>
      <c r="C684" s="4" t="s">
        <v>167</v>
      </c>
      <c r="D684" s="4" t="s">
        <v>117</v>
      </c>
      <c r="E684" s="5">
        <v>40421</v>
      </c>
      <c r="F684" s="5">
        <v>40420</v>
      </c>
      <c r="G684">
        <v>1009</v>
      </c>
      <c r="H684" s="4" t="s">
        <v>107</v>
      </c>
      <c r="I684" s="4" t="s">
        <v>108</v>
      </c>
      <c r="J684" s="4" t="str">
        <f t="shared" si="10"/>
        <v>u_con.c_con</v>
      </c>
      <c r="K684" s="5">
        <v>19</v>
      </c>
      <c r="L684">
        <v>1.3861935126143611E-3</v>
      </c>
      <c r="M684">
        <v>0.1228167452176324</v>
      </c>
      <c r="N684">
        <v>0.24397005822012754</v>
      </c>
      <c r="O684">
        <v>0</v>
      </c>
      <c r="P684">
        <v>0</v>
      </c>
      <c r="Q684">
        <v>0.1275298031605212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2.8832825062378709E-2</v>
      </c>
      <c r="AF684">
        <v>0</v>
      </c>
      <c r="AG684">
        <v>0</v>
      </c>
      <c r="AH684">
        <v>2.772387025228722E-4</v>
      </c>
      <c r="AI684">
        <v>0</v>
      </c>
      <c r="AJ684">
        <v>0.13418353202107014</v>
      </c>
      <c r="AK684">
        <v>0</v>
      </c>
      <c r="AL684">
        <v>6.6537288605489325E-2</v>
      </c>
      <c r="AM684">
        <v>0</v>
      </c>
      <c r="AN684">
        <v>5.5447740504574439E-4</v>
      </c>
      <c r="AO684">
        <v>0</v>
      </c>
      <c r="AP684">
        <v>0</v>
      </c>
      <c r="AQ684">
        <v>0</v>
      </c>
      <c r="AR684">
        <v>0</v>
      </c>
      <c r="AS684">
        <v>6.099251455503189E-3</v>
      </c>
      <c r="AT684">
        <v>8.3171610756861659E-4</v>
      </c>
      <c r="AU684">
        <v>0</v>
      </c>
      <c r="AV684">
        <v>0</v>
      </c>
      <c r="AW684">
        <v>0</v>
      </c>
      <c r="AX684">
        <v>1.6634322151372335E-2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1.1921264208483506E-2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5.5447740504574444E-3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0.2328805101192126</v>
      </c>
      <c r="CB684">
        <v>0</v>
      </c>
    </row>
    <row r="685" spans="1:80">
      <c r="A685">
        <v>684</v>
      </c>
      <c r="B685" s="2" t="s">
        <v>69</v>
      </c>
      <c r="C685" s="4" t="s">
        <v>167</v>
      </c>
      <c r="D685" s="4" t="s">
        <v>117</v>
      </c>
      <c r="E685" s="5">
        <v>40421</v>
      </c>
      <c r="F685" s="5">
        <v>40420</v>
      </c>
      <c r="G685">
        <v>1009</v>
      </c>
      <c r="H685" s="4" t="s">
        <v>107</v>
      </c>
      <c r="I685" s="4" t="s">
        <v>109</v>
      </c>
      <c r="J685" s="4" t="str">
        <f t="shared" si="10"/>
        <v>u_con.c_rem</v>
      </c>
      <c r="K685" s="5">
        <v>2</v>
      </c>
      <c r="L685">
        <v>4.9916805324459251E-3</v>
      </c>
      <c r="M685">
        <v>8.628476348942242E-2</v>
      </c>
      <c r="N685">
        <v>0.17114333254100311</v>
      </c>
      <c r="O685">
        <v>0</v>
      </c>
      <c r="P685">
        <v>0</v>
      </c>
      <c r="Q685">
        <v>6.6793439505585944E-2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1.0934157356786312E-2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2.3769907297361545E-2</v>
      </c>
      <c r="AF685">
        <v>0</v>
      </c>
      <c r="AG685">
        <v>0</v>
      </c>
      <c r="AH685">
        <v>1.4261944378416928E-2</v>
      </c>
      <c r="AI685">
        <v>1.4261944378416928E-2</v>
      </c>
      <c r="AJ685">
        <v>0.237936772046589</v>
      </c>
      <c r="AK685">
        <v>0</v>
      </c>
      <c r="AL685">
        <v>0.20465890183028287</v>
      </c>
      <c r="AM685">
        <v>0</v>
      </c>
      <c r="AN685">
        <v>5.4670786783931561E-3</v>
      </c>
      <c r="AO685">
        <v>0</v>
      </c>
      <c r="AP685">
        <v>0</v>
      </c>
      <c r="AQ685">
        <v>0</v>
      </c>
      <c r="AR685">
        <v>0</v>
      </c>
      <c r="AS685">
        <v>7.1309721892084629E-4</v>
      </c>
      <c r="AT685">
        <v>6.180175897314003E-3</v>
      </c>
      <c r="AU685">
        <v>0</v>
      </c>
      <c r="AV685">
        <v>0</v>
      </c>
      <c r="AW685">
        <v>0</v>
      </c>
      <c r="AX685">
        <v>2.3769907297361545E-4</v>
      </c>
      <c r="AY685">
        <v>0</v>
      </c>
      <c r="AZ685">
        <v>0</v>
      </c>
      <c r="BA685">
        <v>0</v>
      </c>
      <c r="BB685">
        <v>2.3769907297361545E-4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4.7539814594723092E-3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0.14737342524364161</v>
      </c>
      <c r="CB685">
        <v>0</v>
      </c>
    </row>
    <row r="686" spans="1:80">
      <c r="A686">
        <v>685</v>
      </c>
      <c r="B686" t="s">
        <v>71</v>
      </c>
      <c r="C686" s="4" t="s">
        <v>168</v>
      </c>
      <c r="D686" s="4" t="s">
        <v>117</v>
      </c>
      <c r="E686" s="5">
        <v>40421</v>
      </c>
      <c r="F686" s="5">
        <v>40420</v>
      </c>
      <c r="G686">
        <v>1009</v>
      </c>
      <c r="H686" s="4" t="s">
        <v>110</v>
      </c>
      <c r="I686" s="4" t="s">
        <v>108</v>
      </c>
      <c r="J686" s="4" t="str">
        <f t="shared" si="10"/>
        <v>u_rem.c_con</v>
      </c>
      <c r="K686" s="5">
        <v>8</v>
      </c>
      <c r="L686">
        <v>0</v>
      </c>
      <c r="M686">
        <v>0.16131078224101478</v>
      </c>
      <c r="N686">
        <v>0.13974630021141649</v>
      </c>
      <c r="O686">
        <v>0</v>
      </c>
      <c r="P686">
        <v>0</v>
      </c>
      <c r="Q686">
        <v>5.9408033826638486E-2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2.1141649048625792E-4</v>
      </c>
      <c r="AF686">
        <v>0</v>
      </c>
      <c r="AG686">
        <v>0</v>
      </c>
      <c r="AH686">
        <v>0</v>
      </c>
      <c r="AI686">
        <v>2.1141649048625792E-4</v>
      </c>
      <c r="AJ686">
        <v>0</v>
      </c>
      <c r="AK686">
        <v>0</v>
      </c>
      <c r="AL686">
        <v>5.4968287526427059E-2</v>
      </c>
      <c r="AM686">
        <v>0</v>
      </c>
      <c r="AN686">
        <v>0</v>
      </c>
      <c r="AO686">
        <v>0</v>
      </c>
      <c r="AP686">
        <v>0</v>
      </c>
      <c r="AQ686">
        <v>2.1353065539112048E-2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0.14841437632135301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0.41437632135306562</v>
      </c>
      <c r="CB686">
        <v>0</v>
      </c>
    </row>
    <row r="687" spans="1:80">
      <c r="A687">
        <v>686</v>
      </c>
      <c r="B687" t="s">
        <v>70</v>
      </c>
      <c r="C687" s="4" t="s">
        <v>168</v>
      </c>
      <c r="D687" s="4" t="s">
        <v>117</v>
      </c>
      <c r="E687" s="5">
        <v>40421</v>
      </c>
      <c r="F687" s="5">
        <v>40420</v>
      </c>
      <c r="G687">
        <v>1009</v>
      </c>
      <c r="H687" s="4" t="s">
        <v>110</v>
      </c>
      <c r="I687" s="4" t="s">
        <v>109</v>
      </c>
      <c r="J687" s="4" t="str">
        <f t="shared" si="10"/>
        <v>u_rem.c_rem</v>
      </c>
      <c r="K687" s="5">
        <v>1</v>
      </c>
      <c r="L687">
        <v>8.5708163702592679E-3</v>
      </c>
      <c r="M687">
        <v>8.2065566745232493E-2</v>
      </c>
      <c r="N687">
        <v>0.5399614313263339</v>
      </c>
      <c r="O687">
        <v>0</v>
      </c>
      <c r="P687">
        <v>0</v>
      </c>
      <c r="Q687">
        <v>2.1641311334904649E-2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8.7850867795157498E-3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0.27426612384829646</v>
      </c>
      <c r="BB687">
        <v>0</v>
      </c>
      <c r="BC687">
        <v>0</v>
      </c>
      <c r="BD687">
        <v>0</v>
      </c>
      <c r="BE687">
        <v>0</v>
      </c>
      <c r="BF687">
        <v>2.1427040925648167E-4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6.4495393186200983E-2</v>
      </c>
      <c r="CB687">
        <v>0</v>
      </c>
    </row>
    <row r="688" spans="1:80">
      <c r="A688">
        <v>687</v>
      </c>
      <c r="B688" t="s">
        <v>72</v>
      </c>
      <c r="C688" s="4" t="s">
        <v>168</v>
      </c>
      <c r="D688" s="4" t="s">
        <v>117</v>
      </c>
      <c r="E688" s="5">
        <v>40421</v>
      </c>
      <c r="F688" s="5">
        <v>40420</v>
      </c>
      <c r="G688">
        <v>1009</v>
      </c>
      <c r="H688" s="4" t="s">
        <v>110</v>
      </c>
      <c r="I688" s="4" t="s">
        <v>108</v>
      </c>
      <c r="J688" s="4" t="str">
        <f t="shared" si="10"/>
        <v>u_rem.c_con</v>
      </c>
      <c r="K688" s="5">
        <v>8</v>
      </c>
      <c r="L688">
        <v>0</v>
      </c>
      <c r="M688">
        <v>8.8006902502157036E-2</v>
      </c>
      <c r="N688">
        <v>0.14667817083692841</v>
      </c>
      <c r="O688">
        <v>5.1768766177739442E-2</v>
      </c>
      <c r="P688">
        <v>0</v>
      </c>
      <c r="Q688">
        <v>0.13869715271786023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2.1570319240724764E-4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9.059534081104402E-3</v>
      </c>
      <c r="AF688">
        <v>0</v>
      </c>
      <c r="AG688">
        <v>0</v>
      </c>
      <c r="AH688">
        <v>2.1570319240724764E-4</v>
      </c>
      <c r="AI688">
        <v>4.529767040552201E-3</v>
      </c>
      <c r="AJ688">
        <v>0</v>
      </c>
      <c r="AK688">
        <v>2.2217428817946507E-2</v>
      </c>
      <c r="AL688">
        <v>1.7256255392579811E-2</v>
      </c>
      <c r="AM688">
        <v>0</v>
      </c>
      <c r="AN688">
        <v>9.922346850733392E-3</v>
      </c>
      <c r="AO688">
        <v>0</v>
      </c>
      <c r="AP688">
        <v>0</v>
      </c>
      <c r="AQ688">
        <v>8.6281276962899053E-3</v>
      </c>
      <c r="AR688">
        <v>0</v>
      </c>
      <c r="AS688">
        <v>8.6281276962899055E-4</v>
      </c>
      <c r="AT688">
        <v>2.1570319240724764E-4</v>
      </c>
      <c r="AU688">
        <v>0</v>
      </c>
      <c r="AV688">
        <v>0</v>
      </c>
      <c r="AW688">
        <v>0</v>
      </c>
      <c r="AX688">
        <v>4.3140638481449526E-3</v>
      </c>
      <c r="AY688">
        <v>0</v>
      </c>
      <c r="AZ688">
        <v>0</v>
      </c>
      <c r="BA688">
        <v>0.40142364106988776</v>
      </c>
      <c r="BB688">
        <v>0</v>
      </c>
      <c r="BC688">
        <v>0</v>
      </c>
      <c r="BD688">
        <v>0</v>
      </c>
      <c r="BE688">
        <v>6.4710957722174283E-4</v>
      </c>
      <c r="BF688">
        <v>2.1570319240724764E-4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4.3140638481449526E-3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2.1570319240724764E-4</v>
      </c>
      <c r="CA688">
        <v>9.0595340811044034E-2</v>
      </c>
      <c r="CB688">
        <v>0</v>
      </c>
    </row>
    <row r="689" spans="1:80">
      <c r="A689">
        <v>688</v>
      </c>
      <c r="B689" t="s">
        <v>73</v>
      </c>
      <c r="C689" s="4" t="s">
        <v>168</v>
      </c>
      <c r="D689" s="4" t="s">
        <v>117</v>
      </c>
      <c r="E689" s="5">
        <v>40421</v>
      </c>
      <c r="F689" s="5">
        <v>40420</v>
      </c>
      <c r="G689">
        <v>1009</v>
      </c>
      <c r="H689" s="4" t="s">
        <v>110</v>
      </c>
      <c r="I689" s="4" t="s">
        <v>109</v>
      </c>
      <c r="J689" s="4" t="str">
        <f t="shared" si="10"/>
        <v>u_rem.c_rem</v>
      </c>
      <c r="K689" s="5">
        <v>1</v>
      </c>
      <c r="L689">
        <v>2.1632041122296001E-2</v>
      </c>
      <c r="M689">
        <v>0.21460698222317415</v>
      </c>
      <c r="N689">
        <v>0.25722852859284639</v>
      </c>
      <c r="O689">
        <v>0</v>
      </c>
      <c r="P689">
        <v>0</v>
      </c>
      <c r="Q689">
        <v>4.2835724994645542E-3</v>
      </c>
      <c r="R689">
        <v>1.7348468622831445E-2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2.1417862497322772E-4</v>
      </c>
      <c r="AF689">
        <v>0</v>
      </c>
      <c r="AG689">
        <v>0</v>
      </c>
      <c r="AH689">
        <v>0</v>
      </c>
      <c r="AI689">
        <v>4.4977511244377825E-3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4.2835724994645542E-3</v>
      </c>
      <c r="AR689">
        <v>0</v>
      </c>
      <c r="AS689">
        <v>2.1417862497322772E-4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0.23988005997001499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1.3064896123366893E-2</v>
      </c>
      <c r="BY689">
        <v>0</v>
      </c>
      <c r="BZ689">
        <v>0</v>
      </c>
      <c r="CA689">
        <v>0.22274576997215678</v>
      </c>
      <c r="CB689">
        <v>0</v>
      </c>
    </row>
    <row r="690" spans="1:80">
      <c r="A690">
        <v>689</v>
      </c>
      <c r="B690" t="s">
        <v>74</v>
      </c>
      <c r="C690" s="4" t="s">
        <v>169</v>
      </c>
      <c r="D690" s="4" t="s">
        <v>117</v>
      </c>
      <c r="E690" s="5">
        <v>40421</v>
      </c>
      <c r="F690" s="5">
        <v>40420</v>
      </c>
      <c r="G690">
        <v>1009</v>
      </c>
      <c r="H690" s="4" t="s">
        <v>110</v>
      </c>
      <c r="I690" s="4" t="s">
        <v>108</v>
      </c>
      <c r="J690" s="4" t="str">
        <f t="shared" si="10"/>
        <v>u_rem.c_con</v>
      </c>
      <c r="K690" s="5">
        <v>8</v>
      </c>
      <c r="L690">
        <v>1.9668985368193812E-2</v>
      </c>
      <c r="M690">
        <v>0.22619333173422876</v>
      </c>
      <c r="N690">
        <v>0.23051091388822251</v>
      </c>
      <c r="O690">
        <v>0</v>
      </c>
      <c r="P690">
        <v>0</v>
      </c>
      <c r="Q690">
        <v>1.9429119692971935E-2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1.4391940513312542E-2</v>
      </c>
      <c r="Z690">
        <v>0</v>
      </c>
      <c r="AA690">
        <v>2.3986567522187572E-4</v>
      </c>
      <c r="AB690">
        <v>0</v>
      </c>
      <c r="AC690">
        <v>0</v>
      </c>
      <c r="AD690">
        <v>0</v>
      </c>
      <c r="AE690">
        <v>4.7973135044375144E-3</v>
      </c>
      <c r="AF690">
        <v>0</v>
      </c>
      <c r="AG690">
        <v>0</v>
      </c>
      <c r="AH690">
        <v>1.9429119692971935E-2</v>
      </c>
      <c r="AI690">
        <v>0.13480450947469416</v>
      </c>
      <c r="AJ690">
        <v>2.3986567522187571E-2</v>
      </c>
      <c r="AK690">
        <v>0</v>
      </c>
      <c r="AL690">
        <v>6.2604941232909564E-2</v>
      </c>
      <c r="AM690">
        <v>0</v>
      </c>
      <c r="AN690">
        <v>2.974334372751259E-2</v>
      </c>
      <c r="AO690">
        <v>0</v>
      </c>
      <c r="AP690">
        <v>0</v>
      </c>
      <c r="AQ690">
        <v>0</v>
      </c>
      <c r="AR690">
        <v>0</v>
      </c>
      <c r="AS690">
        <v>5.0371791796593908E-3</v>
      </c>
      <c r="AT690">
        <v>1.6790597265531303E-3</v>
      </c>
      <c r="AU690">
        <v>0</v>
      </c>
      <c r="AV690">
        <v>5.2770448548812663E-3</v>
      </c>
      <c r="AW690">
        <v>0</v>
      </c>
      <c r="AX690">
        <v>9.5946270088750289E-3</v>
      </c>
      <c r="AY690">
        <v>0</v>
      </c>
      <c r="AZ690">
        <v>0</v>
      </c>
      <c r="BA690">
        <v>9.5946270088750289E-3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5.0371791796593908E-3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4.7973135044375144E-3</v>
      </c>
      <c r="BY690">
        <v>0</v>
      </c>
      <c r="BZ690">
        <v>2.3986567522187572E-4</v>
      </c>
      <c r="CA690">
        <v>0.17270328615975056</v>
      </c>
      <c r="CB690">
        <v>0</v>
      </c>
    </row>
    <row r="691" spans="1:80">
      <c r="A691">
        <v>690</v>
      </c>
      <c r="B691" t="s">
        <v>75</v>
      </c>
      <c r="C691" s="4" t="s">
        <v>169</v>
      </c>
      <c r="D691" s="4" t="s">
        <v>117</v>
      </c>
      <c r="E691" s="5">
        <v>40421</v>
      </c>
      <c r="F691" s="5">
        <v>40420</v>
      </c>
      <c r="G691">
        <v>1009</v>
      </c>
      <c r="H691" s="4" t="s">
        <v>110</v>
      </c>
      <c r="I691" s="4" t="s">
        <v>108</v>
      </c>
      <c r="J691" s="4" t="str">
        <f t="shared" si="10"/>
        <v>u_rem.c_con</v>
      </c>
      <c r="K691" s="5">
        <v>8</v>
      </c>
      <c r="L691">
        <v>3.2365329195300371E-2</v>
      </c>
      <c r="M691">
        <v>0.22677898470405664</v>
      </c>
      <c r="N691">
        <v>0.13744180891154956</v>
      </c>
      <c r="O691">
        <v>0</v>
      </c>
      <c r="P691">
        <v>0</v>
      </c>
      <c r="Q691">
        <v>9.3105741520727106E-3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4.433606739082243E-3</v>
      </c>
      <c r="AB691">
        <v>0</v>
      </c>
      <c r="AC691">
        <v>0</v>
      </c>
      <c r="AD691">
        <v>0</v>
      </c>
      <c r="AE691">
        <v>1.3522500554200843E-2</v>
      </c>
      <c r="AF691">
        <v>0</v>
      </c>
      <c r="AG691">
        <v>0</v>
      </c>
      <c r="AH691">
        <v>1.3522500554200843E-2</v>
      </c>
      <c r="AI691">
        <v>6.2735535358013725E-2</v>
      </c>
      <c r="AJ691">
        <v>4.433606739082243E-3</v>
      </c>
      <c r="AK691">
        <v>0</v>
      </c>
      <c r="AL691">
        <v>0.22212369762802031</v>
      </c>
      <c r="AM691">
        <v>0</v>
      </c>
      <c r="AN691">
        <v>3.2143648858346259E-2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6.6504101086233643E-4</v>
      </c>
      <c r="AV691">
        <v>0</v>
      </c>
      <c r="AW691">
        <v>0</v>
      </c>
      <c r="AX691">
        <v>4.4336067390822427E-4</v>
      </c>
      <c r="AY691">
        <v>0</v>
      </c>
      <c r="AZ691">
        <v>0</v>
      </c>
      <c r="BA691">
        <v>7.6036355575260478E-2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0.16404344934604304</v>
      </c>
      <c r="CB691">
        <v>0</v>
      </c>
    </row>
    <row r="692" spans="1:80">
      <c r="A692">
        <v>691</v>
      </c>
      <c r="B692" t="s">
        <v>76</v>
      </c>
      <c r="C692" s="4" t="s">
        <v>169</v>
      </c>
      <c r="D692" s="4" t="s">
        <v>117</v>
      </c>
      <c r="E692" s="5">
        <v>40421</v>
      </c>
      <c r="F692" s="5">
        <v>40420</v>
      </c>
      <c r="G692">
        <v>1009</v>
      </c>
      <c r="H692" s="4" t="s">
        <v>110</v>
      </c>
      <c r="I692" s="4" t="s">
        <v>109</v>
      </c>
      <c r="J692" s="4" t="str">
        <f t="shared" si="10"/>
        <v>u_rem.c_rem</v>
      </c>
      <c r="K692" s="5">
        <v>1</v>
      </c>
      <c r="L692">
        <v>0</v>
      </c>
      <c r="M692">
        <v>0.59212024595764057</v>
      </c>
      <c r="N692">
        <v>0.10066044181279893</v>
      </c>
      <c r="O692">
        <v>4.554771122751082E-2</v>
      </c>
      <c r="P692">
        <v>0</v>
      </c>
      <c r="Q692">
        <v>4.1220678660897292E-2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1.0020496470052383E-2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0.12798906854930539</v>
      </c>
      <c r="AR692">
        <v>0</v>
      </c>
      <c r="AS692">
        <v>0</v>
      </c>
      <c r="AT692">
        <v>2.2773855613755412E-4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4.5547711227510827E-3</v>
      </c>
      <c r="BB692">
        <v>0</v>
      </c>
      <c r="BC692">
        <v>0</v>
      </c>
      <c r="BD692">
        <v>0</v>
      </c>
      <c r="BE692">
        <v>2.2773855613755412E-4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7.7431109086768396E-2</v>
      </c>
      <c r="CB692">
        <v>0</v>
      </c>
    </row>
    <row r="693" spans="1:80">
      <c r="A693">
        <v>692</v>
      </c>
      <c r="B693" t="s">
        <v>77</v>
      </c>
      <c r="C693" s="4" t="s">
        <v>169</v>
      </c>
      <c r="D693" s="4" t="s">
        <v>117</v>
      </c>
      <c r="E693" s="5">
        <v>40421</v>
      </c>
      <c r="F693" s="5">
        <v>40420</v>
      </c>
      <c r="G693">
        <v>1009</v>
      </c>
      <c r="H693" s="4" t="s">
        <v>110</v>
      </c>
      <c r="I693" s="4" t="s">
        <v>109</v>
      </c>
      <c r="J693" s="4" t="str">
        <f t="shared" si="10"/>
        <v>u_rem.c_rem</v>
      </c>
      <c r="K693" s="5">
        <v>1</v>
      </c>
      <c r="L693">
        <v>6.4844103027564381E-2</v>
      </c>
      <c r="M693">
        <v>0.23068233167645713</v>
      </c>
      <c r="N693">
        <v>0.21690013556258469</v>
      </c>
      <c r="O693">
        <v>0</v>
      </c>
      <c r="P693">
        <v>0</v>
      </c>
      <c r="Q693">
        <v>2.2593764121102575E-2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6.3262539539087212E-2</v>
      </c>
      <c r="AI693">
        <v>6.4618165386353371E-2</v>
      </c>
      <c r="AJ693">
        <v>0</v>
      </c>
      <c r="AK693">
        <v>0</v>
      </c>
      <c r="AL693">
        <v>0.20808856755535471</v>
      </c>
      <c r="AM693">
        <v>0</v>
      </c>
      <c r="AN693">
        <v>9.4893809308630814E-3</v>
      </c>
      <c r="AO693">
        <v>0</v>
      </c>
      <c r="AP693">
        <v>0</v>
      </c>
      <c r="AQ693">
        <v>2.2593764121102574E-4</v>
      </c>
      <c r="AR693">
        <v>0</v>
      </c>
      <c r="AS693">
        <v>4.5187528242205148E-3</v>
      </c>
      <c r="AT693">
        <v>6.7781292363307722E-4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7.2751920469950299E-2</v>
      </c>
      <c r="BB693">
        <v>0</v>
      </c>
      <c r="BC693">
        <v>0</v>
      </c>
      <c r="BD693">
        <v>0</v>
      </c>
      <c r="BE693">
        <v>6.7781292363307722E-4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4.5187528242205148E-3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3.6150022593764111E-2</v>
      </c>
      <c r="CB693">
        <v>0</v>
      </c>
    </row>
    <row r="694" spans="1:80">
      <c r="A694">
        <v>693</v>
      </c>
      <c r="B694" t="s">
        <v>78</v>
      </c>
      <c r="C694" s="4" t="s">
        <v>170</v>
      </c>
      <c r="D694" s="4" t="s">
        <v>117</v>
      </c>
      <c r="E694" s="5">
        <v>40421</v>
      </c>
      <c r="F694" s="5">
        <v>40420</v>
      </c>
      <c r="G694">
        <v>1009</v>
      </c>
      <c r="H694" s="4" t="s">
        <v>107</v>
      </c>
      <c r="I694" s="4" t="s">
        <v>109</v>
      </c>
      <c r="J694" s="4" t="str">
        <f t="shared" si="10"/>
        <v>u_con.c_rem</v>
      </c>
      <c r="K694" s="5">
        <v>2</v>
      </c>
      <c r="L694">
        <v>9.6952908587257646E-3</v>
      </c>
      <c r="M694">
        <v>0.23568790397045242</v>
      </c>
      <c r="N694">
        <v>0.23084025854108953</v>
      </c>
      <c r="O694">
        <v>4.6168051708217923E-3</v>
      </c>
      <c r="P694">
        <v>0</v>
      </c>
      <c r="Q694">
        <v>2.3314866112650049E-2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4.6168051708217923E-3</v>
      </c>
      <c r="AF694">
        <v>0</v>
      </c>
      <c r="AG694">
        <v>0</v>
      </c>
      <c r="AH694">
        <v>0</v>
      </c>
      <c r="AI694">
        <v>0.13388734995383197</v>
      </c>
      <c r="AJ694">
        <v>0.14335180055401667</v>
      </c>
      <c r="AK694">
        <v>0</v>
      </c>
      <c r="AL694">
        <v>0</v>
      </c>
      <c r="AM694">
        <v>0</v>
      </c>
      <c r="AN694">
        <v>6.9252077562326881E-4</v>
      </c>
      <c r="AO694">
        <v>0</v>
      </c>
      <c r="AP694">
        <v>0</v>
      </c>
      <c r="AQ694">
        <v>7.4099722991689779E-2</v>
      </c>
      <c r="AR694">
        <v>0</v>
      </c>
      <c r="AS694">
        <v>9.2336103416435847E-3</v>
      </c>
      <c r="AT694">
        <v>4.6168051708217922E-4</v>
      </c>
      <c r="AU694">
        <v>0</v>
      </c>
      <c r="AV694">
        <v>0</v>
      </c>
      <c r="AW694">
        <v>0</v>
      </c>
      <c r="AX694">
        <v>4.8476454293628823E-3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4.6168051708217923E-3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4.6168051708217923E-3</v>
      </c>
      <c r="BY694">
        <v>0</v>
      </c>
      <c r="BZ694">
        <v>0</v>
      </c>
      <c r="CA694">
        <v>0.11542012927054481</v>
      </c>
      <c r="CB694">
        <v>0</v>
      </c>
    </row>
    <row r="695" spans="1:80">
      <c r="A695">
        <v>694</v>
      </c>
      <c r="B695" t="s">
        <v>79</v>
      </c>
      <c r="C695" s="4" t="s">
        <v>170</v>
      </c>
      <c r="D695" s="4" t="s">
        <v>117</v>
      </c>
      <c r="E695" s="5">
        <v>40421</v>
      </c>
      <c r="F695" s="5">
        <v>40420</v>
      </c>
      <c r="G695">
        <v>1009</v>
      </c>
      <c r="H695" s="4" t="s">
        <v>107</v>
      </c>
      <c r="I695" s="4" t="s">
        <v>108</v>
      </c>
      <c r="J695" s="4" t="str">
        <f t="shared" si="10"/>
        <v>u_con.c_con</v>
      </c>
      <c r="K695" s="5">
        <v>19</v>
      </c>
      <c r="L695">
        <v>4.6005855290673367E-3</v>
      </c>
      <c r="M695">
        <v>9.242994562944376E-2</v>
      </c>
      <c r="N695">
        <v>0.18820577164366373</v>
      </c>
      <c r="O695">
        <v>1.6729401923881223E-2</v>
      </c>
      <c r="P695">
        <v>0</v>
      </c>
      <c r="Q695">
        <v>3.366792137181096E-2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2.1120869928900041E-2</v>
      </c>
      <c r="AF695">
        <v>0</v>
      </c>
      <c r="AG695">
        <v>0</v>
      </c>
      <c r="AH695">
        <v>0</v>
      </c>
      <c r="AI695">
        <v>0.1758678377248013</v>
      </c>
      <c r="AJ695">
        <v>0.20932664157256373</v>
      </c>
      <c r="AK695">
        <v>0</v>
      </c>
      <c r="AL695">
        <v>0</v>
      </c>
      <c r="AM695">
        <v>0</v>
      </c>
      <c r="AN695">
        <v>5.0188205771643677E-3</v>
      </c>
      <c r="AO695">
        <v>0</v>
      </c>
      <c r="AP695">
        <v>0</v>
      </c>
      <c r="AQ695">
        <v>2.5512337933918865E-2</v>
      </c>
      <c r="AR695">
        <v>0</v>
      </c>
      <c r="AS695">
        <v>8.5738184859891261E-3</v>
      </c>
      <c r="AT695">
        <v>8.3647009619406104E-4</v>
      </c>
      <c r="AU695">
        <v>0</v>
      </c>
      <c r="AV695">
        <v>2.0911752404851526E-4</v>
      </c>
      <c r="AW695">
        <v>8.3647009619406115E-3</v>
      </c>
      <c r="AX695">
        <v>8.5738184859891261E-3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2.0911752404851526E-4</v>
      </c>
      <c r="CA695">
        <v>0.20075282308657461</v>
      </c>
      <c r="CB695">
        <v>0</v>
      </c>
    </row>
    <row r="696" spans="1:80">
      <c r="A696">
        <v>695</v>
      </c>
      <c r="B696" t="s">
        <v>80</v>
      </c>
      <c r="C696" s="4" t="s">
        <v>170</v>
      </c>
      <c r="D696" s="4" t="s">
        <v>117</v>
      </c>
      <c r="E696" s="5">
        <v>40421</v>
      </c>
      <c r="F696" s="5">
        <v>40420</v>
      </c>
      <c r="G696">
        <v>1009</v>
      </c>
      <c r="H696" s="4" t="s">
        <v>107</v>
      </c>
      <c r="I696" s="4" t="s">
        <v>109</v>
      </c>
      <c r="J696" s="4" t="str">
        <f t="shared" si="10"/>
        <v>u_con.c_rem</v>
      </c>
      <c r="K696" s="5">
        <v>2</v>
      </c>
      <c r="L696">
        <v>2.2675736961451246E-4</v>
      </c>
      <c r="M696">
        <v>9.9773242630385492E-2</v>
      </c>
      <c r="N696">
        <v>0.39002267573696142</v>
      </c>
      <c r="O696">
        <v>0</v>
      </c>
      <c r="P696">
        <v>0</v>
      </c>
      <c r="Q696">
        <v>1.8140589569160998E-2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1.4058956916099773E-2</v>
      </c>
      <c r="AF696">
        <v>0</v>
      </c>
      <c r="AG696">
        <v>0</v>
      </c>
      <c r="AH696">
        <v>1.3832199546485263E-2</v>
      </c>
      <c r="AI696">
        <v>3.2426303854875278E-2</v>
      </c>
      <c r="AJ696">
        <v>0.30408163265306121</v>
      </c>
      <c r="AK696">
        <v>0</v>
      </c>
      <c r="AL696">
        <v>0</v>
      </c>
      <c r="AM696">
        <v>0</v>
      </c>
      <c r="AN696">
        <v>2.2675736961451246E-4</v>
      </c>
      <c r="AO696">
        <v>0</v>
      </c>
      <c r="AP696">
        <v>0</v>
      </c>
      <c r="AQ696">
        <v>0</v>
      </c>
      <c r="AR696">
        <v>0</v>
      </c>
      <c r="AS696">
        <v>2.2675736961451246E-4</v>
      </c>
      <c r="AT696">
        <v>0</v>
      </c>
      <c r="AU696">
        <v>0</v>
      </c>
      <c r="AV696">
        <v>0</v>
      </c>
      <c r="AW696">
        <v>1.360544217687075E-2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0.11337868480725623</v>
      </c>
      <c r="CB696">
        <v>0</v>
      </c>
    </row>
    <row r="697" spans="1:80">
      <c r="A697">
        <v>696</v>
      </c>
      <c r="B697" t="s">
        <v>81</v>
      </c>
      <c r="C697" s="4" t="s">
        <v>170</v>
      </c>
      <c r="D697" s="4" t="s">
        <v>117</v>
      </c>
      <c r="E697" s="5">
        <v>40421</v>
      </c>
      <c r="F697" s="5">
        <v>40420</v>
      </c>
      <c r="G697">
        <v>1009</v>
      </c>
      <c r="H697" s="4" t="s">
        <v>107</v>
      </c>
      <c r="I697" s="4" t="s">
        <v>108</v>
      </c>
      <c r="J697" s="4" t="str">
        <f t="shared" si="10"/>
        <v>u_con.c_con</v>
      </c>
      <c r="K697" s="5">
        <v>19</v>
      </c>
      <c r="L697">
        <v>6.1751584879079599E-2</v>
      </c>
      <c r="M697">
        <v>2.9349612585113878E-2</v>
      </c>
      <c r="N697">
        <v>0.26297252876262034</v>
      </c>
      <c r="O697">
        <v>0</v>
      </c>
      <c r="P697">
        <v>0</v>
      </c>
      <c r="Q697">
        <v>5.6351256163418649E-2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2.3479690068091104E-4</v>
      </c>
      <c r="AF697">
        <v>0</v>
      </c>
      <c r="AG697">
        <v>0</v>
      </c>
      <c r="AH697">
        <v>0</v>
      </c>
      <c r="AI697">
        <v>0.15543554825076311</v>
      </c>
      <c r="AJ697">
        <v>0.29584409485794783</v>
      </c>
      <c r="AK697">
        <v>0</v>
      </c>
      <c r="AL697">
        <v>0</v>
      </c>
      <c r="AM697">
        <v>0</v>
      </c>
      <c r="AN697">
        <v>9.6266729279173534E-3</v>
      </c>
      <c r="AO697">
        <v>0</v>
      </c>
      <c r="AP697">
        <v>0</v>
      </c>
      <c r="AQ697">
        <v>0</v>
      </c>
      <c r="AR697">
        <v>0</v>
      </c>
      <c r="AS697">
        <v>2.3479690068091104E-4</v>
      </c>
      <c r="AT697">
        <v>9.3918760272364418E-4</v>
      </c>
      <c r="AU697">
        <v>2.3479690068091104E-4</v>
      </c>
      <c r="AV697">
        <v>4.6959380136182213E-3</v>
      </c>
      <c r="AW697">
        <v>4.930734914299132E-3</v>
      </c>
      <c r="AX697">
        <v>4.6959380136182213E-3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4.6959380136182213E-3</v>
      </c>
      <c r="CA697">
        <v>0.10800657431321908</v>
      </c>
      <c r="CB697">
        <v>0</v>
      </c>
    </row>
    <row r="698" spans="1:80">
      <c r="A698">
        <v>697</v>
      </c>
      <c r="B698" t="s">
        <v>82</v>
      </c>
      <c r="C698" s="4" t="s">
        <v>171</v>
      </c>
      <c r="D698" s="4" t="s">
        <v>118</v>
      </c>
      <c r="E698" s="5">
        <v>40420</v>
      </c>
      <c r="F698" s="5">
        <v>40420</v>
      </c>
      <c r="G698">
        <v>1009</v>
      </c>
      <c r="H698" s="4" t="s">
        <v>110</v>
      </c>
      <c r="I698" s="4" t="s">
        <v>109</v>
      </c>
      <c r="J698" s="4" t="str">
        <f t="shared" si="10"/>
        <v>u_rem.c_rem</v>
      </c>
      <c r="K698" s="5">
        <v>1</v>
      </c>
      <c r="L698">
        <v>3.9533504645186792E-3</v>
      </c>
      <c r="M698">
        <v>0.11899584898201225</v>
      </c>
      <c r="N698">
        <v>0.10733346511168214</v>
      </c>
      <c r="O698">
        <v>0</v>
      </c>
      <c r="P698">
        <v>0</v>
      </c>
      <c r="Q698">
        <v>9.9031429136192908E-2</v>
      </c>
      <c r="R698">
        <v>0</v>
      </c>
      <c r="S698">
        <v>0</v>
      </c>
      <c r="T698">
        <v>3.9533504645186792E-3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7.9067009290373583E-3</v>
      </c>
      <c r="AF698">
        <v>0</v>
      </c>
      <c r="AG698">
        <v>0</v>
      </c>
      <c r="AH698">
        <v>0</v>
      </c>
      <c r="AI698">
        <v>1.9766752322593396E-4</v>
      </c>
      <c r="AJ698">
        <v>0</v>
      </c>
      <c r="AK698">
        <v>0</v>
      </c>
      <c r="AL698">
        <v>0</v>
      </c>
      <c r="AM698">
        <v>0</v>
      </c>
      <c r="AN698">
        <v>3.2615141332279107E-2</v>
      </c>
      <c r="AO698">
        <v>0</v>
      </c>
      <c r="AP698">
        <v>0</v>
      </c>
      <c r="AQ698">
        <v>2.7673453251630755E-2</v>
      </c>
      <c r="AR698">
        <v>0</v>
      </c>
      <c r="AS698">
        <v>3.9533504645186793E-4</v>
      </c>
      <c r="AT698">
        <v>1.9766752322593396E-4</v>
      </c>
      <c r="AU698">
        <v>0</v>
      </c>
      <c r="AV698">
        <v>0</v>
      </c>
      <c r="AW698">
        <v>0</v>
      </c>
      <c r="AX698">
        <v>1.9766752322593396E-4</v>
      </c>
      <c r="AY698">
        <v>0</v>
      </c>
      <c r="AZ698">
        <v>0</v>
      </c>
      <c r="BA698">
        <v>0.16208736904526588</v>
      </c>
      <c r="BB698">
        <v>0.24135204585886527</v>
      </c>
      <c r="BC698">
        <v>0</v>
      </c>
      <c r="BD698">
        <v>0</v>
      </c>
      <c r="BE698">
        <v>0.12670488238782368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1.9766752322593396E-4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6.7206957896817562E-2</v>
      </c>
      <c r="CB698">
        <v>0</v>
      </c>
    </row>
    <row r="699" spans="1:80">
      <c r="A699">
        <v>698</v>
      </c>
      <c r="B699" t="s">
        <v>83</v>
      </c>
      <c r="C699" s="4" t="s">
        <v>171</v>
      </c>
      <c r="D699" s="4" t="s">
        <v>118</v>
      </c>
      <c r="E699" s="5">
        <v>40420</v>
      </c>
      <c r="F699" s="5">
        <v>40420</v>
      </c>
      <c r="G699">
        <v>1009</v>
      </c>
      <c r="H699" s="4" t="s">
        <v>110</v>
      </c>
      <c r="I699" s="4" t="s">
        <v>108</v>
      </c>
      <c r="J699" s="4" t="str">
        <f t="shared" si="10"/>
        <v>u_rem.c_con</v>
      </c>
      <c r="K699" s="5">
        <v>8</v>
      </c>
      <c r="L699">
        <v>9.7402597402597418E-3</v>
      </c>
      <c r="M699">
        <v>0.16697588126159557</v>
      </c>
      <c r="N699">
        <v>3.7105751391465679E-2</v>
      </c>
      <c r="O699">
        <v>0</v>
      </c>
      <c r="P699">
        <v>0</v>
      </c>
      <c r="Q699">
        <v>0.1855287569573284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4.6382189239332098E-3</v>
      </c>
      <c r="AF699">
        <v>0</v>
      </c>
      <c r="AG699">
        <v>0</v>
      </c>
      <c r="AH699">
        <v>0</v>
      </c>
      <c r="AI699">
        <v>4.6382189239332103E-4</v>
      </c>
      <c r="AJ699">
        <v>0</v>
      </c>
      <c r="AK699">
        <v>0</v>
      </c>
      <c r="AL699">
        <v>6.0296846011131722E-2</v>
      </c>
      <c r="AM699">
        <v>0</v>
      </c>
      <c r="AN699">
        <v>9.7402597402597418E-3</v>
      </c>
      <c r="AO699">
        <v>0</v>
      </c>
      <c r="AP699">
        <v>0</v>
      </c>
      <c r="AQ699">
        <v>9.2764378478664197E-3</v>
      </c>
      <c r="AR699">
        <v>0</v>
      </c>
      <c r="AS699">
        <v>9.2764378478664197E-3</v>
      </c>
      <c r="AT699">
        <v>2.3191094619666051E-4</v>
      </c>
      <c r="AU699">
        <v>0</v>
      </c>
      <c r="AV699">
        <v>0</v>
      </c>
      <c r="AW699">
        <v>0</v>
      </c>
      <c r="AX699">
        <v>4.6382189239332098E-3</v>
      </c>
      <c r="AY699">
        <v>0</v>
      </c>
      <c r="AZ699">
        <v>0</v>
      </c>
      <c r="BA699">
        <v>0.10714285714285718</v>
      </c>
      <c r="BB699">
        <v>0.16697588126159557</v>
      </c>
      <c r="BC699">
        <v>0</v>
      </c>
      <c r="BD699">
        <v>0</v>
      </c>
      <c r="BE699">
        <v>0.11665120593692022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4.6382189239332098E-3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0.10667903525046386</v>
      </c>
      <c r="CB699">
        <v>0</v>
      </c>
    </row>
    <row r="700" spans="1:80">
      <c r="A700">
        <v>699</v>
      </c>
      <c r="B700" t="s">
        <v>84</v>
      </c>
      <c r="C700" s="4" t="s">
        <v>171</v>
      </c>
      <c r="D700" s="4" t="s">
        <v>118</v>
      </c>
      <c r="E700" s="5">
        <v>40420</v>
      </c>
      <c r="F700" s="5">
        <v>40420</v>
      </c>
      <c r="G700">
        <v>1009</v>
      </c>
      <c r="H700" s="4" t="s">
        <v>110</v>
      </c>
      <c r="I700" s="4" t="s">
        <v>109</v>
      </c>
      <c r="J700" s="4" t="str">
        <f t="shared" si="10"/>
        <v>u_rem.c_rem</v>
      </c>
      <c r="K700" s="5">
        <v>1</v>
      </c>
      <c r="L700">
        <v>3.9737730975561297E-3</v>
      </c>
      <c r="M700">
        <v>4.0135108285316912E-2</v>
      </c>
      <c r="N700">
        <v>5.1857738923107501E-2</v>
      </c>
      <c r="O700">
        <v>0</v>
      </c>
      <c r="P700">
        <v>0</v>
      </c>
      <c r="Q700">
        <v>7.1527915756010349E-2</v>
      </c>
      <c r="R700">
        <v>7.9475461951122595E-3</v>
      </c>
      <c r="S700">
        <v>0</v>
      </c>
      <c r="T700">
        <v>3.9737730975561297E-3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3.9737730975561297E-3</v>
      </c>
      <c r="AJ700">
        <v>0</v>
      </c>
      <c r="AK700">
        <v>0</v>
      </c>
      <c r="AL700">
        <v>1.5895092390224519E-2</v>
      </c>
      <c r="AM700">
        <v>0</v>
      </c>
      <c r="AN700">
        <v>4.5698390621895495E-3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1.9868865487780648E-4</v>
      </c>
      <c r="AW700">
        <v>0</v>
      </c>
      <c r="AX700">
        <v>1.9868865487780648E-4</v>
      </c>
      <c r="AY700">
        <v>0</v>
      </c>
      <c r="AZ700">
        <v>0</v>
      </c>
      <c r="BA700">
        <v>8.8217762765746111E-2</v>
      </c>
      <c r="BB700">
        <v>0.31015299026425591</v>
      </c>
      <c r="BC700">
        <v>0</v>
      </c>
      <c r="BD700">
        <v>0</v>
      </c>
      <c r="BE700">
        <v>0.30995430160937809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7.9475461951122595E-3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7.9475461951122608E-2</v>
      </c>
      <c r="CB700">
        <v>0</v>
      </c>
    </row>
    <row r="701" spans="1:80">
      <c r="A701">
        <v>700</v>
      </c>
      <c r="B701" t="s">
        <v>85</v>
      </c>
      <c r="C701" s="4" t="s">
        <v>171</v>
      </c>
      <c r="D701" s="4" t="s">
        <v>118</v>
      </c>
      <c r="E701" s="5">
        <v>40420</v>
      </c>
      <c r="F701" s="5">
        <v>40420</v>
      </c>
      <c r="G701">
        <v>1009</v>
      </c>
      <c r="H701" s="4" t="s">
        <v>110</v>
      </c>
      <c r="I701" s="4" t="s">
        <v>108</v>
      </c>
      <c r="J701" s="4" t="str">
        <f t="shared" si="10"/>
        <v>u_rem.c_con</v>
      </c>
      <c r="K701" s="5">
        <v>8</v>
      </c>
      <c r="L701">
        <v>8.6662439230606667E-3</v>
      </c>
      <c r="M701">
        <v>0.1693088142041852</v>
      </c>
      <c r="N701">
        <v>2.5364616360177557E-2</v>
      </c>
      <c r="O701">
        <v>0</v>
      </c>
      <c r="P701">
        <v>0</v>
      </c>
      <c r="Q701">
        <v>0.18600718664130209</v>
      </c>
      <c r="R701">
        <v>0</v>
      </c>
      <c r="S701">
        <v>0</v>
      </c>
      <c r="T701">
        <v>3.001479602621011E-2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8.454872120059187E-3</v>
      </c>
      <c r="AF701">
        <v>0</v>
      </c>
      <c r="AG701">
        <v>0</v>
      </c>
      <c r="AH701">
        <v>2.1137180300147965E-4</v>
      </c>
      <c r="AI701">
        <v>4.2274360600295935E-3</v>
      </c>
      <c r="AJ701">
        <v>0</v>
      </c>
      <c r="AK701">
        <v>0</v>
      </c>
      <c r="AL701">
        <v>0</v>
      </c>
      <c r="AM701">
        <v>0</v>
      </c>
      <c r="AN701">
        <v>2.1137180300147965E-4</v>
      </c>
      <c r="AO701">
        <v>0</v>
      </c>
      <c r="AP701">
        <v>0</v>
      </c>
      <c r="AQ701">
        <v>1.6909744240118374E-2</v>
      </c>
      <c r="AR701">
        <v>0</v>
      </c>
      <c r="AS701">
        <v>8.454872120059187E-3</v>
      </c>
      <c r="AT701">
        <v>0</v>
      </c>
      <c r="AU701">
        <v>0</v>
      </c>
      <c r="AV701">
        <v>0</v>
      </c>
      <c r="AW701">
        <v>0</v>
      </c>
      <c r="AX701">
        <v>2.1137180300147965E-4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0.10610864510674278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2.1137180300147965E-4</v>
      </c>
      <c r="BO701">
        <v>0</v>
      </c>
      <c r="BP701">
        <v>2.1137180300147965E-4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4.2274360600295935E-3</v>
      </c>
      <c r="BX701">
        <v>0</v>
      </c>
      <c r="BY701">
        <v>0</v>
      </c>
      <c r="BZ701">
        <v>0</v>
      </c>
      <c r="CA701">
        <v>0.43119847812301848</v>
      </c>
      <c r="CB701">
        <v>0</v>
      </c>
    </row>
    <row r="702" spans="1:80">
      <c r="A702">
        <v>701</v>
      </c>
      <c r="B702" t="s">
        <v>86</v>
      </c>
      <c r="C702" s="4" t="s">
        <v>172</v>
      </c>
      <c r="D702" s="4" t="s">
        <v>118</v>
      </c>
      <c r="E702" s="5">
        <v>40420</v>
      </c>
      <c r="F702" s="5">
        <v>40420</v>
      </c>
      <c r="G702">
        <v>1009</v>
      </c>
      <c r="H702" s="4" t="s">
        <v>107</v>
      </c>
      <c r="I702" s="4" t="s">
        <v>108</v>
      </c>
      <c r="J702" s="4" t="str">
        <f t="shared" si="10"/>
        <v>u_con.c_con</v>
      </c>
      <c r="K702" s="5">
        <v>19</v>
      </c>
      <c r="L702">
        <v>0</v>
      </c>
      <c r="M702">
        <v>3.0963057868887471E-2</v>
      </c>
      <c r="N702">
        <v>2.5624599615631006E-2</v>
      </c>
      <c r="O702">
        <v>0</v>
      </c>
      <c r="P702">
        <v>0</v>
      </c>
      <c r="Q702">
        <v>4.4843049327354268E-3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4.2707666026051676E-3</v>
      </c>
      <c r="Y702">
        <v>0.15823190262652145</v>
      </c>
      <c r="Z702">
        <v>4.2707666026051676E-3</v>
      </c>
      <c r="AA702">
        <v>0</v>
      </c>
      <c r="AB702">
        <v>0</v>
      </c>
      <c r="AC702">
        <v>0</v>
      </c>
      <c r="AD702">
        <v>0</v>
      </c>
      <c r="AE702">
        <v>4.4843049327354268E-3</v>
      </c>
      <c r="AF702">
        <v>0</v>
      </c>
      <c r="AG702">
        <v>1.2812299807815505E-2</v>
      </c>
      <c r="AH702">
        <v>2.135383301302584E-4</v>
      </c>
      <c r="AI702">
        <v>4.4843049327354268E-3</v>
      </c>
      <c r="AJ702">
        <v>0</v>
      </c>
      <c r="AK702">
        <v>0</v>
      </c>
      <c r="AL702">
        <v>1.7083066410420671E-2</v>
      </c>
      <c r="AM702">
        <v>0</v>
      </c>
      <c r="AN702">
        <v>9.6092248558616294E-3</v>
      </c>
      <c r="AO702">
        <v>0</v>
      </c>
      <c r="AP702">
        <v>0</v>
      </c>
      <c r="AQ702">
        <v>0</v>
      </c>
      <c r="AR702">
        <v>0</v>
      </c>
      <c r="AS702">
        <v>1.2812299807815505E-2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0.20926756352765316</v>
      </c>
      <c r="BB702">
        <v>0.11125346999786465</v>
      </c>
      <c r="BC702">
        <v>0</v>
      </c>
      <c r="BD702">
        <v>0</v>
      </c>
      <c r="BE702">
        <v>0.11573777493060004</v>
      </c>
      <c r="BF702">
        <v>4.4843049327354268E-3</v>
      </c>
      <c r="BG702">
        <v>4.2707666026051676E-3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2.135383301302584E-4</v>
      </c>
      <c r="BO702">
        <v>0</v>
      </c>
      <c r="BP702">
        <v>3.8436899423446504E-2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2.1567371343156099E-2</v>
      </c>
      <c r="BY702">
        <v>0</v>
      </c>
      <c r="BZ702">
        <v>0</v>
      </c>
      <c r="CA702">
        <v>0.19645526371983765</v>
      </c>
      <c r="CB702">
        <v>0</v>
      </c>
    </row>
    <row r="703" spans="1:80">
      <c r="A703">
        <v>702</v>
      </c>
      <c r="B703" t="s">
        <v>87</v>
      </c>
      <c r="C703" s="4" t="s">
        <v>172</v>
      </c>
      <c r="D703" s="4" t="s">
        <v>118</v>
      </c>
      <c r="E703" s="5">
        <v>40420</v>
      </c>
      <c r="F703" s="5">
        <v>40420</v>
      </c>
      <c r="G703">
        <v>1009</v>
      </c>
      <c r="H703" s="4" t="s">
        <v>107</v>
      </c>
      <c r="I703" s="4" t="s">
        <v>109</v>
      </c>
      <c r="J703" s="4" t="str">
        <f t="shared" si="10"/>
        <v>u_con.c_rem</v>
      </c>
      <c r="K703" s="5">
        <v>2</v>
      </c>
      <c r="L703">
        <v>1.5844620495783286E-2</v>
      </c>
      <c r="M703">
        <v>2.7089189879887548E-2</v>
      </c>
      <c r="N703">
        <v>6.2356248402760016E-2</v>
      </c>
      <c r="O703">
        <v>0</v>
      </c>
      <c r="P703">
        <v>0</v>
      </c>
      <c r="Q703">
        <v>5.1111679018655751E-3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3.066700741119345E-2</v>
      </c>
      <c r="Z703">
        <v>5.1111679018655751E-3</v>
      </c>
      <c r="AA703">
        <v>0</v>
      </c>
      <c r="AB703">
        <v>0</v>
      </c>
      <c r="AC703">
        <v>0</v>
      </c>
      <c r="AD703">
        <v>0</v>
      </c>
      <c r="AE703">
        <v>7.1811909021211345E-2</v>
      </c>
      <c r="AF703">
        <v>0</v>
      </c>
      <c r="AG703">
        <v>0</v>
      </c>
      <c r="AH703">
        <v>5.3667262969588547E-3</v>
      </c>
      <c r="AI703">
        <v>5.6733963710707887E-2</v>
      </c>
      <c r="AJ703">
        <v>0</v>
      </c>
      <c r="AK703">
        <v>0</v>
      </c>
      <c r="AL703">
        <v>0</v>
      </c>
      <c r="AM703">
        <v>4.1656018400204435E-2</v>
      </c>
      <c r="AN703">
        <v>5.6222846920521334E-3</v>
      </c>
      <c r="AO703">
        <v>0</v>
      </c>
      <c r="AP703">
        <v>0</v>
      </c>
      <c r="AQ703">
        <v>0</v>
      </c>
      <c r="AR703">
        <v>0</v>
      </c>
      <c r="AS703">
        <v>2.5811397904421152E-2</v>
      </c>
      <c r="AT703">
        <v>7.6667518527983626E-4</v>
      </c>
      <c r="AU703">
        <v>5.1111679018655751E-3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0.23511372348581647</v>
      </c>
      <c r="BB703">
        <v>0.10273447482749808</v>
      </c>
      <c r="BC703">
        <v>0</v>
      </c>
      <c r="BD703">
        <v>0</v>
      </c>
      <c r="BE703">
        <v>7.1811909021211345E-2</v>
      </c>
      <c r="BF703">
        <v>5.1111679018655751E-4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3.628929210324558E-2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0.19422438027089187</v>
      </c>
      <c r="CB703">
        <v>0</v>
      </c>
    </row>
    <row r="704" spans="1:80">
      <c r="A704">
        <v>703</v>
      </c>
      <c r="B704" t="s">
        <v>88</v>
      </c>
      <c r="C704" s="4" t="s">
        <v>172</v>
      </c>
      <c r="D704" s="4" t="s">
        <v>118</v>
      </c>
      <c r="E704" s="5">
        <v>40420</v>
      </c>
      <c r="F704" s="5">
        <v>40420</v>
      </c>
      <c r="G704">
        <v>1009</v>
      </c>
      <c r="H704" s="4" t="s">
        <v>107</v>
      </c>
      <c r="I704" s="4" t="s">
        <v>109</v>
      </c>
      <c r="J704" s="4" t="str">
        <f t="shared" si="10"/>
        <v>u_con.c_rem</v>
      </c>
      <c r="K704" s="5">
        <v>2</v>
      </c>
      <c r="L704">
        <v>0</v>
      </c>
      <c r="M704">
        <v>4.8286962520119568E-3</v>
      </c>
      <c r="N704">
        <v>8.3237525868015652E-2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1.4945964589560821E-2</v>
      </c>
      <c r="Y704">
        <v>9.1975166704989647E-3</v>
      </c>
      <c r="Z704">
        <v>3.6790066681995859E-2</v>
      </c>
      <c r="AA704">
        <v>0</v>
      </c>
      <c r="AB704">
        <v>0</v>
      </c>
      <c r="AC704">
        <v>0</v>
      </c>
      <c r="AD704">
        <v>0</v>
      </c>
      <c r="AE704">
        <v>1.8395033340997929E-2</v>
      </c>
      <c r="AF704">
        <v>0</v>
      </c>
      <c r="AG704">
        <v>0</v>
      </c>
      <c r="AH704">
        <v>0</v>
      </c>
      <c r="AI704">
        <v>5.1046217521269262E-2</v>
      </c>
      <c r="AJ704">
        <v>0</v>
      </c>
      <c r="AK704">
        <v>0</v>
      </c>
      <c r="AL704">
        <v>0</v>
      </c>
      <c r="AM704">
        <v>4.2078638767532761E-2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1.0117268337548863E-2</v>
      </c>
      <c r="AT704">
        <v>1.1496895838123706E-3</v>
      </c>
      <c r="AU704">
        <v>0</v>
      </c>
      <c r="AV704">
        <v>4.8286962520119568E-3</v>
      </c>
      <c r="AW704">
        <v>0</v>
      </c>
      <c r="AX704">
        <v>0</v>
      </c>
      <c r="AY704">
        <v>0</v>
      </c>
      <c r="AZ704">
        <v>4.5987583352494824E-3</v>
      </c>
      <c r="BA704">
        <v>0.34950563347896058</v>
      </c>
      <c r="BB704">
        <v>0.10117268337548863</v>
      </c>
      <c r="BC704">
        <v>0</v>
      </c>
      <c r="BD704">
        <v>0</v>
      </c>
      <c r="BE704">
        <v>7.3580133363991732E-2</v>
      </c>
      <c r="BF704">
        <v>1.0117268337548863E-2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2.2993791676247412E-2</v>
      </c>
      <c r="BO704">
        <v>0</v>
      </c>
      <c r="BP704">
        <v>1.3796275005748447E-2</v>
      </c>
      <c r="BQ704">
        <v>1.3796275005748449E-2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4.5987583352494824E-3</v>
      </c>
      <c r="BY704">
        <v>0</v>
      </c>
      <c r="BZ704">
        <v>4.8286962520119568E-3</v>
      </c>
      <c r="CA704">
        <v>0.12416647505173607</v>
      </c>
      <c r="CB704">
        <v>0</v>
      </c>
    </row>
    <row r="705" spans="1:80">
      <c r="A705">
        <v>704</v>
      </c>
      <c r="B705" t="s">
        <v>89</v>
      </c>
      <c r="C705" s="4" t="s">
        <v>172</v>
      </c>
      <c r="D705" s="4" t="s">
        <v>118</v>
      </c>
      <c r="E705" s="5">
        <v>40420</v>
      </c>
      <c r="F705" s="5">
        <v>40420</v>
      </c>
      <c r="G705">
        <v>1009</v>
      </c>
      <c r="H705" s="4" t="s">
        <v>107</v>
      </c>
      <c r="I705" s="4" t="s">
        <v>108</v>
      </c>
      <c r="J705" s="4" t="str">
        <f t="shared" si="10"/>
        <v>u_con.c_con</v>
      </c>
      <c r="K705" s="5">
        <v>19</v>
      </c>
      <c r="L705">
        <v>0</v>
      </c>
      <c r="M705">
        <v>3.6217303822937634E-2</v>
      </c>
      <c r="N705">
        <v>0.107981220657277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4.6948356807511747E-3</v>
      </c>
      <c r="Y705">
        <v>0.11178180192264699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4.068857589984351E-2</v>
      </c>
      <c r="AF705">
        <v>0</v>
      </c>
      <c r="AG705">
        <v>4.4712720769058802E-3</v>
      </c>
      <c r="AH705">
        <v>0</v>
      </c>
      <c r="AI705">
        <v>1.7885088307623521E-2</v>
      </c>
      <c r="AJ705">
        <v>0</v>
      </c>
      <c r="AK705">
        <v>0</v>
      </c>
      <c r="AL705">
        <v>0</v>
      </c>
      <c r="AM705">
        <v>4.493628437290409E-2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1.386094343840823E-2</v>
      </c>
      <c r="AT705">
        <v>2.23563603845294E-4</v>
      </c>
      <c r="AU705">
        <v>4.47127207690588E-4</v>
      </c>
      <c r="AV705">
        <v>4.4712720769058802E-3</v>
      </c>
      <c r="AW705">
        <v>2.23563603845294E-4</v>
      </c>
      <c r="AX705">
        <v>2.23563603845294E-4</v>
      </c>
      <c r="AY705">
        <v>0</v>
      </c>
      <c r="AZ705">
        <v>0</v>
      </c>
      <c r="BA705">
        <v>0.20612564274536097</v>
      </c>
      <c r="BB705">
        <v>4.1135703107534095E-2</v>
      </c>
      <c r="BC705">
        <v>0</v>
      </c>
      <c r="BD705">
        <v>0</v>
      </c>
      <c r="BE705">
        <v>0.13056114464565166</v>
      </c>
      <c r="BF705">
        <v>5.3655264922870564E-3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4.6948356807511747E-3</v>
      </c>
      <c r="BO705">
        <v>0</v>
      </c>
      <c r="BP705">
        <v>3.5993740219092331E-2</v>
      </c>
      <c r="BQ705">
        <v>0</v>
      </c>
      <c r="BR705">
        <v>0</v>
      </c>
      <c r="BS705">
        <v>4.4712720769058802E-3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4.6948356807511747E-3</v>
      </c>
      <c r="CA705">
        <v>0.1788508830762352</v>
      </c>
      <c r="CB705">
        <v>0</v>
      </c>
    </row>
    <row r="706" spans="1:80">
      <c r="A706">
        <v>705</v>
      </c>
      <c r="B706" t="s">
        <v>90</v>
      </c>
      <c r="C706" s="4" t="s">
        <v>173</v>
      </c>
      <c r="D706" s="4" t="s">
        <v>118</v>
      </c>
      <c r="E706" s="5">
        <v>40420</v>
      </c>
      <c r="F706" s="5">
        <v>40420</v>
      </c>
      <c r="G706">
        <v>1009</v>
      </c>
      <c r="H706" s="4" t="s">
        <v>107</v>
      </c>
      <c r="I706" s="4" t="s">
        <v>108</v>
      </c>
      <c r="J706" s="4" t="str">
        <f t="shared" ref="J706:J769" si="11">CONCATENATE(H706,".",I706)</f>
        <v>u_con.c_con</v>
      </c>
      <c r="K706" s="5">
        <v>19</v>
      </c>
      <c r="L706">
        <v>0</v>
      </c>
      <c r="M706">
        <v>3.8832666509767008E-2</v>
      </c>
      <c r="N706">
        <v>0.19839962344080958</v>
      </c>
      <c r="O706">
        <v>0</v>
      </c>
      <c r="P706">
        <v>0</v>
      </c>
      <c r="Q706">
        <v>1.929865850788421E-2</v>
      </c>
      <c r="R706">
        <v>3.7655919039774069E-2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3.3419628147799488E-2</v>
      </c>
      <c r="AA706">
        <v>0</v>
      </c>
      <c r="AB706">
        <v>0</v>
      </c>
      <c r="AC706">
        <v>0</v>
      </c>
      <c r="AD706">
        <v>0</v>
      </c>
      <c r="AE706">
        <v>9.4139797599435172E-3</v>
      </c>
      <c r="AF706">
        <v>0</v>
      </c>
      <c r="AG706">
        <v>3.7655919039774069E-2</v>
      </c>
      <c r="AH706">
        <v>9.4139797599435172E-3</v>
      </c>
      <c r="AI706">
        <v>3.7891268533772657E-2</v>
      </c>
      <c r="AJ706">
        <v>0</v>
      </c>
      <c r="AK706">
        <v>0</v>
      </c>
      <c r="AL706">
        <v>4.7069898799717586E-3</v>
      </c>
      <c r="AM706">
        <v>0</v>
      </c>
      <c r="AN706">
        <v>1.5062367615909631E-2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1.0120028241939283E-2</v>
      </c>
      <c r="AU706">
        <v>0</v>
      </c>
      <c r="AV706">
        <v>0</v>
      </c>
      <c r="AW706">
        <v>0</v>
      </c>
      <c r="AX706">
        <v>1.929865850788421E-2</v>
      </c>
      <c r="AY706">
        <v>0</v>
      </c>
      <c r="AZ706">
        <v>0</v>
      </c>
      <c r="BA706">
        <v>0.15533066603906806</v>
      </c>
      <c r="BB706">
        <v>0.10826076723935048</v>
      </c>
      <c r="BC706">
        <v>0</v>
      </c>
      <c r="BD706">
        <v>0</v>
      </c>
      <c r="BE706">
        <v>1.035537773593787E-2</v>
      </c>
      <c r="BF706">
        <v>2.3534949399858793E-4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9.4139797599435172E-3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4.7069898799717586E-3</v>
      </c>
      <c r="BX706">
        <v>0</v>
      </c>
      <c r="BY706">
        <v>0</v>
      </c>
      <c r="BZ706">
        <v>0</v>
      </c>
      <c r="CA706">
        <v>0.24005648387855963</v>
      </c>
      <c r="CB706">
        <v>0</v>
      </c>
    </row>
    <row r="707" spans="1:80">
      <c r="A707">
        <v>706</v>
      </c>
      <c r="B707" t="s">
        <v>91</v>
      </c>
      <c r="C707" s="4" t="s">
        <v>173</v>
      </c>
      <c r="D707" s="4" t="s">
        <v>118</v>
      </c>
      <c r="E707" s="5">
        <v>40420</v>
      </c>
      <c r="F707" s="5">
        <v>40420</v>
      </c>
      <c r="G707">
        <v>1009</v>
      </c>
      <c r="H707" s="4" t="s">
        <v>107</v>
      </c>
      <c r="I707" s="4" t="s">
        <v>109</v>
      </c>
      <c r="J707" s="4" t="str">
        <f t="shared" si="11"/>
        <v>u_con.c_rem</v>
      </c>
      <c r="K707" s="5">
        <v>2</v>
      </c>
      <c r="L707">
        <v>0</v>
      </c>
      <c r="M707">
        <v>1.9470228661987776E-2</v>
      </c>
      <c r="N707">
        <v>3.1922119085352044E-2</v>
      </c>
      <c r="O707">
        <v>1.811184061580258E-2</v>
      </c>
      <c r="P707">
        <v>0</v>
      </c>
      <c r="Q707">
        <v>0.14942268508037129</v>
      </c>
      <c r="R707">
        <v>0.12678288431061804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4.7543581616481777E-3</v>
      </c>
      <c r="Y707">
        <v>5.8863482001358387E-2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2.2639800769753225E-4</v>
      </c>
      <c r="AF707">
        <v>0</v>
      </c>
      <c r="AG707">
        <v>0</v>
      </c>
      <c r="AH707">
        <v>2.2639800769753225E-4</v>
      </c>
      <c r="AI707">
        <v>9.0559203079012898E-3</v>
      </c>
      <c r="AJ707">
        <v>0</v>
      </c>
      <c r="AK707">
        <v>0</v>
      </c>
      <c r="AL707">
        <v>4.5279601539506449E-3</v>
      </c>
      <c r="AM707">
        <v>0</v>
      </c>
      <c r="AN707">
        <v>1.8564636631197645E-2</v>
      </c>
      <c r="AO707">
        <v>0</v>
      </c>
      <c r="AP707">
        <v>0</v>
      </c>
      <c r="AQ707">
        <v>0</v>
      </c>
      <c r="AR707">
        <v>0</v>
      </c>
      <c r="AS707">
        <v>4.7543581616481777E-3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9.101199909440795E-2</v>
      </c>
      <c r="BB707">
        <v>2.7394158931401402E-2</v>
      </c>
      <c r="BC707">
        <v>0</v>
      </c>
      <c r="BD707">
        <v>0</v>
      </c>
      <c r="BE707">
        <v>0.26262168892913734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9.2823183155988226E-3</v>
      </c>
      <c r="BL707">
        <v>0</v>
      </c>
      <c r="BM707">
        <v>0</v>
      </c>
      <c r="BN707">
        <v>0</v>
      </c>
      <c r="BO707">
        <v>0</v>
      </c>
      <c r="BP707">
        <v>9.0559203079012898E-3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0.14942268508037129</v>
      </c>
      <c r="CB707">
        <v>4.5279601539506449E-3</v>
      </c>
    </row>
    <row r="708" spans="1:80">
      <c r="A708">
        <v>707</v>
      </c>
      <c r="B708" t="s">
        <v>92</v>
      </c>
      <c r="C708" s="4" t="s">
        <v>173</v>
      </c>
      <c r="D708" s="4" t="s">
        <v>118</v>
      </c>
      <c r="E708" s="5">
        <v>40420</v>
      </c>
      <c r="F708" s="5">
        <v>40420</v>
      </c>
      <c r="G708">
        <v>1009</v>
      </c>
      <c r="H708" s="4" t="s">
        <v>107</v>
      </c>
      <c r="I708" s="4" t="s">
        <v>108</v>
      </c>
      <c r="J708" s="4" t="str">
        <f t="shared" si="11"/>
        <v>u_con.c_con</v>
      </c>
      <c r="K708" s="5">
        <v>19</v>
      </c>
      <c r="L708">
        <v>5.0994390617032127E-3</v>
      </c>
      <c r="M708">
        <v>1.121876593574707E-2</v>
      </c>
      <c r="N708">
        <v>7.2412034676185635E-2</v>
      </c>
      <c r="O708">
        <v>0</v>
      </c>
      <c r="P708">
        <v>0</v>
      </c>
      <c r="Q708">
        <v>4.0795512493625702E-2</v>
      </c>
      <c r="R708">
        <v>0.11269760326364102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0.11218765935747069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3.1361550229474761E-2</v>
      </c>
      <c r="AJ708">
        <v>0</v>
      </c>
      <c r="AK708">
        <v>0</v>
      </c>
      <c r="AL708">
        <v>0</v>
      </c>
      <c r="AM708">
        <v>0</v>
      </c>
      <c r="AN708">
        <v>1.529831718510964E-3</v>
      </c>
      <c r="AO708">
        <v>0</v>
      </c>
      <c r="AP708">
        <v>0</v>
      </c>
      <c r="AQ708">
        <v>0</v>
      </c>
      <c r="AR708">
        <v>0</v>
      </c>
      <c r="AS708">
        <v>1.0198878123406425E-2</v>
      </c>
      <c r="AT708">
        <v>0</v>
      </c>
      <c r="AU708">
        <v>0</v>
      </c>
      <c r="AV708">
        <v>0</v>
      </c>
      <c r="AW708">
        <v>5.0994390617032127E-3</v>
      </c>
      <c r="AX708">
        <v>0</v>
      </c>
      <c r="AY708">
        <v>0</v>
      </c>
      <c r="AZ708">
        <v>0</v>
      </c>
      <c r="BA708">
        <v>0.12748597654258034</v>
      </c>
      <c r="BB708">
        <v>7.6491585925548208E-2</v>
      </c>
      <c r="BC708">
        <v>0</v>
      </c>
      <c r="BD708">
        <v>0</v>
      </c>
      <c r="BE708">
        <v>0.22463029066802653</v>
      </c>
      <c r="BF708">
        <v>5.3544110147883735E-3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5.3544110147883735E-3</v>
      </c>
      <c r="BO708">
        <v>0</v>
      </c>
      <c r="BP708">
        <v>5.0994390617032127E-3</v>
      </c>
      <c r="BQ708">
        <v>5.0994390617032127E-3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0.14788373278939315</v>
      </c>
      <c r="CB708">
        <v>0</v>
      </c>
    </row>
    <row r="709" spans="1:80">
      <c r="A709">
        <v>708</v>
      </c>
      <c r="B709" t="s">
        <v>93</v>
      </c>
      <c r="C709" s="4" t="s">
        <v>173</v>
      </c>
      <c r="D709" s="4" t="s">
        <v>118</v>
      </c>
      <c r="E709" s="5">
        <v>40420</v>
      </c>
      <c r="F709" s="5">
        <v>40420</v>
      </c>
      <c r="G709">
        <v>1009</v>
      </c>
      <c r="H709" s="4" t="s">
        <v>107</v>
      </c>
      <c r="I709" s="4" t="s">
        <v>109</v>
      </c>
      <c r="J709" s="4" t="str">
        <f t="shared" si="11"/>
        <v>u_con.c_rem</v>
      </c>
      <c r="K709" s="5">
        <v>2</v>
      </c>
      <c r="L709">
        <v>4.9248953459738983E-4</v>
      </c>
      <c r="M709">
        <v>1.0588524993843882E-2</v>
      </c>
      <c r="N709">
        <v>7.8798325535582386E-2</v>
      </c>
      <c r="O709">
        <v>0</v>
      </c>
      <c r="P709">
        <v>0</v>
      </c>
      <c r="Q709">
        <v>6.9194779610933274E-2</v>
      </c>
      <c r="R709">
        <v>1.994582615119429E-2</v>
      </c>
      <c r="S709">
        <v>0</v>
      </c>
      <c r="T709">
        <v>4.9248953459738983E-3</v>
      </c>
      <c r="U709">
        <v>0</v>
      </c>
      <c r="V709">
        <v>0</v>
      </c>
      <c r="W709">
        <v>0</v>
      </c>
      <c r="X709">
        <v>2.4624476729869491E-4</v>
      </c>
      <c r="Y709">
        <v>0.18714602314700815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4.9248953459738983E-3</v>
      </c>
      <c r="AF709">
        <v>0</v>
      </c>
      <c r="AG709">
        <v>0</v>
      </c>
      <c r="AH709">
        <v>0</v>
      </c>
      <c r="AI709">
        <v>1.4774686037921696E-2</v>
      </c>
      <c r="AJ709">
        <v>0</v>
      </c>
      <c r="AK709">
        <v>0</v>
      </c>
      <c r="AL709">
        <v>0</v>
      </c>
      <c r="AM709">
        <v>0</v>
      </c>
      <c r="AN709">
        <v>1.994582615119429E-2</v>
      </c>
      <c r="AO709">
        <v>0</v>
      </c>
      <c r="AP709">
        <v>0</v>
      </c>
      <c r="AQ709">
        <v>0</v>
      </c>
      <c r="AR709">
        <v>0</v>
      </c>
      <c r="AS709">
        <v>1.0096035459246491E-2</v>
      </c>
      <c r="AT709">
        <v>0</v>
      </c>
      <c r="AU709">
        <v>0</v>
      </c>
      <c r="AV709">
        <v>0</v>
      </c>
      <c r="AW709">
        <v>0</v>
      </c>
      <c r="AX709">
        <v>1.0096035459246491E-2</v>
      </c>
      <c r="AY709">
        <v>0</v>
      </c>
      <c r="AZ709">
        <v>0</v>
      </c>
      <c r="BA709">
        <v>0.12853976852991875</v>
      </c>
      <c r="BB709">
        <v>9.8990396454075369E-2</v>
      </c>
      <c r="BC709">
        <v>0</v>
      </c>
      <c r="BD709">
        <v>0</v>
      </c>
      <c r="BE709">
        <v>0.16276779118443729</v>
      </c>
      <c r="BF709">
        <v>2.4624476729869491E-4</v>
      </c>
      <c r="BG709">
        <v>0</v>
      </c>
      <c r="BH709">
        <v>0</v>
      </c>
      <c r="BI709">
        <v>0</v>
      </c>
      <c r="BJ709">
        <v>0</v>
      </c>
      <c r="BK709">
        <v>2.4624476729869491E-4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9.8497906919477966E-3</v>
      </c>
      <c r="BY709">
        <v>0</v>
      </c>
      <c r="BZ709">
        <v>4.9248953459738983E-3</v>
      </c>
      <c r="CA709">
        <v>0.16252154641713865</v>
      </c>
      <c r="CB709">
        <v>0</v>
      </c>
    </row>
    <row r="710" spans="1:80">
      <c r="A710">
        <v>709</v>
      </c>
      <c r="B710" t="s">
        <v>94</v>
      </c>
      <c r="C710" s="4" t="s">
        <v>174</v>
      </c>
      <c r="D710" s="4" t="s">
        <v>118</v>
      </c>
      <c r="E710" s="5">
        <v>40420</v>
      </c>
      <c r="F710" s="5">
        <v>40420</v>
      </c>
      <c r="G710">
        <v>1009</v>
      </c>
      <c r="H710" s="4" t="s">
        <v>110</v>
      </c>
      <c r="I710" s="4" t="s">
        <v>108</v>
      </c>
      <c r="J710" s="4" t="str">
        <f t="shared" si="11"/>
        <v>u_rem.c_con</v>
      </c>
      <c r="K710" s="5">
        <v>8</v>
      </c>
      <c r="L710">
        <v>1.8827959519887034E-2</v>
      </c>
      <c r="M710">
        <v>7.6017886561543929E-2</v>
      </c>
      <c r="N710">
        <v>0.34831725111791006</v>
      </c>
      <c r="O710">
        <v>0</v>
      </c>
      <c r="P710">
        <v>0</v>
      </c>
      <c r="Q710">
        <v>3.7655919039774069E-2</v>
      </c>
      <c r="R710">
        <v>0.28712638267827728</v>
      </c>
      <c r="S710">
        <v>0</v>
      </c>
      <c r="T710">
        <v>2.3534949399858795E-2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1.4120969639915278E-2</v>
      </c>
      <c r="AI710">
        <v>8.4961167333490267E-2</v>
      </c>
      <c r="AJ710">
        <v>1.4356319133913865E-2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5.413038361967523E-3</v>
      </c>
      <c r="AU710">
        <v>0</v>
      </c>
      <c r="AV710">
        <v>0</v>
      </c>
      <c r="AW710">
        <v>0</v>
      </c>
      <c r="AX710">
        <v>2.3534949399858793E-4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8.9432807719463436E-2</v>
      </c>
      <c r="CB710">
        <v>0</v>
      </c>
    </row>
    <row r="711" spans="1:80">
      <c r="A711">
        <v>710</v>
      </c>
      <c r="B711" t="s">
        <v>95</v>
      </c>
      <c r="C711" s="4" t="s">
        <v>174</v>
      </c>
      <c r="D711" s="4" t="s">
        <v>118</v>
      </c>
      <c r="E711" s="5">
        <v>40420</v>
      </c>
      <c r="F711" s="5">
        <v>40420</v>
      </c>
      <c r="G711">
        <v>1009</v>
      </c>
      <c r="H711" s="4" t="s">
        <v>110</v>
      </c>
      <c r="I711" s="4" t="s">
        <v>109</v>
      </c>
      <c r="J711" s="4" t="str">
        <f t="shared" si="11"/>
        <v>u_rem.c_rem</v>
      </c>
      <c r="K711" s="5">
        <v>1</v>
      </c>
      <c r="L711">
        <v>4.9103854652590238E-3</v>
      </c>
      <c r="M711">
        <v>5.4996317210901063E-2</v>
      </c>
      <c r="N711">
        <v>0.25116621654799903</v>
      </c>
      <c r="O711">
        <v>0</v>
      </c>
      <c r="P711">
        <v>0</v>
      </c>
      <c r="Q711">
        <v>0.10802848023569851</v>
      </c>
      <c r="R711">
        <v>0</v>
      </c>
      <c r="S711">
        <v>0</v>
      </c>
      <c r="T711">
        <v>5.1559047385219747E-3</v>
      </c>
      <c r="U711">
        <v>0</v>
      </c>
      <c r="V711">
        <v>0</v>
      </c>
      <c r="W711">
        <v>4.9103854652590238E-3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2.9462312791554139E-2</v>
      </c>
      <c r="AF711">
        <v>0</v>
      </c>
      <c r="AG711">
        <v>0</v>
      </c>
      <c r="AH711">
        <v>7.4392339798674212E-2</v>
      </c>
      <c r="AI711">
        <v>6.4326049594893214E-2</v>
      </c>
      <c r="AJ711">
        <v>0.27498158605450529</v>
      </c>
      <c r="AK711">
        <v>0</v>
      </c>
      <c r="AL711">
        <v>0</v>
      </c>
      <c r="AM711">
        <v>0</v>
      </c>
      <c r="AN711">
        <v>2.4551927326295114E-4</v>
      </c>
      <c r="AO711">
        <v>0</v>
      </c>
      <c r="AP711">
        <v>0</v>
      </c>
      <c r="AQ711">
        <v>0</v>
      </c>
      <c r="AR711">
        <v>0</v>
      </c>
      <c r="AS711">
        <v>9.8207709305180458E-4</v>
      </c>
      <c r="AT711">
        <v>1.2275963663147559E-2</v>
      </c>
      <c r="AU711">
        <v>4.9103854652590238E-3</v>
      </c>
      <c r="AV711">
        <v>0</v>
      </c>
      <c r="AW711">
        <v>4.9103854652590238E-3</v>
      </c>
      <c r="AX711">
        <v>2.4551927326295114E-4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4.9103854652590229E-4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4.9103854652590238E-3</v>
      </c>
      <c r="BY711">
        <v>0</v>
      </c>
      <c r="BZ711">
        <v>0</v>
      </c>
      <c r="CA711">
        <v>9.8698747851706375E-2</v>
      </c>
      <c r="CB711">
        <v>0</v>
      </c>
    </row>
    <row r="712" spans="1:80">
      <c r="A712">
        <v>711</v>
      </c>
      <c r="B712" t="s">
        <v>96</v>
      </c>
      <c r="C712" s="4" t="s">
        <v>174</v>
      </c>
      <c r="D712" s="4" t="s">
        <v>118</v>
      </c>
      <c r="E712" s="5">
        <v>40420</v>
      </c>
      <c r="F712" s="5">
        <v>40420</v>
      </c>
      <c r="G712">
        <v>1009</v>
      </c>
      <c r="H712" s="4" t="s">
        <v>110</v>
      </c>
      <c r="I712" s="4" t="s">
        <v>109</v>
      </c>
      <c r="J712" s="4" t="str">
        <f t="shared" si="11"/>
        <v>u_rem.c_rem</v>
      </c>
      <c r="K712" s="5">
        <v>1</v>
      </c>
      <c r="L712">
        <v>2.1155066638459914E-2</v>
      </c>
      <c r="M712">
        <v>5.6695578591072569E-2</v>
      </c>
      <c r="N712">
        <v>0.28770890628305479</v>
      </c>
      <c r="O712">
        <v>0</v>
      </c>
      <c r="P712">
        <v>0</v>
      </c>
      <c r="Q712">
        <v>8.4620266553839651E-3</v>
      </c>
      <c r="R712">
        <v>0</v>
      </c>
      <c r="S712">
        <v>0</v>
      </c>
      <c r="T712">
        <v>6.3676750581764349E-2</v>
      </c>
      <c r="U712">
        <v>0</v>
      </c>
      <c r="V712">
        <v>0</v>
      </c>
      <c r="W712">
        <v>0</v>
      </c>
      <c r="X712">
        <v>4.2310133276919825E-3</v>
      </c>
      <c r="Y712">
        <v>1.269303998307595E-2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8.4620266553839651E-3</v>
      </c>
      <c r="AF712">
        <v>0</v>
      </c>
      <c r="AG712">
        <v>0</v>
      </c>
      <c r="AH712">
        <v>5.0983710598688385E-2</v>
      </c>
      <c r="AI712">
        <v>4.3579437275227423E-2</v>
      </c>
      <c r="AJ712">
        <v>0.26655383964459478</v>
      </c>
      <c r="AK712">
        <v>0</v>
      </c>
      <c r="AL712">
        <v>0</v>
      </c>
      <c r="AM712">
        <v>0</v>
      </c>
      <c r="AN712">
        <v>1.3539242648614346E-2</v>
      </c>
      <c r="AO712">
        <v>0</v>
      </c>
      <c r="AP712">
        <v>0</v>
      </c>
      <c r="AQ712">
        <v>0</v>
      </c>
      <c r="AR712">
        <v>0</v>
      </c>
      <c r="AS712">
        <v>1.692405331076793E-2</v>
      </c>
      <c r="AT712">
        <v>1.8404907975460127E-2</v>
      </c>
      <c r="AU712">
        <v>0</v>
      </c>
      <c r="AV712">
        <v>0</v>
      </c>
      <c r="AW712">
        <v>2.9617093293843877E-2</v>
      </c>
      <c r="AX712">
        <v>1.692405331076793E-2</v>
      </c>
      <c r="AY712">
        <v>0</v>
      </c>
      <c r="AZ712">
        <v>1.692405331076793E-2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4.2310133276919825E-3</v>
      </c>
      <c r="CA712">
        <v>5.9234186587687761E-2</v>
      </c>
      <c r="CB712">
        <v>0</v>
      </c>
    </row>
    <row r="713" spans="1:80">
      <c r="A713">
        <v>712</v>
      </c>
      <c r="B713" t="s">
        <v>97</v>
      </c>
      <c r="C713" s="4" t="s">
        <v>174</v>
      </c>
      <c r="D713" s="4" t="s">
        <v>118</v>
      </c>
      <c r="E713" s="5">
        <v>40420</v>
      </c>
      <c r="F713" s="5">
        <v>40420</v>
      </c>
      <c r="G713">
        <v>1009</v>
      </c>
      <c r="H713" s="4" t="s">
        <v>110</v>
      </c>
      <c r="I713" s="4" t="s">
        <v>108</v>
      </c>
      <c r="J713" s="4" t="str">
        <f t="shared" si="11"/>
        <v>u_rem.c_con</v>
      </c>
      <c r="K713" s="5">
        <v>8</v>
      </c>
      <c r="L713">
        <v>0</v>
      </c>
      <c r="M713">
        <v>7.5061124694376521E-2</v>
      </c>
      <c r="N713">
        <v>0.11246943765281175</v>
      </c>
      <c r="O713">
        <v>0</v>
      </c>
      <c r="P713">
        <v>0</v>
      </c>
      <c r="Q713">
        <v>4.9144254278728601E-2</v>
      </c>
      <c r="R713">
        <v>0.23471882640586797</v>
      </c>
      <c r="S713">
        <v>0</v>
      </c>
      <c r="T713">
        <v>1.5158924205378977E-2</v>
      </c>
      <c r="U713">
        <v>0</v>
      </c>
      <c r="V713">
        <v>0</v>
      </c>
      <c r="W713">
        <v>0</v>
      </c>
      <c r="X713">
        <v>4.8899755501222502E-3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5.1344743276283628E-3</v>
      </c>
      <c r="AI713">
        <v>1.5403422982885089E-2</v>
      </c>
      <c r="AJ713">
        <v>2.5183374083129585E-2</v>
      </c>
      <c r="AK713">
        <v>0</v>
      </c>
      <c r="AL713">
        <v>5.1344743276283628E-3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9.7799511002445E-4</v>
      </c>
      <c r="AT713">
        <v>2.444987775061125E-4</v>
      </c>
      <c r="AU713">
        <v>4.8899755501222502E-3</v>
      </c>
      <c r="AV713">
        <v>0</v>
      </c>
      <c r="AW713">
        <v>9.7799511002445E-4</v>
      </c>
      <c r="AX713">
        <v>1.5403422982885089E-2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4.8899755501222502E-3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1.9559902200489001E-2</v>
      </c>
      <c r="BY713">
        <v>0</v>
      </c>
      <c r="BZ713">
        <v>0</v>
      </c>
      <c r="CA713">
        <v>0.41075794621026895</v>
      </c>
      <c r="CB713">
        <v>0</v>
      </c>
    </row>
    <row r="714" spans="1:80">
      <c r="A714">
        <v>713</v>
      </c>
      <c r="B714" t="s">
        <v>98</v>
      </c>
      <c r="C714" s="4" t="s">
        <v>175</v>
      </c>
      <c r="D714" s="4" t="s">
        <v>118</v>
      </c>
      <c r="E714" s="5">
        <v>40420</v>
      </c>
      <c r="F714" s="5">
        <v>40420</v>
      </c>
      <c r="G714">
        <v>1009</v>
      </c>
      <c r="H714" s="4" t="s">
        <v>107</v>
      </c>
      <c r="I714" s="4" t="s">
        <v>109</v>
      </c>
      <c r="J714" s="4" t="str">
        <f t="shared" si="11"/>
        <v>u_con.c_rem</v>
      </c>
      <c r="K714" s="5">
        <v>2</v>
      </c>
      <c r="L714">
        <v>0</v>
      </c>
      <c r="M714">
        <v>0.11997242013330267</v>
      </c>
      <c r="N714">
        <v>3.2406343369340375E-2</v>
      </c>
      <c r="O714">
        <v>0</v>
      </c>
      <c r="P714">
        <v>0</v>
      </c>
      <c r="Q714">
        <v>4.5966444495518267E-3</v>
      </c>
      <c r="R714">
        <v>0</v>
      </c>
      <c r="S714">
        <v>0</v>
      </c>
      <c r="T714">
        <v>1.3789933348655482E-2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4.5966444495518267E-3</v>
      </c>
      <c r="AF714">
        <v>0</v>
      </c>
      <c r="AG714">
        <v>0</v>
      </c>
      <c r="AH714">
        <v>4.8264766720294188E-3</v>
      </c>
      <c r="AI714">
        <v>9.1932888991036549E-2</v>
      </c>
      <c r="AJ714">
        <v>5.5159733394621928E-2</v>
      </c>
      <c r="AK714">
        <v>0</v>
      </c>
      <c r="AL714">
        <v>0</v>
      </c>
      <c r="AM714">
        <v>0</v>
      </c>
      <c r="AN714">
        <v>1.4479430016088257E-2</v>
      </c>
      <c r="AO714">
        <v>0</v>
      </c>
      <c r="AP714">
        <v>0</v>
      </c>
      <c r="AQ714">
        <v>0</v>
      </c>
      <c r="AR714">
        <v>0</v>
      </c>
      <c r="AS714">
        <v>4.1369800045966437E-2</v>
      </c>
      <c r="AT714">
        <v>4.8264766720294188E-3</v>
      </c>
      <c r="AU714">
        <v>0</v>
      </c>
      <c r="AV714">
        <v>0</v>
      </c>
      <c r="AW714">
        <v>4.5966444495518267E-3</v>
      </c>
      <c r="AX714">
        <v>9.1932888991036535E-3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0.27120202252355768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4.8264766720294188E-3</v>
      </c>
      <c r="BY714">
        <v>0</v>
      </c>
      <c r="BZ714">
        <v>0</v>
      </c>
      <c r="CA714">
        <v>0.3217651114686278</v>
      </c>
      <c r="CB714">
        <v>0</v>
      </c>
    </row>
    <row r="715" spans="1:80">
      <c r="A715">
        <v>714</v>
      </c>
      <c r="B715" t="s">
        <v>99</v>
      </c>
      <c r="C715" s="4" t="s">
        <v>175</v>
      </c>
      <c r="D715" s="4" t="s">
        <v>118</v>
      </c>
      <c r="E715" s="5">
        <v>40420</v>
      </c>
      <c r="F715" s="5">
        <v>40420</v>
      </c>
      <c r="G715">
        <v>1009</v>
      </c>
      <c r="H715" s="4" t="s">
        <v>107</v>
      </c>
      <c r="I715" s="4" t="s">
        <v>108</v>
      </c>
      <c r="J715" s="4" t="str">
        <f t="shared" si="11"/>
        <v>u_con.c_con</v>
      </c>
      <c r="K715" s="5">
        <v>19</v>
      </c>
      <c r="L715">
        <v>4.6040515653775326E-3</v>
      </c>
      <c r="M715">
        <v>0.14755985267034993</v>
      </c>
      <c r="N715">
        <v>0.19383057090239408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4.6270718232044199E-2</v>
      </c>
      <c r="U715">
        <v>0</v>
      </c>
      <c r="V715">
        <v>0</v>
      </c>
      <c r="W715">
        <v>0</v>
      </c>
      <c r="X715">
        <v>2.3020257826887662E-4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1.38121546961326E-2</v>
      </c>
      <c r="AI715">
        <v>6.4686924493554329E-2</v>
      </c>
      <c r="AJ715">
        <v>9.668508287292818E-2</v>
      </c>
      <c r="AK715">
        <v>0</v>
      </c>
      <c r="AL715">
        <v>0</v>
      </c>
      <c r="AM715">
        <v>0</v>
      </c>
      <c r="AN715">
        <v>1.4272559852670353E-2</v>
      </c>
      <c r="AO715">
        <v>0</v>
      </c>
      <c r="AP715">
        <v>0</v>
      </c>
      <c r="AQ715">
        <v>0</v>
      </c>
      <c r="AR715">
        <v>0</v>
      </c>
      <c r="AS715">
        <v>1.9106813996316762E-2</v>
      </c>
      <c r="AT715">
        <v>1.1510128913443832E-3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7.9419889502762422E-2</v>
      </c>
      <c r="BB715">
        <v>0</v>
      </c>
      <c r="BC715">
        <v>0</v>
      </c>
      <c r="BD715">
        <v>0</v>
      </c>
      <c r="BE715">
        <v>0.19383057090239417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9.2081031307550652E-3</v>
      </c>
      <c r="BY715">
        <v>0</v>
      </c>
      <c r="BZ715">
        <v>0</v>
      </c>
      <c r="CA715">
        <v>0.11510128913443833</v>
      </c>
      <c r="CB715">
        <v>0</v>
      </c>
    </row>
    <row r="716" spans="1:80">
      <c r="A716">
        <v>715</v>
      </c>
      <c r="B716" t="s">
        <v>100</v>
      </c>
      <c r="C716" s="4" t="s">
        <v>175</v>
      </c>
      <c r="D716" s="4" t="s">
        <v>118</v>
      </c>
      <c r="E716" s="5">
        <v>40420</v>
      </c>
      <c r="F716" s="5">
        <v>40420</v>
      </c>
      <c r="G716">
        <v>1009</v>
      </c>
      <c r="H716" s="4" t="s">
        <v>107</v>
      </c>
      <c r="I716" s="4" t="s">
        <v>109</v>
      </c>
      <c r="J716" s="4" t="str">
        <f t="shared" si="11"/>
        <v>u_con.c_rem</v>
      </c>
      <c r="K716" s="5">
        <v>2</v>
      </c>
      <c r="L716">
        <v>0</v>
      </c>
      <c r="M716">
        <v>0.27084613808645763</v>
      </c>
      <c r="N716">
        <v>4.5277607047736125E-2</v>
      </c>
      <c r="O716">
        <v>0</v>
      </c>
      <c r="P716">
        <v>0</v>
      </c>
      <c r="Q716">
        <v>2.0692481048965379E-2</v>
      </c>
      <c r="R716">
        <v>0</v>
      </c>
      <c r="S716">
        <v>0</v>
      </c>
      <c r="T716">
        <v>2.9502151198524895E-2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8.1950419995902492E-3</v>
      </c>
      <c r="AE716">
        <v>0</v>
      </c>
      <c r="AF716">
        <v>0</v>
      </c>
      <c r="AG716">
        <v>0</v>
      </c>
      <c r="AH716">
        <v>0</v>
      </c>
      <c r="AI716">
        <v>2.5609506248719528E-2</v>
      </c>
      <c r="AJ716">
        <v>4.0975209997951246E-3</v>
      </c>
      <c r="AK716">
        <v>0</v>
      </c>
      <c r="AL716">
        <v>0</v>
      </c>
      <c r="AM716">
        <v>0</v>
      </c>
      <c r="AN716">
        <v>9.0145461995492747E-3</v>
      </c>
      <c r="AO716">
        <v>0</v>
      </c>
      <c r="AP716">
        <v>0</v>
      </c>
      <c r="AQ716">
        <v>0</v>
      </c>
      <c r="AR716">
        <v>0</v>
      </c>
      <c r="AS716">
        <v>1.6390083999180498E-2</v>
      </c>
      <c r="AT716">
        <v>2.0487604998975623E-4</v>
      </c>
      <c r="AU716">
        <v>0</v>
      </c>
      <c r="AV716">
        <v>0</v>
      </c>
      <c r="AW716">
        <v>0</v>
      </c>
      <c r="AX716">
        <v>4.3023970497848806E-3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0.25425117803728747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0.31141159598442941</v>
      </c>
      <c r="CB716">
        <v>2.0487604998975623E-4</v>
      </c>
    </row>
    <row r="717" spans="1:80">
      <c r="A717">
        <v>716</v>
      </c>
      <c r="B717" t="s">
        <v>101</v>
      </c>
      <c r="C717" s="4" t="s">
        <v>175</v>
      </c>
      <c r="D717" s="4" t="s">
        <v>118</v>
      </c>
      <c r="E717" s="5">
        <v>40420</v>
      </c>
      <c r="F717" s="5">
        <v>40420</v>
      </c>
      <c r="G717">
        <v>1009</v>
      </c>
      <c r="H717" s="4" t="s">
        <v>107</v>
      </c>
      <c r="I717" s="4" t="s">
        <v>108</v>
      </c>
      <c r="J717" s="4" t="str">
        <f t="shared" si="11"/>
        <v>u_con.c_con</v>
      </c>
      <c r="K717" s="5">
        <v>19</v>
      </c>
      <c r="L717">
        <v>4.815409309791332E-3</v>
      </c>
      <c r="M717">
        <v>0.16555835817473055</v>
      </c>
      <c r="N717">
        <v>2.3159825728044023E-2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0.12864022013299697</v>
      </c>
      <c r="U717">
        <v>0</v>
      </c>
      <c r="V717">
        <v>0</v>
      </c>
      <c r="W717">
        <v>5.0447145150194911E-3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4.5861041045631729E-3</v>
      </c>
      <c r="AF717">
        <v>0</v>
      </c>
      <c r="AG717">
        <v>0</v>
      </c>
      <c r="AH717">
        <v>1.3758312313689521E-2</v>
      </c>
      <c r="AI717">
        <v>9.6537491401054804E-2</v>
      </c>
      <c r="AJ717">
        <v>1.3758312313689521E-2</v>
      </c>
      <c r="AK717">
        <v>0</v>
      </c>
      <c r="AL717">
        <v>0</v>
      </c>
      <c r="AM717">
        <v>0</v>
      </c>
      <c r="AN717">
        <v>6.8791561568447594E-4</v>
      </c>
      <c r="AO717">
        <v>0</v>
      </c>
      <c r="AP717">
        <v>0</v>
      </c>
      <c r="AQ717">
        <v>0</v>
      </c>
      <c r="AR717">
        <v>0</v>
      </c>
      <c r="AS717">
        <v>3.3019949552854845E-2</v>
      </c>
      <c r="AT717">
        <v>9.8601238248108222E-3</v>
      </c>
      <c r="AU717">
        <v>0</v>
      </c>
      <c r="AV717">
        <v>0</v>
      </c>
      <c r="AW717">
        <v>0</v>
      </c>
      <c r="AX717">
        <v>9.1722082091263459E-3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5.9848658564549413E-2</v>
      </c>
      <c r="BF717">
        <v>4.5861041045631729E-3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2.2930520522815865E-4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4.5861041045631729E-3</v>
      </c>
      <c r="BY717">
        <v>0</v>
      </c>
      <c r="BZ717">
        <v>0</v>
      </c>
      <c r="CA717">
        <v>0.42192157761981186</v>
      </c>
      <c r="CB717">
        <v>0</v>
      </c>
    </row>
    <row r="718" spans="1:80">
      <c r="A718">
        <v>717</v>
      </c>
      <c r="B718" t="s">
        <v>102</v>
      </c>
      <c r="C718" s="4" t="s">
        <v>176</v>
      </c>
      <c r="D718" s="4" t="s">
        <v>118</v>
      </c>
      <c r="E718" s="5">
        <v>40420</v>
      </c>
      <c r="F718" s="5">
        <v>40420</v>
      </c>
      <c r="G718">
        <v>1009</v>
      </c>
      <c r="H718" s="4" t="s">
        <v>110</v>
      </c>
      <c r="I718" s="4" t="s">
        <v>108</v>
      </c>
      <c r="J718" s="4" t="str">
        <f t="shared" si="11"/>
        <v>u_rem.c_con</v>
      </c>
      <c r="K718" s="5">
        <v>8</v>
      </c>
      <c r="L718">
        <v>9.3852651337400297E-3</v>
      </c>
      <c r="M718">
        <v>3.2848427968090101E-2</v>
      </c>
      <c r="N718">
        <v>2.3463162834350071E-2</v>
      </c>
      <c r="O718">
        <v>0</v>
      </c>
      <c r="P718">
        <v>0</v>
      </c>
      <c r="Q718">
        <v>4.6926325668700149E-3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4.6926325668700149E-3</v>
      </c>
      <c r="AF718">
        <v>0</v>
      </c>
      <c r="AG718">
        <v>0</v>
      </c>
      <c r="AH718">
        <v>0</v>
      </c>
      <c r="AI718">
        <v>2.8390427029563587E-2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0.32848427968090099</v>
      </c>
      <c r="AP718">
        <v>0</v>
      </c>
      <c r="AQ718">
        <v>1.4077897700610045E-2</v>
      </c>
      <c r="AR718">
        <v>0</v>
      </c>
      <c r="AS718">
        <v>4.6926325668700149E-3</v>
      </c>
      <c r="AT718">
        <v>0</v>
      </c>
      <c r="AU718">
        <v>4.6926325668700149E-3</v>
      </c>
      <c r="AV718">
        <v>0</v>
      </c>
      <c r="AW718">
        <v>0</v>
      </c>
      <c r="AX718">
        <v>4.6926325668700149E-3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0.15485687470671047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2.3463162834350072E-4</v>
      </c>
      <c r="BY718">
        <v>0</v>
      </c>
      <c r="BZ718">
        <v>0</v>
      </c>
      <c r="CA718">
        <v>0.15016424213984045</v>
      </c>
      <c r="CB718">
        <v>0</v>
      </c>
    </row>
    <row r="719" spans="1:80">
      <c r="A719">
        <v>718</v>
      </c>
      <c r="B719" t="s">
        <v>103</v>
      </c>
      <c r="C719" s="4" t="s">
        <v>176</v>
      </c>
      <c r="D719" s="4" t="s">
        <v>118</v>
      </c>
      <c r="E719" s="5">
        <v>40420</v>
      </c>
      <c r="F719" s="5">
        <v>40420</v>
      </c>
      <c r="G719">
        <v>1009</v>
      </c>
      <c r="H719" s="4" t="s">
        <v>110</v>
      </c>
      <c r="I719" s="4" t="s">
        <v>109</v>
      </c>
      <c r="J719" s="4" t="str">
        <f t="shared" si="11"/>
        <v>u_rem.c_rem</v>
      </c>
      <c r="K719" s="5">
        <v>1</v>
      </c>
      <c r="L719">
        <v>1.6003200640128029E-2</v>
      </c>
      <c r="M719">
        <v>4.8809761952390472E-2</v>
      </c>
      <c r="N719">
        <v>0.18023604720944189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4.0008001600320073E-3</v>
      </c>
      <c r="AF719">
        <v>0</v>
      </c>
      <c r="AG719">
        <v>2.0004000800160033E-2</v>
      </c>
      <c r="AH719">
        <v>0</v>
      </c>
      <c r="AI719">
        <v>3.2206441288257649E-2</v>
      </c>
      <c r="AJ719">
        <v>0</v>
      </c>
      <c r="AK719">
        <v>0</v>
      </c>
      <c r="AL719">
        <v>0</v>
      </c>
      <c r="AM719">
        <v>0</v>
      </c>
      <c r="AN719">
        <v>3.2406481296259254E-2</v>
      </c>
      <c r="AO719">
        <v>1.2402480496099223E-2</v>
      </c>
      <c r="AP719">
        <v>0</v>
      </c>
      <c r="AQ719">
        <v>0</v>
      </c>
      <c r="AR719">
        <v>0</v>
      </c>
      <c r="AS719">
        <v>8.2016403280656142E-3</v>
      </c>
      <c r="AT719">
        <v>4.8009601920384086E-3</v>
      </c>
      <c r="AU719">
        <v>2.0004000800160035E-4</v>
      </c>
      <c r="AV719">
        <v>0</v>
      </c>
      <c r="AW719">
        <v>1.6003200640128029E-2</v>
      </c>
      <c r="AX719">
        <v>1.2002400480096022E-2</v>
      </c>
      <c r="AY719">
        <v>0</v>
      </c>
      <c r="AZ719">
        <v>0</v>
      </c>
      <c r="BA719">
        <v>0.41608321664332881</v>
      </c>
      <c r="BB719">
        <v>0</v>
      </c>
      <c r="BC719">
        <v>0</v>
      </c>
      <c r="BD719">
        <v>0</v>
      </c>
      <c r="BE719">
        <v>0.12002400480096022</v>
      </c>
      <c r="BF719">
        <v>0</v>
      </c>
      <c r="BG719">
        <v>0</v>
      </c>
      <c r="BH719">
        <v>0</v>
      </c>
      <c r="BI719">
        <v>2.440488097619524E-2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4.0008001600320073E-3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4.8209641928385685E-2</v>
      </c>
      <c r="CB719">
        <v>0</v>
      </c>
    </row>
    <row r="720" spans="1:80">
      <c r="A720">
        <v>719</v>
      </c>
      <c r="B720" t="s">
        <v>104</v>
      </c>
      <c r="C720" s="4" t="s">
        <v>176</v>
      </c>
      <c r="D720" s="4" t="s">
        <v>118</v>
      </c>
      <c r="E720" s="5">
        <v>40420</v>
      </c>
      <c r="F720" s="5">
        <v>40420</v>
      </c>
      <c r="G720">
        <v>1009</v>
      </c>
      <c r="H720" s="4" t="s">
        <v>110</v>
      </c>
      <c r="I720" s="4" t="s">
        <v>108</v>
      </c>
      <c r="J720" s="4" t="str">
        <f t="shared" si="11"/>
        <v>u_rem.c_con</v>
      </c>
      <c r="K720" s="5">
        <v>8</v>
      </c>
      <c r="L720">
        <v>1.7271157167530221E-2</v>
      </c>
      <c r="M720">
        <v>0.27655440414507765</v>
      </c>
      <c r="N720">
        <v>6.9084628670120898E-2</v>
      </c>
      <c r="O720">
        <v>0</v>
      </c>
      <c r="P720">
        <v>0</v>
      </c>
      <c r="Q720">
        <v>1.7487046632124352E-2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4.3177892918825553E-3</v>
      </c>
      <c r="AF720">
        <v>0</v>
      </c>
      <c r="AG720">
        <v>0</v>
      </c>
      <c r="AH720">
        <v>0</v>
      </c>
      <c r="AI720">
        <v>2.6122625215889459E-2</v>
      </c>
      <c r="AJ720">
        <v>2.1588946459412777E-4</v>
      </c>
      <c r="AK720">
        <v>0</v>
      </c>
      <c r="AL720">
        <v>0</v>
      </c>
      <c r="AM720">
        <v>0</v>
      </c>
      <c r="AN720">
        <v>0</v>
      </c>
      <c r="AO720">
        <v>0.116580310880829</v>
      </c>
      <c r="AP720">
        <v>0</v>
      </c>
      <c r="AQ720">
        <v>8.6355785837651106E-3</v>
      </c>
      <c r="AR720">
        <v>0</v>
      </c>
      <c r="AS720">
        <v>2.1588946459412777E-4</v>
      </c>
      <c r="AT720">
        <v>4.3177892918825554E-4</v>
      </c>
      <c r="AU720">
        <v>0</v>
      </c>
      <c r="AV720">
        <v>0</v>
      </c>
      <c r="AW720">
        <v>0</v>
      </c>
      <c r="AX720">
        <v>2.1588946459412777E-4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3.4758203799654573E-2</v>
      </c>
      <c r="BF720">
        <v>4.3177892918825553E-3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4.3177892918825553E-2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1.7487046632124352E-2</v>
      </c>
      <c r="BY720">
        <v>0</v>
      </c>
      <c r="BZ720">
        <v>6.4766839378238336E-2</v>
      </c>
      <c r="CA720">
        <v>0.21157167530224524</v>
      </c>
      <c r="CB720">
        <v>0</v>
      </c>
    </row>
    <row r="721" spans="1:80">
      <c r="A721">
        <v>720</v>
      </c>
      <c r="B721" t="s">
        <v>105</v>
      </c>
      <c r="C721" s="4" t="s">
        <v>176</v>
      </c>
      <c r="D721" s="4" t="s">
        <v>118</v>
      </c>
      <c r="E721" s="5">
        <v>40420</v>
      </c>
      <c r="F721" s="5">
        <v>40420</v>
      </c>
      <c r="G721">
        <v>1009</v>
      </c>
      <c r="H721" s="4" t="s">
        <v>110</v>
      </c>
      <c r="I721" s="4" t="s">
        <v>109</v>
      </c>
      <c r="J721" s="4" t="str">
        <f t="shared" si="11"/>
        <v>u_rem.c_rem</v>
      </c>
      <c r="K721" s="5">
        <v>1</v>
      </c>
      <c r="L721">
        <v>6.3658536585365841E-2</v>
      </c>
      <c r="M721">
        <v>1.9756097560975606E-2</v>
      </c>
      <c r="N721">
        <v>0.19536585365853654</v>
      </c>
      <c r="O721">
        <v>0</v>
      </c>
      <c r="P721">
        <v>0</v>
      </c>
      <c r="Q721">
        <v>2.4390243902439022E-4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9.2682926829268306E-2</v>
      </c>
      <c r="AD721">
        <v>9.756097560975608E-3</v>
      </c>
      <c r="AE721">
        <v>3.4390243902439013E-2</v>
      </c>
      <c r="AF721">
        <v>0</v>
      </c>
      <c r="AG721">
        <v>0</v>
      </c>
      <c r="AH721">
        <v>0</v>
      </c>
      <c r="AI721">
        <v>8.8292682926829277E-2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3.9268292682926823E-2</v>
      </c>
      <c r="AP721">
        <v>2.9756097560975605E-2</v>
      </c>
      <c r="AQ721">
        <v>0</v>
      </c>
      <c r="AR721">
        <v>0</v>
      </c>
      <c r="AS721">
        <v>3.9268292682926823E-2</v>
      </c>
      <c r="AT721">
        <v>1.073170731707317E-2</v>
      </c>
      <c r="AU721">
        <v>0</v>
      </c>
      <c r="AV721">
        <v>0</v>
      </c>
      <c r="AW721">
        <v>1.9512195121951216E-2</v>
      </c>
      <c r="AX721">
        <v>2.9268292682926824E-2</v>
      </c>
      <c r="AY721">
        <v>0</v>
      </c>
      <c r="AZ721">
        <v>0</v>
      </c>
      <c r="BA721">
        <v>9.9999999999999985E-3</v>
      </c>
      <c r="BB721">
        <v>0</v>
      </c>
      <c r="BC721">
        <v>0</v>
      </c>
      <c r="BD721">
        <v>0</v>
      </c>
      <c r="BE721">
        <v>2.4390243902439022E-2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2.4390243902439022E-4</v>
      </c>
      <c r="BO721">
        <v>0</v>
      </c>
      <c r="BP721">
        <v>4.878048780487804E-3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3.9512195121951213E-2</v>
      </c>
      <c r="BY721">
        <v>0</v>
      </c>
      <c r="BZ721">
        <v>2.4390243902439022E-4</v>
      </c>
      <c r="CA721">
        <v>0.24878048780487791</v>
      </c>
      <c r="CB721">
        <v>0</v>
      </c>
    </row>
    <row r="722" spans="1:80">
      <c r="A722">
        <v>721</v>
      </c>
      <c r="B722" t="s">
        <v>35</v>
      </c>
      <c r="C722" s="4" t="s">
        <v>159</v>
      </c>
      <c r="D722" s="4" t="s">
        <v>116</v>
      </c>
      <c r="E722" s="5">
        <v>40517</v>
      </c>
      <c r="F722" s="5">
        <v>40516</v>
      </c>
      <c r="G722">
        <v>1012</v>
      </c>
      <c r="H722" s="4" t="s">
        <v>107</v>
      </c>
      <c r="I722" s="4" t="s">
        <v>108</v>
      </c>
      <c r="J722" s="4" t="str">
        <f t="shared" si="11"/>
        <v>u_con.c_con</v>
      </c>
      <c r="K722" s="5">
        <v>19</v>
      </c>
      <c r="L722">
        <v>2.2624434389140275E-4</v>
      </c>
      <c r="M722">
        <v>8.5972850678733045E-2</v>
      </c>
      <c r="N722">
        <v>0.19004524886877827</v>
      </c>
      <c r="O722">
        <v>9.0497737556561094E-3</v>
      </c>
      <c r="P722">
        <v>0</v>
      </c>
      <c r="Q722">
        <v>4.5248868778280547E-3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2.2624434389140274E-2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2.2624434389140274E-2</v>
      </c>
      <c r="AI722">
        <v>5.9049773755656121E-2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9.0497737556561094E-3</v>
      </c>
      <c r="AR722">
        <v>0</v>
      </c>
      <c r="AS722">
        <v>2.7375565610859732E-2</v>
      </c>
      <c r="AT722">
        <v>6.7873303167420823E-4</v>
      </c>
      <c r="AU722">
        <v>5.8823529411764726E-2</v>
      </c>
      <c r="AV722">
        <v>2.2624434389140275E-4</v>
      </c>
      <c r="AW722">
        <v>4.5248868778280547E-3</v>
      </c>
      <c r="AX722">
        <v>0</v>
      </c>
      <c r="AY722">
        <v>0</v>
      </c>
      <c r="AZ722">
        <v>0</v>
      </c>
      <c r="BA722">
        <v>1.6515837104072398E-2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0.48868778280542985</v>
      </c>
      <c r="CB722">
        <v>0</v>
      </c>
    </row>
    <row r="723" spans="1:80">
      <c r="A723">
        <v>722</v>
      </c>
      <c r="B723" t="s">
        <v>36</v>
      </c>
      <c r="C723" s="4" t="s">
        <v>159</v>
      </c>
      <c r="D723" s="4" t="s">
        <v>116</v>
      </c>
      <c r="E723" s="5">
        <v>40517</v>
      </c>
      <c r="F723" s="5">
        <v>40516</v>
      </c>
      <c r="G723">
        <v>1012</v>
      </c>
      <c r="H723" s="4" t="s">
        <v>107</v>
      </c>
      <c r="I723" s="4" t="s">
        <v>109</v>
      </c>
      <c r="J723" s="4" t="str">
        <f t="shared" si="11"/>
        <v>u_con.c_rem</v>
      </c>
      <c r="K723" s="5">
        <v>2</v>
      </c>
      <c r="L723">
        <v>4.7835446065534566E-3</v>
      </c>
      <c r="M723">
        <v>5.2858167902415695E-2</v>
      </c>
      <c r="N723">
        <v>0.21525950729490556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7.1753169098301844E-2</v>
      </c>
      <c r="Z723">
        <v>0.22961014111456587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1.0045443673762261E-2</v>
      </c>
      <c r="AI723">
        <v>4.8313800526189901E-2</v>
      </c>
      <c r="AJ723">
        <v>0</v>
      </c>
      <c r="AK723">
        <v>0</v>
      </c>
      <c r="AL723">
        <v>0</v>
      </c>
      <c r="AM723">
        <v>0</v>
      </c>
      <c r="AN723">
        <v>9.8062664434345869E-3</v>
      </c>
      <c r="AO723">
        <v>0</v>
      </c>
      <c r="AP723">
        <v>0</v>
      </c>
      <c r="AQ723">
        <v>0</v>
      </c>
      <c r="AR723">
        <v>0</v>
      </c>
      <c r="AS723">
        <v>4.8313800526189901E-2</v>
      </c>
      <c r="AT723">
        <v>1.0284620904089933E-2</v>
      </c>
      <c r="AU723">
        <v>1.5307342740971064E-2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3.0136331021286777E-2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0.25352786414733314</v>
      </c>
      <c r="CB723">
        <v>0</v>
      </c>
    </row>
    <row r="724" spans="1:80">
      <c r="A724">
        <v>723</v>
      </c>
      <c r="B724" t="s">
        <v>37</v>
      </c>
      <c r="C724" s="4" t="s">
        <v>159</v>
      </c>
      <c r="D724" s="4" t="s">
        <v>116</v>
      </c>
      <c r="E724" s="5">
        <v>40517</v>
      </c>
      <c r="F724" s="5">
        <v>40516</v>
      </c>
      <c r="G724">
        <v>1012</v>
      </c>
      <c r="H724" s="4" t="s">
        <v>107</v>
      </c>
      <c r="I724" s="4" t="s">
        <v>109</v>
      </c>
      <c r="J724" s="4" t="str">
        <f t="shared" si="11"/>
        <v>u_con.c_rem</v>
      </c>
      <c r="K724" s="5">
        <v>2</v>
      </c>
      <c r="L724">
        <v>0</v>
      </c>
      <c r="M724">
        <v>0.10904556789843574</v>
      </c>
      <c r="N724">
        <v>0.25844479709816376</v>
      </c>
      <c r="O724">
        <v>9.06823849467241E-3</v>
      </c>
      <c r="P724">
        <v>0</v>
      </c>
      <c r="Q724">
        <v>3.1965540693720249E-2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2.2670596236681027E-2</v>
      </c>
      <c r="Z724">
        <v>0.12740875085014736</v>
      </c>
      <c r="AA724">
        <v>0</v>
      </c>
      <c r="AB724">
        <v>0</v>
      </c>
      <c r="AC724">
        <v>0</v>
      </c>
      <c r="AD724">
        <v>0</v>
      </c>
      <c r="AE724">
        <v>9.521650419406032E-3</v>
      </c>
      <c r="AF724">
        <v>0</v>
      </c>
      <c r="AG724">
        <v>0</v>
      </c>
      <c r="AH724">
        <v>9.06823849467241E-3</v>
      </c>
      <c r="AI724">
        <v>1.858988891407844E-2</v>
      </c>
      <c r="AJ724">
        <v>0</v>
      </c>
      <c r="AK724">
        <v>0</v>
      </c>
      <c r="AL724">
        <v>0</v>
      </c>
      <c r="AM724">
        <v>0</v>
      </c>
      <c r="AN724">
        <v>9.06823849467241E-3</v>
      </c>
      <c r="AO724">
        <v>0</v>
      </c>
      <c r="AP724">
        <v>0</v>
      </c>
      <c r="AQ724">
        <v>2.2670596236681027E-2</v>
      </c>
      <c r="AR724">
        <v>0</v>
      </c>
      <c r="AS724">
        <v>1.3602357742008617E-2</v>
      </c>
      <c r="AT724">
        <v>2.2670596236681024E-4</v>
      </c>
      <c r="AU724">
        <v>1.3829063704375427E-2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2.2670596236681024E-4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0.34459306279755153</v>
      </c>
      <c r="CB724">
        <v>0</v>
      </c>
    </row>
    <row r="725" spans="1:80">
      <c r="A725">
        <v>724</v>
      </c>
      <c r="B725" t="s">
        <v>38</v>
      </c>
      <c r="C725" s="4" t="s">
        <v>159</v>
      </c>
      <c r="D725" s="4" t="s">
        <v>116</v>
      </c>
      <c r="E725" s="5">
        <v>40517</v>
      </c>
      <c r="F725" s="5">
        <v>40516</v>
      </c>
      <c r="G725">
        <v>1012</v>
      </c>
      <c r="H725" s="4" t="s">
        <v>107</v>
      </c>
      <c r="I725" s="4" t="s">
        <v>108</v>
      </c>
      <c r="J725" s="4" t="str">
        <f t="shared" si="11"/>
        <v>u_con.c_con</v>
      </c>
      <c r="K725" s="5">
        <v>19</v>
      </c>
      <c r="L725">
        <v>5.7110222729868654E-3</v>
      </c>
      <c r="M725">
        <v>8.6236436322101664E-2</v>
      </c>
      <c r="N725">
        <v>0.4111936036550542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6.3106796116504854E-2</v>
      </c>
      <c r="AA725">
        <v>0</v>
      </c>
      <c r="AB725">
        <v>0</v>
      </c>
      <c r="AC725">
        <v>0</v>
      </c>
      <c r="AD725">
        <v>0</v>
      </c>
      <c r="AE725">
        <v>5.7110222729868658E-4</v>
      </c>
      <c r="AF725">
        <v>0</v>
      </c>
      <c r="AG725">
        <v>0</v>
      </c>
      <c r="AH725">
        <v>5.7681324957167338E-2</v>
      </c>
      <c r="AI725">
        <v>0.11450599657338664</v>
      </c>
      <c r="AJ725">
        <v>0</v>
      </c>
      <c r="AK725">
        <v>0</v>
      </c>
      <c r="AL725">
        <v>0</v>
      </c>
      <c r="AM725">
        <v>0</v>
      </c>
      <c r="AN725">
        <v>2.2844089091947462E-2</v>
      </c>
      <c r="AO725">
        <v>0</v>
      </c>
      <c r="AP725">
        <v>0</v>
      </c>
      <c r="AQ725">
        <v>0</v>
      </c>
      <c r="AR725">
        <v>0</v>
      </c>
      <c r="AS725">
        <v>2.8555111364934327E-2</v>
      </c>
      <c r="AT725">
        <v>7.4243289548829271E-3</v>
      </c>
      <c r="AU725">
        <v>1.1422044545973731E-2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5.368360936607653E-2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0.13706453455168477</v>
      </c>
      <c r="CB725">
        <v>0</v>
      </c>
    </row>
    <row r="726" spans="1:80">
      <c r="A726">
        <v>725</v>
      </c>
      <c r="B726" t="s">
        <v>39</v>
      </c>
      <c r="C726" s="4" t="s">
        <v>160</v>
      </c>
      <c r="D726" s="4" t="s">
        <v>116</v>
      </c>
      <c r="E726" s="5">
        <v>40517</v>
      </c>
      <c r="F726" s="5">
        <v>40516</v>
      </c>
      <c r="G726">
        <v>1012</v>
      </c>
      <c r="H726" s="4" t="s">
        <v>110</v>
      </c>
      <c r="I726" s="4" t="s">
        <v>109</v>
      </c>
      <c r="J726" s="4" t="str">
        <f t="shared" si="11"/>
        <v>u_rem.c_rem</v>
      </c>
      <c r="K726" s="5">
        <v>1</v>
      </c>
      <c r="L726">
        <v>8.4423807513718876E-3</v>
      </c>
      <c r="M726">
        <v>8.864499788940482E-3</v>
      </c>
      <c r="N726">
        <v>0.32925284930350351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6.3528915154073454E-2</v>
      </c>
      <c r="AA726">
        <v>0</v>
      </c>
      <c r="AB726">
        <v>0</v>
      </c>
      <c r="AC726">
        <v>0</v>
      </c>
      <c r="AD726">
        <v>0</v>
      </c>
      <c r="AE726">
        <v>8.653440270156184E-3</v>
      </c>
      <c r="AF726">
        <v>0</v>
      </c>
      <c r="AG726">
        <v>0</v>
      </c>
      <c r="AH726">
        <v>0</v>
      </c>
      <c r="AI726">
        <v>8.4423807513718876E-3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4.432249894470241E-3</v>
      </c>
      <c r="AU726">
        <v>2.1105951878429716E-4</v>
      </c>
      <c r="AV726">
        <v>9.814267623469819E-2</v>
      </c>
      <c r="AW726">
        <v>0</v>
      </c>
      <c r="AX726">
        <v>0</v>
      </c>
      <c r="AY726">
        <v>4.2211903756859438E-3</v>
      </c>
      <c r="AZ726">
        <v>0</v>
      </c>
      <c r="BA726">
        <v>4.2211903756859433E-4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5.5930772477838758E-2</v>
      </c>
      <c r="CA726">
        <v>0.40945546644153652</v>
      </c>
      <c r="CB726">
        <v>0</v>
      </c>
    </row>
    <row r="727" spans="1:80">
      <c r="A727">
        <v>726</v>
      </c>
      <c r="B727" t="s">
        <v>40</v>
      </c>
      <c r="C727" s="4" t="s">
        <v>160</v>
      </c>
      <c r="D727" s="4" t="s">
        <v>116</v>
      </c>
      <c r="E727" s="5">
        <v>40517</v>
      </c>
      <c r="F727" s="5">
        <v>40516</v>
      </c>
      <c r="G727">
        <v>1012</v>
      </c>
      <c r="H727" s="4" t="s">
        <v>110</v>
      </c>
      <c r="I727" s="4" t="s">
        <v>108</v>
      </c>
      <c r="J727" s="4" t="str">
        <f t="shared" si="11"/>
        <v>u_rem.c_con</v>
      </c>
      <c r="K727" s="5">
        <v>8</v>
      </c>
      <c r="L727">
        <v>0</v>
      </c>
      <c r="M727">
        <v>9.0368084637425603E-3</v>
      </c>
      <c r="N727">
        <v>0.42318712805818814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1.7632797002424507E-2</v>
      </c>
      <c r="Z727">
        <v>1.7632797002424507E-2</v>
      </c>
      <c r="AA727">
        <v>0</v>
      </c>
      <c r="AB727">
        <v>0</v>
      </c>
      <c r="AC727">
        <v>4.4081992506061268E-3</v>
      </c>
      <c r="AD727">
        <v>0</v>
      </c>
      <c r="AE727">
        <v>2.2040996253030635E-4</v>
      </c>
      <c r="AF727">
        <v>0</v>
      </c>
      <c r="AG727">
        <v>0</v>
      </c>
      <c r="AH727">
        <v>9.0368084637425603E-3</v>
      </c>
      <c r="AI727">
        <v>2.6449195503636759E-2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4.4081992506061268E-3</v>
      </c>
      <c r="AT727">
        <v>0</v>
      </c>
      <c r="AU727">
        <v>0</v>
      </c>
      <c r="AV727">
        <v>0.163323782234957</v>
      </c>
      <c r="AW727">
        <v>0</v>
      </c>
      <c r="AX727">
        <v>0</v>
      </c>
      <c r="AY727">
        <v>0</v>
      </c>
      <c r="AZ727">
        <v>0</v>
      </c>
      <c r="BA727">
        <v>1.8734846815076041E-2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5.4661670707515972E-2</v>
      </c>
      <c r="CA727">
        <v>0.25126735728454919</v>
      </c>
      <c r="CB727">
        <v>0</v>
      </c>
    </row>
    <row r="728" spans="1:80">
      <c r="A728">
        <v>727</v>
      </c>
      <c r="B728" t="s">
        <v>41</v>
      </c>
      <c r="C728" s="4" t="s">
        <v>160</v>
      </c>
      <c r="D728" s="4" t="s">
        <v>116</v>
      </c>
      <c r="E728" s="5">
        <v>40517</v>
      </c>
      <c r="F728" s="5">
        <v>40516</v>
      </c>
      <c r="G728">
        <v>1012</v>
      </c>
      <c r="H728" s="4" t="s">
        <v>110</v>
      </c>
      <c r="I728" s="4" t="s">
        <v>109</v>
      </c>
      <c r="J728" s="4" t="str">
        <f t="shared" si="11"/>
        <v>u_rem.c_rem</v>
      </c>
      <c r="K728" s="5">
        <v>1</v>
      </c>
      <c r="L728">
        <v>0</v>
      </c>
      <c r="M728">
        <v>2.266032177656923E-4</v>
      </c>
      <c r="N728">
        <v>0.19986403806934058</v>
      </c>
      <c r="O728">
        <v>0</v>
      </c>
      <c r="P728">
        <v>0</v>
      </c>
      <c r="Q728">
        <v>2.266032177656923E-2</v>
      </c>
      <c r="R728">
        <v>1.3596193065941536E-2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1.8128257421255383E-2</v>
      </c>
      <c r="AA728">
        <v>0</v>
      </c>
      <c r="AB728">
        <v>0</v>
      </c>
      <c r="AC728">
        <v>0</v>
      </c>
      <c r="AD728">
        <v>0</v>
      </c>
      <c r="AE728">
        <v>1.3822796283707233E-2</v>
      </c>
      <c r="AF728">
        <v>0</v>
      </c>
      <c r="AG728">
        <v>0</v>
      </c>
      <c r="AH728">
        <v>4.5320643553138458E-3</v>
      </c>
      <c r="AI728">
        <v>1.359619306594154E-2</v>
      </c>
      <c r="AJ728">
        <v>0</v>
      </c>
      <c r="AK728">
        <v>0</v>
      </c>
      <c r="AL728">
        <v>3.1724450487196916E-2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2.266032177656923E-4</v>
      </c>
      <c r="AU728">
        <v>0</v>
      </c>
      <c r="AV728">
        <v>0.16859279401767505</v>
      </c>
      <c r="AW728">
        <v>0</v>
      </c>
      <c r="AX728">
        <v>0</v>
      </c>
      <c r="AY728">
        <v>0</v>
      </c>
      <c r="AZ728">
        <v>0</v>
      </c>
      <c r="BA728">
        <v>4.5320643553138458E-3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4.6227056424201232E-2</v>
      </c>
      <c r="CA728">
        <v>0.46227056424201207</v>
      </c>
      <c r="CB728">
        <v>0</v>
      </c>
    </row>
    <row r="729" spans="1:80">
      <c r="A729">
        <v>728</v>
      </c>
      <c r="B729" t="s">
        <v>42</v>
      </c>
      <c r="C729" s="4" t="s">
        <v>160</v>
      </c>
      <c r="D729" s="4" t="s">
        <v>116</v>
      </c>
      <c r="E729" s="5">
        <v>40517</v>
      </c>
      <c r="F729" s="5">
        <v>40516</v>
      </c>
      <c r="G729">
        <v>1012</v>
      </c>
      <c r="H729" s="4" t="s">
        <v>110</v>
      </c>
      <c r="I729" s="4" t="s">
        <v>108</v>
      </c>
      <c r="J729" s="4" t="str">
        <f t="shared" si="11"/>
        <v>u_rem.c_con</v>
      </c>
      <c r="K729" s="5">
        <v>8</v>
      </c>
      <c r="L729">
        <v>0</v>
      </c>
      <c r="M729">
        <v>5.4687500000000005E-3</v>
      </c>
      <c r="N729">
        <v>0.34374999999999994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2.6041666666666666E-4</v>
      </c>
      <c r="AI729">
        <v>8.9062500000000031E-2</v>
      </c>
      <c r="AJ729">
        <v>0</v>
      </c>
      <c r="AK729">
        <v>0</v>
      </c>
      <c r="AL729">
        <v>0</v>
      </c>
      <c r="AM729">
        <v>0.23958333333333323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2.6302083333333334E-2</v>
      </c>
      <c r="AT729">
        <v>6.7708333333333336E-3</v>
      </c>
      <c r="AU729">
        <v>0</v>
      </c>
      <c r="AV729">
        <v>0.17708333333333337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3.8802083333333334E-2</v>
      </c>
      <c r="CA729">
        <v>7.2916666666666671E-2</v>
      </c>
      <c r="CB729">
        <v>0</v>
      </c>
    </row>
    <row r="730" spans="1:80">
      <c r="A730">
        <v>729</v>
      </c>
      <c r="B730" t="s">
        <v>43</v>
      </c>
      <c r="C730" s="4" t="s">
        <v>161</v>
      </c>
      <c r="D730" s="4" t="s">
        <v>116</v>
      </c>
      <c r="E730" s="5">
        <v>40517</v>
      </c>
      <c r="F730" s="5">
        <v>40516</v>
      </c>
      <c r="G730">
        <v>1012</v>
      </c>
      <c r="H730" s="4" t="s">
        <v>107</v>
      </c>
      <c r="I730" s="4" t="s">
        <v>109</v>
      </c>
      <c r="J730" s="4" t="str">
        <f t="shared" si="11"/>
        <v>u_con.c_rem</v>
      </c>
      <c r="K730" s="5">
        <v>2</v>
      </c>
      <c r="L730">
        <v>0</v>
      </c>
      <c r="M730">
        <v>7.1729957805907157E-2</v>
      </c>
      <c r="N730">
        <v>0.43992893626471241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8.8829669109482551E-3</v>
      </c>
      <c r="AA730">
        <v>0</v>
      </c>
      <c r="AB730">
        <v>0</v>
      </c>
      <c r="AC730">
        <v>0</v>
      </c>
      <c r="AD730">
        <v>0</v>
      </c>
      <c r="AE730">
        <v>2.2207417277370639E-4</v>
      </c>
      <c r="AF730">
        <v>0</v>
      </c>
      <c r="AG730">
        <v>0</v>
      </c>
      <c r="AH730">
        <v>0</v>
      </c>
      <c r="AI730">
        <v>4.4858982900288689E-2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1.3546524539196091E-2</v>
      </c>
      <c r="AR730">
        <v>0</v>
      </c>
      <c r="AS730">
        <v>9.5491894292693748E-3</v>
      </c>
      <c r="AT730">
        <v>9.9933377748167886E-3</v>
      </c>
      <c r="AU730">
        <v>4.4414834554741276E-3</v>
      </c>
      <c r="AV730">
        <v>5.5518543193426593E-3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3.5976015989340429E-2</v>
      </c>
      <c r="CA730">
        <v>0.35531867643793019</v>
      </c>
      <c r="CB730">
        <v>0</v>
      </c>
    </row>
    <row r="731" spans="1:80">
      <c r="A731">
        <v>730</v>
      </c>
      <c r="B731" t="s">
        <v>44</v>
      </c>
      <c r="C731" s="4" t="s">
        <v>161</v>
      </c>
      <c r="D731" s="4" t="s">
        <v>116</v>
      </c>
      <c r="E731" s="5">
        <v>40517</v>
      </c>
      <c r="F731" s="5">
        <v>40516</v>
      </c>
      <c r="G731">
        <v>1012</v>
      </c>
      <c r="H731" s="4" t="s">
        <v>107</v>
      </c>
      <c r="I731" s="4" t="s">
        <v>109</v>
      </c>
      <c r="J731" s="4" t="str">
        <f t="shared" si="11"/>
        <v>u_con.c_rem</v>
      </c>
      <c r="K731" s="5">
        <v>2</v>
      </c>
      <c r="L731">
        <v>0</v>
      </c>
      <c r="M731">
        <v>6.8166479190101215E-2</v>
      </c>
      <c r="N731">
        <v>0.40944881889763779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3.5995500562429693E-2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3.1721034870641159E-2</v>
      </c>
      <c r="AJ731">
        <v>0</v>
      </c>
      <c r="AK731">
        <v>0</v>
      </c>
      <c r="AL731">
        <v>0</v>
      </c>
      <c r="AM731">
        <v>0</v>
      </c>
      <c r="AN731">
        <v>6.7491563554555661E-4</v>
      </c>
      <c r="AO731">
        <v>0</v>
      </c>
      <c r="AP731">
        <v>0</v>
      </c>
      <c r="AQ731">
        <v>4.4994375703037116E-3</v>
      </c>
      <c r="AR731">
        <v>0</v>
      </c>
      <c r="AS731">
        <v>9.2238470191226083E-3</v>
      </c>
      <c r="AT731">
        <v>6.7491563554555661E-4</v>
      </c>
      <c r="AU731">
        <v>0</v>
      </c>
      <c r="AV731">
        <v>0.11316085489313833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2.9246344206974122E-2</v>
      </c>
      <c r="CA731">
        <v>0.29718785151856003</v>
      </c>
      <c r="CB731">
        <v>0</v>
      </c>
    </row>
    <row r="732" spans="1:80">
      <c r="A732">
        <v>731</v>
      </c>
      <c r="B732" t="s">
        <v>45</v>
      </c>
      <c r="C732" s="4" t="s">
        <v>161</v>
      </c>
      <c r="D732" s="4" t="s">
        <v>116</v>
      </c>
      <c r="E732" s="5">
        <v>40517</v>
      </c>
      <c r="F732" s="5">
        <v>40516</v>
      </c>
      <c r="G732">
        <v>1012</v>
      </c>
      <c r="H732" s="4" t="s">
        <v>107</v>
      </c>
      <c r="I732" s="4" t="s">
        <v>108</v>
      </c>
      <c r="J732" s="4" t="str">
        <f t="shared" si="11"/>
        <v>u_con.c_con</v>
      </c>
      <c r="K732" s="5">
        <v>19</v>
      </c>
      <c r="L732">
        <v>0</v>
      </c>
      <c r="M732">
        <v>6.6286215978928892E-2</v>
      </c>
      <c r="N732">
        <v>0.20654082528533801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0.27238805970149255</v>
      </c>
      <c r="AA732">
        <v>0</v>
      </c>
      <c r="AB732">
        <v>0</v>
      </c>
      <c r="AC732">
        <v>0</v>
      </c>
      <c r="AD732">
        <v>0</v>
      </c>
      <c r="AE732">
        <v>2.1949078138718174E-4</v>
      </c>
      <c r="AF732">
        <v>0</v>
      </c>
      <c r="AG732">
        <v>0</v>
      </c>
      <c r="AH732">
        <v>0</v>
      </c>
      <c r="AI732">
        <v>9.2625109745390677E-2</v>
      </c>
      <c r="AJ732">
        <v>0</v>
      </c>
      <c r="AK732">
        <v>0</v>
      </c>
      <c r="AL732">
        <v>0</v>
      </c>
      <c r="AM732">
        <v>0</v>
      </c>
      <c r="AN732">
        <v>4.3898156277436349E-3</v>
      </c>
      <c r="AO732">
        <v>0</v>
      </c>
      <c r="AP732">
        <v>0</v>
      </c>
      <c r="AQ732">
        <v>0</v>
      </c>
      <c r="AR732">
        <v>0</v>
      </c>
      <c r="AS732">
        <v>3.5338015803336252E-2</v>
      </c>
      <c r="AT732">
        <v>1.3169446883230904E-3</v>
      </c>
      <c r="AU732">
        <v>4.3898156277436349E-3</v>
      </c>
      <c r="AV732">
        <v>4.3898156277436348E-4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0.31606672519754159</v>
      </c>
      <c r="CB732">
        <v>0</v>
      </c>
    </row>
    <row r="733" spans="1:80">
      <c r="A733">
        <v>732</v>
      </c>
      <c r="B733" t="s">
        <v>46</v>
      </c>
      <c r="C733" s="4" t="s">
        <v>161</v>
      </c>
      <c r="D733" s="4" t="s">
        <v>116</v>
      </c>
      <c r="E733" s="5">
        <v>40517</v>
      </c>
      <c r="F733" s="5">
        <v>40516</v>
      </c>
      <c r="G733">
        <v>1012</v>
      </c>
      <c r="H733" s="4" t="s">
        <v>107</v>
      </c>
      <c r="I733" s="4" t="s">
        <v>108</v>
      </c>
      <c r="J733" s="4" t="str">
        <f t="shared" si="11"/>
        <v>u_con.c_con</v>
      </c>
      <c r="K733" s="5">
        <v>19</v>
      </c>
      <c r="L733">
        <v>0</v>
      </c>
      <c r="M733">
        <v>0.10577797998180162</v>
      </c>
      <c r="N733">
        <v>0.38216560509554143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9.0991810737033677E-3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2.2747952684258417E-4</v>
      </c>
      <c r="AI733">
        <v>2.7979981801637851E-2</v>
      </c>
      <c r="AJ733">
        <v>0</v>
      </c>
      <c r="AK733">
        <v>0</v>
      </c>
      <c r="AL733">
        <v>0</v>
      </c>
      <c r="AM733">
        <v>0</v>
      </c>
      <c r="AN733">
        <v>9.0991810737033677E-3</v>
      </c>
      <c r="AO733">
        <v>0</v>
      </c>
      <c r="AP733">
        <v>0</v>
      </c>
      <c r="AQ733">
        <v>0</v>
      </c>
      <c r="AR733">
        <v>0</v>
      </c>
      <c r="AS733">
        <v>2.3202911737943584E-2</v>
      </c>
      <c r="AT733">
        <v>9.099181073703367E-4</v>
      </c>
      <c r="AU733">
        <v>5.5050045495905378E-2</v>
      </c>
      <c r="AV733">
        <v>3.7761601455868966E-2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3.0254777070063694E-2</v>
      </c>
      <c r="CA733">
        <v>0.31847133757961776</v>
      </c>
      <c r="CB733">
        <v>0</v>
      </c>
    </row>
    <row r="734" spans="1:80">
      <c r="A734">
        <v>733</v>
      </c>
      <c r="B734" t="s">
        <v>47</v>
      </c>
      <c r="C734" s="4" t="s">
        <v>162</v>
      </c>
      <c r="D734" s="4" t="s">
        <v>116</v>
      </c>
      <c r="E734" s="5">
        <v>40517</v>
      </c>
      <c r="F734" s="5">
        <v>40516</v>
      </c>
      <c r="G734">
        <v>1012</v>
      </c>
      <c r="H734" s="4" t="s">
        <v>110</v>
      </c>
      <c r="I734" s="4" t="s">
        <v>108</v>
      </c>
      <c r="J734" s="4" t="str">
        <f t="shared" si="11"/>
        <v>u_rem.c_con</v>
      </c>
      <c r="K734" s="5">
        <v>8</v>
      </c>
      <c r="L734">
        <v>0</v>
      </c>
      <c r="M734">
        <v>0.16020358700920992</v>
      </c>
      <c r="N734">
        <v>0.20867668444013576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5.0896752302472146E-3</v>
      </c>
      <c r="AD734">
        <v>0</v>
      </c>
      <c r="AE734">
        <v>0</v>
      </c>
      <c r="AF734">
        <v>0</v>
      </c>
      <c r="AG734">
        <v>0</v>
      </c>
      <c r="AH734">
        <v>7.7799321376636005E-2</v>
      </c>
      <c r="AI734">
        <v>9.7673291323315606E-2</v>
      </c>
      <c r="AJ734">
        <v>0</v>
      </c>
      <c r="AK734">
        <v>0</v>
      </c>
      <c r="AL734">
        <v>0</v>
      </c>
      <c r="AM734">
        <v>0</v>
      </c>
      <c r="AN734">
        <v>7.319437712069804E-2</v>
      </c>
      <c r="AO734">
        <v>0</v>
      </c>
      <c r="AP734">
        <v>0</v>
      </c>
      <c r="AQ734">
        <v>0</v>
      </c>
      <c r="AR734">
        <v>0</v>
      </c>
      <c r="AS734">
        <v>2.520601066408144E-2</v>
      </c>
      <c r="AT734">
        <v>5.9864275327193413E-2</v>
      </c>
      <c r="AU734">
        <v>9.6946194861851701E-3</v>
      </c>
      <c r="AV734">
        <v>0</v>
      </c>
      <c r="AW734">
        <v>0</v>
      </c>
      <c r="AX734">
        <v>7.2709646146388771E-4</v>
      </c>
      <c r="AY734">
        <v>0</v>
      </c>
      <c r="AZ734">
        <v>0</v>
      </c>
      <c r="BA734">
        <v>0.13596703829374701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4.847309743092585E-3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1.938923897237034E-2</v>
      </c>
      <c r="CA734">
        <v>0.12118274357731464</v>
      </c>
      <c r="CB734">
        <v>0</v>
      </c>
    </row>
    <row r="735" spans="1:80">
      <c r="A735">
        <v>734</v>
      </c>
      <c r="B735" t="s">
        <v>48</v>
      </c>
      <c r="C735" s="4" t="s">
        <v>162</v>
      </c>
      <c r="D735" s="4" t="s">
        <v>116</v>
      </c>
      <c r="E735" s="5">
        <v>40517</v>
      </c>
      <c r="F735" s="5">
        <v>40516</v>
      </c>
      <c r="G735">
        <v>1012</v>
      </c>
      <c r="H735" s="4" t="s">
        <v>110</v>
      </c>
      <c r="I735" s="4" t="s">
        <v>108</v>
      </c>
      <c r="J735" s="4" t="str">
        <f t="shared" si="11"/>
        <v>u_rem.c_con</v>
      </c>
      <c r="K735" s="5">
        <v>8</v>
      </c>
      <c r="L735">
        <v>0</v>
      </c>
      <c r="M735">
        <v>0.18996995608966946</v>
      </c>
      <c r="N735">
        <v>0.22186272244048991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3.6977120406748325E-2</v>
      </c>
      <c r="AA735">
        <v>0</v>
      </c>
      <c r="AB735">
        <v>0</v>
      </c>
      <c r="AC735">
        <v>4.6221400508435415E-3</v>
      </c>
      <c r="AD735">
        <v>0</v>
      </c>
      <c r="AE735">
        <v>0</v>
      </c>
      <c r="AF735">
        <v>0</v>
      </c>
      <c r="AG735">
        <v>0</v>
      </c>
      <c r="AH735">
        <v>5.5927894615206843E-2</v>
      </c>
      <c r="AI735">
        <v>0.12133117633464297</v>
      </c>
      <c r="AJ735">
        <v>0</v>
      </c>
      <c r="AK735">
        <v>0</v>
      </c>
      <c r="AL735">
        <v>1.3866420152530623E-2</v>
      </c>
      <c r="AM735">
        <v>0</v>
      </c>
      <c r="AN735">
        <v>4.7145828518604119E-2</v>
      </c>
      <c r="AO735">
        <v>0</v>
      </c>
      <c r="AP735">
        <v>0</v>
      </c>
      <c r="AQ735">
        <v>0</v>
      </c>
      <c r="AR735">
        <v>0</v>
      </c>
      <c r="AS735">
        <v>1.8488560203374166E-2</v>
      </c>
      <c r="AT735">
        <v>4.8532470533857182E-2</v>
      </c>
      <c r="AU735">
        <v>0</v>
      </c>
      <c r="AV735">
        <v>9.4753871042292589E-3</v>
      </c>
      <c r="AW735">
        <v>1.3866420152530623E-2</v>
      </c>
      <c r="AX735">
        <v>4.6221400508435415E-3</v>
      </c>
      <c r="AY735">
        <v>0</v>
      </c>
      <c r="AZ735">
        <v>0</v>
      </c>
      <c r="BA735">
        <v>0.14837069563207766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4.8532470533857184E-3</v>
      </c>
      <c r="CA735">
        <v>6.0087820660966032E-2</v>
      </c>
      <c r="CB735">
        <v>0</v>
      </c>
    </row>
    <row r="736" spans="1:80">
      <c r="A736">
        <v>735</v>
      </c>
      <c r="B736" t="s">
        <v>49</v>
      </c>
      <c r="C736" s="4" t="s">
        <v>162</v>
      </c>
      <c r="D736" s="4" t="s">
        <v>116</v>
      </c>
      <c r="E736" s="5">
        <v>40517</v>
      </c>
      <c r="F736" s="5">
        <v>40516</v>
      </c>
      <c r="G736">
        <v>1012</v>
      </c>
      <c r="H736" s="4" t="s">
        <v>110</v>
      </c>
      <c r="I736" s="4" t="s">
        <v>109</v>
      </c>
      <c r="J736" s="4" t="str">
        <f t="shared" si="11"/>
        <v>u_rem.c_rem</v>
      </c>
      <c r="K736" s="5">
        <v>1</v>
      </c>
      <c r="L736">
        <v>4.8320850446967895E-3</v>
      </c>
      <c r="M736">
        <v>0.2370137714423774</v>
      </c>
      <c r="N736">
        <v>0.22227591205605224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0.13070790045904812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4.8320850446967892E-2</v>
      </c>
      <c r="AI736">
        <v>3.9139888862043989E-2</v>
      </c>
      <c r="AJ736">
        <v>0</v>
      </c>
      <c r="AK736">
        <v>0</v>
      </c>
      <c r="AL736">
        <v>0</v>
      </c>
      <c r="AM736">
        <v>0</v>
      </c>
      <c r="AN736">
        <v>6.8132399130224744E-2</v>
      </c>
      <c r="AO736">
        <v>0</v>
      </c>
      <c r="AP736">
        <v>0</v>
      </c>
      <c r="AQ736">
        <v>0</v>
      </c>
      <c r="AR736">
        <v>0</v>
      </c>
      <c r="AS736">
        <v>1.0147378593863257E-2</v>
      </c>
      <c r="AT736">
        <v>4.5421599420149818E-2</v>
      </c>
      <c r="AU736">
        <v>9.664170089393579E-3</v>
      </c>
      <c r="AV736">
        <v>0</v>
      </c>
      <c r="AW736">
        <v>0</v>
      </c>
      <c r="AX736">
        <v>1.4496255134090369E-2</v>
      </c>
      <c r="AY736">
        <v>0</v>
      </c>
      <c r="AZ736">
        <v>0</v>
      </c>
      <c r="BA736">
        <v>0.11137956028026101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5.8226624788596304E-2</v>
      </c>
      <c r="CB736">
        <v>0</v>
      </c>
    </row>
    <row r="737" spans="1:80">
      <c r="A737">
        <v>736</v>
      </c>
      <c r="B737" t="s">
        <v>50</v>
      </c>
      <c r="C737" s="4" t="s">
        <v>162</v>
      </c>
      <c r="D737" s="4" t="s">
        <v>116</v>
      </c>
      <c r="E737" s="5">
        <v>40517</v>
      </c>
      <c r="F737" s="5">
        <v>40516</v>
      </c>
      <c r="G737">
        <v>1012</v>
      </c>
      <c r="H737" s="4" t="s">
        <v>110</v>
      </c>
      <c r="I737" s="4" t="s">
        <v>109</v>
      </c>
      <c r="J737" s="4" t="str">
        <f t="shared" si="11"/>
        <v>u_rem.c_rem</v>
      </c>
      <c r="K737" s="5">
        <v>1</v>
      </c>
      <c r="L737">
        <v>0</v>
      </c>
      <c r="M737">
        <v>0.15591510821601179</v>
      </c>
      <c r="N737">
        <v>9.6658961966799767E-2</v>
      </c>
      <c r="O737">
        <v>0</v>
      </c>
      <c r="P737">
        <v>0</v>
      </c>
      <c r="Q737">
        <v>4.2025635637739029E-3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0.15969741542340829</v>
      </c>
      <c r="AA737">
        <v>0</v>
      </c>
      <c r="AB737">
        <v>0</v>
      </c>
      <c r="AC737">
        <v>0</v>
      </c>
      <c r="AD737">
        <v>0</v>
      </c>
      <c r="AE737">
        <v>2.1012817818869513E-4</v>
      </c>
      <c r="AF737">
        <v>0</v>
      </c>
      <c r="AG737">
        <v>4.2025635637739029E-3</v>
      </c>
      <c r="AH737">
        <v>4.2025635637739029E-3</v>
      </c>
      <c r="AI737">
        <v>9.6658961966799767E-2</v>
      </c>
      <c r="AJ737">
        <v>8.0058835889892849E-2</v>
      </c>
      <c r="AK737">
        <v>0</v>
      </c>
      <c r="AL737">
        <v>5.0430762765286838E-2</v>
      </c>
      <c r="AM737">
        <v>0</v>
      </c>
      <c r="AN737">
        <v>4.2656020172305104E-2</v>
      </c>
      <c r="AO737">
        <v>0</v>
      </c>
      <c r="AP737">
        <v>0</v>
      </c>
      <c r="AQ737">
        <v>0</v>
      </c>
      <c r="AR737">
        <v>0</v>
      </c>
      <c r="AS737">
        <v>1.7230510611473002E-2</v>
      </c>
      <c r="AT737">
        <v>9.035511662113891E-3</v>
      </c>
      <c r="AU737">
        <v>2.1433074175246904E-2</v>
      </c>
      <c r="AV737">
        <v>0</v>
      </c>
      <c r="AW737">
        <v>0</v>
      </c>
      <c r="AX737">
        <v>8.6152553057365008E-3</v>
      </c>
      <c r="AY737">
        <v>0</v>
      </c>
      <c r="AZ737">
        <v>0</v>
      </c>
      <c r="BA737">
        <v>3.0048329480983401E-2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0.21433074175246897</v>
      </c>
      <c r="CB737">
        <v>0</v>
      </c>
    </row>
    <row r="738" spans="1:80">
      <c r="A738">
        <v>737</v>
      </c>
      <c r="B738" t="s">
        <v>51</v>
      </c>
      <c r="C738" s="4" t="s">
        <v>163</v>
      </c>
      <c r="D738" s="4" t="s">
        <v>116</v>
      </c>
      <c r="E738" s="5">
        <v>40517</v>
      </c>
      <c r="F738" s="5">
        <v>40516</v>
      </c>
      <c r="G738">
        <v>1012</v>
      </c>
      <c r="H738" s="4" t="s">
        <v>107</v>
      </c>
      <c r="I738" s="4" t="s">
        <v>109</v>
      </c>
      <c r="J738" s="4" t="str">
        <f t="shared" si="11"/>
        <v>u_con.c_rem</v>
      </c>
      <c r="K738" s="5">
        <v>2</v>
      </c>
      <c r="L738">
        <v>0</v>
      </c>
      <c r="M738">
        <v>9.0073095967932115E-2</v>
      </c>
      <c r="N738">
        <v>0.20749823154916289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7.0973826927611408E-2</v>
      </c>
      <c r="AA738">
        <v>0</v>
      </c>
      <c r="AB738">
        <v>0</v>
      </c>
      <c r="AC738">
        <v>9.6675312426314549E-3</v>
      </c>
      <c r="AD738">
        <v>0</v>
      </c>
      <c r="AE738">
        <v>0</v>
      </c>
      <c r="AF738">
        <v>0</v>
      </c>
      <c r="AG738">
        <v>0</v>
      </c>
      <c r="AH738">
        <v>1.9099269040320679E-2</v>
      </c>
      <c r="AI738">
        <v>0.11813251591605758</v>
      </c>
      <c r="AJ738">
        <v>0</v>
      </c>
      <c r="AK738">
        <v>0</v>
      </c>
      <c r="AL738">
        <v>2.8295213393067668E-2</v>
      </c>
      <c r="AM738">
        <v>0</v>
      </c>
      <c r="AN738">
        <v>1.957085593020514E-2</v>
      </c>
      <c r="AO738">
        <v>0</v>
      </c>
      <c r="AP738">
        <v>0</v>
      </c>
      <c r="AQ738">
        <v>0</v>
      </c>
      <c r="AR738">
        <v>0</v>
      </c>
      <c r="AS738">
        <v>7.1209620372553642E-2</v>
      </c>
      <c r="AT738">
        <v>7.0738033482669173E-4</v>
      </c>
      <c r="AU738">
        <v>4.3150200424428194E-2</v>
      </c>
      <c r="AV738">
        <v>4.7158688988446117E-4</v>
      </c>
      <c r="AW738">
        <v>0</v>
      </c>
      <c r="AX738">
        <v>4.9516623437868426E-3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1.4383400141476068E-2</v>
      </c>
      <c r="CA738">
        <v>0.30181560952605518</v>
      </c>
      <c r="CB738">
        <v>0</v>
      </c>
    </row>
    <row r="739" spans="1:80">
      <c r="A739">
        <v>738</v>
      </c>
      <c r="B739" t="s">
        <v>52</v>
      </c>
      <c r="C739" s="4" t="s">
        <v>163</v>
      </c>
      <c r="D739" s="4" t="s">
        <v>116</v>
      </c>
      <c r="E739" s="5">
        <v>40517</v>
      </c>
      <c r="F739" s="5">
        <v>40516</v>
      </c>
      <c r="G739">
        <v>1012</v>
      </c>
      <c r="H739" s="4" t="s">
        <v>107</v>
      </c>
      <c r="I739" s="4" t="s">
        <v>109</v>
      </c>
      <c r="J739" s="4" t="str">
        <f t="shared" si="11"/>
        <v>u_con.c_rem</v>
      </c>
      <c r="K739" s="5">
        <v>2</v>
      </c>
      <c r="L739">
        <v>0</v>
      </c>
      <c r="M739">
        <v>0.12051557465091299</v>
      </c>
      <c r="N739">
        <v>0.18045112781954886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0.20622986036519869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8.5929108485499478E-3</v>
      </c>
      <c r="AI739">
        <v>7.3254564983888312E-2</v>
      </c>
      <c r="AJ739">
        <v>6.4446831364124602E-2</v>
      </c>
      <c r="AK739">
        <v>0</v>
      </c>
      <c r="AL739">
        <v>0</v>
      </c>
      <c r="AM739">
        <v>0</v>
      </c>
      <c r="AN739">
        <v>5.1987110633727185E-2</v>
      </c>
      <c r="AO739">
        <v>0</v>
      </c>
      <c r="AP739">
        <v>0</v>
      </c>
      <c r="AQ739">
        <v>0</v>
      </c>
      <c r="AR739">
        <v>0</v>
      </c>
      <c r="AS739">
        <v>9.2373791621911932E-3</v>
      </c>
      <c r="AT739">
        <v>9.4522019334049422E-3</v>
      </c>
      <c r="AU739">
        <v>3.5016111707841031E-2</v>
      </c>
      <c r="AV739">
        <v>0</v>
      </c>
      <c r="AW739">
        <v>4.2964554242749739E-3</v>
      </c>
      <c r="AX739">
        <v>4.2964554242749739E-3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2.1482277121374866E-4</v>
      </c>
      <c r="CA739">
        <v>0.23200859291084847</v>
      </c>
      <c r="CB739">
        <v>0</v>
      </c>
    </row>
    <row r="740" spans="1:80">
      <c r="A740">
        <v>739</v>
      </c>
      <c r="B740" t="s">
        <v>53</v>
      </c>
      <c r="C740" s="4" t="s">
        <v>163</v>
      </c>
      <c r="D740" s="4" t="s">
        <v>116</v>
      </c>
      <c r="E740" s="5">
        <v>40517</v>
      </c>
      <c r="F740" s="5">
        <v>40516</v>
      </c>
      <c r="G740">
        <v>1012</v>
      </c>
      <c r="H740" s="4" t="s">
        <v>107</v>
      </c>
      <c r="I740" s="4" t="s">
        <v>108</v>
      </c>
      <c r="J740" s="4" t="str">
        <f t="shared" si="11"/>
        <v>u_con.c_con</v>
      </c>
      <c r="K740" s="5">
        <v>19</v>
      </c>
      <c r="L740">
        <v>0</v>
      </c>
      <c r="M740">
        <v>0.10452488687782804</v>
      </c>
      <c r="N740">
        <v>0.23529411764705874</v>
      </c>
      <c r="O740">
        <v>0</v>
      </c>
      <c r="P740">
        <v>0</v>
      </c>
      <c r="Q740">
        <v>4.5248868778280547E-3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0.15475113122171946</v>
      </c>
      <c r="AA740">
        <v>0</v>
      </c>
      <c r="AB740">
        <v>0</v>
      </c>
      <c r="AC740">
        <v>0</v>
      </c>
      <c r="AD740">
        <v>0</v>
      </c>
      <c r="AE740">
        <v>4.7511312217194583E-3</v>
      </c>
      <c r="AF740">
        <v>0</v>
      </c>
      <c r="AG740">
        <v>0</v>
      </c>
      <c r="AH740">
        <v>4.7511312217194583E-3</v>
      </c>
      <c r="AI740">
        <v>9.5475113122171967E-2</v>
      </c>
      <c r="AJ740">
        <v>4.7511312217194583E-3</v>
      </c>
      <c r="AK740">
        <v>0</v>
      </c>
      <c r="AL740">
        <v>1.8099547511312219E-2</v>
      </c>
      <c r="AM740">
        <v>0</v>
      </c>
      <c r="AN740">
        <v>2.2850678733031676E-2</v>
      </c>
      <c r="AO740">
        <v>0</v>
      </c>
      <c r="AP740">
        <v>0</v>
      </c>
      <c r="AQ740">
        <v>1.3574660633484163E-2</v>
      </c>
      <c r="AR740">
        <v>0</v>
      </c>
      <c r="AS740">
        <v>1.8778280542986428E-2</v>
      </c>
      <c r="AT740">
        <v>2.3529411764705885E-2</v>
      </c>
      <c r="AU740">
        <v>3.1900452488687787E-2</v>
      </c>
      <c r="AV740">
        <v>0</v>
      </c>
      <c r="AW740">
        <v>9.0497737556561094E-3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4.5248868778280547E-3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1.3574660633484163E-2</v>
      </c>
      <c r="CA740">
        <v>0.23529411764705882</v>
      </c>
      <c r="CB740">
        <v>0</v>
      </c>
    </row>
    <row r="741" spans="1:80">
      <c r="A741">
        <v>740</v>
      </c>
      <c r="B741" t="s">
        <v>54</v>
      </c>
      <c r="C741" s="4" t="s">
        <v>163</v>
      </c>
      <c r="D741" s="4" t="s">
        <v>116</v>
      </c>
      <c r="E741" s="5">
        <v>40517</v>
      </c>
      <c r="F741" s="5">
        <v>40516</v>
      </c>
      <c r="G741">
        <v>1012</v>
      </c>
      <c r="H741" s="4" t="s">
        <v>107</v>
      </c>
      <c r="I741" s="4" t="s">
        <v>108</v>
      </c>
      <c r="J741" s="4" t="str">
        <f t="shared" si="11"/>
        <v>u_con.c_con</v>
      </c>
      <c r="K741" s="5">
        <v>19</v>
      </c>
      <c r="L741">
        <v>0</v>
      </c>
      <c r="M741">
        <v>5.240286298568507E-2</v>
      </c>
      <c r="N741">
        <v>0.15414110429447855</v>
      </c>
      <c r="O741">
        <v>0</v>
      </c>
      <c r="P741">
        <v>0</v>
      </c>
      <c r="Q741">
        <v>1.5337423312883439E-2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0.26610429447852763</v>
      </c>
      <c r="AA741">
        <v>0</v>
      </c>
      <c r="AB741">
        <v>0</v>
      </c>
      <c r="AC741">
        <v>0</v>
      </c>
      <c r="AD741">
        <v>0</v>
      </c>
      <c r="AE741">
        <v>5.1124744376278123E-4</v>
      </c>
      <c r="AF741">
        <v>0</v>
      </c>
      <c r="AG741">
        <v>0</v>
      </c>
      <c r="AH741">
        <v>5.1124744376278121E-3</v>
      </c>
      <c r="AI741">
        <v>3.6298568507157465E-2</v>
      </c>
      <c r="AJ741">
        <v>0</v>
      </c>
      <c r="AK741">
        <v>0</v>
      </c>
      <c r="AL741">
        <v>1.0224948875255624E-2</v>
      </c>
      <c r="AM741">
        <v>0</v>
      </c>
      <c r="AN741">
        <v>4.1922290388548056E-2</v>
      </c>
      <c r="AO741">
        <v>0</v>
      </c>
      <c r="AP741">
        <v>0</v>
      </c>
      <c r="AQ741">
        <v>0</v>
      </c>
      <c r="AR741">
        <v>0</v>
      </c>
      <c r="AS741">
        <v>2.2494887525562376E-2</v>
      </c>
      <c r="AT741">
        <v>1.5337423312883438E-3</v>
      </c>
      <c r="AU741">
        <v>3.0674846625766871E-2</v>
      </c>
      <c r="AV741">
        <v>0</v>
      </c>
      <c r="AW741">
        <v>5.1124744376278121E-3</v>
      </c>
      <c r="AX741">
        <v>5.1124744376278121E-3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1.559304703476483E-2</v>
      </c>
      <c r="CA741">
        <v>0.33742331288343552</v>
      </c>
      <c r="CB741">
        <v>0</v>
      </c>
    </row>
    <row r="742" spans="1:80">
      <c r="A742">
        <v>741</v>
      </c>
      <c r="B742" t="s">
        <v>55</v>
      </c>
      <c r="C742" s="4" t="s">
        <v>164</v>
      </c>
      <c r="D742" s="4" t="s">
        <v>116</v>
      </c>
      <c r="E742" s="5">
        <v>40517</v>
      </c>
      <c r="F742" s="5">
        <v>40516</v>
      </c>
      <c r="G742">
        <v>1012</v>
      </c>
      <c r="H742" s="4" t="s">
        <v>110</v>
      </c>
      <c r="I742" s="4" t="s">
        <v>108</v>
      </c>
      <c r="J742" s="4" t="str">
        <f t="shared" si="11"/>
        <v>u_rem.c_con</v>
      </c>
      <c r="K742" s="5">
        <v>8</v>
      </c>
      <c r="L742">
        <v>0</v>
      </c>
      <c r="M742">
        <v>7.329248922169275E-2</v>
      </c>
      <c r="N742">
        <v>7.7149988654413443E-2</v>
      </c>
      <c r="O742">
        <v>1.8606761969593825E-2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2.2691173133651005E-2</v>
      </c>
      <c r="AA742">
        <v>4.5382346267302011E-3</v>
      </c>
      <c r="AB742">
        <v>0</v>
      </c>
      <c r="AC742">
        <v>4.5382346267302011E-3</v>
      </c>
      <c r="AD742">
        <v>0</v>
      </c>
      <c r="AE742">
        <v>1.8606761969593825E-2</v>
      </c>
      <c r="AF742">
        <v>0</v>
      </c>
      <c r="AG742">
        <v>0</v>
      </c>
      <c r="AH742">
        <v>1.4068527342863625E-2</v>
      </c>
      <c r="AI742">
        <v>2.7229407760381207E-2</v>
      </c>
      <c r="AJ742">
        <v>0</v>
      </c>
      <c r="AK742">
        <v>0</v>
      </c>
      <c r="AL742">
        <v>3.1767642387111404E-2</v>
      </c>
      <c r="AM742">
        <v>0</v>
      </c>
      <c r="AN742">
        <v>4.1751758565917847E-2</v>
      </c>
      <c r="AO742">
        <v>0</v>
      </c>
      <c r="AP742">
        <v>0</v>
      </c>
      <c r="AQ742">
        <v>0</v>
      </c>
      <c r="AR742">
        <v>0</v>
      </c>
      <c r="AS742">
        <v>3.6986612207851134E-2</v>
      </c>
      <c r="AT742">
        <v>4.5382346267302013E-4</v>
      </c>
      <c r="AU742">
        <v>1.4976174268209666E-2</v>
      </c>
      <c r="AV742">
        <v>0</v>
      </c>
      <c r="AW742">
        <v>9.0764692534604022E-3</v>
      </c>
      <c r="AX742">
        <v>1.8152938506920804E-2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4.5382346267302011E-3</v>
      </c>
      <c r="BX742">
        <v>0</v>
      </c>
      <c r="BY742">
        <v>0</v>
      </c>
      <c r="BZ742">
        <v>9.7572044474699329E-3</v>
      </c>
      <c r="CA742">
        <v>0.57181756296800546</v>
      </c>
      <c r="CB742">
        <v>0</v>
      </c>
    </row>
    <row r="743" spans="1:80">
      <c r="A743">
        <v>742</v>
      </c>
      <c r="B743" t="s">
        <v>56</v>
      </c>
      <c r="C743" s="4" t="s">
        <v>164</v>
      </c>
      <c r="D743" s="4" t="s">
        <v>116</v>
      </c>
      <c r="E743" s="5">
        <v>40517</v>
      </c>
      <c r="F743" s="5">
        <v>40516</v>
      </c>
      <c r="G743">
        <v>1012</v>
      </c>
      <c r="H743" s="4" t="s">
        <v>110</v>
      </c>
      <c r="I743" s="4" t="s">
        <v>109</v>
      </c>
      <c r="J743" s="4" t="str">
        <f t="shared" si="11"/>
        <v>u_rem.c_rem</v>
      </c>
      <c r="K743" s="5">
        <v>1</v>
      </c>
      <c r="L743">
        <v>0</v>
      </c>
      <c r="M743">
        <v>1.5403422982885091E-2</v>
      </c>
      <c r="N743">
        <v>0.1662591687041565</v>
      </c>
      <c r="O743">
        <v>0</v>
      </c>
      <c r="P743">
        <v>0</v>
      </c>
      <c r="Q743">
        <v>4.8899755501222511E-3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5.3789731051344762E-2</v>
      </c>
      <c r="AA743">
        <v>0</v>
      </c>
      <c r="AB743">
        <v>0</v>
      </c>
      <c r="AC743">
        <v>0</v>
      </c>
      <c r="AD743">
        <v>0</v>
      </c>
      <c r="AE743">
        <v>9.7799511002445022E-3</v>
      </c>
      <c r="AF743">
        <v>0</v>
      </c>
      <c r="AG743">
        <v>0</v>
      </c>
      <c r="AH743">
        <v>0</v>
      </c>
      <c r="AI743">
        <v>0.1224938875305624</v>
      </c>
      <c r="AJ743">
        <v>0</v>
      </c>
      <c r="AK743">
        <v>0</v>
      </c>
      <c r="AL743">
        <v>0.11246943765281177</v>
      </c>
      <c r="AM743">
        <v>0</v>
      </c>
      <c r="AN743">
        <v>2.4938875305623477E-2</v>
      </c>
      <c r="AO743">
        <v>0</v>
      </c>
      <c r="AP743">
        <v>0</v>
      </c>
      <c r="AQ743">
        <v>0</v>
      </c>
      <c r="AR743">
        <v>0</v>
      </c>
      <c r="AS743">
        <v>5.3789731051344748E-2</v>
      </c>
      <c r="AT743">
        <v>1.5403422982885091E-2</v>
      </c>
      <c r="AU743">
        <v>4.8899755501222497E-2</v>
      </c>
      <c r="AV743">
        <v>2.444987775061125E-4</v>
      </c>
      <c r="AW743">
        <v>1.9559902200489004E-2</v>
      </c>
      <c r="AX743">
        <v>9.7799511002445022E-3</v>
      </c>
      <c r="AY743">
        <v>0</v>
      </c>
      <c r="AZ743">
        <v>0</v>
      </c>
      <c r="BA743">
        <v>4.8899755501222511E-3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0.33740831295843532</v>
      </c>
      <c r="CB743">
        <v>0</v>
      </c>
    </row>
    <row r="744" spans="1:80">
      <c r="A744">
        <v>743</v>
      </c>
      <c r="B744" t="s">
        <v>57</v>
      </c>
      <c r="C744" s="4" t="s">
        <v>164</v>
      </c>
      <c r="D744" s="4" t="s">
        <v>116</v>
      </c>
      <c r="E744" s="5">
        <v>40517</v>
      </c>
      <c r="F744" s="5">
        <v>40516</v>
      </c>
      <c r="G744">
        <v>1012</v>
      </c>
      <c r="H744" s="4" t="s">
        <v>110</v>
      </c>
      <c r="I744" s="4" t="s">
        <v>108</v>
      </c>
      <c r="J744" s="4" t="str">
        <f t="shared" si="11"/>
        <v>u_rem.c_con</v>
      </c>
      <c r="K744" s="5">
        <v>8</v>
      </c>
      <c r="L744">
        <v>0</v>
      </c>
      <c r="M744">
        <v>3.0303030303030304E-2</v>
      </c>
      <c r="N744">
        <v>0.1260606060606061</v>
      </c>
      <c r="O744">
        <v>0</v>
      </c>
      <c r="P744">
        <v>0</v>
      </c>
      <c r="Q744">
        <v>4.8484848484848485E-3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2.9090909090909091E-2</v>
      </c>
      <c r="AA744">
        <v>0</v>
      </c>
      <c r="AB744">
        <v>0</v>
      </c>
      <c r="AC744">
        <v>0</v>
      </c>
      <c r="AD744">
        <v>0</v>
      </c>
      <c r="AE744">
        <v>5.5757575757575759E-3</v>
      </c>
      <c r="AF744">
        <v>0</v>
      </c>
      <c r="AG744">
        <v>0</v>
      </c>
      <c r="AH744">
        <v>0</v>
      </c>
      <c r="AI744">
        <v>2.4484848484848484E-2</v>
      </c>
      <c r="AJ744">
        <v>0</v>
      </c>
      <c r="AK744">
        <v>0</v>
      </c>
      <c r="AL744">
        <v>5.8181818181818182E-2</v>
      </c>
      <c r="AM744">
        <v>0</v>
      </c>
      <c r="AN744">
        <v>6.0606060606060606E-3</v>
      </c>
      <c r="AO744">
        <v>0</v>
      </c>
      <c r="AP744">
        <v>0</v>
      </c>
      <c r="AQ744">
        <v>0</v>
      </c>
      <c r="AR744">
        <v>0</v>
      </c>
      <c r="AS744">
        <v>2.5454545454545455E-2</v>
      </c>
      <c r="AT744">
        <v>2.4242424242424242E-4</v>
      </c>
      <c r="AU744">
        <v>2.9575757575757575E-2</v>
      </c>
      <c r="AV744">
        <v>0</v>
      </c>
      <c r="AW744">
        <v>4.8484848484848485E-3</v>
      </c>
      <c r="AX744">
        <v>4.8484848484848484E-4</v>
      </c>
      <c r="AY744">
        <v>0</v>
      </c>
      <c r="AZ744">
        <v>0</v>
      </c>
      <c r="BA744">
        <v>4.8484848484848485E-3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1.9636363636363639E-2</v>
      </c>
      <c r="CA744">
        <v>0.63030303030303025</v>
      </c>
      <c r="CB744">
        <v>0</v>
      </c>
    </row>
    <row r="745" spans="1:80">
      <c r="A745">
        <v>744</v>
      </c>
      <c r="B745" t="s">
        <v>58</v>
      </c>
      <c r="C745" s="4" t="s">
        <v>164</v>
      </c>
      <c r="D745" s="4" t="s">
        <v>116</v>
      </c>
      <c r="E745" s="5">
        <v>40517</v>
      </c>
      <c r="F745" s="5">
        <v>40516</v>
      </c>
      <c r="G745">
        <v>1012</v>
      </c>
      <c r="H745" s="4" t="s">
        <v>110</v>
      </c>
      <c r="I745" s="4" t="s">
        <v>109</v>
      </c>
      <c r="J745" s="4" t="str">
        <f t="shared" si="11"/>
        <v>u_rem.c_rem</v>
      </c>
      <c r="K745" s="5">
        <v>1</v>
      </c>
      <c r="L745">
        <v>0</v>
      </c>
      <c r="M745">
        <v>1.5033947623666345E-2</v>
      </c>
      <c r="N745">
        <v>0.15518913676042678</v>
      </c>
      <c r="O745">
        <v>2.4248302618816683E-4</v>
      </c>
      <c r="P745">
        <v>0</v>
      </c>
      <c r="Q745">
        <v>5.3588748787584864E-2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2.4248302618816683E-4</v>
      </c>
      <c r="Y745">
        <v>0</v>
      </c>
      <c r="Z745">
        <v>0.18937924345295828</v>
      </c>
      <c r="AA745">
        <v>0</v>
      </c>
      <c r="AB745">
        <v>0</v>
      </c>
      <c r="AC745">
        <v>0</v>
      </c>
      <c r="AD745">
        <v>0</v>
      </c>
      <c r="AE745">
        <v>5.8438409311348208E-2</v>
      </c>
      <c r="AF745">
        <v>0</v>
      </c>
      <c r="AG745">
        <v>0</v>
      </c>
      <c r="AH745">
        <v>4.849660523763337E-3</v>
      </c>
      <c r="AI745">
        <v>5.3831231813773028E-2</v>
      </c>
      <c r="AJ745">
        <v>0</v>
      </c>
      <c r="AK745">
        <v>0</v>
      </c>
      <c r="AL745">
        <v>1.4548981571290011E-2</v>
      </c>
      <c r="AM745">
        <v>0</v>
      </c>
      <c r="AN745">
        <v>2.0853540252182348E-2</v>
      </c>
      <c r="AO745">
        <v>0</v>
      </c>
      <c r="AP745">
        <v>0</v>
      </c>
      <c r="AQ745">
        <v>0</v>
      </c>
      <c r="AR745">
        <v>0</v>
      </c>
      <c r="AS745">
        <v>2.0368574199806016E-2</v>
      </c>
      <c r="AT745">
        <v>7.2744907856450041E-4</v>
      </c>
      <c r="AU745">
        <v>1.9641125121241512E-2</v>
      </c>
      <c r="AV745">
        <v>0</v>
      </c>
      <c r="AW745">
        <v>0</v>
      </c>
      <c r="AX745">
        <v>5.092143549951504E-3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4.849660523763337E-3</v>
      </c>
      <c r="BZ745">
        <v>4.849660523763337E-3</v>
      </c>
      <c r="CA745">
        <v>0.37827352085354021</v>
      </c>
      <c r="CB745">
        <v>0</v>
      </c>
    </row>
    <row r="746" spans="1:80">
      <c r="A746">
        <v>745</v>
      </c>
      <c r="B746" t="s">
        <v>59</v>
      </c>
      <c r="C746" s="4" t="s">
        <v>165</v>
      </c>
      <c r="D746" s="4" t="s">
        <v>117</v>
      </c>
      <c r="E746" s="5">
        <v>40516</v>
      </c>
      <c r="F746" s="5">
        <v>40516</v>
      </c>
      <c r="G746">
        <v>1012</v>
      </c>
      <c r="H746" s="4" t="s">
        <v>107</v>
      </c>
      <c r="I746" s="4" t="s">
        <v>109</v>
      </c>
      <c r="J746" s="4" t="str">
        <f t="shared" si="11"/>
        <v>u_con.c_rem</v>
      </c>
      <c r="K746" s="5">
        <v>2</v>
      </c>
      <c r="L746">
        <v>0</v>
      </c>
      <c r="M746">
        <v>0.16827902240325868</v>
      </c>
      <c r="N746">
        <v>0.10717922606924647</v>
      </c>
      <c r="O746">
        <v>0</v>
      </c>
      <c r="P746">
        <v>0</v>
      </c>
      <c r="Q746">
        <v>1.527494908350306E-2</v>
      </c>
      <c r="R746">
        <v>6.1099796334012225E-2</v>
      </c>
      <c r="S746">
        <v>0</v>
      </c>
      <c r="T746">
        <v>5.3462321792260709E-3</v>
      </c>
      <c r="U746">
        <v>0</v>
      </c>
      <c r="V746">
        <v>5.0916496945010194E-3</v>
      </c>
      <c r="W746">
        <v>0</v>
      </c>
      <c r="X746">
        <v>6.1608961303462342E-2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3.182281059063137E-2</v>
      </c>
      <c r="AJ746">
        <v>0.13772912423625258</v>
      </c>
      <c r="AK746">
        <v>0</v>
      </c>
      <c r="AL746">
        <v>2.0621181262729129E-2</v>
      </c>
      <c r="AM746">
        <v>0</v>
      </c>
      <c r="AN746">
        <v>6.1099796334012236E-3</v>
      </c>
      <c r="AO746">
        <v>0</v>
      </c>
      <c r="AP746">
        <v>0</v>
      </c>
      <c r="AQ746">
        <v>0</v>
      </c>
      <c r="AR746">
        <v>0</v>
      </c>
      <c r="AS746">
        <v>1.527494908350306E-2</v>
      </c>
      <c r="AT746">
        <v>1.782077393075357E-3</v>
      </c>
      <c r="AU746">
        <v>0</v>
      </c>
      <c r="AV746">
        <v>0</v>
      </c>
      <c r="AW746">
        <v>1.0183299389002039E-2</v>
      </c>
      <c r="AX746">
        <v>1.527494908350306E-2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5.0916496945010194E-3</v>
      </c>
      <c r="BY746">
        <v>0</v>
      </c>
      <c r="BZ746">
        <v>3.6914460285132386E-2</v>
      </c>
      <c r="CA746">
        <v>0.29531568228105903</v>
      </c>
      <c r="CB746">
        <v>0</v>
      </c>
    </row>
    <row r="747" spans="1:80">
      <c r="A747">
        <v>746</v>
      </c>
      <c r="B747" t="s">
        <v>60</v>
      </c>
      <c r="C747" s="4" t="s">
        <v>165</v>
      </c>
      <c r="D747" s="4" t="s">
        <v>117</v>
      </c>
      <c r="E747" s="5">
        <v>40516</v>
      </c>
      <c r="F747" s="5">
        <v>40516</v>
      </c>
      <c r="G747">
        <v>1012</v>
      </c>
      <c r="H747" s="4" t="s">
        <v>107</v>
      </c>
      <c r="I747" s="4" t="s">
        <v>108</v>
      </c>
      <c r="J747" s="4" t="str">
        <f t="shared" si="11"/>
        <v>u_con.c_con</v>
      </c>
      <c r="K747" s="5">
        <v>19</v>
      </c>
      <c r="L747">
        <v>0</v>
      </c>
      <c r="M747">
        <v>0.3519648523309738</v>
      </c>
      <c r="N747">
        <v>4.4422748352453009E-2</v>
      </c>
      <c r="O747">
        <v>0</v>
      </c>
      <c r="P747">
        <v>0</v>
      </c>
      <c r="Q747">
        <v>5.9067610446668292E-2</v>
      </c>
      <c r="R747">
        <v>4.8816206980717598E-3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2.0502806931901395E-2</v>
      </c>
      <c r="AJ747">
        <v>4.8816206980717598E-3</v>
      </c>
      <c r="AK747">
        <v>0</v>
      </c>
      <c r="AL747">
        <v>0.15133024164022457</v>
      </c>
      <c r="AM747">
        <v>0</v>
      </c>
      <c r="AN747">
        <v>9.7632413961435197E-3</v>
      </c>
      <c r="AO747">
        <v>0</v>
      </c>
      <c r="AP747">
        <v>0</v>
      </c>
      <c r="AQ747">
        <v>0</v>
      </c>
      <c r="AR747">
        <v>0</v>
      </c>
      <c r="AS747">
        <v>4.8816206980717598E-3</v>
      </c>
      <c r="AT747">
        <v>0</v>
      </c>
      <c r="AU747">
        <v>0</v>
      </c>
      <c r="AV747">
        <v>0</v>
      </c>
      <c r="AW747">
        <v>4.8816206980717598E-3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4.8816206980717598E-3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7.4444715645594337E-2</v>
      </c>
      <c r="CA747">
        <v>0.26409567976568216</v>
      </c>
      <c r="CB747">
        <v>0</v>
      </c>
    </row>
    <row r="748" spans="1:80">
      <c r="A748">
        <v>747</v>
      </c>
      <c r="B748" t="s">
        <v>61</v>
      </c>
      <c r="C748" s="4" t="s">
        <v>165</v>
      </c>
      <c r="D748" s="4" t="s">
        <v>117</v>
      </c>
      <c r="E748" s="5">
        <v>40516</v>
      </c>
      <c r="F748" s="5">
        <v>40516</v>
      </c>
      <c r="G748">
        <v>1012</v>
      </c>
      <c r="H748" s="4" t="s">
        <v>107</v>
      </c>
      <c r="I748" s="4" t="s">
        <v>109</v>
      </c>
      <c r="J748" s="4" t="str">
        <f t="shared" si="11"/>
        <v>u_con.c_rem</v>
      </c>
      <c r="K748" s="5">
        <v>2</v>
      </c>
      <c r="L748">
        <v>0</v>
      </c>
      <c r="M748">
        <v>0.39366862394689811</v>
      </c>
      <c r="N748">
        <v>0.12764871074802148</v>
      </c>
      <c r="O748">
        <v>0</v>
      </c>
      <c r="P748">
        <v>0</v>
      </c>
      <c r="Q748">
        <v>1.0211896859841715E-2</v>
      </c>
      <c r="R748">
        <v>0.12254276231810057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1.5317845289762575E-2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5.1314781720704625E-2</v>
      </c>
      <c r="AJ748">
        <v>5.1059484299208577E-2</v>
      </c>
      <c r="AK748">
        <v>0</v>
      </c>
      <c r="AL748">
        <v>1.0467194281337759E-2</v>
      </c>
      <c r="AM748">
        <v>0</v>
      </c>
      <c r="AN748">
        <v>1.5828440132754661E-2</v>
      </c>
      <c r="AO748">
        <v>0</v>
      </c>
      <c r="AP748">
        <v>0</v>
      </c>
      <c r="AQ748">
        <v>0</v>
      </c>
      <c r="AR748">
        <v>0</v>
      </c>
      <c r="AS748">
        <v>5.3612458514169011E-3</v>
      </c>
      <c r="AT748">
        <v>1.0211896859841716E-3</v>
      </c>
      <c r="AU748">
        <v>0</v>
      </c>
      <c r="AV748">
        <v>0</v>
      </c>
      <c r="AW748">
        <v>0</v>
      </c>
      <c r="AX748">
        <v>2.5529742149604291E-4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1.148838396732193E-2</v>
      </c>
      <c r="CA748">
        <v>0.18381414347715086</v>
      </c>
      <c r="CB748">
        <v>0</v>
      </c>
    </row>
    <row r="749" spans="1:80">
      <c r="A749">
        <v>748</v>
      </c>
      <c r="B749" t="s">
        <v>62</v>
      </c>
      <c r="C749" s="4" t="s">
        <v>165</v>
      </c>
      <c r="D749" s="4" t="s">
        <v>117</v>
      </c>
      <c r="E749" s="5">
        <v>40516</v>
      </c>
      <c r="F749" s="5">
        <v>40516</v>
      </c>
      <c r="G749">
        <v>1012</v>
      </c>
      <c r="H749" s="4" t="s">
        <v>107</v>
      </c>
      <c r="I749" s="4" t="s">
        <v>108</v>
      </c>
      <c r="J749" s="4" t="str">
        <f t="shared" si="11"/>
        <v>u_con.c_con</v>
      </c>
      <c r="K749" s="5">
        <v>19</v>
      </c>
      <c r="L749">
        <v>0</v>
      </c>
      <c r="M749">
        <v>4.4921874999999993E-2</v>
      </c>
      <c r="N749">
        <v>4.9072265624999993E-2</v>
      </c>
      <c r="O749">
        <v>0</v>
      </c>
      <c r="P749">
        <v>0</v>
      </c>
      <c r="Q749">
        <v>1.0742187500000002E-2</v>
      </c>
      <c r="R749">
        <v>4.8828125E-3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4.8828125E-2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3.9306640625E-2</v>
      </c>
      <c r="AJ749">
        <v>4.8828125E-3</v>
      </c>
      <c r="AK749">
        <v>0</v>
      </c>
      <c r="AL749">
        <v>0.39062499999999994</v>
      </c>
      <c r="AM749">
        <v>0</v>
      </c>
      <c r="AN749">
        <v>5.6152343750000009E-3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2.44140625E-4</v>
      </c>
      <c r="AU749">
        <v>0</v>
      </c>
      <c r="AV749">
        <v>0</v>
      </c>
      <c r="AW749">
        <v>0</v>
      </c>
      <c r="AX749">
        <v>4.8828125E-3</v>
      </c>
      <c r="AY749">
        <v>0</v>
      </c>
      <c r="AZ749">
        <v>0</v>
      </c>
      <c r="BA749">
        <v>1.4648437500000002E-2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1.025390625E-2</v>
      </c>
      <c r="CA749">
        <v>0.37109375</v>
      </c>
      <c r="CB749">
        <v>0</v>
      </c>
    </row>
    <row r="750" spans="1:80">
      <c r="A750">
        <v>749</v>
      </c>
      <c r="B750" t="s">
        <v>106</v>
      </c>
      <c r="C750" s="4" t="s">
        <v>166</v>
      </c>
      <c r="D750" s="4" t="s">
        <v>117</v>
      </c>
      <c r="E750" s="5">
        <v>40516</v>
      </c>
      <c r="F750" s="5">
        <v>40516</v>
      </c>
      <c r="G750">
        <v>1012</v>
      </c>
      <c r="H750" s="4" t="s">
        <v>110</v>
      </c>
      <c r="I750" s="4" t="s">
        <v>109</v>
      </c>
      <c r="J750" s="4" t="str">
        <f t="shared" si="11"/>
        <v>u_rem.c_rem</v>
      </c>
      <c r="K750" s="5">
        <v>1</v>
      </c>
      <c r="L750">
        <v>0</v>
      </c>
      <c r="M750">
        <v>7.6216484607745799E-2</v>
      </c>
      <c r="N750">
        <v>0.21847070506454816</v>
      </c>
      <c r="O750">
        <v>0</v>
      </c>
      <c r="P750">
        <v>0</v>
      </c>
      <c r="Q750">
        <v>4.9652432969215501E-3</v>
      </c>
      <c r="R750">
        <v>0.16881827209533271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1.4895729890764651E-2</v>
      </c>
      <c r="AJ750">
        <v>0.13455809334657401</v>
      </c>
      <c r="AK750">
        <v>0</v>
      </c>
      <c r="AL750">
        <v>4.4687189672293959E-2</v>
      </c>
      <c r="AM750">
        <v>0</v>
      </c>
      <c r="AN750">
        <v>7.4478649453823241E-4</v>
      </c>
      <c r="AO750">
        <v>0</v>
      </c>
      <c r="AP750">
        <v>0</v>
      </c>
      <c r="AQ750">
        <v>0</v>
      </c>
      <c r="AR750">
        <v>0</v>
      </c>
      <c r="AS750">
        <v>2.4826216484607751E-4</v>
      </c>
      <c r="AT750">
        <v>2.4826216484607746E-3</v>
      </c>
      <c r="AU750">
        <v>0</v>
      </c>
      <c r="AV750">
        <v>0</v>
      </c>
      <c r="AW750">
        <v>0</v>
      </c>
      <c r="AX750">
        <v>1.0427010923535256E-2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1.0427010923535256E-2</v>
      </c>
      <c r="CA750">
        <v>0.31305858987090368</v>
      </c>
      <c r="CB750">
        <v>0</v>
      </c>
    </row>
    <row r="751" spans="1:80">
      <c r="A751">
        <v>750</v>
      </c>
      <c r="B751" t="s">
        <v>63</v>
      </c>
      <c r="C751" s="4" t="s">
        <v>166</v>
      </c>
      <c r="D751" s="4" t="s">
        <v>117</v>
      </c>
      <c r="E751" s="5">
        <v>40516</v>
      </c>
      <c r="F751" s="5">
        <v>40516</v>
      </c>
      <c r="G751">
        <v>1012</v>
      </c>
      <c r="H751" s="4" t="s">
        <v>110</v>
      </c>
      <c r="I751" s="4" t="s">
        <v>108</v>
      </c>
      <c r="J751" s="4" t="str">
        <f t="shared" si="11"/>
        <v>u_rem.c_con</v>
      </c>
      <c r="K751" s="5">
        <v>8</v>
      </c>
      <c r="L751">
        <v>2.3952095808383239E-4</v>
      </c>
      <c r="M751">
        <v>9.6526946107784478E-2</v>
      </c>
      <c r="N751">
        <v>0.27305389221556886</v>
      </c>
      <c r="O751">
        <v>0</v>
      </c>
      <c r="P751">
        <v>0</v>
      </c>
      <c r="Q751">
        <v>2.3952095808383239E-4</v>
      </c>
      <c r="R751">
        <v>0.10538922155688625</v>
      </c>
      <c r="S751">
        <v>0</v>
      </c>
      <c r="T751">
        <v>3.8562874251497008E-2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3.3772455089820366E-2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4.7904191616766477E-4</v>
      </c>
      <c r="AI751">
        <v>4.4071856287425153E-2</v>
      </c>
      <c r="AJ751">
        <v>6.7544910179640746E-2</v>
      </c>
      <c r="AK751">
        <v>0</v>
      </c>
      <c r="AL751">
        <v>1.4610778443113778E-2</v>
      </c>
      <c r="AM751">
        <v>0</v>
      </c>
      <c r="AN751">
        <v>2.3952095808383239E-4</v>
      </c>
      <c r="AO751">
        <v>0</v>
      </c>
      <c r="AP751">
        <v>0</v>
      </c>
      <c r="AQ751">
        <v>0</v>
      </c>
      <c r="AR751">
        <v>0</v>
      </c>
      <c r="AS751">
        <v>1.4850299401197611E-2</v>
      </c>
      <c r="AT751">
        <v>1.7245508982035931E-2</v>
      </c>
      <c r="AU751">
        <v>0</v>
      </c>
      <c r="AV751">
        <v>0</v>
      </c>
      <c r="AW751">
        <v>4.7904191616766475E-3</v>
      </c>
      <c r="AX751">
        <v>1.4850299401197611E-2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1.0059880239520961E-2</v>
      </c>
      <c r="CA751">
        <v>0.26347305389221559</v>
      </c>
      <c r="CB751">
        <v>0</v>
      </c>
    </row>
    <row r="752" spans="1:80">
      <c r="A752">
        <v>751</v>
      </c>
      <c r="B752" t="s">
        <v>64</v>
      </c>
      <c r="C752" s="4" t="s">
        <v>166</v>
      </c>
      <c r="D752" s="4" t="s">
        <v>117</v>
      </c>
      <c r="E752" s="5">
        <v>40516</v>
      </c>
      <c r="F752" s="5">
        <v>40516</v>
      </c>
      <c r="G752">
        <v>1012</v>
      </c>
      <c r="H752" s="4" t="s">
        <v>110</v>
      </c>
      <c r="I752" s="4" t="s">
        <v>109</v>
      </c>
      <c r="J752" s="4" t="str">
        <f t="shared" si="11"/>
        <v>u_rem.c_rem</v>
      </c>
      <c r="K752" s="5">
        <v>1</v>
      </c>
      <c r="L752">
        <v>0</v>
      </c>
      <c r="M752">
        <v>4.7182468694096598E-2</v>
      </c>
      <c r="N752">
        <v>0.36672629695885506</v>
      </c>
      <c r="O752">
        <v>0</v>
      </c>
      <c r="P752">
        <v>0</v>
      </c>
      <c r="Q752">
        <v>0</v>
      </c>
      <c r="R752">
        <v>7.6028622540250432E-2</v>
      </c>
      <c r="S752">
        <v>0</v>
      </c>
      <c r="T752">
        <v>9.1681574239713785E-3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3.3094812164579608E-2</v>
      </c>
      <c r="AJ752">
        <v>0.12119856887298748</v>
      </c>
      <c r="AK752">
        <v>0</v>
      </c>
      <c r="AL752">
        <v>8.9445438282647598E-3</v>
      </c>
      <c r="AM752">
        <v>0</v>
      </c>
      <c r="AN752">
        <v>6.7084078711985684E-4</v>
      </c>
      <c r="AO752">
        <v>0</v>
      </c>
      <c r="AP752">
        <v>0</v>
      </c>
      <c r="AQ752">
        <v>8.9445438282647598E-3</v>
      </c>
      <c r="AR752">
        <v>0</v>
      </c>
      <c r="AS752">
        <v>2.2361359570661896E-4</v>
      </c>
      <c r="AT752">
        <v>6.7084078711985684E-4</v>
      </c>
      <c r="AU752">
        <v>0</v>
      </c>
      <c r="AV752">
        <v>0</v>
      </c>
      <c r="AW752">
        <v>0</v>
      </c>
      <c r="AX752">
        <v>1.3640429338103759E-2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2.2361359570661896E-4</v>
      </c>
      <c r="CA752">
        <v>0.31328264758497315</v>
      </c>
      <c r="CB752">
        <v>0</v>
      </c>
    </row>
    <row r="753" spans="1:80">
      <c r="A753">
        <v>752</v>
      </c>
      <c r="B753" t="s">
        <v>65</v>
      </c>
      <c r="C753" s="4" t="s">
        <v>166</v>
      </c>
      <c r="D753" s="4" t="s">
        <v>117</v>
      </c>
      <c r="E753" s="5">
        <v>40516</v>
      </c>
      <c r="F753" s="5">
        <v>40516</v>
      </c>
      <c r="G753">
        <v>1012</v>
      </c>
      <c r="H753" s="4" t="s">
        <v>110</v>
      </c>
      <c r="I753" s="4" t="s">
        <v>108</v>
      </c>
      <c r="J753" s="4" t="str">
        <f t="shared" si="11"/>
        <v>u_rem.c_con</v>
      </c>
      <c r="K753" s="5">
        <v>8</v>
      </c>
      <c r="L753">
        <v>0</v>
      </c>
      <c r="M753">
        <v>0.15073230268510987</v>
      </c>
      <c r="N753">
        <v>0.10577705451586658</v>
      </c>
      <c r="O753">
        <v>0</v>
      </c>
      <c r="P753">
        <v>0</v>
      </c>
      <c r="Q753">
        <v>0</v>
      </c>
      <c r="R753">
        <v>4.0683482506102521E-2</v>
      </c>
      <c r="S753">
        <v>0</v>
      </c>
      <c r="T753">
        <v>1.6476810414971524E-2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1.627339300244101E-2</v>
      </c>
      <c r="AE753">
        <v>0</v>
      </c>
      <c r="AF753">
        <v>0</v>
      </c>
      <c r="AG753">
        <v>0</v>
      </c>
      <c r="AH753">
        <v>0</v>
      </c>
      <c r="AI753">
        <v>5.3091944670463805E-2</v>
      </c>
      <c r="AJ753">
        <v>0.17514239218877137</v>
      </c>
      <c r="AK753">
        <v>0</v>
      </c>
      <c r="AL753">
        <v>4.0683482506102524E-3</v>
      </c>
      <c r="AM753">
        <v>0</v>
      </c>
      <c r="AN753">
        <v>1.2611879576891786E-2</v>
      </c>
      <c r="AO753">
        <v>0</v>
      </c>
      <c r="AP753">
        <v>0</v>
      </c>
      <c r="AQ753">
        <v>0</v>
      </c>
      <c r="AR753">
        <v>0</v>
      </c>
      <c r="AS753">
        <v>8.340113913751019E-3</v>
      </c>
      <c r="AT753">
        <v>3.0105777054515868E-2</v>
      </c>
      <c r="AU753">
        <v>0</v>
      </c>
      <c r="AV753">
        <v>0</v>
      </c>
      <c r="AW753">
        <v>0</v>
      </c>
      <c r="AX753">
        <v>3.6818551668022788E-2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0.34987794955248169</v>
      </c>
      <c r="CB753">
        <v>0</v>
      </c>
    </row>
    <row r="754" spans="1:80">
      <c r="A754">
        <v>753</v>
      </c>
      <c r="B754" t="s">
        <v>66</v>
      </c>
      <c r="C754" s="4" t="s">
        <v>167</v>
      </c>
      <c r="D754" s="4" t="s">
        <v>117</v>
      </c>
      <c r="E754" s="5">
        <v>40516</v>
      </c>
      <c r="F754" s="5">
        <v>40516</v>
      </c>
      <c r="G754">
        <v>1012</v>
      </c>
      <c r="H754" s="4" t="s">
        <v>107</v>
      </c>
      <c r="I754" s="4" t="s">
        <v>108</v>
      </c>
      <c r="J754" s="4" t="str">
        <f t="shared" si="11"/>
        <v>u_con.c_con</v>
      </c>
      <c r="K754" s="5">
        <v>19</v>
      </c>
      <c r="L754">
        <v>9.0641287106276915E-3</v>
      </c>
      <c r="M754">
        <v>0.46227056424201224</v>
      </c>
      <c r="N754">
        <v>0.21776569227283024</v>
      </c>
      <c r="O754">
        <v>0</v>
      </c>
      <c r="P754">
        <v>0</v>
      </c>
      <c r="Q754">
        <v>3.6483118060276459E-2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2.7872195785180152E-2</v>
      </c>
      <c r="AJ754">
        <v>6.798096532970771E-2</v>
      </c>
      <c r="AK754">
        <v>0</v>
      </c>
      <c r="AL754">
        <v>9.0641287106276933E-2</v>
      </c>
      <c r="AM754">
        <v>0</v>
      </c>
      <c r="AN754">
        <v>1.3822796283707233E-2</v>
      </c>
      <c r="AO754">
        <v>0</v>
      </c>
      <c r="AP754">
        <v>0</v>
      </c>
      <c r="AQ754">
        <v>0</v>
      </c>
      <c r="AR754">
        <v>0</v>
      </c>
      <c r="AS754">
        <v>2.266032177656923E-4</v>
      </c>
      <c r="AT754">
        <v>9.0641287106276922E-4</v>
      </c>
      <c r="AU754">
        <v>0</v>
      </c>
      <c r="AV754">
        <v>0</v>
      </c>
      <c r="AW754">
        <v>0</v>
      </c>
      <c r="AX754">
        <v>9.2907319283933847E-3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4.5320643553138458E-3</v>
      </c>
      <c r="BY754">
        <v>4.5320643553138458E-3</v>
      </c>
      <c r="BZ754">
        <v>4.758667573079539E-3</v>
      </c>
      <c r="CA754">
        <v>4.9852707908452303E-2</v>
      </c>
      <c r="CB754">
        <v>0</v>
      </c>
    </row>
    <row r="755" spans="1:80">
      <c r="A755">
        <v>754</v>
      </c>
      <c r="B755" t="s">
        <v>67</v>
      </c>
      <c r="C755" s="4" t="s">
        <v>167</v>
      </c>
      <c r="D755" s="4" t="s">
        <v>117</v>
      </c>
      <c r="E755" s="5">
        <v>40516</v>
      </c>
      <c r="F755" s="5">
        <v>40516</v>
      </c>
      <c r="G755">
        <v>1012</v>
      </c>
      <c r="H755" s="4" t="s">
        <v>107</v>
      </c>
      <c r="I755" s="4" t="s">
        <v>109</v>
      </c>
      <c r="J755" s="4" t="str">
        <f t="shared" si="11"/>
        <v>u_con.c_rem</v>
      </c>
      <c r="K755" s="5">
        <v>2</v>
      </c>
      <c r="L755">
        <v>4.9830124575311434E-3</v>
      </c>
      <c r="M755">
        <v>0.22718006795016987</v>
      </c>
      <c r="N755">
        <v>0.58890147225368061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4.530011325028312E-3</v>
      </c>
      <c r="AF755">
        <v>0</v>
      </c>
      <c r="AG755">
        <v>0</v>
      </c>
      <c r="AH755">
        <v>0</v>
      </c>
      <c r="AI755">
        <v>2.8765571913929783E-2</v>
      </c>
      <c r="AJ755">
        <v>1.8120045300113248E-2</v>
      </c>
      <c r="AK755">
        <v>0</v>
      </c>
      <c r="AL755">
        <v>2.2650056625141558E-2</v>
      </c>
      <c r="AM755">
        <v>0</v>
      </c>
      <c r="AN755">
        <v>4.530011325028312E-3</v>
      </c>
      <c r="AO755">
        <v>0</v>
      </c>
      <c r="AP755">
        <v>0</v>
      </c>
      <c r="AQ755">
        <v>9.060022650056624E-3</v>
      </c>
      <c r="AR755">
        <v>0</v>
      </c>
      <c r="AS755">
        <v>9.739524348810872E-3</v>
      </c>
      <c r="AT755">
        <v>0</v>
      </c>
      <c r="AU755">
        <v>0</v>
      </c>
      <c r="AV755">
        <v>0</v>
      </c>
      <c r="AW755">
        <v>0</v>
      </c>
      <c r="AX755">
        <v>1.8120045300113248E-2</v>
      </c>
      <c r="AY755">
        <v>0</v>
      </c>
      <c r="AZ755">
        <v>4.530011325028312E-3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5.8890147225368054E-2</v>
      </c>
      <c r="CB755">
        <v>0</v>
      </c>
    </row>
    <row r="756" spans="1:80">
      <c r="A756">
        <v>755</v>
      </c>
      <c r="B756" t="s">
        <v>68</v>
      </c>
      <c r="C756" s="4" t="s">
        <v>167</v>
      </c>
      <c r="D756" s="4" t="s">
        <v>117</v>
      </c>
      <c r="E756" s="5">
        <v>40516</v>
      </c>
      <c r="F756" s="5">
        <v>40516</v>
      </c>
      <c r="G756">
        <v>1012</v>
      </c>
      <c r="H756" s="4" t="s">
        <v>107</v>
      </c>
      <c r="I756" s="4" t="s">
        <v>108</v>
      </c>
      <c r="J756" s="4" t="str">
        <f t="shared" si="11"/>
        <v>u_con.c_con</v>
      </c>
      <c r="K756" s="5">
        <v>19</v>
      </c>
      <c r="L756">
        <v>0</v>
      </c>
      <c r="M756">
        <v>0.24647887323943665</v>
      </c>
      <c r="N756">
        <v>0.25150905432595577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1.5090543259557349E-2</v>
      </c>
      <c r="AF756">
        <v>0</v>
      </c>
      <c r="AG756">
        <v>0</v>
      </c>
      <c r="AH756">
        <v>0</v>
      </c>
      <c r="AI756">
        <v>8.6267605633802869E-2</v>
      </c>
      <c r="AJ756">
        <v>0.14134808853118719</v>
      </c>
      <c r="AK756">
        <v>0</v>
      </c>
      <c r="AL756">
        <v>7.0422535211267623E-2</v>
      </c>
      <c r="AM756">
        <v>0</v>
      </c>
      <c r="AN756">
        <v>7.5452716297786738E-4</v>
      </c>
      <c r="AO756">
        <v>0</v>
      </c>
      <c r="AP756">
        <v>0</v>
      </c>
      <c r="AQ756">
        <v>0</v>
      </c>
      <c r="AR756">
        <v>0</v>
      </c>
      <c r="AS756">
        <v>5.0301810865191164E-3</v>
      </c>
      <c r="AT756">
        <v>0</v>
      </c>
      <c r="AU756">
        <v>1.509054325955735E-3</v>
      </c>
      <c r="AV756">
        <v>0</v>
      </c>
      <c r="AW756">
        <v>0</v>
      </c>
      <c r="AX756">
        <v>1.5342052313883307E-2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5.0301810865191164E-3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5.2816901408450721E-3</v>
      </c>
      <c r="CA756">
        <v>0.15593561368209261</v>
      </c>
      <c r="CB756">
        <v>0</v>
      </c>
    </row>
    <row r="757" spans="1:80">
      <c r="A757">
        <v>756</v>
      </c>
      <c r="B757" s="2" t="s">
        <v>69</v>
      </c>
      <c r="C757" s="4" t="s">
        <v>167</v>
      </c>
      <c r="D757" s="4" t="s">
        <v>117</v>
      </c>
      <c r="E757" s="5">
        <v>40516</v>
      </c>
      <c r="F757" s="5">
        <v>40516</v>
      </c>
      <c r="G757">
        <v>1012</v>
      </c>
      <c r="H757" s="4" t="s">
        <v>107</v>
      </c>
      <c r="I757" s="4" t="s">
        <v>109</v>
      </c>
      <c r="J757" s="4" t="str">
        <f t="shared" si="11"/>
        <v>u_con.c_rem</v>
      </c>
      <c r="K757" s="5">
        <v>2</v>
      </c>
      <c r="L757">
        <v>2.7100271002710029E-2</v>
      </c>
      <c r="M757">
        <v>9.6205962059620606E-2</v>
      </c>
      <c r="N757">
        <v>0.16260162601626021</v>
      </c>
      <c r="O757">
        <v>0</v>
      </c>
      <c r="P757">
        <v>0</v>
      </c>
      <c r="Q757">
        <v>4.5167118337850051E-3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4.5167118337850054E-4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4.5167118337850051E-3</v>
      </c>
      <c r="AI757">
        <v>5.1490514905149047E-2</v>
      </c>
      <c r="AJ757">
        <v>0.20347786811201443</v>
      </c>
      <c r="AK757">
        <v>0</v>
      </c>
      <c r="AL757">
        <v>0.1716350496838302</v>
      </c>
      <c r="AM757">
        <v>0</v>
      </c>
      <c r="AN757">
        <v>1.4453477868112019E-2</v>
      </c>
      <c r="AO757">
        <v>0</v>
      </c>
      <c r="AP757">
        <v>0</v>
      </c>
      <c r="AQ757">
        <v>0</v>
      </c>
      <c r="AR757">
        <v>0</v>
      </c>
      <c r="AS757">
        <v>9.2592592592592605E-3</v>
      </c>
      <c r="AT757">
        <v>1.1291779584462513E-3</v>
      </c>
      <c r="AU757">
        <v>0</v>
      </c>
      <c r="AV757">
        <v>0</v>
      </c>
      <c r="AW757">
        <v>0</v>
      </c>
      <c r="AX757">
        <v>4.5167118337850051E-3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1.3775971093044268E-2</v>
      </c>
      <c r="CA757">
        <v>0.23486901535682023</v>
      </c>
      <c r="CB757">
        <v>0</v>
      </c>
    </row>
    <row r="758" spans="1:80">
      <c r="A758">
        <v>757</v>
      </c>
      <c r="B758" t="s">
        <v>71</v>
      </c>
      <c r="C758" s="4" t="s">
        <v>168</v>
      </c>
      <c r="D758" s="4" t="s">
        <v>117</v>
      </c>
      <c r="E758" s="5">
        <v>40516</v>
      </c>
      <c r="F758" s="5">
        <v>40516</v>
      </c>
      <c r="G758">
        <v>1012</v>
      </c>
      <c r="H758" s="4" t="s">
        <v>110</v>
      </c>
      <c r="I758" s="4" t="s">
        <v>108</v>
      </c>
      <c r="J758" s="4" t="str">
        <f t="shared" si="11"/>
        <v>u_rem.c_con</v>
      </c>
      <c r="K758" s="5">
        <v>8</v>
      </c>
      <c r="L758">
        <v>4.4712720769058802E-3</v>
      </c>
      <c r="M758">
        <v>0.29510395707578796</v>
      </c>
      <c r="N758">
        <v>0.36664431030628214</v>
      </c>
      <c r="O758">
        <v>0</v>
      </c>
      <c r="P758">
        <v>0</v>
      </c>
      <c r="Q758">
        <v>9.1661077576570549E-3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8.9425441538117604E-3</v>
      </c>
      <c r="AF758">
        <v>0</v>
      </c>
      <c r="AG758">
        <v>0</v>
      </c>
      <c r="AH758">
        <v>0</v>
      </c>
      <c r="AI758">
        <v>1.945003353454058E-2</v>
      </c>
      <c r="AJ758">
        <v>0</v>
      </c>
      <c r="AK758">
        <v>0</v>
      </c>
      <c r="AL758">
        <v>4.47127207690588E-2</v>
      </c>
      <c r="AM758">
        <v>0</v>
      </c>
      <c r="AN758">
        <v>0</v>
      </c>
      <c r="AO758">
        <v>0</v>
      </c>
      <c r="AP758">
        <v>0</v>
      </c>
      <c r="AQ758">
        <v>3.1746031746031744E-2</v>
      </c>
      <c r="AR758">
        <v>0</v>
      </c>
      <c r="AS758">
        <v>4.4712720769058802E-3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0.15247037782249048</v>
      </c>
      <c r="BB758">
        <v>0</v>
      </c>
      <c r="BC758">
        <v>0</v>
      </c>
      <c r="BD758">
        <v>0</v>
      </c>
      <c r="BE758">
        <v>2.23563603845294E-4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6.2597809076682331E-2</v>
      </c>
      <c r="CB758">
        <v>0</v>
      </c>
    </row>
    <row r="759" spans="1:80">
      <c r="A759">
        <v>758</v>
      </c>
      <c r="B759" t="s">
        <v>70</v>
      </c>
      <c r="C759" s="4" t="s">
        <v>168</v>
      </c>
      <c r="D759" s="4" t="s">
        <v>117</v>
      </c>
      <c r="E759" s="5">
        <v>40516</v>
      </c>
      <c r="F759" s="5">
        <v>40516</v>
      </c>
      <c r="G759">
        <v>1012</v>
      </c>
      <c r="H759" s="4" t="s">
        <v>110</v>
      </c>
      <c r="I759" s="4" t="s">
        <v>109</v>
      </c>
      <c r="J759" s="4" t="str">
        <f t="shared" si="11"/>
        <v>u_rem.c_rem</v>
      </c>
      <c r="K759" s="5">
        <v>1</v>
      </c>
      <c r="L759">
        <v>1.9965911857803751E-2</v>
      </c>
      <c r="M759">
        <v>0.11224738251765282</v>
      </c>
      <c r="N759">
        <v>0.68176284392500608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0.18504991477964455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2.4348672997321646E-4</v>
      </c>
      <c r="CA759">
        <v>7.3046018991964939E-4</v>
      </c>
      <c r="CB759">
        <v>0</v>
      </c>
    </row>
    <row r="760" spans="1:80">
      <c r="A760">
        <v>759</v>
      </c>
      <c r="B760" t="s">
        <v>72</v>
      </c>
      <c r="C760" s="4" t="s">
        <v>168</v>
      </c>
      <c r="D760" s="4" t="s">
        <v>117</v>
      </c>
      <c r="E760" s="5">
        <v>40516</v>
      </c>
      <c r="F760" s="5">
        <v>40516</v>
      </c>
      <c r="G760">
        <v>1012</v>
      </c>
      <c r="H760" s="4" t="s">
        <v>110</v>
      </c>
      <c r="I760" s="4" t="s">
        <v>108</v>
      </c>
      <c r="J760" s="4" t="str">
        <f t="shared" si="11"/>
        <v>u_rem.c_con</v>
      </c>
      <c r="K760" s="5">
        <v>8</v>
      </c>
      <c r="L760">
        <v>0</v>
      </c>
      <c r="M760">
        <v>0.2285593578369243</v>
      </c>
      <c r="N760">
        <v>0.32953105196451199</v>
      </c>
      <c r="O760">
        <v>0</v>
      </c>
      <c r="P760">
        <v>0</v>
      </c>
      <c r="Q760">
        <v>4.2247570764681027E-3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2.1546261089987324E-2</v>
      </c>
      <c r="AF760">
        <v>0</v>
      </c>
      <c r="AG760">
        <v>0</v>
      </c>
      <c r="AH760">
        <v>0</v>
      </c>
      <c r="AI760">
        <v>4.3092522179974641E-2</v>
      </c>
      <c r="AJ760">
        <v>0</v>
      </c>
      <c r="AK760">
        <v>0</v>
      </c>
      <c r="AL760">
        <v>1.2674271229404307E-2</v>
      </c>
      <c r="AM760">
        <v>0</v>
      </c>
      <c r="AN760">
        <v>2.9995775242923527E-2</v>
      </c>
      <c r="AO760">
        <v>0</v>
      </c>
      <c r="AP760">
        <v>0</v>
      </c>
      <c r="AQ760">
        <v>4.2247570764681027E-3</v>
      </c>
      <c r="AR760">
        <v>0</v>
      </c>
      <c r="AS760">
        <v>4.4359949302915083E-3</v>
      </c>
      <c r="AT760">
        <v>0</v>
      </c>
      <c r="AU760">
        <v>0</v>
      </c>
      <c r="AV760">
        <v>0</v>
      </c>
      <c r="AW760">
        <v>0</v>
      </c>
      <c r="AX760">
        <v>2.1123785382340513E-2</v>
      </c>
      <c r="AY760">
        <v>0</v>
      </c>
      <c r="AZ760">
        <v>0</v>
      </c>
      <c r="BA760">
        <v>0.20701309674693705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8.4495141529362053E-3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4.4359949302915083E-3</v>
      </c>
      <c r="CA760">
        <v>8.069286016054078E-2</v>
      </c>
      <c r="CB760">
        <v>0</v>
      </c>
    </row>
    <row r="761" spans="1:80">
      <c r="A761">
        <v>760</v>
      </c>
      <c r="B761" t="s">
        <v>73</v>
      </c>
      <c r="C761" s="4" t="s">
        <v>168</v>
      </c>
      <c r="D761" s="4" t="s">
        <v>117</v>
      </c>
      <c r="E761" s="5">
        <v>40516</v>
      </c>
      <c r="F761" s="5">
        <v>40516</v>
      </c>
      <c r="G761">
        <v>1012</v>
      </c>
      <c r="H761" s="4" t="s">
        <v>110</v>
      </c>
      <c r="I761" s="4" t="s">
        <v>109</v>
      </c>
      <c r="J761" s="4" t="str">
        <f t="shared" si="11"/>
        <v>u_rem.c_rem</v>
      </c>
      <c r="K761" s="5">
        <v>1</v>
      </c>
      <c r="L761">
        <v>0</v>
      </c>
      <c r="M761">
        <v>0.23579344494223062</v>
      </c>
      <c r="N761">
        <v>0.3961329875029474</v>
      </c>
      <c r="O761">
        <v>0</v>
      </c>
      <c r="P761">
        <v>0</v>
      </c>
      <c r="Q761">
        <v>0</v>
      </c>
      <c r="R761">
        <v>2.3579344494223064E-2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1.9099269040320683E-2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1.4147606696533839E-2</v>
      </c>
      <c r="AR761">
        <v>0</v>
      </c>
      <c r="AS761">
        <v>4.7158688988446131E-3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0.1980664937514737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0.10846498467342611</v>
      </c>
      <c r="CB761">
        <v>0</v>
      </c>
    </row>
    <row r="762" spans="1:80">
      <c r="A762">
        <v>761</v>
      </c>
      <c r="B762" t="s">
        <v>74</v>
      </c>
      <c r="C762" s="4" t="s">
        <v>169</v>
      </c>
      <c r="D762" s="4" t="s">
        <v>117</v>
      </c>
      <c r="E762" s="5">
        <v>40516</v>
      </c>
      <c r="F762" s="5">
        <v>40516</v>
      </c>
      <c r="G762">
        <v>1012</v>
      </c>
      <c r="H762" s="4" t="s">
        <v>110</v>
      </c>
      <c r="I762" s="4" t="s">
        <v>108</v>
      </c>
      <c r="J762" s="4" t="str">
        <f t="shared" si="11"/>
        <v>u_rem.c_con</v>
      </c>
      <c r="K762" s="5">
        <v>8</v>
      </c>
      <c r="L762">
        <v>3.4869240348692411E-2</v>
      </c>
      <c r="M762">
        <v>0.23910336239103358</v>
      </c>
      <c r="N762">
        <v>0.30884184308841844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4.9813200498132022E-3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0.16537982565379827</v>
      </c>
      <c r="AJ762">
        <v>0</v>
      </c>
      <c r="AK762">
        <v>0</v>
      </c>
      <c r="AL762">
        <v>7.9701120797011221E-2</v>
      </c>
      <c r="AM762">
        <v>0</v>
      </c>
      <c r="AN762">
        <v>3.088418430884185E-2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1.2453300124533005E-3</v>
      </c>
      <c r="AU762">
        <v>0</v>
      </c>
      <c r="AV762">
        <v>2.4906600249066007E-4</v>
      </c>
      <c r="AW762">
        <v>0</v>
      </c>
      <c r="AX762">
        <v>4.9813200498132022E-3</v>
      </c>
      <c r="AY762">
        <v>0</v>
      </c>
      <c r="AZ762">
        <v>2.4906600249066007E-4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0.12951432129514326</v>
      </c>
      <c r="CB762">
        <v>0</v>
      </c>
    </row>
    <row r="763" spans="1:80">
      <c r="A763">
        <v>762</v>
      </c>
      <c r="B763" t="s">
        <v>75</v>
      </c>
      <c r="C763" s="4" t="s">
        <v>169</v>
      </c>
      <c r="D763" s="4" t="s">
        <v>117</v>
      </c>
      <c r="E763" s="5">
        <v>40516</v>
      </c>
      <c r="F763" s="5">
        <v>40516</v>
      </c>
      <c r="G763">
        <v>1012</v>
      </c>
      <c r="H763" s="4" t="s">
        <v>110</v>
      </c>
      <c r="I763" s="4" t="s">
        <v>108</v>
      </c>
      <c r="J763" s="4" t="str">
        <f t="shared" si="11"/>
        <v>u_rem.c_con</v>
      </c>
      <c r="K763" s="5">
        <v>8</v>
      </c>
      <c r="L763">
        <v>3.4465780403742E-2</v>
      </c>
      <c r="M763">
        <v>0.310438207779419</v>
      </c>
      <c r="N763">
        <v>0.17232890201871001</v>
      </c>
      <c r="O763">
        <v>4.9236829148202859E-3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9.8473658296405718E-3</v>
      </c>
      <c r="AF763">
        <v>0</v>
      </c>
      <c r="AG763">
        <v>0</v>
      </c>
      <c r="AH763">
        <v>0</v>
      </c>
      <c r="AI763">
        <v>0.10930576070901035</v>
      </c>
      <c r="AJ763">
        <v>0</v>
      </c>
      <c r="AK763">
        <v>0</v>
      </c>
      <c r="AL763">
        <v>0.16272772033481045</v>
      </c>
      <c r="AM763">
        <v>0</v>
      </c>
      <c r="AN763">
        <v>5.4406696208764156E-2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1.2309207287050715E-3</v>
      </c>
      <c r="AU763">
        <v>0</v>
      </c>
      <c r="AV763">
        <v>4.9236829148202859E-4</v>
      </c>
      <c r="AW763">
        <v>0</v>
      </c>
      <c r="AX763">
        <v>4.9236829148202859E-3</v>
      </c>
      <c r="AY763">
        <v>0</v>
      </c>
      <c r="AZ763">
        <v>0</v>
      </c>
      <c r="BA763">
        <v>1.7232890201871003E-3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2.461841457410143E-4</v>
      </c>
      <c r="CA763">
        <v>0.13293943870014777</v>
      </c>
      <c r="CB763">
        <v>0</v>
      </c>
    </row>
    <row r="764" spans="1:80">
      <c r="A764">
        <v>763</v>
      </c>
      <c r="B764" t="s">
        <v>76</v>
      </c>
      <c r="C764" s="4" t="s">
        <v>169</v>
      </c>
      <c r="D764" s="4" t="s">
        <v>117</v>
      </c>
      <c r="E764" s="5">
        <v>40516</v>
      </c>
      <c r="F764" s="5">
        <v>40516</v>
      </c>
      <c r="G764">
        <v>1012</v>
      </c>
      <c r="H764" s="4" t="s">
        <v>110</v>
      </c>
      <c r="I764" s="4" t="s">
        <v>109</v>
      </c>
      <c r="J764" s="4" t="str">
        <f t="shared" si="11"/>
        <v>u_rem.c_rem</v>
      </c>
      <c r="K764" s="5">
        <v>1</v>
      </c>
      <c r="L764">
        <v>9.6140014385039552E-2</v>
      </c>
      <c r="M764">
        <v>0.6713018460800767</v>
      </c>
      <c r="N764">
        <v>0.1203548309757852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2.9009829777031881E-2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7.695996163989452E-2</v>
      </c>
      <c r="AR764">
        <v>0</v>
      </c>
      <c r="AS764">
        <v>0</v>
      </c>
      <c r="AT764">
        <v>7.1925197794293916E-4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2.3975065931431308E-4</v>
      </c>
      <c r="BB764">
        <v>0</v>
      </c>
      <c r="BC764">
        <v>0</v>
      </c>
      <c r="BD764">
        <v>0</v>
      </c>
      <c r="BE764">
        <v>5.0347638456005751E-3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2.3975065931431308E-4</v>
      </c>
      <c r="CB764">
        <v>0</v>
      </c>
    </row>
    <row r="765" spans="1:80">
      <c r="A765">
        <v>764</v>
      </c>
      <c r="B765" t="s">
        <v>77</v>
      </c>
      <c r="C765" s="4" t="s">
        <v>169</v>
      </c>
      <c r="D765" s="4" t="s">
        <v>117</v>
      </c>
      <c r="E765" s="5">
        <v>40516</v>
      </c>
      <c r="F765" s="5">
        <v>40516</v>
      </c>
      <c r="G765">
        <v>1012</v>
      </c>
      <c r="H765" s="4" t="s">
        <v>110</v>
      </c>
      <c r="I765" s="4" t="s">
        <v>109</v>
      </c>
      <c r="J765" s="4" t="str">
        <f t="shared" si="11"/>
        <v>u_rem.c_rem</v>
      </c>
      <c r="K765" s="5">
        <v>1</v>
      </c>
      <c r="L765">
        <v>2.0089285714285719E-2</v>
      </c>
      <c r="M765">
        <v>0.18923611111111113</v>
      </c>
      <c r="N765">
        <v>0.2281746031746032</v>
      </c>
      <c r="O765">
        <v>0</v>
      </c>
      <c r="P765">
        <v>0</v>
      </c>
      <c r="Q765">
        <v>4.9603174603174618E-3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2.4801587301587306E-4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0.10962301587301589</v>
      </c>
      <c r="AI765">
        <v>5.6051587301587318E-2</v>
      </c>
      <c r="AJ765">
        <v>0</v>
      </c>
      <c r="AK765">
        <v>0</v>
      </c>
      <c r="AL765">
        <v>0.19841269841269846</v>
      </c>
      <c r="AM765">
        <v>0</v>
      </c>
      <c r="AN765">
        <v>2.0337301587301591E-2</v>
      </c>
      <c r="AO765">
        <v>0</v>
      </c>
      <c r="AP765">
        <v>0</v>
      </c>
      <c r="AQ765">
        <v>0</v>
      </c>
      <c r="AR765">
        <v>0</v>
      </c>
      <c r="AS765">
        <v>1.041666666666667E-2</v>
      </c>
      <c r="AT765">
        <v>1.7361111111111117E-3</v>
      </c>
      <c r="AU765">
        <v>4.9603174603174618E-3</v>
      </c>
      <c r="AV765">
        <v>2.4801587301587306E-4</v>
      </c>
      <c r="AW765">
        <v>0</v>
      </c>
      <c r="AX765">
        <v>5.2083333333333348E-3</v>
      </c>
      <c r="AY765">
        <v>0</v>
      </c>
      <c r="AZ765">
        <v>0</v>
      </c>
      <c r="BA765">
        <v>2.6289682539682547E-2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0.12400793650793655</v>
      </c>
      <c r="CB765">
        <v>0</v>
      </c>
    </row>
    <row r="766" spans="1:80">
      <c r="A766">
        <v>765</v>
      </c>
      <c r="B766" t="s">
        <v>78</v>
      </c>
      <c r="C766" s="4" t="s">
        <v>170</v>
      </c>
      <c r="D766" s="4" t="s">
        <v>117</v>
      </c>
      <c r="E766" s="5">
        <v>40516</v>
      </c>
      <c r="F766" s="5">
        <v>40516</v>
      </c>
      <c r="G766">
        <v>1012</v>
      </c>
      <c r="H766" s="4" t="s">
        <v>107</v>
      </c>
      <c r="I766" s="4" t="s">
        <v>109</v>
      </c>
      <c r="J766" s="4" t="str">
        <f t="shared" si="11"/>
        <v>u_con.c_rem</v>
      </c>
      <c r="K766" s="5">
        <v>2</v>
      </c>
      <c r="L766">
        <v>0</v>
      </c>
      <c r="M766">
        <v>0.2659520163348647</v>
      </c>
      <c r="N766">
        <v>0.34711587544665634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1.531393568147014E-2</v>
      </c>
      <c r="AI766">
        <v>0.10821847881572233</v>
      </c>
      <c r="AJ766">
        <v>8.7289433384379778E-2</v>
      </c>
      <c r="AK766">
        <v>0</v>
      </c>
      <c r="AL766">
        <v>0</v>
      </c>
      <c r="AM766">
        <v>0</v>
      </c>
      <c r="AN766">
        <v>5.8703420112302205E-3</v>
      </c>
      <c r="AO766">
        <v>0</v>
      </c>
      <c r="AP766">
        <v>0</v>
      </c>
      <c r="AQ766">
        <v>0</v>
      </c>
      <c r="AR766">
        <v>0</v>
      </c>
      <c r="AS766">
        <v>2.5523226135783564E-2</v>
      </c>
      <c r="AT766">
        <v>7.6569678407350692E-4</v>
      </c>
      <c r="AU766">
        <v>0</v>
      </c>
      <c r="AV766">
        <v>2.5523226135783564E-4</v>
      </c>
      <c r="AW766">
        <v>0</v>
      </c>
      <c r="AX766">
        <v>2.5523226135783564E-4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2.5523226135783564E-4</v>
      </c>
      <c r="CA766">
        <v>0.14318529862174581</v>
      </c>
      <c r="CB766">
        <v>0</v>
      </c>
    </row>
    <row r="767" spans="1:80">
      <c r="A767">
        <v>766</v>
      </c>
      <c r="B767" t="s">
        <v>79</v>
      </c>
      <c r="C767" s="4" t="s">
        <v>170</v>
      </c>
      <c r="D767" s="4" t="s">
        <v>117</v>
      </c>
      <c r="E767" s="5">
        <v>40516</v>
      </c>
      <c r="F767" s="5">
        <v>40516</v>
      </c>
      <c r="G767">
        <v>1012</v>
      </c>
      <c r="H767" s="4" t="s">
        <v>107</v>
      </c>
      <c r="I767" s="4" t="s">
        <v>108</v>
      </c>
      <c r="J767" s="4" t="str">
        <f t="shared" si="11"/>
        <v>u_con.c_con</v>
      </c>
      <c r="K767" s="5">
        <v>19</v>
      </c>
      <c r="L767">
        <v>0</v>
      </c>
      <c r="M767">
        <v>0.13487833140208577</v>
      </c>
      <c r="N767">
        <v>0.28736964078794902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2.363847045191194E-2</v>
      </c>
      <c r="AF767">
        <v>0</v>
      </c>
      <c r="AG767">
        <v>0</v>
      </c>
      <c r="AH767">
        <v>0</v>
      </c>
      <c r="AI767">
        <v>0.10266512166859795</v>
      </c>
      <c r="AJ767">
        <v>0.23638470451911933</v>
      </c>
      <c r="AK767">
        <v>0</v>
      </c>
      <c r="AL767">
        <v>0</v>
      </c>
      <c r="AM767">
        <v>0</v>
      </c>
      <c r="AN767">
        <v>1.8539976825028972E-2</v>
      </c>
      <c r="AO767">
        <v>0</v>
      </c>
      <c r="AP767">
        <v>0</v>
      </c>
      <c r="AQ767">
        <v>0</v>
      </c>
      <c r="AR767">
        <v>0</v>
      </c>
      <c r="AS767">
        <v>2.7809965237543463E-2</v>
      </c>
      <c r="AT767">
        <v>1.3904982618771729E-3</v>
      </c>
      <c r="AU767">
        <v>0</v>
      </c>
      <c r="AV767">
        <v>0</v>
      </c>
      <c r="AW767">
        <v>4.634994206257243E-3</v>
      </c>
      <c r="AX767">
        <v>4.866743916570106E-3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2.3174971031286217E-4</v>
      </c>
      <c r="CA767">
        <v>0.15758980301274625</v>
      </c>
      <c r="CB767">
        <v>0</v>
      </c>
    </row>
    <row r="768" spans="1:80">
      <c r="A768">
        <v>767</v>
      </c>
      <c r="B768" t="s">
        <v>80</v>
      </c>
      <c r="C768" s="4" t="s">
        <v>170</v>
      </c>
      <c r="D768" s="4" t="s">
        <v>117</v>
      </c>
      <c r="E768" s="5">
        <v>40516</v>
      </c>
      <c r="F768" s="5">
        <v>40516</v>
      </c>
      <c r="G768">
        <v>1012</v>
      </c>
      <c r="H768" s="4" t="s">
        <v>107</v>
      </c>
      <c r="I768" s="4" t="s">
        <v>109</v>
      </c>
      <c r="J768" s="4" t="str">
        <f t="shared" si="11"/>
        <v>u_con.c_rem</v>
      </c>
      <c r="K768" s="5">
        <v>2</v>
      </c>
      <c r="L768">
        <v>0</v>
      </c>
      <c r="M768">
        <v>0.11464055409601148</v>
      </c>
      <c r="N768">
        <v>0.41557200859804161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4.776689754000479E-3</v>
      </c>
      <c r="AF768">
        <v>0</v>
      </c>
      <c r="AG768">
        <v>0</v>
      </c>
      <c r="AH768">
        <v>0</v>
      </c>
      <c r="AI768">
        <v>5.7559111535705774E-2</v>
      </c>
      <c r="AJ768">
        <v>0.29161690948172919</v>
      </c>
      <c r="AK768">
        <v>0</v>
      </c>
      <c r="AL768">
        <v>0</v>
      </c>
      <c r="AM768">
        <v>0</v>
      </c>
      <c r="AN768">
        <v>5.0155242417005029E-3</v>
      </c>
      <c r="AO768">
        <v>0</v>
      </c>
      <c r="AP768">
        <v>0</v>
      </c>
      <c r="AQ768">
        <v>0</v>
      </c>
      <c r="AR768">
        <v>0</v>
      </c>
      <c r="AS768">
        <v>2.3883448770002394E-4</v>
      </c>
      <c r="AT768">
        <v>2.3883448770002394E-4</v>
      </c>
      <c r="AU768">
        <v>0</v>
      </c>
      <c r="AV768">
        <v>0</v>
      </c>
      <c r="AW768">
        <v>9.553379508000958E-3</v>
      </c>
      <c r="AX768">
        <v>2.3883448770002394E-4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2.3883448770002394E-4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0.10031048483401007</v>
      </c>
      <c r="CB768">
        <v>0</v>
      </c>
    </row>
    <row r="769" spans="1:80">
      <c r="A769">
        <v>768</v>
      </c>
      <c r="B769" t="s">
        <v>81</v>
      </c>
      <c r="C769" s="4" t="s">
        <v>170</v>
      </c>
      <c r="D769" s="4" t="s">
        <v>117</v>
      </c>
      <c r="E769" s="5">
        <v>40516</v>
      </c>
      <c r="F769" s="5">
        <v>40516</v>
      </c>
      <c r="G769">
        <v>1012</v>
      </c>
      <c r="H769" s="4" t="s">
        <v>107</v>
      </c>
      <c r="I769" s="4" t="s">
        <v>108</v>
      </c>
      <c r="J769" s="4" t="str">
        <f t="shared" si="11"/>
        <v>u_con.c_con</v>
      </c>
      <c r="K769" s="5">
        <v>19</v>
      </c>
      <c r="L769">
        <v>0</v>
      </c>
      <c r="M769">
        <v>3.0787878787878788E-2</v>
      </c>
      <c r="N769">
        <v>0.21333333333333332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0.20848484848484847</v>
      </c>
      <c r="AJ769">
        <v>0.25769696969696965</v>
      </c>
      <c r="AK769">
        <v>0</v>
      </c>
      <c r="AL769">
        <v>4.8484848484848485E-3</v>
      </c>
      <c r="AM769">
        <v>0</v>
      </c>
      <c r="AN769">
        <v>1.4787878787878791E-2</v>
      </c>
      <c r="AO769">
        <v>0</v>
      </c>
      <c r="AP769">
        <v>0</v>
      </c>
      <c r="AQ769">
        <v>0</v>
      </c>
      <c r="AR769">
        <v>0</v>
      </c>
      <c r="AS769">
        <v>9.9393939393939406E-3</v>
      </c>
      <c r="AT769">
        <v>1.2121212121212121E-2</v>
      </c>
      <c r="AU769">
        <v>0</v>
      </c>
      <c r="AV769">
        <v>0</v>
      </c>
      <c r="AW769">
        <v>5.0909090909090913E-3</v>
      </c>
      <c r="AX769">
        <v>5.0909090909090913E-3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0.23781818181818179</v>
      </c>
      <c r="CB769">
        <v>0</v>
      </c>
    </row>
    <row r="770" spans="1:80">
      <c r="A770">
        <v>769</v>
      </c>
      <c r="B770" t="s">
        <v>82</v>
      </c>
      <c r="C770" s="4" t="s">
        <v>171</v>
      </c>
      <c r="D770" s="4" t="s">
        <v>118</v>
      </c>
      <c r="E770" s="5">
        <v>40515</v>
      </c>
      <c r="F770" s="5">
        <v>40516</v>
      </c>
      <c r="G770">
        <v>1012</v>
      </c>
      <c r="H770" s="4" t="s">
        <v>110</v>
      </c>
      <c r="I770" s="4" t="s">
        <v>109</v>
      </c>
      <c r="J770" s="4" t="str">
        <f t="shared" ref="J770:J833" si="12">CONCATENATE(H770,".",I770)</f>
        <v>u_rem.c_rem</v>
      </c>
      <c r="K770" s="5">
        <v>1</v>
      </c>
      <c r="L770">
        <v>0</v>
      </c>
      <c r="M770">
        <v>0.21494882170911686</v>
      </c>
      <c r="N770">
        <v>0.15710545108307553</v>
      </c>
      <c r="O770">
        <v>0</v>
      </c>
      <c r="P770">
        <v>0</v>
      </c>
      <c r="Q770">
        <v>1.9519162104260895E-2</v>
      </c>
      <c r="R770">
        <v>0</v>
      </c>
      <c r="S770">
        <v>0</v>
      </c>
      <c r="T770">
        <v>4.760771244941682E-3</v>
      </c>
      <c r="U770">
        <v>0</v>
      </c>
      <c r="V770">
        <v>0</v>
      </c>
      <c r="W770">
        <v>0</v>
      </c>
      <c r="X770">
        <v>9.9976196143775325E-3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3.8324208521780534E-2</v>
      </c>
      <c r="AJ770">
        <v>0</v>
      </c>
      <c r="AK770">
        <v>0</v>
      </c>
      <c r="AL770">
        <v>0</v>
      </c>
      <c r="AM770">
        <v>0</v>
      </c>
      <c r="AN770">
        <v>4.3799095453463464E-2</v>
      </c>
      <c r="AO770">
        <v>0</v>
      </c>
      <c r="AP770">
        <v>0</v>
      </c>
      <c r="AQ770">
        <v>9.7595810521304473E-3</v>
      </c>
      <c r="AR770">
        <v>0</v>
      </c>
      <c r="AS770">
        <v>9.5215424898833639E-3</v>
      </c>
      <c r="AT770">
        <v>2.3803856224708408E-4</v>
      </c>
      <c r="AU770">
        <v>0</v>
      </c>
      <c r="AV770">
        <v>2.3803856224708408E-4</v>
      </c>
      <c r="AW770">
        <v>0</v>
      </c>
      <c r="AX770">
        <v>9.5215424898833639E-3</v>
      </c>
      <c r="AY770">
        <v>0</v>
      </c>
      <c r="AZ770">
        <v>0</v>
      </c>
      <c r="BA770">
        <v>8.664603665793863E-2</v>
      </c>
      <c r="BB770">
        <v>9.5691502023327837E-2</v>
      </c>
      <c r="BC770">
        <v>0</v>
      </c>
      <c r="BD770">
        <v>0</v>
      </c>
      <c r="BE770">
        <v>0.20947393477743395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4.760771244941682E-3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4.760771244941682E-3</v>
      </c>
      <c r="CA770">
        <v>8.09331111640086E-2</v>
      </c>
      <c r="CB770">
        <v>0</v>
      </c>
    </row>
    <row r="771" spans="1:80">
      <c r="A771">
        <v>770</v>
      </c>
      <c r="B771" t="s">
        <v>83</v>
      </c>
      <c r="C771" s="4" t="s">
        <v>171</v>
      </c>
      <c r="D771" s="4" t="s">
        <v>118</v>
      </c>
      <c r="E771" s="5">
        <v>40515</v>
      </c>
      <c r="F771" s="5">
        <v>40516</v>
      </c>
      <c r="G771">
        <v>1012</v>
      </c>
      <c r="H771" s="4" t="s">
        <v>110</v>
      </c>
      <c r="I771" s="4" t="s">
        <v>108</v>
      </c>
      <c r="J771" s="4" t="str">
        <f t="shared" si="12"/>
        <v>u_rem.c_con</v>
      </c>
      <c r="K771" s="5">
        <v>8</v>
      </c>
      <c r="L771">
        <v>0</v>
      </c>
      <c r="M771">
        <v>0.18384597323315335</v>
      </c>
      <c r="N771">
        <v>0.1082413712139</v>
      </c>
      <c r="O771">
        <v>0</v>
      </c>
      <c r="P771">
        <v>0</v>
      </c>
      <c r="Q771">
        <v>8.9457619159427099E-2</v>
      </c>
      <c r="R771">
        <v>0</v>
      </c>
      <c r="S771">
        <v>0</v>
      </c>
      <c r="T771">
        <v>4.6959380136182213E-3</v>
      </c>
      <c r="U771">
        <v>0</v>
      </c>
      <c r="V771">
        <v>0</v>
      </c>
      <c r="W771">
        <v>0</v>
      </c>
      <c r="X771">
        <v>4.930734914299132E-3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4.6959380136182213E-3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2.8175628081709325E-2</v>
      </c>
      <c r="AM771">
        <v>0</v>
      </c>
      <c r="AN771">
        <v>1.4322610941535575E-2</v>
      </c>
      <c r="AO771">
        <v>0</v>
      </c>
      <c r="AP771">
        <v>0</v>
      </c>
      <c r="AQ771">
        <v>2.3479690068091103E-2</v>
      </c>
      <c r="AR771">
        <v>0</v>
      </c>
      <c r="AS771">
        <v>9.3918760272364427E-3</v>
      </c>
      <c r="AT771">
        <v>4.930734914299132E-3</v>
      </c>
      <c r="AU771">
        <v>0</v>
      </c>
      <c r="AV771">
        <v>0</v>
      </c>
      <c r="AW771">
        <v>0</v>
      </c>
      <c r="AX771">
        <v>9.8614698285982641E-3</v>
      </c>
      <c r="AY771">
        <v>0</v>
      </c>
      <c r="AZ771">
        <v>0</v>
      </c>
      <c r="BA771">
        <v>0.13148626438131022</v>
      </c>
      <c r="BB771">
        <v>7.137825780699697E-2</v>
      </c>
      <c r="BC771">
        <v>0</v>
      </c>
      <c r="BD771">
        <v>0</v>
      </c>
      <c r="BE771">
        <v>0.15097440713782578</v>
      </c>
      <c r="BF771">
        <v>2.3479690068091104E-4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4.6959380136182213E-3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1.4087814040854664E-2</v>
      </c>
      <c r="CA771">
        <v>0.13641699929560933</v>
      </c>
      <c r="CB771">
        <v>0</v>
      </c>
    </row>
    <row r="772" spans="1:80">
      <c r="A772">
        <v>771</v>
      </c>
      <c r="B772" t="s">
        <v>84</v>
      </c>
      <c r="C772" s="4" t="s">
        <v>171</v>
      </c>
      <c r="D772" s="4" t="s">
        <v>118</v>
      </c>
      <c r="E772" s="5">
        <v>40515</v>
      </c>
      <c r="F772" s="5">
        <v>40516</v>
      </c>
      <c r="G772">
        <v>1012</v>
      </c>
      <c r="H772" s="4" t="s">
        <v>110</v>
      </c>
      <c r="I772" s="4" t="s">
        <v>109</v>
      </c>
      <c r="J772" s="4" t="str">
        <f t="shared" si="12"/>
        <v>u_rem.c_rem</v>
      </c>
      <c r="K772" s="5">
        <v>1</v>
      </c>
      <c r="L772">
        <v>0</v>
      </c>
      <c r="M772">
        <v>9.5087877422262296E-2</v>
      </c>
      <c r="N772">
        <v>0.19400630914826497</v>
      </c>
      <c r="O772">
        <v>0</v>
      </c>
      <c r="P772">
        <v>0</v>
      </c>
      <c r="Q772">
        <v>1.3970256872465076E-2</v>
      </c>
      <c r="R772">
        <v>4.7318611987381704E-3</v>
      </c>
      <c r="S772">
        <v>0</v>
      </c>
      <c r="T772">
        <v>9.2383956737269041E-3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4.5065344749887336E-3</v>
      </c>
      <c r="AJ772">
        <v>0</v>
      </c>
      <c r="AK772">
        <v>0</v>
      </c>
      <c r="AL772">
        <v>1.3519603424966203E-2</v>
      </c>
      <c r="AM772">
        <v>0</v>
      </c>
      <c r="AN772">
        <v>2.7489860297431272E-2</v>
      </c>
      <c r="AO772">
        <v>0</v>
      </c>
      <c r="AP772">
        <v>0</v>
      </c>
      <c r="AQ772">
        <v>1.3744930148715639E-2</v>
      </c>
      <c r="AR772">
        <v>0</v>
      </c>
      <c r="AS772">
        <v>0</v>
      </c>
      <c r="AT772">
        <v>2.2532672374943669E-4</v>
      </c>
      <c r="AU772">
        <v>0</v>
      </c>
      <c r="AV772">
        <v>0</v>
      </c>
      <c r="AW772">
        <v>0</v>
      </c>
      <c r="AX772">
        <v>9.2383956737269041E-3</v>
      </c>
      <c r="AY772">
        <v>4.5065344749887336E-3</v>
      </c>
      <c r="AZ772">
        <v>0</v>
      </c>
      <c r="BA772">
        <v>0.11356466876971608</v>
      </c>
      <c r="BB772">
        <v>0.11762054979720596</v>
      </c>
      <c r="BC772">
        <v>0</v>
      </c>
      <c r="BD772">
        <v>0</v>
      </c>
      <c r="BE772">
        <v>0.26137899954934651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4.5065344749887336E-3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0.11266336187471836</v>
      </c>
      <c r="CB772">
        <v>0</v>
      </c>
    </row>
    <row r="773" spans="1:80">
      <c r="A773">
        <v>772</v>
      </c>
      <c r="B773" t="s">
        <v>85</v>
      </c>
      <c r="C773" s="4" t="s">
        <v>171</v>
      </c>
      <c r="D773" s="4" t="s">
        <v>118</v>
      </c>
      <c r="E773" s="5">
        <v>40515</v>
      </c>
      <c r="F773" s="5">
        <v>40516</v>
      </c>
      <c r="G773">
        <v>1012</v>
      </c>
      <c r="H773" s="4" t="s">
        <v>110</v>
      </c>
      <c r="I773" s="4" t="s">
        <v>108</v>
      </c>
      <c r="J773" s="4" t="str">
        <f t="shared" si="12"/>
        <v>u_rem.c_con</v>
      </c>
      <c r="K773" s="5">
        <v>8</v>
      </c>
      <c r="L773">
        <v>0</v>
      </c>
      <c r="M773">
        <v>0.29277082891668432</v>
      </c>
      <c r="N773">
        <v>6.3811744753020996E-2</v>
      </c>
      <c r="O773">
        <v>0</v>
      </c>
      <c r="P773">
        <v>0</v>
      </c>
      <c r="Q773">
        <v>1.8231927072291716E-2</v>
      </c>
      <c r="R773">
        <v>0</v>
      </c>
      <c r="S773">
        <v>0</v>
      </c>
      <c r="T773">
        <v>2.1623913504345987E-2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4.2399830400678407E-3</v>
      </c>
      <c r="AE773">
        <v>4.2399830400678407E-3</v>
      </c>
      <c r="AF773">
        <v>0</v>
      </c>
      <c r="AG773">
        <v>0</v>
      </c>
      <c r="AH773">
        <v>2.1199915200339201E-4</v>
      </c>
      <c r="AI773">
        <v>1.7383930464278146E-2</v>
      </c>
      <c r="AJ773">
        <v>0</v>
      </c>
      <c r="AK773">
        <v>0</v>
      </c>
      <c r="AL773">
        <v>0</v>
      </c>
      <c r="AM773">
        <v>0</v>
      </c>
      <c r="AN773">
        <v>8.4799660801356813E-3</v>
      </c>
      <c r="AO773">
        <v>0</v>
      </c>
      <c r="AP773">
        <v>0</v>
      </c>
      <c r="AQ773">
        <v>8.52236591053636E-2</v>
      </c>
      <c r="AR773">
        <v>0</v>
      </c>
      <c r="AS773">
        <v>4.2399830400678407E-3</v>
      </c>
      <c r="AT773">
        <v>0</v>
      </c>
      <c r="AU773">
        <v>0</v>
      </c>
      <c r="AV773">
        <v>0</v>
      </c>
      <c r="AW773">
        <v>0</v>
      </c>
      <c r="AX773">
        <v>8.4799660801356813E-3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0.13991944032223871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2.1199915200339201E-4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1.7171931312274753E-2</v>
      </c>
      <c r="CA773">
        <v>0.3137587449650201</v>
      </c>
      <c r="CB773">
        <v>0</v>
      </c>
    </row>
    <row r="774" spans="1:80">
      <c r="A774">
        <v>773</v>
      </c>
      <c r="B774" t="s">
        <v>86</v>
      </c>
      <c r="C774" s="4" t="s">
        <v>172</v>
      </c>
      <c r="D774" s="4" t="s">
        <v>118</v>
      </c>
      <c r="E774" s="5">
        <v>40515</v>
      </c>
      <c r="F774" s="5">
        <v>40516</v>
      </c>
      <c r="G774">
        <v>1012</v>
      </c>
      <c r="H774" s="4" t="s">
        <v>107</v>
      </c>
      <c r="I774" s="4" t="s">
        <v>108</v>
      </c>
      <c r="J774" s="4" t="str">
        <f t="shared" si="12"/>
        <v>u_con.c_con</v>
      </c>
      <c r="K774" s="5">
        <v>19</v>
      </c>
      <c r="L774">
        <v>4.8426150121065378E-3</v>
      </c>
      <c r="M774">
        <v>6.9491525423728814E-2</v>
      </c>
      <c r="N774">
        <v>6.3196125907990328E-2</v>
      </c>
      <c r="O774">
        <v>0</v>
      </c>
      <c r="P774">
        <v>0</v>
      </c>
      <c r="Q774">
        <v>0</v>
      </c>
      <c r="R774">
        <v>4.8426150121065378E-3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9.6852300242130755E-3</v>
      </c>
      <c r="Y774">
        <v>0</v>
      </c>
      <c r="Z774">
        <v>2.4213075060532691E-2</v>
      </c>
      <c r="AA774">
        <v>2.421307506053269E-4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4.8426150121065378E-3</v>
      </c>
      <c r="AI774">
        <v>5.5690072639225192E-3</v>
      </c>
      <c r="AJ774">
        <v>0</v>
      </c>
      <c r="AK774">
        <v>0</v>
      </c>
      <c r="AL774">
        <v>0</v>
      </c>
      <c r="AM774">
        <v>0</v>
      </c>
      <c r="AN774">
        <v>1.5012106537530269E-2</v>
      </c>
      <c r="AO774">
        <v>0</v>
      </c>
      <c r="AP774">
        <v>0</v>
      </c>
      <c r="AQ774">
        <v>0</v>
      </c>
      <c r="AR774">
        <v>0</v>
      </c>
      <c r="AS774">
        <v>1.9612590799031479E-2</v>
      </c>
      <c r="AT774">
        <v>4.8426150121065381E-4</v>
      </c>
      <c r="AU774">
        <v>0</v>
      </c>
      <c r="AV774">
        <v>0</v>
      </c>
      <c r="AW774">
        <v>4.8426150121065378E-3</v>
      </c>
      <c r="AX774">
        <v>1.016949152542373E-2</v>
      </c>
      <c r="AY774">
        <v>0</v>
      </c>
      <c r="AZ774">
        <v>0</v>
      </c>
      <c r="BA774">
        <v>0.13607748184019372</v>
      </c>
      <c r="BB774">
        <v>2.033898305084746E-2</v>
      </c>
      <c r="BC774">
        <v>0</v>
      </c>
      <c r="BD774">
        <v>0</v>
      </c>
      <c r="BE774">
        <v>0.10726392251815985</v>
      </c>
      <c r="BF774">
        <v>4.8426150121065378E-3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2.421307506053269E-4</v>
      </c>
      <c r="BO774">
        <v>4.8426150121065378E-3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4.8426150121065378E-3</v>
      </c>
      <c r="BY774">
        <v>0</v>
      </c>
      <c r="BZ774">
        <v>2.421307506053269E-4</v>
      </c>
      <c r="CA774">
        <v>0.48426150121065387</v>
      </c>
      <c r="CB774">
        <v>0</v>
      </c>
    </row>
    <row r="775" spans="1:80">
      <c r="A775">
        <v>774</v>
      </c>
      <c r="B775" t="s">
        <v>87</v>
      </c>
      <c r="C775" s="4" t="s">
        <v>172</v>
      </c>
      <c r="D775" s="4" t="s">
        <v>118</v>
      </c>
      <c r="E775" s="5">
        <v>40515</v>
      </c>
      <c r="F775" s="5">
        <v>40516</v>
      </c>
      <c r="G775">
        <v>1012</v>
      </c>
      <c r="H775" s="4" t="s">
        <v>107</v>
      </c>
      <c r="I775" s="4" t="s">
        <v>109</v>
      </c>
      <c r="J775" s="4" t="str">
        <f t="shared" si="12"/>
        <v>u_con.c_rem</v>
      </c>
      <c r="K775" s="5">
        <v>2</v>
      </c>
      <c r="L775">
        <v>0</v>
      </c>
      <c r="M775">
        <v>4.3386983904828542E-2</v>
      </c>
      <c r="N775">
        <v>0.13552600886400745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1.3995801259622114E-2</v>
      </c>
      <c r="AA775">
        <v>0</v>
      </c>
      <c r="AB775">
        <v>0</v>
      </c>
      <c r="AC775">
        <v>0</v>
      </c>
      <c r="AD775">
        <v>0</v>
      </c>
      <c r="AE775">
        <v>9.3538605085141127E-2</v>
      </c>
      <c r="AF775">
        <v>0</v>
      </c>
      <c r="AG775">
        <v>0</v>
      </c>
      <c r="AH775">
        <v>4.1987403778866339E-2</v>
      </c>
      <c r="AI775">
        <v>6.997900629811056E-2</v>
      </c>
      <c r="AJ775">
        <v>0</v>
      </c>
      <c r="AK775">
        <v>0</v>
      </c>
      <c r="AL775">
        <v>0</v>
      </c>
      <c r="AM775">
        <v>3.3123396314438995E-2</v>
      </c>
      <c r="AN775">
        <v>9.3305341730814083E-3</v>
      </c>
      <c r="AO775">
        <v>0</v>
      </c>
      <c r="AP775">
        <v>0</v>
      </c>
      <c r="AQ775">
        <v>0</v>
      </c>
      <c r="AR775">
        <v>0</v>
      </c>
      <c r="AS775">
        <v>2.3559598787030556E-2</v>
      </c>
      <c r="AT775">
        <v>4.6652670865407041E-4</v>
      </c>
      <c r="AU775">
        <v>4.6652670865407041E-3</v>
      </c>
      <c r="AV775">
        <v>0</v>
      </c>
      <c r="AW775">
        <v>0</v>
      </c>
      <c r="AX775">
        <v>4.6652670865407041E-3</v>
      </c>
      <c r="AY775">
        <v>0</v>
      </c>
      <c r="AZ775">
        <v>0</v>
      </c>
      <c r="BA775">
        <v>0.11266620013995803</v>
      </c>
      <c r="BB775">
        <v>1.0496850944716585E-2</v>
      </c>
      <c r="BC775">
        <v>0</v>
      </c>
      <c r="BD775">
        <v>0</v>
      </c>
      <c r="BE775">
        <v>0.10823419640774434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1.8894331700489854E-2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4.8985304408677398E-3</v>
      </c>
      <c r="CA775">
        <v>0.2705854910193608</v>
      </c>
      <c r="CB775">
        <v>0</v>
      </c>
    </row>
    <row r="776" spans="1:80">
      <c r="A776">
        <v>775</v>
      </c>
      <c r="B776" t="s">
        <v>88</v>
      </c>
      <c r="C776" s="4" t="s">
        <v>172</v>
      </c>
      <c r="D776" s="4" t="s">
        <v>118</v>
      </c>
      <c r="E776" s="5">
        <v>40515</v>
      </c>
      <c r="F776" s="5">
        <v>40516</v>
      </c>
      <c r="G776">
        <v>1012</v>
      </c>
      <c r="H776" s="4" t="s">
        <v>107</v>
      </c>
      <c r="I776" s="4" t="s">
        <v>109</v>
      </c>
      <c r="J776" s="4" t="str">
        <f t="shared" si="12"/>
        <v>u_con.c_rem</v>
      </c>
      <c r="K776" s="5">
        <v>2</v>
      </c>
      <c r="L776">
        <v>0</v>
      </c>
      <c r="M776">
        <v>2.9446407538280324E-2</v>
      </c>
      <c r="N776">
        <v>0.18398115429917544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4.7349823321554761E-2</v>
      </c>
      <c r="Y776">
        <v>0</v>
      </c>
      <c r="Z776">
        <v>7.5618374558303877E-2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4.7114252061248516E-3</v>
      </c>
      <c r="AI776">
        <v>0.10388692579505299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2.4263839811542988E-2</v>
      </c>
      <c r="AT776">
        <v>7.0671378091872778E-4</v>
      </c>
      <c r="AU776">
        <v>0</v>
      </c>
      <c r="AV776">
        <v>4.7114252061248517E-4</v>
      </c>
      <c r="AW776">
        <v>0</v>
      </c>
      <c r="AX776">
        <v>2.3557126030624258E-4</v>
      </c>
      <c r="AY776">
        <v>0</v>
      </c>
      <c r="AZ776">
        <v>0</v>
      </c>
      <c r="BA776">
        <v>0.28268551236749101</v>
      </c>
      <c r="BB776">
        <v>9.6584216725559471E-3</v>
      </c>
      <c r="BC776">
        <v>0</v>
      </c>
      <c r="BD776">
        <v>0</v>
      </c>
      <c r="BE776">
        <v>9.4935217903415761E-2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2.8504122497055352E-2</v>
      </c>
      <c r="BO776">
        <v>0</v>
      </c>
      <c r="BP776">
        <v>0</v>
      </c>
      <c r="BQ776">
        <v>9.4228504122497031E-3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4.7114252061248517E-4</v>
      </c>
      <c r="CA776">
        <v>0.10365135453474676</v>
      </c>
      <c r="CB776">
        <v>0</v>
      </c>
    </row>
    <row r="777" spans="1:80">
      <c r="A777">
        <v>776</v>
      </c>
      <c r="B777" t="s">
        <v>89</v>
      </c>
      <c r="C777" s="4" t="s">
        <v>172</v>
      </c>
      <c r="D777" s="4" t="s">
        <v>118</v>
      </c>
      <c r="E777" s="5">
        <v>40515</v>
      </c>
      <c r="F777" s="5">
        <v>40516</v>
      </c>
      <c r="G777">
        <v>1012</v>
      </c>
      <c r="H777" s="4" t="s">
        <v>107</v>
      </c>
      <c r="I777" s="4" t="s">
        <v>108</v>
      </c>
      <c r="J777" s="4" t="str">
        <f t="shared" si="12"/>
        <v>u_con.c_con</v>
      </c>
      <c r="K777" s="5">
        <v>19</v>
      </c>
      <c r="L777">
        <v>0</v>
      </c>
      <c r="M777">
        <v>3.7828947368421045E-2</v>
      </c>
      <c r="N777">
        <v>0.21170112781954881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2.3496240601503758E-4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4.9342105263157901E-3</v>
      </c>
      <c r="AE777">
        <v>6.1325187969924817E-2</v>
      </c>
      <c r="AF777">
        <v>0</v>
      </c>
      <c r="AG777">
        <v>0</v>
      </c>
      <c r="AH777">
        <v>4.6992481203007516E-3</v>
      </c>
      <c r="AI777">
        <v>1.4332706766917294E-2</v>
      </c>
      <c r="AJ777">
        <v>0</v>
      </c>
      <c r="AK777">
        <v>0</v>
      </c>
      <c r="AL777">
        <v>2.3496240601503758E-2</v>
      </c>
      <c r="AM777">
        <v>4.6992481203007509E-2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4.6992481203007509E-2</v>
      </c>
      <c r="AT777">
        <v>5.1691729323308276E-3</v>
      </c>
      <c r="AU777">
        <v>4.6992481203007516E-3</v>
      </c>
      <c r="AV777">
        <v>1.4332706766917294E-2</v>
      </c>
      <c r="AW777">
        <v>4.6992481203007516E-3</v>
      </c>
      <c r="AX777">
        <v>2.3496240601503758E-4</v>
      </c>
      <c r="AY777">
        <v>0</v>
      </c>
      <c r="AZ777">
        <v>0</v>
      </c>
      <c r="BA777">
        <v>0.15084586466165412</v>
      </c>
      <c r="BB777">
        <v>4.6992481203007516E-4</v>
      </c>
      <c r="BC777">
        <v>0</v>
      </c>
      <c r="BD777">
        <v>0</v>
      </c>
      <c r="BE777">
        <v>0.15507518796992478</v>
      </c>
      <c r="BF777">
        <v>2.3496240601503758E-4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1.4332706766917294E-2</v>
      </c>
      <c r="BO777">
        <v>9.3984962406015032E-3</v>
      </c>
      <c r="BP777">
        <v>2.3496240601503758E-2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0.1644736842105263</v>
      </c>
      <c r="CB777">
        <v>0</v>
      </c>
    </row>
    <row r="778" spans="1:80">
      <c r="A778">
        <v>777</v>
      </c>
      <c r="B778" t="s">
        <v>90</v>
      </c>
      <c r="C778" s="4" t="s">
        <v>173</v>
      </c>
      <c r="D778" s="4" t="s">
        <v>118</v>
      </c>
      <c r="E778" s="5">
        <v>40515</v>
      </c>
      <c r="F778" s="5">
        <v>40516</v>
      </c>
      <c r="G778">
        <v>1012</v>
      </c>
      <c r="H778" s="4" t="s">
        <v>107</v>
      </c>
      <c r="I778" s="4" t="s">
        <v>108</v>
      </c>
      <c r="J778" s="4" t="str">
        <f t="shared" si="12"/>
        <v>u_con.c_con</v>
      </c>
      <c r="K778" s="5">
        <v>19</v>
      </c>
      <c r="L778">
        <v>0</v>
      </c>
      <c r="M778">
        <v>7.0908664005635169E-2</v>
      </c>
      <c r="N778">
        <v>0.27706034280347502</v>
      </c>
      <c r="O778">
        <v>0</v>
      </c>
      <c r="P778">
        <v>2.3479690068091113E-4</v>
      </c>
      <c r="Q778">
        <v>2.8175628081709331E-2</v>
      </c>
      <c r="R778">
        <v>1.8783752054472889E-2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5.6351256163418677E-2</v>
      </c>
      <c r="AA778">
        <v>4.6959380136182222E-3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3.7567504108945778E-2</v>
      </c>
      <c r="AH778">
        <v>0</v>
      </c>
      <c r="AI778">
        <v>5.212491195116227E-2</v>
      </c>
      <c r="AJ778">
        <v>0</v>
      </c>
      <c r="AK778">
        <v>0</v>
      </c>
      <c r="AL778">
        <v>1.4087814040854669E-2</v>
      </c>
      <c r="AM778">
        <v>0</v>
      </c>
      <c r="AN778">
        <v>2.4418877670814756E-2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6.5743132190655114E-3</v>
      </c>
      <c r="AU778">
        <v>0</v>
      </c>
      <c r="AV778">
        <v>0</v>
      </c>
      <c r="AW778">
        <v>0</v>
      </c>
      <c r="AX778">
        <v>2.4888471472176578E-2</v>
      </c>
      <c r="AY778">
        <v>0</v>
      </c>
      <c r="AZ778">
        <v>0</v>
      </c>
      <c r="BA778">
        <v>0.126790326367692</v>
      </c>
      <c r="BB778">
        <v>2.6062455975581135E-2</v>
      </c>
      <c r="BC778">
        <v>0</v>
      </c>
      <c r="BD778">
        <v>0</v>
      </c>
      <c r="BE778">
        <v>2.4184080770133846E-2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4.6959380136182222E-3</v>
      </c>
      <c r="BO778">
        <v>0</v>
      </c>
      <c r="BP778">
        <v>4.6959380136182222E-3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4.6959380136182222E-3</v>
      </c>
      <c r="BX778">
        <v>0</v>
      </c>
      <c r="BY778">
        <v>0</v>
      </c>
      <c r="BZ778">
        <v>4.6959380136182225E-4</v>
      </c>
      <c r="CA778">
        <v>0.19253345855834708</v>
      </c>
      <c r="CB778">
        <v>0</v>
      </c>
    </row>
    <row r="779" spans="1:80">
      <c r="A779">
        <v>778</v>
      </c>
      <c r="B779" t="s">
        <v>91</v>
      </c>
      <c r="C779" s="4" t="s">
        <v>173</v>
      </c>
      <c r="D779" s="4" t="s">
        <v>118</v>
      </c>
      <c r="E779" s="5">
        <v>40515</v>
      </c>
      <c r="F779" s="5">
        <v>40516</v>
      </c>
      <c r="G779">
        <v>1012</v>
      </c>
      <c r="H779" s="4" t="s">
        <v>107</v>
      </c>
      <c r="I779" s="4" t="s">
        <v>109</v>
      </c>
      <c r="J779" s="4" t="str">
        <f t="shared" si="12"/>
        <v>u_con.c_rem</v>
      </c>
      <c r="K779" s="5">
        <v>2</v>
      </c>
      <c r="L779">
        <v>0</v>
      </c>
      <c r="M779">
        <v>9.9741490736751412E-2</v>
      </c>
      <c r="N779">
        <v>9.9526066350710901E-2</v>
      </c>
      <c r="O779">
        <v>0</v>
      </c>
      <c r="P779">
        <v>0</v>
      </c>
      <c r="Q779">
        <v>3.0374838431710467E-2</v>
      </c>
      <c r="R779">
        <v>5.1917277035760448E-2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2.1542438604049978E-4</v>
      </c>
      <c r="AA779">
        <v>4.3084877208099956E-3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4.5239121068504961E-3</v>
      </c>
      <c r="AI779">
        <v>1.2925463162429988E-2</v>
      </c>
      <c r="AJ779">
        <v>0</v>
      </c>
      <c r="AK779">
        <v>0</v>
      </c>
      <c r="AL779">
        <v>3.0374838431710467E-2</v>
      </c>
      <c r="AM779">
        <v>0</v>
      </c>
      <c r="AN779">
        <v>2.2188711762171479E-2</v>
      </c>
      <c r="AO779">
        <v>0</v>
      </c>
      <c r="AP779">
        <v>0</v>
      </c>
      <c r="AQ779">
        <v>0</v>
      </c>
      <c r="AR779">
        <v>0</v>
      </c>
      <c r="AS779">
        <v>4.5239121068504961E-3</v>
      </c>
      <c r="AT779">
        <v>0</v>
      </c>
      <c r="AU779">
        <v>1.3140887548470488E-2</v>
      </c>
      <c r="AV779">
        <v>0</v>
      </c>
      <c r="AW779">
        <v>0</v>
      </c>
      <c r="AX779">
        <v>8.8323998276604917E-3</v>
      </c>
      <c r="AY779">
        <v>0</v>
      </c>
      <c r="AZ779">
        <v>0</v>
      </c>
      <c r="BA779">
        <v>0.13377854373115033</v>
      </c>
      <c r="BB779">
        <v>4.3084877208099956E-4</v>
      </c>
      <c r="BC779">
        <v>0</v>
      </c>
      <c r="BD779">
        <v>0</v>
      </c>
      <c r="BE779">
        <v>0.27165015079707017</v>
      </c>
      <c r="BF779">
        <v>4.3084877208099956E-3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2.1542438604049978E-4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2.1542438604049978E-4</v>
      </c>
      <c r="CA779">
        <v>0.20680741059887975</v>
      </c>
      <c r="CB779">
        <v>0</v>
      </c>
    </row>
    <row r="780" spans="1:80">
      <c r="A780">
        <v>779</v>
      </c>
      <c r="B780" t="s">
        <v>92</v>
      </c>
      <c r="C780" s="4" t="s">
        <v>173</v>
      </c>
      <c r="D780" s="4" t="s">
        <v>118</v>
      </c>
      <c r="E780" s="5">
        <v>40515</v>
      </c>
      <c r="F780" s="5">
        <v>40516</v>
      </c>
      <c r="G780">
        <v>1012</v>
      </c>
      <c r="H780" s="4" t="s">
        <v>107</v>
      </c>
      <c r="I780" s="4" t="s">
        <v>108</v>
      </c>
      <c r="J780" s="4" t="str">
        <f t="shared" si="12"/>
        <v>u_con.c_con</v>
      </c>
      <c r="K780" s="5">
        <v>19</v>
      </c>
      <c r="L780">
        <v>0</v>
      </c>
      <c r="M780">
        <v>3.0221788934925664E-2</v>
      </c>
      <c r="N780">
        <v>0.17548135510601998</v>
      </c>
      <c r="O780">
        <v>0</v>
      </c>
      <c r="P780">
        <v>0</v>
      </c>
      <c r="Q780">
        <v>7.3117231294174995E-2</v>
      </c>
      <c r="R780">
        <v>4.3870338776504994E-2</v>
      </c>
      <c r="S780">
        <v>0</v>
      </c>
      <c r="T780">
        <v>9.7489641725566657E-3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7.8722885693395084E-2</v>
      </c>
      <c r="AJ780">
        <v>0</v>
      </c>
      <c r="AK780">
        <v>0</v>
      </c>
      <c r="AL780">
        <v>4.8744820862783329E-3</v>
      </c>
      <c r="AM780">
        <v>0</v>
      </c>
      <c r="AN780">
        <v>1.4623446258834999E-3</v>
      </c>
      <c r="AO780">
        <v>0</v>
      </c>
      <c r="AP780">
        <v>0</v>
      </c>
      <c r="AQ780">
        <v>0</v>
      </c>
      <c r="AR780">
        <v>0</v>
      </c>
      <c r="AS780">
        <v>4.8744820862783329E-3</v>
      </c>
      <c r="AT780">
        <v>1.2186205215695832E-3</v>
      </c>
      <c r="AU780">
        <v>9.9926882768705833E-3</v>
      </c>
      <c r="AV780">
        <v>0</v>
      </c>
      <c r="AW780">
        <v>0</v>
      </c>
      <c r="AX780">
        <v>5.3619302949061672E-3</v>
      </c>
      <c r="AY780">
        <v>0</v>
      </c>
      <c r="AZ780">
        <v>0</v>
      </c>
      <c r="BA780">
        <v>0.13648549841579338</v>
      </c>
      <c r="BB780">
        <v>0</v>
      </c>
      <c r="BC780">
        <v>0</v>
      </c>
      <c r="BD780">
        <v>0</v>
      </c>
      <c r="BE780">
        <v>0.21959541798683885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0.20472824762368994</v>
      </c>
      <c r="CB780">
        <v>0</v>
      </c>
    </row>
    <row r="781" spans="1:80">
      <c r="A781">
        <v>780</v>
      </c>
      <c r="B781" t="s">
        <v>93</v>
      </c>
      <c r="C781" s="4" t="s">
        <v>173</v>
      </c>
      <c r="D781" s="4" t="s">
        <v>118</v>
      </c>
      <c r="E781" s="5">
        <v>40515</v>
      </c>
      <c r="F781" s="5">
        <v>40516</v>
      </c>
      <c r="G781">
        <v>1012</v>
      </c>
      <c r="H781" s="4" t="s">
        <v>107</v>
      </c>
      <c r="I781" s="4" t="s">
        <v>109</v>
      </c>
      <c r="J781" s="4" t="str">
        <f t="shared" si="12"/>
        <v>u_con.c_rem</v>
      </c>
      <c r="K781" s="5">
        <v>2</v>
      </c>
      <c r="L781">
        <v>0</v>
      </c>
      <c r="M781">
        <v>1.4049066890333407E-2</v>
      </c>
      <c r="N781">
        <v>0.15936254980079684</v>
      </c>
      <c r="O781">
        <v>0</v>
      </c>
      <c r="P781">
        <v>0</v>
      </c>
      <c r="Q781">
        <v>4.6131264416020133E-2</v>
      </c>
      <c r="R781">
        <v>0</v>
      </c>
      <c r="S781">
        <v>0</v>
      </c>
      <c r="T781">
        <v>4.1937513105472848E-3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4.1937513105472848E-2</v>
      </c>
      <c r="AA781">
        <v>0</v>
      </c>
      <c r="AB781">
        <v>0</v>
      </c>
      <c r="AC781">
        <v>0</v>
      </c>
      <c r="AD781">
        <v>0</v>
      </c>
      <c r="AE781">
        <v>4.1937513105472848E-3</v>
      </c>
      <c r="AF781">
        <v>0</v>
      </c>
      <c r="AG781">
        <v>2.0968756552736424E-4</v>
      </c>
      <c r="AH781">
        <v>4.1937513105472848E-3</v>
      </c>
      <c r="AI781">
        <v>1.7613755504298598E-2</v>
      </c>
      <c r="AJ781">
        <v>0</v>
      </c>
      <c r="AK781">
        <v>0</v>
      </c>
      <c r="AL781">
        <v>5.0325015726567418E-2</v>
      </c>
      <c r="AM781">
        <v>0</v>
      </c>
      <c r="AN781">
        <v>1.3000629062696585E-2</v>
      </c>
      <c r="AO781">
        <v>0</v>
      </c>
      <c r="AP781">
        <v>0</v>
      </c>
      <c r="AQ781">
        <v>0</v>
      </c>
      <c r="AR781">
        <v>0</v>
      </c>
      <c r="AS781">
        <v>1.6984692807716504E-2</v>
      </c>
      <c r="AT781">
        <v>4.1937513105472847E-4</v>
      </c>
      <c r="AU781">
        <v>0</v>
      </c>
      <c r="AV781">
        <v>0</v>
      </c>
      <c r="AW781">
        <v>0</v>
      </c>
      <c r="AX781">
        <v>1.3629691759278677E-2</v>
      </c>
      <c r="AY781">
        <v>0</v>
      </c>
      <c r="AZ781">
        <v>0</v>
      </c>
      <c r="BA781">
        <v>9.6665967708114933E-2</v>
      </c>
      <c r="BB781">
        <v>3.8792199622562383E-2</v>
      </c>
      <c r="BC781">
        <v>0</v>
      </c>
      <c r="BD781">
        <v>0</v>
      </c>
      <c r="BE781">
        <v>0.18871880897462781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4.4034388760746494E-3</v>
      </c>
      <c r="CA781">
        <v>0.28517508911721534</v>
      </c>
      <c r="CB781">
        <v>0</v>
      </c>
    </row>
    <row r="782" spans="1:80">
      <c r="A782">
        <v>781</v>
      </c>
      <c r="B782" t="s">
        <v>94</v>
      </c>
      <c r="C782" s="4" t="s">
        <v>174</v>
      </c>
      <c r="D782" s="4" t="s">
        <v>118</v>
      </c>
      <c r="E782" s="5">
        <v>40515</v>
      </c>
      <c r="F782" s="5">
        <v>40516</v>
      </c>
      <c r="G782">
        <v>1012</v>
      </c>
      <c r="H782" s="4" t="s">
        <v>110</v>
      </c>
      <c r="I782" s="4" t="s">
        <v>108</v>
      </c>
      <c r="J782" s="4" t="str">
        <f t="shared" si="12"/>
        <v>u_rem.c_con</v>
      </c>
      <c r="K782" s="5">
        <v>8</v>
      </c>
      <c r="L782">
        <v>2.2568269013766646E-2</v>
      </c>
      <c r="M782">
        <v>6.8833220491988284E-2</v>
      </c>
      <c r="N782">
        <v>0.38817422703678628</v>
      </c>
      <c r="O782">
        <v>0</v>
      </c>
      <c r="P782">
        <v>0</v>
      </c>
      <c r="Q782">
        <v>2.2568269013766646E-2</v>
      </c>
      <c r="R782">
        <v>0.16723087339201084</v>
      </c>
      <c r="S782">
        <v>0</v>
      </c>
      <c r="T782">
        <v>2.2568269013766646E-2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0.12660798916723093</v>
      </c>
      <c r="AJ782">
        <v>9.2529902956443259E-3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4.5136538027533294E-4</v>
      </c>
      <c r="AU782">
        <v>0</v>
      </c>
      <c r="AV782">
        <v>0</v>
      </c>
      <c r="AW782">
        <v>0</v>
      </c>
      <c r="AX782">
        <v>2.2568269013766647E-4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0.17151884450462654</v>
      </c>
      <c r="CB782">
        <v>0</v>
      </c>
    </row>
    <row r="783" spans="1:80">
      <c r="A783">
        <v>782</v>
      </c>
      <c r="B783" t="s">
        <v>95</v>
      </c>
      <c r="C783" s="4" t="s">
        <v>174</v>
      </c>
      <c r="D783" s="4" t="s">
        <v>118</v>
      </c>
      <c r="E783" s="5">
        <v>40515</v>
      </c>
      <c r="F783" s="5">
        <v>40516</v>
      </c>
      <c r="G783">
        <v>1012</v>
      </c>
      <c r="H783" s="4" t="s">
        <v>110</v>
      </c>
      <c r="I783" s="4" t="s">
        <v>109</v>
      </c>
      <c r="J783" s="4" t="str">
        <f t="shared" si="12"/>
        <v>u_rem.c_rem</v>
      </c>
      <c r="K783" s="5">
        <v>1</v>
      </c>
      <c r="L783">
        <v>0</v>
      </c>
      <c r="M783">
        <v>0.11801970905678087</v>
      </c>
      <c r="N783">
        <v>0.25340215861098075</v>
      </c>
      <c r="O783">
        <v>0</v>
      </c>
      <c r="P783">
        <v>0</v>
      </c>
      <c r="Q783">
        <v>3.3083059596433602E-2</v>
      </c>
      <c r="R783">
        <v>0</v>
      </c>
      <c r="S783">
        <v>0</v>
      </c>
      <c r="T783">
        <v>1.8770530267480059E-2</v>
      </c>
      <c r="U783">
        <v>0</v>
      </c>
      <c r="V783">
        <v>0</v>
      </c>
      <c r="W783">
        <v>4.6926325668700149E-3</v>
      </c>
      <c r="X783">
        <v>0</v>
      </c>
      <c r="Y783">
        <v>0</v>
      </c>
      <c r="Z783">
        <v>1.4077897700610045E-2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4.6926325668700149E-3</v>
      </c>
      <c r="AI783">
        <v>5.2322853120600657E-2</v>
      </c>
      <c r="AJ783">
        <v>0.14077897700610043</v>
      </c>
      <c r="AK783">
        <v>0</v>
      </c>
      <c r="AL783">
        <v>0</v>
      </c>
      <c r="AM783">
        <v>0</v>
      </c>
      <c r="AN783">
        <v>5.1618958235570165E-3</v>
      </c>
      <c r="AO783">
        <v>0</v>
      </c>
      <c r="AP783">
        <v>0</v>
      </c>
      <c r="AQ783">
        <v>0</v>
      </c>
      <c r="AR783">
        <v>0</v>
      </c>
      <c r="AS783">
        <v>4.6926325668700149E-3</v>
      </c>
      <c r="AT783">
        <v>1.1731581417175035E-2</v>
      </c>
      <c r="AU783">
        <v>0</v>
      </c>
      <c r="AV783">
        <v>0</v>
      </c>
      <c r="AW783">
        <v>1.8770530267480059E-2</v>
      </c>
      <c r="AX783">
        <v>1.4547160957297047E-2</v>
      </c>
      <c r="AY783">
        <v>2.3463162834350072E-4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4.6926325668700149E-3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9.3852651337400297E-3</v>
      </c>
      <c r="BY783">
        <v>0</v>
      </c>
      <c r="BZ783">
        <v>0</v>
      </c>
      <c r="CA783">
        <v>0.29094321914594079</v>
      </c>
      <c r="CB783">
        <v>0</v>
      </c>
    </row>
    <row r="784" spans="1:80">
      <c r="A784">
        <v>783</v>
      </c>
      <c r="B784" t="s">
        <v>96</v>
      </c>
      <c r="C784" s="4" t="s">
        <v>174</v>
      </c>
      <c r="D784" s="4" t="s">
        <v>118</v>
      </c>
      <c r="E784" s="5">
        <v>40515</v>
      </c>
      <c r="F784" s="5">
        <v>40516</v>
      </c>
      <c r="G784">
        <v>1012</v>
      </c>
      <c r="H784" s="4" t="s">
        <v>110</v>
      </c>
      <c r="I784" s="4" t="s">
        <v>109</v>
      </c>
      <c r="J784" s="4" t="str">
        <f t="shared" si="12"/>
        <v>u_rem.c_rem</v>
      </c>
      <c r="K784" s="5">
        <v>1</v>
      </c>
      <c r="L784">
        <v>4.3168573278653134E-3</v>
      </c>
      <c r="M784">
        <v>5.7198359594215403E-2</v>
      </c>
      <c r="N784">
        <v>0.3021800129505719</v>
      </c>
      <c r="O784">
        <v>0</v>
      </c>
      <c r="P784">
        <v>0</v>
      </c>
      <c r="Q784">
        <v>8.6337146557306267E-3</v>
      </c>
      <c r="R784">
        <v>0</v>
      </c>
      <c r="S784">
        <v>0</v>
      </c>
      <c r="T784">
        <v>6.0436002590114397E-2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8.6337146557306288E-2</v>
      </c>
      <c r="AJ784">
        <v>0.151090006475286</v>
      </c>
      <c r="AK784">
        <v>0</v>
      </c>
      <c r="AL784">
        <v>0</v>
      </c>
      <c r="AM784">
        <v>0</v>
      </c>
      <c r="AN784">
        <v>1.7914957910641054E-2</v>
      </c>
      <c r="AO784">
        <v>0</v>
      </c>
      <c r="AP784">
        <v>0</v>
      </c>
      <c r="AQ784">
        <v>0</v>
      </c>
      <c r="AR784">
        <v>0</v>
      </c>
      <c r="AS784">
        <v>1.7267429311461253E-2</v>
      </c>
      <c r="AT784">
        <v>2.6764515432764945E-2</v>
      </c>
      <c r="AU784">
        <v>1.7267429311461253E-2</v>
      </c>
      <c r="AV784">
        <v>0</v>
      </c>
      <c r="AW784">
        <v>1.7267429311461253E-2</v>
      </c>
      <c r="AX784">
        <v>3.475070148931577E-2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0.19857543708180442</v>
      </c>
      <c r="CB784">
        <v>0</v>
      </c>
    </row>
    <row r="785" spans="1:80">
      <c r="A785">
        <v>784</v>
      </c>
      <c r="B785" t="s">
        <v>97</v>
      </c>
      <c r="C785" s="4" t="s">
        <v>174</v>
      </c>
      <c r="D785" s="4" t="s">
        <v>118</v>
      </c>
      <c r="E785" s="5">
        <v>40515</v>
      </c>
      <c r="F785" s="5">
        <v>40516</v>
      </c>
      <c r="G785">
        <v>1012</v>
      </c>
      <c r="H785" s="4" t="s">
        <v>110</v>
      </c>
      <c r="I785" s="4" t="s">
        <v>108</v>
      </c>
      <c r="J785" s="4" t="str">
        <f t="shared" si="12"/>
        <v>u_rem.c_con</v>
      </c>
      <c r="K785" s="5">
        <v>8</v>
      </c>
      <c r="L785">
        <v>0</v>
      </c>
      <c r="M785">
        <v>0.11261682242990653</v>
      </c>
      <c r="N785">
        <v>0.23387850467289711</v>
      </c>
      <c r="O785">
        <v>0</v>
      </c>
      <c r="P785">
        <v>0</v>
      </c>
      <c r="Q785">
        <v>1.401869158878505E-2</v>
      </c>
      <c r="R785">
        <v>0.18247663551401869</v>
      </c>
      <c r="S785">
        <v>0</v>
      </c>
      <c r="T785">
        <v>1.8925233644859814E-2</v>
      </c>
      <c r="U785">
        <v>0</v>
      </c>
      <c r="V785">
        <v>0</v>
      </c>
      <c r="W785">
        <v>0</v>
      </c>
      <c r="X785">
        <v>1.4485981308411219E-2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2.8504672897196263E-2</v>
      </c>
      <c r="AJ785">
        <v>3.2710280373831772E-2</v>
      </c>
      <c r="AK785">
        <v>0</v>
      </c>
      <c r="AL785">
        <v>0</v>
      </c>
      <c r="AM785">
        <v>0</v>
      </c>
      <c r="AN785">
        <v>2.3364485981308412E-4</v>
      </c>
      <c r="AO785">
        <v>0</v>
      </c>
      <c r="AP785">
        <v>0</v>
      </c>
      <c r="AQ785">
        <v>0</v>
      </c>
      <c r="AR785">
        <v>0</v>
      </c>
      <c r="AS785">
        <v>4.6728971962616828E-3</v>
      </c>
      <c r="AT785">
        <v>4.6728971962616824E-4</v>
      </c>
      <c r="AU785">
        <v>0</v>
      </c>
      <c r="AV785">
        <v>0</v>
      </c>
      <c r="AW785">
        <v>4.6728971962616824E-4</v>
      </c>
      <c r="AX785">
        <v>1.0514018691588786E-2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4.6728971962616828E-3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0.34135514018691587</v>
      </c>
      <c r="CB785">
        <v>0</v>
      </c>
    </row>
    <row r="786" spans="1:80">
      <c r="A786">
        <v>785</v>
      </c>
      <c r="B786" t="s">
        <v>98</v>
      </c>
      <c r="C786" s="4" t="s">
        <v>175</v>
      </c>
      <c r="D786" s="4" t="s">
        <v>118</v>
      </c>
      <c r="E786" s="5">
        <v>40515</v>
      </c>
      <c r="F786" s="5">
        <v>40516</v>
      </c>
      <c r="G786">
        <v>1012</v>
      </c>
      <c r="H786" s="4" t="s">
        <v>107</v>
      </c>
      <c r="I786" s="4" t="s">
        <v>109</v>
      </c>
      <c r="J786" s="4" t="str">
        <f t="shared" si="12"/>
        <v>u_con.c_rem</v>
      </c>
      <c r="K786" s="5">
        <v>2</v>
      </c>
      <c r="L786">
        <v>2.0920502092050208E-4</v>
      </c>
      <c r="M786">
        <v>0.16736401673640167</v>
      </c>
      <c r="N786">
        <v>7.1757322175732219E-2</v>
      </c>
      <c r="O786">
        <v>0</v>
      </c>
      <c r="P786">
        <v>0</v>
      </c>
      <c r="Q786">
        <v>4.1841004184100415E-3</v>
      </c>
      <c r="R786">
        <v>0</v>
      </c>
      <c r="S786">
        <v>0</v>
      </c>
      <c r="T786">
        <v>8.368200836820083E-3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5.8786610878661084E-2</v>
      </c>
      <c r="AI786">
        <v>4.288702928870293E-2</v>
      </c>
      <c r="AJ786">
        <v>2.5104602510460247E-2</v>
      </c>
      <c r="AK786">
        <v>0</v>
      </c>
      <c r="AL786">
        <v>0</v>
      </c>
      <c r="AM786">
        <v>0</v>
      </c>
      <c r="AN786">
        <v>1.3179916317991633E-2</v>
      </c>
      <c r="AO786">
        <v>0</v>
      </c>
      <c r="AP786">
        <v>0</v>
      </c>
      <c r="AQ786">
        <v>0</v>
      </c>
      <c r="AR786">
        <v>0</v>
      </c>
      <c r="AS786">
        <v>4.2050209205020915E-2</v>
      </c>
      <c r="AT786">
        <v>8.7866108786610886E-3</v>
      </c>
      <c r="AU786">
        <v>4.1841004184100415E-3</v>
      </c>
      <c r="AV786">
        <v>0</v>
      </c>
      <c r="AW786">
        <v>1.2761506276150626E-2</v>
      </c>
      <c r="AX786">
        <v>1.6945606694560668E-2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0.23849372384937234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0.28451882845188275</v>
      </c>
      <c r="CB786">
        <v>0</v>
      </c>
    </row>
    <row r="787" spans="1:80">
      <c r="A787">
        <v>786</v>
      </c>
      <c r="B787" t="s">
        <v>99</v>
      </c>
      <c r="C787" s="4" t="s">
        <v>175</v>
      </c>
      <c r="D787" s="4" t="s">
        <v>118</v>
      </c>
      <c r="E787" s="5">
        <v>40515</v>
      </c>
      <c r="F787" s="5">
        <v>40516</v>
      </c>
      <c r="G787">
        <v>1012</v>
      </c>
      <c r="H787" s="4" t="s">
        <v>107</v>
      </c>
      <c r="I787" s="4" t="s">
        <v>108</v>
      </c>
      <c r="J787" s="4" t="str">
        <f t="shared" si="12"/>
        <v>u_con.c_con</v>
      </c>
      <c r="K787" s="5">
        <v>19</v>
      </c>
      <c r="L787">
        <v>0</v>
      </c>
      <c r="M787">
        <v>0.13707370737073707</v>
      </c>
      <c r="N787">
        <v>0.22464246424642464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3.1023102310231025E-2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9.0209020902090216E-3</v>
      </c>
      <c r="AI787">
        <v>9.7029702970297046E-2</v>
      </c>
      <c r="AJ787">
        <v>8.8228822882288227E-2</v>
      </c>
      <c r="AK787">
        <v>0</v>
      </c>
      <c r="AL787">
        <v>0</v>
      </c>
      <c r="AM787">
        <v>0</v>
      </c>
      <c r="AN787">
        <v>2.2222222222222223E-2</v>
      </c>
      <c r="AO787">
        <v>0</v>
      </c>
      <c r="AP787">
        <v>0</v>
      </c>
      <c r="AQ787">
        <v>0</v>
      </c>
      <c r="AR787">
        <v>0</v>
      </c>
      <c r="AS787">
        <v>2.2442244224422446E-2</v>
      </c>
      <c r="AT787">
        <v>8.8008800880088017E-4</v>
      </c>
      <c r="AU787">
        <v>0</v>
      </c>
      <c r="AV787">
        <v>0</v>
      </c>
      <c r="AW787">
        <v>0</v>
      </c>
      <c r="AX787">
        <v>4.6204620462046214E-3</v>
      </c>
      <c r="AY787">
        <v>0</v>
      </c>
      <c r="AZ787">
        <v>0</v>
      </c>
      <c r="BA787">
        <v>2.7942794279427946E-2</v>
      </c>
      <c r="BB787">
        <v>0</v>
      </c>
      <c r="BC787">
        <v>0</v>
      </c>
      <c r="BD787">
        <v>0</v>
      </c>
      <c r="BE787">
        <v>0.18503850385038506</v>
      </c>
      <c r="BF787">
        <v>4.4004400440044011E-3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8.8008800880088021E-3</v>
      </c>
      <c r="BY787">
        <v>0</v>
      </c>
      <c r="BZ787">
        <v>0</v>
      </c>
      <c r="CA787">
        <v>0.13641364136413645</v>
      </c>
      <c r="CB787">
        <v>0</v>
      </c>
    </row>
    <row r="788" spans="1:80">
      <c r="A788">
        <v>787</v>
      </c>
      <c r="B788" t="s">
        <v>100</v>
      </c>
      <c r="C788" s="4" t="s">
        <v>175</v>
      </c>
      <c r="D788" s="4" t="s">
        <v>118</v>
      </c>
      <c r="E788" s="5">
        <v>40515</v>
      </c>
      <c r="F788" s="5">
        <v>40516</v>
      </c>
      <c r="G788">
        <v>1012</v>
      </c>
      <c r="H788" s="4" t="s">
        <v>107</v>
      </c>
      <c r="I788" s="4" t="s">
        <v>109</v>
      </c>
      <c r="J788" s="4" t="str">
        <f t="shared" si="12"/>
        <v>u_con.c_rem</v>
      </c>
      <c r="K788" s="5">
        <v>2</v>
      </c>
      <c r="L788">
        <v>8.2979154017405379E-3</v>
      </c>
      <c r="M788">
        <v>0.29143897996356999</v>
      </c>
      <c r="N788">
        <v>0.11778992106860961</v>
      </c>
      <c r="O788">
        <v>0</v>
      </c>
      <c r="P788">
        <v>0</v>
      </c>
      <c r="Q788">
        <v>1.2143290831815423E-2</v>
      </c>
      <c r="R788">
        <v>0</v>
      </c>
      <c r="S788">
        <v>0</v>
      </c>
      <c r="T788">
        <v>2.4286581663630843E-2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4.0477636106051405E-3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4.8573163327261691E-3</v>
      </c>
      <c r="AJ788">
        <v>0</v>
      </c>
      <c r="AK788">
        <v>0</v>
      </c>
      <c r="AL788">
        <v>0</v>
      </c>
      <c r="AM788">
        <v>0</v>
      </c>
      <c r="AN788">
        <v>1.7202995345071848E-2</v>
      </c>
      <c r="AO788">
        <v>0</v>
      </c>
      <c r="AP788">
        <v>0</v>
      </c>
      <c r="AQ788">
        <v>0</v>
      </c>
      <c r="AR788">
        <v>0</v>
      </c>
      <c r="AS788">
        <v>3.2382108884841117E-2</v>
      </c>
      <c r="AT788">
        <v>8.0955272212102807E-4</v>
      </c>
      <c r="AU788">
        <v>0</v>
      </c>
      <c r="AV788">
        <v>0</v>
      </c>
      <c r="AW788">
        <v>0</v>
      </c>
      <c r="AX788">
        <v>8.5003035822707948E-3</v>
      </c>
      <c r="AY788">
        <v>0</v>
      </c>
      <c r="AZ788">
        <v>0</v>
      </c>
      <c r="BA788">
        <v>4.0477636106051405E-3</v>
      </c>
      <c r="BB788">
        <v>0</v>
      </c>
      <c r="BC788">
        <v>0</v>
      </c>
      <c r="BD788">
        <v>0</v>
      </c>
      <c r="BE788">
        <v>0.15037441813398095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0.32382108884841121</v>
      </c>
      <c r="CB788">
        <v>0</v>
      </c>
    </row>
    <row r="789" spans="1:80">
      <c r="A789">
        <v>788</v>
      </c>
      <c r="B789" t="s">
        <v>101</v>
      </c>
      <c r="C789" s="4" t="s">
        <v>175</v>
      </c>
      <c r="D789" s="4" t="s">
        <v>118</v>
      </c>
      <c r="E789" s="5">
        <v>40515</v>
      </c>
      <c r="F789" s="5">
        <v>40516</v>
      </c>
      <c r="G789">
        <v>1012</v>
      </c>
      <c r="H789" s="4" t="s">
        <v>107</v>
      </c>
      <c r="I789" s="4" t="s">
        <v>108</v>
      </c>
      <c r="J789" s="4" t="str">
        <f t="shared" si="12"/>
        <v>u_con.c_con</v>
      </c>
      <c r="K789" s="5">
        <v>19</v>
      </c>
      <c r="L789">
        <v>0</v>
      </c>
      <c r="M789">
        <v>0.17412217412217415</v>
      </c>
      <c r="N789">
        <v>5.3391053391053399E-2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0.13011063011063012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4.8100048100048103E-3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7.7200577200577214E-2</v>
      </c>
      <c r="AJ789">
        <v>1.9240019240019241E-2</v>
      </c>
      <c r="AK789">
        <v>0</v>
      </c>
      <c r="AL789">
        <v>0</v>
      </c>
      <c r="AM789">
        <v>0</v>
      </c>
      <c r="AN789">
        <v>1.0101010101010102E-2</v>
      </c>
      <c r="AO789">
        <v>0</v>
      </c>
      <c r="AP789">
        <v>0</v>
      </c>
      <c r="AQ789">
        <v>0</v>
      </c>
      <c r="AR789">
        <v>0</v>
      </c>
      <c r="AS789">
        <v>3.896103896103896E-2</v>
      </c>
      <c r="AT789">
        <v>9.6200096200096204E-4</v>
      </c>
      <c r="AU789">
        <v>0</v>
      </c>
      <c r="AV789">
        <v>0</v>
      </c>
      <c r="AW789">
        <v>0</v>
      </c>
      <c r="AX789">
        <v>1.9240019240019241E-2</v>
      </c>
      <c r="AY789">
        <v>9.6200096200096206E-3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6.2770562770562782E-2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4.8100048100048103E-3</v>
      </c>
      <c r="BY789">
        <v>0</v>
      </c>
      <c r="BZ789">
        <v>0</v>
      </c>
      <c r="CA789">
        <v>0.39442039442039439</v>
      </c>
      <c r="CB789">
        <v>0</v>
      </c>
    </row>
    <row r="790" spans="1:80">
      <c r="A790">
        <v>789</v>
      </c>
      <c r="B790" t="s">
        <v>102</v>
      </c>
      <c r="C790" s="4" t="s">
        <v>176</v>
      </c>
      <c r="D790" s="4" t="s">
        <v>118</v>
      </c>
      <c r="E790" s="5">
        <v>40515</v>
      </c>
      <c r="F790" s="5">
        <v>40516</v>
      </c>
      <c r="G790">
        <v>1012</v>
      </c>
      <c r="H790" s="4" t="s">
        <v>110</v>
      </c>
      <c r="I790" s="4" t="s">
        <v>108</v>
      </c>
      <c r="J790" s="4" t="str">
        <f t="shared" si="12"/>
        <v>u_rem.c_con</v>
      </c>
      <c r="K790" s="5">
        <v>8</v>
      </c>
      <c r="L790">
        <v>0</v>
      </c>
      <c r="M790">
        <v>6.819144430326135E-2</v>
      </c>
      <c r="N790">
        <v>3.388394747988141E-2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8.4709868699703542E-3</v>
      </c>
      <c r="AF790">
        <v>0</v>
      </c>
      <c r="AG790">
        <v>0</v>
      </c>
      <c r="AH790">
        <v>4.2354934349851771E-3</v>
      </c>
      <c r="AI790">
        <v>1.6941973739940708E-2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0.27107157983905128</v>
      </c>
      <c r="AP790">
        <v>0</v>
      </c>
      <c r="AQ790">
        <v>4.2354934349851762E-2</v>
      </c>
      <c r="AR790">
        <v>0</v>
      </c>
      <c r="AS790">
        <v>4.2354934349851771E-3</v>
      </c>
      <c r="AT790">
        <v>0</v>
      </c>
      <c r="AU790">
        <v>1.2706480304955529E-2</v>
      </c>
      <c r="AV790">
        <v>0</v>
      </c>
      <c r="AW790">
        <v>0</v>
      </c>
      <c r="AX790">
        <v>2.1177467174925881E-2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0.22448115205421434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0.1948326980093181</v>
      </c>
      <c r="CB790">
        <v>0</v>
      </c>
    </row>
    <row r="791" spans="1:80">
      <c r="A791">
        <v>790</v>
      </c>
      <c r="B791" t="s">
        <v>103</v>
      </c>
      <c r="C791" s="4" t="s">
        <v>176</v>
      </c>
      <c r="D791" s="4" t="s">
        <v>118</v>
      </c>
      <c r="E791" s="5">
        <v>40515</v>
      </c>
      <c r="F791" s="5">
        <v>40516</v>
      </c>
      <c r="G791">
        <v>1012</v>
      </c>
      <c r="H791" s="4" t="s">
        <v>110</v>
      </c>
      <c r="I791" s="4" t="s">
        <v>109</v>
      </c>
      <c r="J791" s="4" t="str">
        <f t="shared" si="12"/>
        <v>u_rem.c_rem</v>
      </c>
      <c r="K791" s="5">
        <v>1</v>
      </c>
      <c r="L791">
        <v>0</v>
      </c>
      <c r="M791">
        <v>4.8712446351931338E-2</v>
      </c>
      <c r="N791">
        <v>0.23175965665236051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3.0042918454935626E-2</v>
      </c>
      <c r="AH791">
        <v>0</v>
      </c>
      <c r="AI791">
        <v>9.8712446351931368E-2</v>
      </c>
      <c r="AJ791">
        <v>0</v>
      </c>
      <c r="AK791">
        <v>0</v>
      </c>
      <c r="AL791">
        <v>0</v>
      </c>
      <c r="AM791">
        <v>0</v>
      </c>
      <c r="AN791">
        <v>3.0257510729613735E-2</v>
      </c>
      <c r="AO791">
        <v>8.7982832618025766E-3</v>
      </c>
      <c r="AP791">
        <v>0</v>
      </c>
      <c r="AQ791">
        <v>0</v>
      </c>
      <c r="AR791">
        <v>0</v>
      </c>
      <c r="AS791">
        <v>1.2875536480686699E-2</v>
      </c>
      <c r="AT791">
        <v>1.8454935622317602E-2</v>
      </c>
      <c r="AU791">
        <v>2.1888412017167385E-2</v>
      </c>
      <c r="AV791">
        <v>0</v>
      </c>
      <c r="AW791">
        <v>8.5836909871244652E-3</v>
      </c>
      <c r="AX791">
        <v>8.5836909871244652E-3</v>
      </c>
      <c r="AY791">
        <v>4.2918454935622326E-3</v>
      </c>
      <c r="AZ791">
        <v>0</v>
      </c>
      <c r="BA791">
        <v>0.27060085836909875</v>
      </c>
      <c r="BB791">
        <v>4.2918454935622326E-3</v>
      </c>
      <c r="BC791">
        <v>0</v>
      </c>
      <c r="BD791">
        <v>0</v>
      </c>
      <c r="BE791">
        <v>0.12017167381974253</v>
      </c>
      <c r="BF791">
        <v>0</v>
      </c>
      <c r="BG791">
        <v>0</v>
      </c>
      <c r="BH791">
        <v>0</v>
      </c>
      <c r="BI791">
        <v>4.2918454935622326E-3</v>
      </c>
      <c r="BJ791">
        <v>0</v>
      </c>
      <c r="BK791">
        <v>0</v>
      </c>
      <c r="BL791">
        <v>0</v>
      </c>
      <c r="BM791">
        <v>0</v>
      </c>
      <c r="BN791">
        <v>2.1459227467811163E-4</v>
      </c>
      <c r="BO791">
        <v>0</v>
      </c>
      <c r="BP791">
        <v>4.2918454935622326E-3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4.2918454935622326E-3</v>
      </c>
      <c r="BY791">
        <v>0</v>
      </c>
      <c r="BZ791">
        <v>0</v>
      </c>
      <c r="CA791">
        <v>6.8884120171673849E-2</v>
      </c>
      <c r="CB791">
        <v>0</v>
      </c>
    </row>
    <row r="792" spans="1:80">
      <c r="A792">
        <v>791</v>
      </c>
      <c r="B792" t="s">
        <v>104</v>
      </c>
      <c r="C792" s="4" t="s">
        <v>176</v>
      </c>
      <c r="D792" s="4" t="s">
        <v>118</v>
      </c>
      <c r="E792" s="5">
        <v>40515</v>
      </c>
      <c r="F792" s="5">
        <v>40516</v>
      </c>
      <c r="G792">
        <v>1012</v>
      </c>
      <c r="H792" s="4" t="s">
        <v>110</v>
      </c>
      <c r="I792" s="4" t="s">
        <v>108</v>
      </c>
      <c r="J792" s="4" t="str">
        <f t="shared" si="12"/>
        <v>u_rem.c_con</v>
      </c>
      <c r="K792" s="5">
        <v>8</v>
      </c>
      <c r="L792">
        <v>0</v>
      </c>
      <c r="M792">
        <v>0.27379679144385022</v>
      </c>
      <c r="N792">
        <v>8.5989304812834247E-2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4.2780748663101597E-3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2.6737967914438499E-2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0.16256684491978607</v>
      </c>
      <c r="AP792">
        <v>0</v>
      </c>
      <c r="AQ792">
        <v>2.1390374331550797E-2</v>
      </c>
      <c r="AR792">
        <v>0</v>
      </c>
      <c r="AS792">
        <v>2.1390374331550798E-4</v>
      </c>
      <c r="AT792">
        <v>2.1390374331550798E-4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4.2994652406417103E-2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4.3208556149732617E-2</v>
      </c>
      <c r="BQ792">
        <v>4.2780748663101597E-3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1.3262032085561497E-2</v>
      </c>
      <c r="BY792">
        <v>0</v>
      </c>
      <c r="BZ792">
        <v>4.2780748663101595E-2</v>
      </c>
      <c r="CA792">
        <v>0.22673796791443843</v>
      </c>
      <c r="CB792">
        <v>0</v>
      </c>
    </row>
    <row r="793" spans="1:80">
      <c r="A793">
        <v>792</v>
      </c>
      <c r="B793" t="s">
        <v>105</v>
      </c>
      <c r="C793" s="4" t="s">
        <v>176</v>
      </c>
      <c r="D793" s="4" t="s">
        <v>118</v>
      </c>
      <c r="E793" s="5">
        <v>40515</v>
      </c>
      <c r="F793" s="5">
        <v>40516</v>
      </c>
      <c r="G793">
        <v>1012</v>
      </c>
      <c r="H793" s="4" t="s">
        <v>110</v>
      </c>
      <c r="I793" s="4" t="s">
        <v>109</v>
      </c>
      <c r="J793" s="4" t="str">
        <f t="shared" si="12"/>
        <v>u_rem.c_rem</v>
      </c>
      <c r="K793" s="5">
        <v>1</v>
      </c>
      <c r="L793">
        <v>0</v>
      </c>
      <c r="M793">
        <v>1.5250000000000003E-2</v>
      </c>
      <c r="N793">
        <v>0.17499999999999999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3.4999999999999996E-2</v>
      </c>
      <c r="AB793">
        <v>0</v>
      </c>
      <c r="AC793">
        <v>0.11000000000000001</v>
      </c>
      <c r="AD793">
        <v>5.0000000000000001E-3</v>
      </c>
      <c r="AE793">
        <v>0</v>
      </c>
      <c r="AF793">
        <v>0</v>
      </c>
      <c r="AG793">
        <v>0</v>
      </c>
      <c r="AH793">
        <v>0</v>
      </c>
      <c r="AI793">
        <v>0.17525000000000002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3.125E-2</v>
      </c>
      <c r="AP793">
        <v>0.02</v>
      </c>
      <c r="AQ793">
        <v>0</v>
      </c>
      <c r="AR793">
        <v>0</v>
      </c>
      <c r="AS793">
        <v>1.5000000000000003E-2</v>
      </c>
      <c r="AT793">
        <v>3.2250000000000001E-2</v>
      </c>
      <c r="AU793">
        <v>0</v>
      </c>
      <c r="AV793">
        <v>0</v>
      </c>
      <c r="AW793">
        <v>2.5000000000000001E-2</v>
      </c>
      <c r="AX793">
        <v>0.02</v>
      </c>
      <c r="AY793">
        <v>0</v>
      </c>
      <c r="AZ793">
        <v>0</v>
      </c>
      <c r="BA793">
        <v>1.1000000000000001E-2</v>
      </c>
      <c r="BB793">
        <v>0</v>
      </c>
      <c r="BC793">
        <v>0</v>
      </c>
      <c r="BD793">
        <v>0</v>
      </c>
      <c r="BE793">
        <v>4.4999999999999998E-2</v>
      </c>
      <c r="BF793">
        <v>5.0000000000000001E-3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0.02</v>
      </c>
      <c r="BY793">
        <v>0</v>
      </c>
      <c r="BZ793">
        <v>0.02</v>
      </c>
      <c r="CA793">
        <v>0.23999999999999994</v>
      </c>
      <c r="CB793">
        <v>0</v>
      </c>
    </row>
    <row r="794" spans="1:80">
      <c r="A794">
        <v>793</v>
      </c>
      <c r="B794" t="s">
        <v>35</v>
      </c>
      <c r="C794" s="4" t="s">
        <v>159</v>
      </c>
      <c r="D794" s="4" t="s">
        <v>116</v>
      </c>
      <c r="E794" s="5">
        <v>40617</v>
      </c>
      <c r="F794" s="5">
        <v>40616</v>
      </c>
      <c r="G794">
        <v>1103</v>
      </c>
      <c r="H794" s="4" t="s">
        <v>107</v>
      </c>
      <c r="I794" s="4" t="s">
        <v>108</v>
      </c>
      <c r="J794" s="4" t="str">
        <f t="shared" si="12"/>
        <v>u_con.c_con</v>
      </c>
      <c r="K794" s="5">
        <v>19</v>
      </c>
      <c r="L794">
        <v>0</v>
      </c>
      <c r="M794">
        <v>8.8899232022341179E-2</v>
      </c>
      <c r="N794">
        <v>0.21410286246218291</v>
      </c>
      <c r="O794">
        <v>0</v>
      </c>
      <c r="P794">
        <v>0</v>
      </c>
      <c r="Q794">
        <v>4.6544100535257172E-3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3.2580870374680014E-2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7.0514312310914609E-2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4.6544100535257163E-2</v>
      </c>
      <c r="AT794">
        <v>6.9816150802885747E-4</v>
      </c>
      <c r="AU794">
        <v>2.3737491272981154E-2</v>
      </c>
      <c r="AV794">
        <v>0</v>
      </c>
      <c r="AW794">
        <v>1.3963230160577149E-2</v>
      </c>
      <c r="AX794">
        <v>0</v>
      </c>
      <c r="AY794">
        <v>0</v>
      </c>
      <c r="AZ794">
        <v>0</v>
      </c>
      <c r="BA794">
        <v>2.0246683732836869E-2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0.48405864556667455</v>
      </c>
      <c r="CB794">
        <v>0</v>
      </c>
    </row>
    <row r="795" spans="1:80">
      <c r="A795">
        <v>794</v>
      </c>
      <c r="B795" t="s">
        <v>36</v>
      </c>
      <c r="C795" s="4" t="s">
        <v>159</v>
      </c>
      <c r="D795" s="4" t="s">
        <v>116</v>
      </c>
      <c r="E795" s="5">
        <v>40617</v>
      </c>
      <c r="F795" s="5">
        <v>40616</v>
      </c>
      <c r="G795">
        <v>1103</v>
      </c>
      <c r="H795" s="4" t="s">
        <v>107</v>
      </c>
      <c r="I795" s="4" t="s">
        <v>109</v>
      </c>
      <c r="J795" s="4" t="str">
        <f t="shared" si="12"/>
        <v>u_con.c_rem</v>
      </c>
      <c r="K795" s="5">
        <v>2</v>
      </c>
      <c r="L795">
        <v>4.6104195481788835E-3</v>
      </c>
      <c r="M795">
        <v>5.5786076532964489E-2</v>
      </c>
      <c r="N795">
        <v>0.31350852927616402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0.23052097740894417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8.3218072844628857E-2</v>
      </c>
      <c r="AJ795">
        <v>0</v>
      </c>
      <c r="AK795">
        <v>0</v>
      </c>
      <c r="AL795">
        <v>0</v>
      </c>
      <c r="AM795">
        <v>0</v>
      </c>
      <c r="AN795">
        <v>9.220839096357767E-3</v>
      </c>
      <c r="AO795">
        <v>0</v>
      </c>
      <c r="AP795">
        <v>0</v>
      </c>
      <c r="AQ795">
        <v>0</v>
      </c>
      <c r="AR795">
        <v>0</v>
      </c>
      <c r="AS795">
        <v>5.5555555555555539E-2</v>
      </c>
      <c r="AT795">
        <v>1.3831258644536651E-3</v>
      </c>
      <c r="AU795">
        <v>1.8441678192715534E-2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2.4435223605348083E-2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2.3052097740894415E-4</v>
      </c>
      <c r="CA795">
        <v>0.20308898109727977</v>
      </c>
      <c r="CB795">
        <v>0</v>
      </c>
    </row>
    <row r="796" spans="1:80">
      <c r="A796">
        <v>795</v>
      </c>
      <c r="B796" t="s">
        <v>37</v>
      </c>
      <c r="C796" s="4" t="s">
        <v>159</v>
      </c>
      <c r="D796" s="4" t="s">
        <v>116</v>
      </c>
      <c r="E796" s="5">
        <v>40617</v>
      </c>
      <c r="F796" s="5">
        <v>40616</v>
      </c>
      <c r="G796">
        <v>1103</v>
      </c>
      <c r="H796" s="4" t="s">
        <v>107</v>
      </c>
      <c r="I796" s="4" t="s">
        <v>109</v>
      </c>
      <c r="J796" s="4" t="str">
        <f t="shared" si="12"/>
        <v>u_con.c_rem</v>
      </c>
      <c r="K796" s="5">
        <v>2</v>
      </c>
      <c r="L796">
        <v>0</v>
      </c>
      <c r="M796">
        <v>0.11743772241992886</v>
      </c>
      <c r="N796">
        <v>0.37671581087951206</v>
      </c>
      <c r="O796">
        <v>0</v>
      </c>
      <c r="P796">
        <v>0</v>
      </c>
      <c r="Q796">
        <v>1.5251652262328426E-2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1.0167768174885615E-2</v>
      </c>
      <c r="Z796">
        <v>0.12226741230299953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8.668022369089988E-2</v>
      </c>
      <c r="AJ796">
        <v>0</v>
      </c>
      <c r="AK796">
        <v>0</v>
      </c>
      <c r="AL796">
        <v>0</v>
      </c>
      <c r="AM796">
        <v>0</v>
      </c>
      <c r="AN796">
        <v>5.0838840874428074E-4</v>
      </c>
      <c r="AO796">
        <v>0</v>
      </c>
      <c r="AP796">
        <v>0</v>
      </c>
      <c r="AQ796">
        <v>0</v>
      </c>
      <c r="AR796">
        <v>0</v>
      </c>
      <c r="AS796">
        <v>2.0843924758515514E-2</v>
      </c>
      <c r="AT796">
        <v>0</v>
      </c>
      <c r="AU796">
        <v>3.6095577020843934E-2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2.5419420437214037E-4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2.5419420437214037E-4</v>
      </c>
      <c r="CA796">
        <v>0.21352313167259793</v>
      </c>
      <c r="CB796">
        <v>0</v>
      </c>
    </row>
    <row r="797" spans="1:80">
      <c r="A797">
        <v>796</v>
      </c>
      <c r="B797" t="s">
        <v>38</v>
      </c>
      <c r="C797" s="4" t="s">
        <v>159</v>
      </c>
      <c r="D797" s="4" t="s">
        <v>116</v>
      </c>
      <c r="E797" s="5">
        <v>40617</v>
      </c>
      <c r="F797" s="5">
        <v>40616</v>
      </c>
      <c r="G797">
        <v>1103</v>
      </c>
      <c r="H797" s="4" t="s">
        <v>107</v>
      </c>
      <c r="I797" s="4" t="s">
        <v>108</v>
      </c>
      <c r="J797" s="4" t="str">
        <f t="shared" si="12"/>
        <v>u_con.c_con</v>
      </c>
      <c r="K797" s="5">
        <v>19</v>
      </c>
      <c r="L797">
        <v>1.0088272383354352E-2</v>
      </c>
      <c r="M797">
        <v>7.6923076923076927E-2</v>
      </c>
      <c r="N797">
        <v>0.48423707440100883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7.0617906683480461E-2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0.14653215636822195</v>
      </c>
      <c r="AJ797">
        <v>0</v>
      </c>
      <c r="AK797">
        <v>0</v>
      </c>
      <c r="AL797">
        <v>0</v>
      </c>
      <c r="AM797">
        <v>0</v>
      </c>
      <c r="AN797">
        <v>1.5384615384615387E-2</v>
      </c>
      <c r="AO797">
        <v>0</v>
      </c>
      <c r="AP797">
        <v>0</v>
      </c>
      <c r="AQ797">
        <v>0</v>
      </c>
      <c r="AR797">
        <v>0</v>
      </c>
      <c r="AS797">
        <v>3.5561160151324087E-2</v>
      </c>
      <c r="AT797">
        <v>6.0529634300126121E-3</v>
      </c>
      <c r="AU797">
        <v>1.034047919293821E-2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1.7906683480453978E-2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0.12635561160151326</v>
      </c>
      <c r="CB797">
        <v>0</v>
      </c>
    </row>
    <row r="798" spans="1:80">
      <c r="A798">
        <v>797</v>
      </c>
      <c r="B798" t="s">
        <v>39</v>
      </c>
      <c r="C798" s="4" t="s">
        <v>160</v>
      </c>
      <c r="D798" s="4" t="s">
        <v>116</v>
      </c>
      <c r="E798" s="5">
        <v>40617</v>
      </c>
      <c r="F798" s="5">
        <v>40616</v>
      </c>
      <c r="G798">
        <v>1103</v>
      </c>
      <c r="H798" s="4" t="s">
        <v>110</v>
      </c>
      <c r="I798" s="4" t="s">
        <v>109</v>
      </c>
      <c r="J798" s="4" t="str">
        <f t="shared" si="12"/>
        <v>u_rem.c_rem</v>
      </c>
      <c r="K798" s="5">
        <v>1</v>
      </c>
      <c r="L798">
        <v>0</v>
      </c>
      <c r="M798">
        <v>9.7087378640776691E-3</v>
      </c>
      <c r="N798">
        <v>0.60194174757281538</v>
      </c>
      <c r="O798">
        <v>0</v>
      </c>
      <c r="P798">
        <v>0</v>
      </c>
      <c r="Q798">
        <v>9.7087378640776691E-3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4.3689320388349516E-2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4.8786407766990281E-2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4.8543689320388347E-4</v>
      </c>
      <c r="AU798">
        <v>0</v>
      </c>
      <c r="AV798">
        <v>7.9611650485436891E-2</v>
      </c>
      <c r="AW798">
        <v>0</v>
      </c>
      <c r="AX798">
        <v>0</v>
      </c>
      <c r="AY798">
        <v>0</v>
      </c>
      <c r="AZ798">
        <v>0</v>
      </c>
      <c r="BA798">
        <v>4.8543689320388345E-3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2.1601941747572816E-2</v>
      </c>
      <c r="CA798">
        <v>0.1796116504854369</v>
      </c>
      <c r="CB798">
        <v>0</v>
      </c>
    </row>
    <row r="799" spans="1:80">
      <c r="A799">
        <v>798</v>
      </c>
      <c r="B799" t="s">
        <v>40</v>
      </c>
      <c r="C799" s="4" t="s">
        <v>160</v>
      </c>
      <c r="D799" s="4" t="s">
        <v>116</v>
      </c>
      <c r="E799" s="5">
        <v>40617</v>
      </c>
      <c r="F799" s="5">
        <v>40616</v>
      </c>
      <c r="G799">
        <v>1103</v>
      </c>
      <c r="H799" s="4" t="s">
        <v>110</v>
      </c>
      <c r="I799" s="4" t="s">
        <v>108</v>
      </c>
      <c r="J799" s="4" t="str">
        <f t="shared" si="12"/>
        <v>u_rem.c_con</v>
      </c>
      <c r="K799" s="5">
        <v>8</v>
      </c>
      <c r="L799">
        <v>0</v>
      </c>
      <c r="M799">
        <v>1.9841269841269847E-2</v>
      </c>
      <c r="N799">
        <v>0.4960317460317461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2.5049603174603179E-2</v>
      </c>
      <c r="AA799">
        <v>0</v>
      </c>
      <c r="AB799">
        <v>0</v>
      </c>
      <c r="AC799">
        <v>4.9603174603174618E-3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3.9682539682539687E-2</v>
      </c>
      <c r="AJ799">
        <v>0</v>
      </c>
      <c r="AK799">
        <v>0</v>
      </c>
      <c r="AL799">
        <v>0</v>
      </c>
      <c r="AM799">
        <v>0</v>
      </c>
      <c r="AN799">
        <v>2.4801587301587306E-4</v>
      </c>
      <c r="AO799">
        <v>0</v>
      </c>
      <c r="AP799">
        <v>0</v>
      </c>
      <c r="AQ799">
        <v>0</v>
      </c>
      <c r="AR799">
        <v>0</v>
      </c>
      <c r="AS799">
        <v>4.9603174603174618E-3</v>
      </c>
      <c r="AT799">
        <v>0</v>
      </c>
      <c r="AU799">
        <v>0</v>
      </c>
      <c r="AV799">
        <v>0.11408730158730163</v>
      </c>
      <c r="AW799">
        <v>0</v>
      </c>
      <c r="AX799">
        <v>0</v>
      </c>
      <c r="AY799">
        <v>0</v>
      </c>
      <c r="AZ799">
        <v>0</v>
      </c>
      <c r="BA799">
        <v>1.0168650793650796E-2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5.6547619047619055E-2</v>
      </c>
      <c r="CA799">
        <v>0.22842261904761907</v>
      </c>
      <c r="CB799">
        <v>0</v>
      </c>
    </row>
    <row r="800" spans="1:80">
      <c r="A800">
        <v>799</v>
      </c>
      <c r="B800" t="s">
        <v>41</v>
      </c>
      <c r="C800" s="4" t="s">
        <v>160</v>
      </c>
      <c r="D800" s="4" t="s">
        <v>116</v>
      </c>
      <c r="E800" s="5">
        <v>40617</v>
      </c>
      <c r="F800" s="5">
        <v>40616</v>
      </c>
      <c r="G800">
        <v>1103</v>
      </c>
      <c r="H800" s="4" t="s">
        <v>110</v>
      </c>
      <c r="I800" s="4" t="s">
        <v>109</v>
      </c>
      <c r="J800" s="4" t="str">
        <f t="shared" si="12"/>
        <v>u_rem.c_rem</v>
      </c>
      <c r="K800" s="5">
        <v>1</v>
      </c>
      <c r="L800">
        <v>0</v>
      </c>
      <c r="M800">
        <v>4.7744091668656015E-3</v>
      </c>
      <c r="N800">
        <v>0.28646455001193605</v>
      </c>
      <c r="O800">
        <v>0</v>
      </c>
      <c r="P800">
        <v>0</v>
      </c>
      <c r="Q800">
        <v>4.7744091668656015E-3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2.8646455001193605E-2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2.3872045834328007E-4</v>
      </c>
      <c r="AI800">
        <v>2.4110766292671285E-2</v>
      </c>
      <c r="AJ800">
        <v>0</v>
      </c>
      <c r="AK800">
        <v>0</v>
      </c>
      <c r="AL800">
        <v>1.9097636667462406E-2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2.3872045834328007E-4</v>
      </c>
      <c r="AT800">
        <v>4.7744091668656014E-4</v>
      </c>
      <c r="AU800">
        <v>0</v>
      </c>
      <c r="AV800">
        <v>0.11482454046311771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6.7557889711148275E-2</v>
      </c>
      <c r="CA800">
        <v>0.44879446168536635</v>
      </c>
      <c r="CB800">
        <v>0</v>
      </c>
    </row>
    <row r="801" spans="1:80">
      <c r="A801">
        <v>800</v>
      </c>
      <c r="B801" t="s">
        <v>42</v>
      </c>
      <c r="C801" s="4" t="s">
        <v>160</v>
      </c>
      <c r="D801" s="4" t="s">
        <v>116</v>
      </c>
      <c r="E801" s="5">
        <v>40617</v>
      </c>
      <c r="F801" s="5">
        <v>40616</v>
      </c>
      <c r="G801">
        <v>1103</v>
      </c>
      <c r="H801" s="4" t="s">
        <v>110</v>
      </c>
      <c r="I801" s="4" t="s">
        <v>108</v>
      </c>
      <c r="J801" s="4" t="str">
        <f t="shared" si="12"/>
        <v>u_rem.c_con</v>
      </c>
      <c r="K801" s="5">
        <v>8</v>
      </c>
      <c r="L801">
        <v>0</v>
      </c>
      <c r="M801">
        <v>1.0055304172951234E-2</v>
      </c>
      <c r="N801">
        <v>0.31171442936148813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7.0889894419306196E-2</v>
      </c>
      <c r="AJ801">
        <v>0</v>
      </c>
      <c r="AK801">
        <v>0</v>
      </c>
      <c r="AL801">
        <v>0</v>
      </c>
      <c r="AM801">
        <v>0.29160382101558568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3.0920060331825042E-2</v>
      </c>
      <c r="AT801">
        <v>7.5414781297134241E-4</v>
      </c>
      <c r="AU801">
        <v>2.5138260432378082E-4</v>
      </c>
      <c r="AV801">
        <v>8.1196581196581213E-2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8.1699346405228787E-2</v>
      </c>
      <c r="CA801">
        <v>0.12091503267973859</v>
      </c>
      <c r="CB801">
        <v>0</v>
      </c>
    </row>
    <row r="802" spans="1:80">
      <c r="A802">
        <v>801</v>
      </c>
      <c r="B802" t="s">
        <v>43</v>
      </c>
      <c r="C802" s="4" t="s">
        <v>161</v>
      </c>
      <c r="D802" s="4" t="s">
        <v>116</v>
      </c>
      <c r="E802" s="5">
        <v>40617</v>
      </c>
      <c r="F802" s="5">
        <v>40616</v>
      </c>
      <c r="G802">
        <v>1103</v>
      </c>
      <c r="H802" s="4" t="s">
        <v>107</v>
      </c>
      <c r="I802" s="4" t="s">
        <v>109</v>
      </c>
      <c r="J802" s="4" t="str">
        <f t="shared" si="12"/>
        <v>u_con.c_rem</v>
      </c>
      <c r="K802" s="5">
        <v>2</v>
      </c>
      <c r="L802">
        <v>0</v>
      </c>
      <c r="M802">
        <v>9.2346471127406071E-2</v>
      </c>
      <c r="N802">
        <v>0.3391384051329055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1.8331805682859765E-2</v>
      </c>
      <c r="AA802">
        <v>0</v>
      </c>
      <c r="AB802">
        <v>0</v>
      </c>
      <c r="AC802">
        <v>0</v>
      </c>
      <c r="AD802">
        <v>0</v>
      </c>
      <c r="AE802">
        <v>2.2914757103574706E-4</v>
      </c>
      <c r="AF802">
        <v>0</v>
      </c>
      <c r="AG802">
        <v>0</v>
      </c>
      <c r="AH802">
        <v>0</v>
      </c>
      <c r="AI802">
        <v>1.8790100824931259E-2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1.3978001833180573E-2</v>
      </c>
      <c r="AR802">
        <v>0</v>
      </c>
      <c r="AS802">
        <v>2.3602199816681949E-2</v>
      </c>
      <c r="AT802">
        <v>1.0311640696608618E-2</v>
      </c>
      <c r="AU802">
        <v>4.8120989917506884E-3</v>
      </c>
      <c r="AV802">
        <v>4.5829514207149411E-4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2.2914757103574706E-4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1.0311640696608618E-2</v>
      </c>
      <c r="CA802">
        <v>0.46746104491292406</v>
      </c>
      <c r="CB802">
        <v>0</v>
      </c>
    </row>
    <row r="803" spans="1:80">
      <c r="A803">
        <v>802</v>
      </c>
      <c r="B803" t="s">
        <v>44</v>
      </c>
      <c r="C803" s="4" t="s">
        <v>161</v>
      </c>
      <c r="D803" s="4" t="s">
        <v>116</v>
      </c>
      <c r="E803" s="5">
        <v>40617</v>
      </c>
      <c r="F803" s="5">
        <v>40616</v>
      </c>
      <c r="G803">
        <v>1103</v>
      </c>
      <c r="H803" s="4" t="s">
        <v>107</v>
      </c>
      <c r="I803" s="4" t="s">
        <v>109</v>
      </c>
      <c r="J803" s="4" t="str">
        <f t="shared" si="12"/>
        <v>u_con.c_rem</v>
      </c>
      <c r="K803" s="5">
        <v>2</v>
      </c>
      <c r="L803">
        <v>0</v>
      </c>
      <c r="M803">
        <v>6.2918340026773753E-2</v>
      </c>
      <c r="N803">
        <v>0.43730477465417228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4.9085229808121376E-2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9.3708165997322627E-3</v>
      </c>
      <c r="AJ803">
        <v>0</v>
      </c>
      <c r="AK803">
        <v>0</v>
      </c>
      <c r="AL803">
        <v>0</v>
      </c>
      <c r="AM803">
        <v>0</v>
      </c>
      <c r="AN803">
        <v>4.6854082998661313E-3</v>
      </c>
      <c r="AO803">
        <v>0</v>
      </c>
      <c r="AP803">
        <v>0</v>
      </c>
      <c r="AQ803">
        <v>0</v>
      </c>
      <c r="AR803">
        <v>0</v>
      </c>
      <c r="AS803">
        <v>1.3609995537706383E-2</v>
      </c>
      <c r="AT803">
        <v>5.1316376617581445E-3</v>
      </c>
      <c r="AU803">
        <v>8.9245872378402504E-3</v>
      </c>
      <c r="AV803">
        <v>4.1499330655957158E-2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2.8335564480142794E-2</v>
      </c>
      <c r="CA803">
        <v>0.33913431503792935</v>
      </c>
      <c r="CB803">
        <v>0</v>
      </c>
    </row>
    <row r="804" spans="1:80">
      <c r="A804">
        <v>803</v>
      </c>
      <c r="B804" t="s">
        <v>45</v>
      </c>
      <c r="C804" s="4" t="s">
        <v>161</v>
      </c>
      <c r="D804" s="4" t="s">
        <v>116</v>
      </c>
      <c r="E804" s="5">
        <v>40617</v>
      </c>
      <c r="F804" s="5">
        <v>40616</v>
      </c>
      <c r="G804">
        <v>1103</v>
      </c>
      <c r="H804" s="4" t="s">
        <v>107</v>
      </c>
      <c r="I804" s="4" t="s">
        <v>108</v>
      </c>
      <c r="J804" s="4" t="str">
        <f t="shared" si="12"/>
        <v>u_con.c_con</v>
      </c>
      <c r="K804" s="5">
        <v>19</v>
      </c>
      <c r="L804">
        <v>0</v>
      </c>
      <c r="M804">
        <v>6.5604498594189334E-2</v>
      </c>
      <c r="N804">
        <v>0.225398313027179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0.28139643861293345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5.6232427366447985E-2</v>
      </c>
      <c r="AJ804">
        <v>0</v>
      </c>
      <c r="AK804">
        <v>0</v>
      </c>
      <c r="AL804">
        <v>0</v>
      </c>
      <c r="AM804">
        <v>0</v>
      </c>
      <c r="AN804">
        <v>2.3430178069353328E-4</v>
      </c>
      <c r="AO804">
        <v>0</v>
      </c>
      <c r="AP804">
        <v>0</v>
      </c>
      <c r="AQ804">
        <v>0</v>
      </c>
      <c r="AR804">
        <v>0</v>
      </c>
      <c r="AS804">
        <v>4.756326148078726E-2</v>
      </c>
      <c r="AT804">
        <v>0</v>
      </c>
      <c r="AU804">
        <v>2.3664479850046861E-2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0.29990627928772251</v>
      </c>
      <c r="CB804">
        <v>0</v>
      </c>
    </row>
    <row r="805" spans="1:80">
      <c r="A805">
        <v>804</v>
      </c>
      <c r="B805" t="s">
        <v>46</v>
      </c>
      <c r="C805" s="4" t="s">
        <v>161</v>
      </c>
      <c r="D805" s="4" t="s">
        <v>116</v>
      </c>
      <c r="E805" s="5">
        <v>40617</v>
      </c>
      <c r="F805" s="5">
        <v>40616</v>
      </c>
      <c r="G805">
        <v>1103</v>
      </c>
      <c r="H805" s="4" t="s">
        <v>107</v>
      </c>
      <c r="I805" s="4" t="s">
        <v>108</v>
      </c>
      <c r="J805" s="4" t="str">
        <f t="shared" si="12"/>
        <v>u_con.c_con</v>
      </c>
      <c r="K805" s="5">
        <v>19</v>
      </c>
      <c r="L805">
        <v>0</v>
      </c>
      <c r="M805">
        <v>8.8018433179723507E-2</v>
      </c>
      <c r="N805">
        <v>0.49769585253456228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4.8387096774193551E-3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4.6313364055299538E-2</v>
      </c>
      <c r="AJ805">
        <v>0</v>
      </c>
      <c r="AK805">
        <v>0</v>
      </c>
      <c r="AL805">
        <v>0</v>
      </c>
      <c r="AM805">
        <v>0</v>
      </c>
      <c r="AN805">
        <v>4.8387096774193551E-3</v>
      </c>
      <c r="AO805">
        <v>0</v>
      </c>
      <c r="AP805">
        <v>0</v>
      </c>
      <c r="AQ805">
        <v>0</v>
      </c>
      <c r="AR805">
        <v>0</v>
      </c>
      <c r="AS805">
        <v>2.8110599078341011E-2</v>
      </c>
      <c r="AT805">
        <v>2.3041474654377877E-4</v>
      </c>
      <c r="AU805">
        <v>4.6543778801843315E-2</v>
      </c>
      <c r="AV805">
        <v>4.7235023041474644E-2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5.7603686635944703E-3</v>
      </c>
      <c r="CA805">
        <v>0.23041474654377878</v>
      </c>
      <c r="CB805">
        <v>0</v>
      </c>
    </row>
    <row r="806" spans="1:80">
      <c r="A806">
        <v>805</v>
      </c>
      <c r="B806" t="s">
        <v>47</v>
      </c>
      <c r="C806" s="4" t="s">
        <v>162</v>
      </c>
      <c r="D806" s="4" t="s">
        <v>116</v>
      </c>
      <c r="E806" s="5">
        <v>40617</v>
      </c>
      <c r="F806" s="5">
        <v>40616</v>
      </c>
      <c r="G806">
        <v>1103</v>
      </c>
      <c r="H806" s="4" t="s">
        <v>110</v>
      </c>
      <c r="I806" s="4" t="s">
        <v>108</v>
      </c>
      <c r="J806" s="4" t="str">
        <f t="shared" si="12"/>
        <v>u_rem.c_con</v>
      </c>
      <c r="K806" s="5">
        <v>8</v>
      </c>
      <c r="L806">
        <v>2.3004370830457784E-4</v>
      </c>
      <c r="M806">
        <v>0.14285714285714285</v>
      </c>
      <c r="N806">
        <v>0.19346675868414998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5.5670577409707843E-2</v>
      </c>
      <c r="AI806">
        <v>7.3613986657464908E-2</v>
      </c>
      <c r="AJ806">
        <v>0</v>
      </c>
      <c r="AK806">
        <v>0</v>
      </c>
      <c r="AL806">
        <v>0</v>
      </c>
      <c r="AM806">
        <v>0</v>
      </c>
      <c r="AN806">
        <v>7.3844030365769503E-2</v>
      </c>
      <c r="AO806">
        <v>0</v>
      </c>
      <c r="AP806">
        <v>0</v>
      </c>
      <c r="AQ806">
        <v>0</v>
      </c>
      <c r="AR806">
        <v>0</v>
      </c>
      <c r="AS806">
        <v>7.3613986657464922E-2</v>
      </c>
      <c r="AT806">
        <v>2.5074764205198986E-2</v>
      </c>
      <c r="AU806">
        <v>2.3004370830457786E-2</v>
      </c>
      <c r="AV806">
        <v>2.3004370830457784E-4</v>
      </c>
      <c r="AW806">
        <v>0</v>
      </c>
      <c r="AX806">
        <v>6.9013112491373351E-4</v>
      </c>
      <c r="AY806">
        <v>0</v>
      </c>
      <c r="AZ806">
        <v>0</v>
      </c>
      <c r="BA806">
        <v>9.7308488612836433E-2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5.1529790660225443E-2</v>
      </c>
      <c r="CA806">
        <v>0.18886588451805839</v>
      </c>
      <c r="CB806">
        <v>0</v>
      </c>
    </row>
    <row r="807" spans="1:80">
      <c r="A807">
        <v>806</v>
      </c>
      <c r="B807" t="s">
        <v>48</v>
      </c>
      <c r="C807" s="4" t="s">
        <v>162</v>
      </c>
      <c r="D807" s="4" t="s">
        <v>116</v>
      </c>
      <c r="E807" s="5">
        <v>40617</v>
      </c>
      <c r="F807" s="5">
        <v>40616</v>
      </c>
      <c r="G807">
        <v>1103</v>
      </c>
      <c r="H807" s="4" t="s">
        <v>110</v>
      </c>
      <c r="I807" s="4" t="s">
        <v>108</v>
      </c>
      <c r="J807" s="4" t="str">
        <f t="shared" si="12"/>
        <v>u_rem.c_con</v>
      </c>
      <c r="K807" s="5">
        <v>8</v>
      </c>
      <c r="L807">
        <v>1.8552036199095026E-2</v>
      </c>
      <c r="M807">
        <v>0.14524886877828055</v>
      </c>
      <c r="N807">
        <v>0.24434389140271492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4.9773755656108594E-2</v>
      </c>
      <c r="AA807">
        <v>0</v>
      </c>
      <c r="AB807">
        <v>0</v>
      </c>
      <c r="AC807">
        <v>4.5248868778280547E-3</v>
      </c>
      <c r="AD807">
        <v>0</v>
      </c>
      <c r="AE807">
        <v>4.5248868778280547E-3</v>
      </c>
      <c r="AF807">
        <v>0</v>
      </c>
      <c r="AG807">
        <v>0</v>
      </c>
      <c r="AH807">
        <v>3.2126696832579189E-2</v>
      </c>
      <c r="AI807">
        <v>0.13144796380090501</v>
      </c>
      <c r="AJ807">
        <v>0</v>
      </c>
      <c r="AK807">
        <v>0</v>
      </c>
      <c r="AL807">
        <v>4.5248868778280547E-3</v>
      </c>
      <c r="AM807">
        <v>0</v>
      </c>
      <c r="AN807">
        <v>4.5701357466063346E-2</v>
      </c>
      <c r="AO807">
        <v>0</v>
      </c>
      <c r="AP807">
        <v>0</v>
      </c>
      <c r="AQ807">
        <v>0</v>
      </c>
      <c r="AR807">
        <v>0</v>
      </c>
      <c r="AS807">
        <v>2.2624434389140274E-2</v>
      </c>
      <c r="AT807">
        <v>4.6832579185520362E-2</v>
      </c>
      <c r="AU807">
        <v>0</v>
      </c>
      <c r="AV807">
        <v>4.7511312217194583E-3</v>
      </c>
      <c r="AW807">
        <v>1.8099547511312219E-2</v>
      </c>
      <c r="AX807">
        <v>4.5248868778280547E-3</v>
      </c>
      <c r="AY807">
        <v>0</v>
      </c>
      <c r="AZ807">
        <v>0</v>
      </c>
      <c r="BA807">
        <v>8.1900452488687825E-2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4.5248868778280547E-3</v>
      </c>
      <c r="CA807">
        <v>0.13597285067873305</v>
      </c>
      <c r="CB807">
        <v>0</v>
      </c>
    </row>
    <row r="808" spans="1:80">
      <c r="A808">
        <v>807</v>
      </c>
      <c r="B808" t="s">
        <v>49</v>
      </c>
      <c r="C808" s="4" t="s">
        <v>162</v>
      </c>
      <c r="D808" s="4" t="s">
        <v>116</v>
      </c>
      <c r="E808" s="5">
        <v>40617</v>
      </c>
      <c r="F808" s="5">
        <v>40616</v>
      </c>
      <c r="G808">
        <v>1103</v>
      </c>
      <c r="H808" s="4" t="s">
        <v>110</v>
      </c>
      <c r="I808" s="4" t="s">
        <v>109</v>
      </c>
      <c r="J808" s="4" t="str">
        <f t="shared" si="12"/>
        <v>u_rem.c_rem</v>
      </c>
      <c r="K808" s="5">
        <v>1</v>
      </c>
      <c r="L808">
        <v>4.7069898799717586E-3</v>
      </c>
      <c r="M808">
        <v>0.20757825370675448</v>
      </c>
      <c r="N808">
        <v>0.21204989409272768</v>
      </c>
      <c r="O808">
        <v>2.3534949399858793E-4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0.16474464579901152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4.3068957401741589E-2</v>
      </c>
      <c r="AI808">
        <v>2.8712638267827727E-2</v>
      </c>
      <c r="AJ808">
        <v>0</v>
      </c>
      <c r="AK808">
        <v>0</v>
      </c>
      <c r="AL808">
        <v>4.7069898799717586E-3</v>
      </c>
      <c r="AM808">
        <v>0</v>
      </c>
      <c r="AN808">
        <v>7.1310896681572145E-2</v>
      </c>
      <c r="AO808">
        <v>0</v>
      </c>
      <c r="AP808">
        <v>0</v>
      </c>
      <c r="AQ808">
        <v>0</v>
      </c>
      <c r="AR808">
        <v>0</v>
      </c>
      <c r="AS808">
        <v>4.9423393739703473E-3</v>
      </c>
      <c r="AT808">
        <v>3.5302424099788191E-2</v>
      </c>
      <c r="AU808">
        <v>1.4356319133913865E-2</v>
      </c>
      <c r="AV808">
        <v>4.7069898799717585E-4</v>
      </c>
      <c r="AW808">
        <v>4.7069898799717586E-3</v>
      </c>
      <c r="AX808">
        <v>9.4139797599435172E-3</v>
      </c>
      <c r="AY808">
        <v>0</v>
      </c>
      <c r="AZ808">
        <v>0</v>
      </c>
      <c r="BA808">
        <v>7.5782537067545327E-2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9.4139797599435172E-3</v>
      </c>
      <c r="CA808">
        <v>0.10849611673334907</v>
      </c>
      <c r="CB808">
        <v>0</v>
      </c>
    </row>
    <row r="809" spans="1:80">
      <c r="A809">
        <v>808</v>
      </c>
      <c r="B809" t="s">
        <v>50</v>
      </c>
      <c r="C809" s="4" t="s">
        <v>162</v>
      </c>
      <c r="D809" s="4" t="s">
        <v>116</v>
      </c>
      <c r="E809" s="5">
        <v>40617</v>
      </c>
      <c r="F809" s="5">
        <v>40616</v>
      </c>
      <c r="G809">
        <v>1103</v>
      </c>
      <c r="H809" s="4" t="s">
        <v>110</v>
      </c>
      <c r="I809" s="4" t="s">
        <v>109</v>
      </c>
      <c r="J809" s="4" t="str">
        <f t="shared" si="12"/>
        <v>u_rem.c_rem</v>
      </c>
      <c r="K809" s="5">
        <v>1</v>
      </c>
      <c r="L809">
        <v>0</v>
      </c>
      <c r="M809">
        <v>0.14469235970250169</v>
      </c>
      <c r="N809">
        <v>0.17128690556682447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0.18931710615280592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6.3105702050935325E-2</v>
      </c>
      <c r="AJ809">
        <v>0.13071895424836605</v>
      </c>
      <c r="AK809">
        <v>0</v>
      </c>
      <c r="AL809">
        <v>0</v>
      </c>
      <c r="AM809">
        <v>0</v>
      </c>
      <c r="AN809">
        <v>3.2905116069416276E-2</v>
      </c>
      <c r="AO809">
        <v>0</v>
      </c>
      <c r="AP809">
        <v>0</v>
      </c>
      <c r="AQ809">
        <v>0</v>
      </c>
      <c r="AR809">
        <v>0</v>
      </c>
      <c r="AS809">
        <v>2.2763128239801669E-2</v>
      </c>
      <c r="AT809">
        <v>9.0151002929907598E-4</v>
      </c>
      <c r="AU809">
        <v>3.606040117196304E-2</v>
      </c>
      <c r="AV809">
        <v>4.50755014649538E-3</v>
      </c>
      <c r="AW809">
        <v>0</v>
      </c>
      <c r="AX809">
        <v>4.7329276538201496E-3</v>
      </c>
      <c r="AY809">
        <v>0</v>
      </c>
      <c r="AZ809">
        <v>0</v>
      </c>
      <c r="BA809">
        <v>9.4658553076402991E-3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1.3748027946810912E-2</v>
      </c>
      <c r="CA809">
        <v>0.17579445571331981</v>
      </c>
      <c r="CB809">
        <v>0</v>
      </c>
    </row>
    <row r="810" spans="1:80">
      <c r="A810">
        <v>809</v>
      </c>
      <c r="B810" t="s">
        <v>51</v>
      </c>
      <c r="C810" s="4" t="s">
        <v>163</v>
      </c>
      <c r="D810" s="4" t="s">
        <v>116</v>
      </c>
      <c r="E810" s="5">
        <v>40617</v>
      </c>
      <c r="F810" s="5">
        <v>40616</v>
      </c>
      <c r="G810">
        <v>1103</v>
      </c>
      <c r="H810" s="4" t="s">
        <v>107</v>
      </c>
      <c r="I810" s="4" t="s">
        <v>109</v>
      </c>
      <c r="J810" s="4" t="str">
        <f t="shared" si="12"/>
        <v>u_con.c_rem</v>
      </c>
      <c r="K810" s="5">
        <v>2</v>
      </c>
      <c r="L810">
        <v>0</v>
      </c>
      <c r="M810">
        <v>7.4253821887891314E-2</v>
      </c>
      <c r="N810">
        <v>0.17010434360592094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7.3283183693278353E-2</v>
      </c>
      <c r="AA810">
        <v>0</v>
      </c>
      <c r="AB810">
        <v>0</v>
      </c>
      <c r="AC810">
        <v>2.4265954865323954E-4</v>
      </c>
      <c r="AD810">
        <v>0</v>
      </c>
      <c r="AE810">
        <v>0</v>
      </c>
      <c r="AF810">
        <v>0</v>
      </c>
      <c r="AG810">
        <v>0</v>
      </c>
      <c r="AH810">
        <v>9.7063819461295827E-3</v>
      </c>
      <c r="AI810">
        <v>0.11235137102644993</v>
      </c>
      <c r="AJ810">
        <v>2.4265954865323954E-4</v>
      </c>
      <c r="AK810">
        <v>0</v>
      </c>
      <c r="AL810">
        <v>1.9412763892259165E-2</v>
      </c>
      <c r="AM810">
        <v>0</v>
      </c>
      <c r="AN810">
        <v>1.5044892016500853E-2</v>
      </c>
      <c r="AO810">
        <v>0</v>
      </c>
      <c r="AP810">
        <v>0</v>
      </c>
      <c r="AQ810">
        <v>0</v>
      </c>
      <c r="AR810">
        <v>0</v>
      </c>
      <c r="AS810">
        <v>7.7651055569036662E-2</v>
      </c>
      <c r="AT810">
        <v>4.8531909730647907E-4</v>
      </c>
      <c r="AU810">
        <v>6.3576801747148762E-2</v>
      </c>
      <c r="AV810">
        <v>0</v>
      </c>
      <c r="AW810">
        <v>0</v>
      </c>
      <c r="AX810">
        <v>0</v>
      </c>
      <c r="AY810">
        <v>4.8531909730647914E-3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2.4265954865323954E-4</v>
      </c>
      <c r="CA810">
        <v>0.37854889589905366</v>
      </c>
      <c r="CB810">
        <v>0</v>
      </c>
    </row>
    <row r="811" spans="1:80">
      <c r="A811">
        <v>810</v>
      </c>
      <c r="B811" t="s">
        <v>52</v>
      </c>
      <c r="C811" s="4" t="s">
        <v>163</v>
      </c>
      <c r="D811" s="4" t="s">
        <v>116</v>
      </c>
      <c r="E811" s="5">
        <v>40617</v>
      </c>
      <c r="F811" s="5">
        <v>40616</v>
      </c>
      <c r="G811">
        <v>1103</v>
      </c>
      <c r="H811" s="4" t="s">
        <v>107</v>
      </c>
      <c r="I811" s="4" t="s">
        <v>109</v>
      </c>
      <c r="J811" s="4" t="str">
        <f t="shared" si="12"/>
        <v>u_con.c_rem</v>
      </c>
      <c r="K811" s="5">
        <v>2</v>
      </c>
      <c r="L811">
        <v>0</v>
      </c>
      <c r="M811">
        <v>0.1079928154467894</v>
      </c>
      <c r="N811">
        <v>0.18432869330938478</v>
      </c>
      <c r="O811">
        <v>0</v>
      </c>
      <c r="P811">
        <v>0</v>
      </c>
      <c r="Q811">
        <v>2.2451728783116296E-4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0.21149528513695548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5.8599012123933543E-2</v>
      </c>
      <c r="AJ811">
        <v>7.2070049393803334E-2</v>
      </c>
      <c r="AK811">
        <v>0</v>
      </c>
      <c r="AL811">
        <v>0</v>
      </c>
      <c r="AM811">
        <v>0</v>
      </c>
      <c r="AN811">
        <v>5.0291872474180502E-2</v>
      </c>
      <c r="AO811">
        <v>0</v>
      </c>
      <c r="AP811">
        <v>0</v>
      </c>
      <c r="AQ811">
        <v>0</v>
      </c>
      <c r="AR811">
        <v>0</v>
      </c>
      <c r="AS811">
        <v>3.1432420296362812E-2</v>
      </c>
      <c r="AT811">
        <v>4.4903457566232592E-4</v>
      </c>
      <c r="AU811">
        <v>4.9618320610687015E-2</v>
      </c>
      <c r="AV811">
        <v>0</v>
      </c>
      <c r="AW811">
        <v>8.9806915132465189E-3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0.22451728783116293</v>
      </c>
      <c r="CB811">
        <v>0</v>
      </c>
    </row>
    <row r="812" spans="1:80">
      <c r="A812">
        <v>811</v>
      </c>
      <c r="B812" t="s">
        <v>53</v>
      </c>
      <c r="C812" s="4" t="s">
        <v>163</v>
      </c>
      <c r="D812" s="4" t="s">
        <v>116</v>
      </c>
      <c r="E812" s="5">
        <v>40617</v>
      </c>
      <c r="F812" s="5">
        <v>40616</v>
      </c>
      <c r="G812">
        <v>1103</v>
      </c>
      <c r="H812" s="4" t="s">
        <v>107</v>
      </c>
      <c r="I812" s="4" t="s">
        <v>108</v>
      </c>
      <c r="J812" s="4" t="str">
        <f t="shared" si="12"/>
        <v>u_con.c_con</v>
      </c>
      <c r="K812" s="5">
        <v>19</v>
      </c>
      <c r="L812">
        <v>0</v>
      </c>
      <c r="M812">
        <v>0.12317130722038698</v>
      </c>
      <c r="N812">
        <v>0.25483718735252464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0.18876828692779613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4.7192071731949042E-3</v>
      </c>
      <c r="AI812">
        <v>0.11326097215667773</v>
      </c>
      <c r="AJ812">
        <v>0</v>
      </c>
      <c r="AK812">
        <v>0</v>
      </c>
      <c r="AL812">
        <v>9.4384143463898083E-3</v>
      </c>
      <c r="AM812">
        <v>0</v>
      </c>
      <c r="AN812">
        <v>1.486550259556395E-2</v>
      </c>
      <c r="AO812">
        <v>0</v>
      </c>
      <c r="AP812">
        <v>0</v>
      </c>
      <c r="AQ812">
        <v>1.4157621519584711E-2</v>
      </c>
      <c r="AR812">
        <v>0</v>
      </c>
      <c r="AS812">
        <v>1.4629542236904203E-2</v>
      </c>
      <c r="AT812">
        <v>5.6630486078338852E-3</v>
      </c>
      <c r="AU812">
        <v>4.3180745634733363E-2</v>
      </c>
      <c r="AV812">
        <v>4.719207173194904E-4</v>
      </c>
      <c r="AW812">
        <v>9.4384143463898083E-3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1.4629542236904202E-2</v>
      </c>
      <c r="CA812">
        <v>0.18876828692779613</v>
      </c>
      <c r="CB812">
        <v>0</v>
      </c>
    </row>
    <row r="813" spans="1:80">
      <c r="A813">
        <v>812</v>
      </c>
      <c r="B813" t="s">
        <v>54</v>
      </c>
      <c r="C813" s="4" t="s">
        <v>163</v>
      </c>
      <c r="D813" s="4" t="s">
        <v>116</v>
      </c>
      <c r="E813" s="5">
        <v>40617</v>
      </c>
      <c r="F813" s="5">
        <v>40616</v>
      </c>
      <c r="G813">
        <v>1103</v>
      </c>
      <c r="H813" s="4" t="s">
        <v>107</v>
      </c>
      <c r="I813" s="4" t="s">
        <v>108</v>
      </c>
      <c r="J813" s="4" t="str">
        <f t="shared" si="12"/>
        <v>u_con.c_con</v>
      </c>
      <c r="K813" s="5">
        <v>19</v>
      </c>
      <c r="L813">
        <v>0</v>
      </c>
      <c r="M813">
        <v>6.4007642703606371E-2</v>
      </c>
      <c r="N813">
        <v>0.16790064485311676</v>
      </c>
      <c r="O813">
        <v>0</v>
      </c>
      <c r="P813">
        <v>0</v>
      </c>
      <c r="Q813">
        <v>2.4122283257702409E-2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0.32003821351803191</v>
      </c>
      <c r="AA813">
        <v>0</v>
      </c>
      <c r="AB813">
        <v>0</v>
      </c>
      <c r="AC813">
        <v>0</v>
      </c>
      <c r="AD813">
        <v>0</v>
      </c>
      <c r="AE813">
        <v>4.7766897540004773E-3</v>
      </c>
      <c r="AF813">
        <v>0</v>
      </c>
      <c r="AG813">
        <v>0</v>
      </c>
      <c r="AH813">
        <v>5.0155242417005011E-3</v>
      </c>
      <c r="AI813">
        <v>1.9345593503701932E-2</v>
      </c>
      <c r="AJ813">
        <v>0</v>
      </c>
      <c r="AK813">
        <v>0</v>
      </c>
      <c r="AL813">
        <v>9.5533795080009545E-3</v>
      </c>
      <c r="AM813">
        <v>0</v>
      </c>
      <c r="AN813">
        <v>3.415333174110341E-2</v>
      </c>
      <c r="AO813">
        <v>0</v>
      </c>
      <c r="AP813">
        <v>0</v>
      </c>
      <c r="AQ813">
        <v>0</v>
      </c>
      <c r="AR813">
        <v>0</v>
      </c>
      <c r="AS813">
        <v>2.9615476474802959E-2</v>
      </c>
      <c r="AT813">
        <v>0</v>
      </c>
      <c r="AU813">
        <v>2.9615476474802963E-2</v>
      </c>
      <c r="AV813">
        <v>0</v>
      </c>
      <c r="AW813">
        <v>4.7766897540004773E-3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1.9584427991401959E-2</v>
      </c>
      <c r="CA813">
        <v>0.26749462622402664</v>
      </c>
      <c r="CB813">
        <v>0</v>
      </c>
    </row>
    <row r="814" spans="1:80">
      <c r="A814">
        <v>813</v>
      </c>
      <c r="B814" t="s">
        <v>55</v>
      </c>
      <c r="C814" s="4" t="s">
        <v>164</v>
      </c>
      <c r="D814" s="4" t="s">
        <v>116</v>
      </c>
      <c r="E814" s="5">
        <v>40617</v>
      </c>
      <c r="F814" s="5">
        <v>40616</v>
      </c>
      <c r="G814">
        <v>1103</v>
      </c>
      <c r="H814" s="4" t="s">
        <v>110</v>
      </c>
      <c r="I814" s="4" t="s">
        <v>108</v>
      </c>
      <c r="J814" s="4" t="str">
        <f t="shared" si="12"/>
        <v>u_rem.c_con</v>
      </c>
      <c r="K814" s="5">
        <v>8</v>
      </c>
      <c r="L814">
        <v>0</v>
      </c>
      <c r="M814">
        <v>8.5181898846495144E-2</v>
      </c>
      <c r="N814">
        <v>9.8047914818101184E-2</v>
      </c>
      <c r="O814">
        <v>0</v>
      </c>
      <c r="P814">
        <v>0</v>
      </c>
      <c r="Q814">
        <v>4.4365572315882882E-4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1.7968056787932569E-2</v>
      </c>
      <c r="AA814">
        <v>4.4365572315882883E-3</v>
      </c>
      <c r="AB814">
        <v>0</v>
      </c>
      <c r="AC814">
        <v>2.2182786157941441E-4</v>
      </c>
      <c r="AD814">
        <v>0</v>
      </c>
      <c r="AE814">
        <v>1.3309671694764868E-2</v>
      </c>
      <c r="AF814">
        <v>0</v>
      </c>
      <c r="AG814">
        <v>0</v>
      </c>
      <c r="AH814">
        <v>4.4365572315882883E-3</v>
      </c>
      <c r="AI814">
        <v>2.7506654835847386E-2</v>
      </c>
      <c r="AJ814">
        <v>0</v>
      </c>
      <c r="AK814">
        <v>0</v>
      </c>
      <c r="AL814">
        <v>0</v>
      </c>
      <c r="AM814">
        <v>0</v>
      </c>
      <c r="AN814">
        <v>3.6601597160603377E-2</v>
      </c>
      <c r="AO814">
        <v>0</v>
      </c>
      <c r="AP814">
        <v>0</v>
      </c>
      <c r="AQ814">
        <v>0</v>
      </c>
      <c r="AR814">
        <v>0</v>
      </c>
      <c r="AS814">
        <v>5.811889973380658E-2</v>
      </c>
      <c r="AT814">
        <v>0</v>
      </c>
      <c r="AU814">
        <v>2.7506654835847386E-2</v>
      </c>
      <c r="AV814">
        <v>0</v>
      </c>
      <c r="AW814">
        <v>4.4365572315882883E-3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4.4365572315882883E-3</v>
      </c>
      <c r="BX814">
        <v>0</v>
      </c>
      <c r="BY814">
        <v>0</v>
      </c>
      <c r="BZ814">
        <v>2.7284826974267973E-2</v>
      </c>
      <c r="CA814">
        <v>0.58562555456965404</v>
      </c>
      <c r="CB814">
        <v>4.4365572315882883E-3</v>
      </c>
    </row>
    <row r="815" spans="1:80">
      <c r="A815">
        <v>814</v>
      </c>
      <c r="B815" t="s">
        <v>56</v>
      </c>
      <c r="C815" s="4" t="s">
        <v>164</v>
      </c>
      <c r="D815" s="4" t="s">
        <v>116</v>
      </c>
      <c r="E815" s="5">
        <v>40617</v>
      </c>
      <c r="F815" s="5">
        <v>40616</v>
      </c>
      <c r="G815">
        <v>1103</v>
      </c>
      <c r="H815" s="4" t="s">
        <v>110</v>
      </c>
      <c r="I815" s="4" t="s">
        <v>109</v>
      </c>
      <c r="J815" s="4" t="str">
        <f t="shared" si="12"/>
        <v>u_rem.c_rem</v>
      </c>
      <c r="K815" s="5">
        <v>1</v>
      </c>
      <c r="L815">
        <v>0</v>
      </c>
      <c r="M815">
        <v>2.6243439140214948E-2</v>
      </c>
      <c r="N815">
        <v>0.1999500124968758</v>
      </c>
      <c r="O815">
        <v>0</v>
      </c>
      <c r="P815">
        <v>0</v>
      </c>
      <c r="Q815">
        <v>5.2486878280429902E-3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8.4978755311172202E-2</v>
      </c>
      <c r="AA815">
        <v>0</v>
      </c>
      <c r="AB815">
        <v>0</v>
      </c>
      <c r="AC815">
        <v>0</v>
      </c>
      <c r="AD815">
        <v>0</v>
      </c>
      <c r="AE815">
        <v>1.9995001249687581E-2</v>
      </c>
      <c r="AF815">
        <v>0</v>
      </c>
      <c r="AG815">
        <v>0</v>
      </c>
      <c r="AH815">
        <v>0</v>
      </c>
      <c r="AI815">
        <v>8.5228692826793309E-2</v>
      </c>
      <c r="AJ815">
        <v>0</v>
      </c>
      <c r="AK815">
        <v>0</v>
      </c>
      <c r="AL815">
        <v>0.17020744813796554</v>
      </c>
      <c r="AM815">
        <v>0</v>
      </c>
      <c r="AN815">
        <v>1.049737565608598E-2</v>
      </c>
      <c r="AO815">
        <v>0</v>
      </c>
      <c r="AP815">
        <v>0</v>
      </c>
      <c r="AQ815">
        <v>0</v>
      </c>
      <c r="AR815">
        <v>0</v>
      </c>
      <c r="AS815">
        <v>4.5988502874281426E-2</v>
      </c>
      <c r="AT815">
        <v>5.7485628592851799E-3</v>
      </c>
      <c r="AU815">
        <v>4.4988752811797046E-2</v>
      </c>
      <c r="AV815">
        <v>2.4993751562109475E-4</v>
      </c>
      <c r="AW815">
        <v>1.9995001249687581E-2</v>
      </c>
      <c r="AX815">
        <v>5.4986253436640851E-3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1.0247438140464886E-2</v>
      </c>
      <c r="CA815">
        <v>0.26493376655836043</v>
      </c>
      <c r="CB815">
        <v>0</v>
      </c>
    </row>
    <row r="816" spans="1:80">
      <c r="A816">
        <v>815</v>
      </c>
      <c r="B816" t="s">
        <v>57</v>
      </c>
      <c r="C816" s="4" t="s">
        <v>164</v>
      </c>
      <c r="D816" s="4" t="s">
        <v>116</v>
      </c>
      <c r="E816" s="5">
        <v>40617</v>
      </c>
      <c r="F816" s="5">
        <v>40616</v>
      </c>
      <c r="G816">
        <v>1103</v>
      </c>
      <c r="H816" s="4" t="s">
        <v>110</v>
      </c>
      <c r="I816" s="4" t="s">
        <v>108</v>
      </c>
      <c r="J816" s="4" t="str">
        <f t="shared" si="12"/>
        <v>u_rem.c_con</v>
      </c>
      <c r="K816" s="5">
        <v>8</v>
      </c>
      <c r="L816">
        <v>0</v>
      </c>
      <c r="M816">
        <v>4.1770715096481267E-2</v>
      </c>
      <c r="N816">
        <v>9.5346197502837696E-2</v>
      </c>
      <c r="O816">
        <v>0</v>
      </c>
      <c r="P816">
        <v>0</v>
      </c>
      <c r="Q816">
        <v>9.7616345062429052E-3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3.1782065834279227E-2</v>
      </c>
      <c r="AA816">
        <v>0</v>
      </c>
      <c r="AB816">
        <v>0</v>
      </c>
      <c r="AC816">
        <v>0</v>
      </c>
      <c r="AD816">
        <v>0</v>
      </c>
      <c r="AE816">
        <v>4.9943246311010209E-3</v>
      </c>
      <c r="AF816">
        <v>0</v>
      </c>
      <c r="AG816">
        <v>0</v>
      </c>
      <c r="AH816">
        <v>0</v>
      </c>
      <c r="AI816">
        <v>4.1089670828603854E-2</v>
      </c>
      <c r="AJ816">
        <v>0</v>
      </c>
      <c r="AK816">
        <v>0</v>
      </c>
      <c r="AL816">
        <v>0.13166855845629966</v>
      </c>
      <c r="AM816">
        <v>0</v>
      </c>
      <c r="AN816">
        <v>1.362088535754824E-3</v>
      </c>
      <c r="AO816">
        <v>0</v>
      </c>
      <c r="AP816">
        <v>0</v>
      </c>
      <c r="AQ816">
        <v>0</v>
      </c>
      <c r="AR816">
        <v>0</v>
      </c>
      <c r="AS816">
        <v>4.1543700340522127E-2</v>
      </c>
      <c r="AT816">
        <v>4.5402951191827464E-4</v>
      </c>
      <c r="AU816">
        <v>2.7695800227014754E-2</v>
      </c>
      <c r="AV816">
        <v>0</v>
      </c>
      <c r="AW816">
        <v>4.5402951191827468E-3</v>
      </c>
      <c r="AX816">
        <v>4.7673098751418843E-3</v>
      </c>
      <c r="AY816">
        <v>0</v>
      </c>
      <c r="AZ816">
        <v>0</v>
      </c>
      <c r="BA816">
        <v>4.5402951191827468E-3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4.7673098751418843E-3</v>
      </c>
      <c r="CA816">
        <v>0.55391600454029499</v>
      </c>
      <c r="CB816">
        <v>0</v>
      </c>
    </row>
    <row r="817" spans="1:80">
      <c r="A817">
        <v>816</v>
      </c>
      <c r="B817" t="s">
        <v>58</v>
      </c>
      <c r="C817" s="4" t="s">
        <v>164</v>
      </c>
      <c r="D817" s="4" t="s">
        <v>116</v>
      </c>
      <c r="E817" s="5">
        <v>40617</v>
      </c>
      <c r="F817" s="5">
        <v>40616</v>
      </c>
      <c r="G817">
        <v>1103</v>
      </c>
      <c r="H817" s="4" t="s">
        <v>110</v>
      </c>
      <c r="I817" s="4" t="s">
        <v>109</v>
      </c>
      <c r="J817" s="4" t="str">
        <f t="shared" si="12"/>
        <v>u_rem.c_rem</v>
      </c>
      <c r="K817" s="5">
        <v>1</v>
      </c>
      <c r="L817">
        <v>0</v>
      </c>
      <c r="M817">
        <v>2.3964634713820383E-2</v>
      </c>
      <c r="N817">
        <v>0.25127966496044662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0.17240577012563985</v>
      </c>
      <c r="AA817">
        <v>0</v>
      </c>
      <c r="AB817">
        <v>0</v>
      </c>
      <c r="AC817">
        <v>0</v>
      </c>
      <c r="AD817">
        <v>0</v>
      </c>
      <c r="AE817">
        <v>6.0958585388552824E-2</v>
      </c>
      <c r="AF817">
        <v>0</v>
      </c>
      <c r="AG817">
        <v>0</v>
      </c>
      <c r="AH817">
        <v>0</v>
      </c>
      <c r="AI817">
        <v>6.1191251744997684E-2</v>
      </c>
      <c r="AJ817">
        <v>0</v>
      </c>
      <c r="AK817">
        <v>0</v>
      </c>
      <c r="AL817">
        <v>0</v>
      </c>
      <c r="AM817">
        <v>0</v>
      </c>
      <c r="AN817">
        <v>1.0237319683573757E-2</v>
      </c>
      <c r="AO817">
        <v>0</v>
      </c>
      <c r="AP817">
        <v>0</v>
      </c>
      <c r="AQ817">
        <v>0</v>
      </c>
      <c r="AR817">
        <v>0</v>
      </c>
      <c r="AS817">
        <v>5.1651931130758499E-2</v>
      </c>
      <c r="AT817">
        <v>2.3266635644485808E-4</v>
      </c>
      <c r="AU817">
        <v>4.6765937645416485E-2</v>
      </c>
      <c r="AV817">
        <v>0</v>
      </c>
      <c r="AW817">
        <v>0</v>
      </c>
      <c r="AX817">
        <v>4.88599348534202E-3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9.3066542577943234E-3</v>
      </c>
      <c r="CA817">
        <v>0.30711959050721266</v>
      </c>
      <c r="CB817">
        <v>0</v>
      </c>
    </row>
    <row r="818" spans="1:80">
      <c r="A818">
        <v>817</v>
      </c>
      <c r="B818" t="s">
        <v>59</v>
      </c>
      <c r="C818" s="4" t="s">
        <v>165</v>
      </c>
      <c r="D818" s="4" t="s">
        <v>117</v>
      </c>
      <c r="E818" s="5">
        <v>40616</v>
      </c>
      <c r="F818" s="5">
        <v>40616</v>
      </c>
      <c r="G818">
        <v>1103</v>
      </c>
      <c r="H818" s="4" t="s">
        <v>107</v>
      </c>
      <c r="I818" s="4" t="s">
        <v>109</v>
      </c>
      <c r="J818" s="4" t="str">
        <f t="shared" si="12"/>
        <v>u_con.c_rem</v>
      </c>
      <c r="K818" s="5">
        <v>2</v>
      </c>
      <c r="L818">
        <v>0</v>
      </c>
      <c r="M818">
        <v>0.17050794361154623</v>
      </c>
      <c r="N818">
        <v>8.9505482210785428E-2</v>
      </c>
      <c r="O818">
        <v>0</v>
      </c>
      <c r="P818">
        <v>0</v>
      </c>
      <c r="Q818">
        <v>3.1326918773774894E-2</v>
      </c>
      <c r="R818">
        <v>1.7901096442157084E-2</v>
      </c>
      <c r="S818">
        <v>0</v>
      </c>
      <c r="T818">
        <v>4.6990378160662351E-3</v>
      </c>
      <c r="U818">
        <v>0</v>
      </c>
      <c r="V818">
        <v>0</v>
      </c>
      <c r="W818">
        <v>0</v>
      </c>
      <c r="X818">
        <v>8.9505482210785418E-3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2.2376370552696354E-4</v>
      </c>
      <c r="AI818">
        <v>4.9899306332512869E-2</v>
      </c>
      <c r="AJ818">
        <v>8.5701499216827057E-2</v>
      </c>
      <c r="AK818">
        <v>0</v>
      </c>
      <c r="AL818">
        <v>3.1326918773774894E-2</v>
      </c>
      <c r="AM818">
        <v>0</v>
      </c>
      <c r="AN818">
        <v>1.4320877153725669E-2</v>
      </c>
      <c r="AO818">
        <v>0</v>
      </c>
      <c r="AP818">
        <v>0</v>
      </c>
      <c r="AQ818">
        <v>0</v>
      </c>
      <c r="AR818">
        <v>0</v>
      </c>
      <c r="AS818">
        <v>8.9505482210785418E-3</v>
      </c>
      <c r="AT818">
        <v>5.5940926381740893E-3</v>
      </c>
      <c r="AU818">
        <v>0</v>
      </c>
      <c r="AV818">
        <v>0</v>
      </c>
      <c r="AW818">
        <v>1.7901096442157084E-2</v>
      </c>
      <c r="AX818">
        <v>1.4097113448198705E-2</v>
      </c>
      <c r="AY818">
        <v>2.6851644663235624E-2</v>
      </c>
      <c r="AZ818">
        <v>1.7901096442157084E-2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3.7368538823002909E-2</v>
      </c>
      <c r="CA818">
        <v>0.36697247706422015</v>
      </c>
      <c r="CB818">
        <v>0</v>
      </c>
    </row>
    <row r="819" spans="1:80">
      <c r="A819">
        <v>818</v>
      </c>
      <c r="B819" t="s">
        <v>60</v>
      </c>
      <c r="C819" s="4" t="s">
        <v>165</v>
      </c>
      <c r="D819" s="4" t="s">
        <v>117</v>
      </c>
      <c r="E819" s="5">
        <v>40616</v>
      </c>
      <c r="F819" s="5">
        <v>40616</v>
      </c>
      <c r="G819">
        <v>1103</v>
      </c>
      <c r="H819" s="4" t="s">
        <v>107</v>
      </c>
      <c r="I819" s="4" t="s">
        <v>108</v>
      </c>
      <c r="J819" s="4" t="str">
        <f t="shared" si="12"/>
        <v>u_con.c_con</v>
      </c>
      <c r="K819" s="5">
        <v>19</v>
      </c>
      <c r="L819">
        <v>0</v>
      </c>
      <c r="M819">
        <v>0.38260432378079429</v>
      </c>
      <c r="N819">
        <v>2.0110608345902465E-2</v>
      </c>
      <c r="O819">
        <v>0</v>
      </c>
      <c r="P819">
        <v>0</v>
      </c>
      <c r="Q819">
        <v>8.5972850678733045E-2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5.5304172951231778E-3</v>
      </c>
      <c r="AJ819">
        <v>5.0276520864756162E-3</v>
      </c>
      <c r="AK819">
        <v>0</v>
      </c>
      <c r="AL819">
        <v>9.6028154851684283E-2</v>
      </c>
      <c r="AM819">
        <v>0</v>
      </c>
      <c r="AN819">
        <v>5.0276520864756154E-4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5.5304172951231778E-3</v>
      </c>
      <c r="AX819">
        <v>5.279034690799397E-3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4.1478129713423829E-2</v>
      </c>
      <c r="CA819">
        <v>0.35193564605329303</v>
      </c>
      <c r="CB819">
        <v>0</v>
      </c>
    </row>
    <row r="820" spans="1:80">
      <c r="A820">
        <v>819</v>
      </c>
      <c r="B820" t="s">
        <v>61</v>
      </c>
      <c r="C820" s="4" t="s">
        <v>165</v>
      </c>
      <c r="D820" s="4" t="s">
        <v>117</v>
      </c>
      <c r="E820" s="5">
        <v>40616</v>
      </c>
      <c r="F820" s="5">
        <v>40616</v>
      </c>
      <c r="G820">
        <v>1103</v>
      </c>
      <c r="H820" s="4" t="s">
        <v>107</v>
      </c>
      <c r="I820" s="4" t="s">
        <v>109</v>
      </c>
      <c r="J820" s="4" t="str">
        <f t="shared" si="12"/>
        <v>u_con.c_rem</v>
      </c>
      <c r="K820" s="5">
        <v>2</v>
      </c>
      <c r="L820">
        <v>0</v>
      </c>
      <c r="M820">
        <v>0.43964091660760685</v>
      </c>
      <c r="N820">
        <v>0.11339475549255851</v>
      </c>
      <c r="O820">
        <v>0</v>
      </c>
      <c r="P820">
        <v>0</v>
      </c>
      <c r="Q820">
        <v>4.7247814788566028E-3</v>
      </c>
      <c r="R820">
        <v>3.7798251830852822E-2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1.4410583510512638E-2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5.1972596267422629E-2</v>
      </c>
      <c r="AJ820">
        <v>1.8899125915426411E-2</v>
      </c>
      <c r="AK820">
        <v>0</v>
      </c>
      <c r="AL820">
        <v>4.7247814788566028E-3</v>
      </c>
      <c r="AM820">
        <v>0</v>
      </c>
      <c r="AN820">
        <v>1.0158280179541696E-2</v>
      </c>
      <c r="AO820">
        <v>0</v>
      </c>
      <c r="AP820">
        <v>0</v>
      </c>
      <c r="AQ820">
        <v>0</v>
      </c>
      <c r="AR820">
        <v>0</v>
      </c>
      <c r="AS820">
        <v>1.8899125915426411E-2</v>
      </c>
      <c r="AT820">
        <v>9.4495629577132046E-4</v>
      </c>
      <c r="AU820">
        <v>0</v>
      </c>
      <c r="AV820">
        <v>0</v>
      </c>
      <c r="AW820">
        <v>0</v>
      </c>
      <c r="AX820">
        <v>2.3623907394283012E-4</v>
      </c>
      <c r="AY820">
        <v>0</v>
      </c>
      <c r="AZ820">
        <v>2.3623907394283012E-4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1.9371604063312071E-2</v>
      </c>
      <c r="CA820">
        <v>0.26458776281596968</v>
      </c>
      <c r="CB820">
        <v>0</v>
      </c>
    </row>
    <row r="821" spans="1:80">
      <c r="A821">
        <v>820</v>
      </c>
      <c r="B821" t="s">
        <v>62</v>
      </c>
      <c r="C821" s="4" t="s">
        <v>165</v>
      </c>
      <c r="D821" s="4" t="s">
        <v>117</v>
      </c>
      <c r="E821" s="5">
        <v>40616</v>
      </c>
      <c r="F821" s="5">
        <v>40616</v>
      </c>
      <c r="G821">
        <v>1103</v>
      </c>
      <c r="H821" s="4" t="s">
        <v>107</v>
      </c>
      <c r="I821" s="4" t="s">
        <v>108</v>
      </c>
      <c r="J821" s="4" t="str">
        <f t="shared" si="12"/>
        <v>u_con.c_con</v>
      </c>
      <c r="K821" s="5">
        <v>19</v>
      </c>
      <c r="L821">
        <v>0</v>
      </c>
      <c r="M821">
        <v>7.1243827886197972E-2</v>
      </c>
      <c r="N821">
        <v>4.702562896778744E-2</v>
      </c>
      <c r="O821">
        <v>0</v>
      </c>
      <c r="P821">
        <v>0</v>
      </c>
      <c r="Q821">
        <v>3.8090759463907824E-2</v>
      </c>
      <c r="R821">
        <v>2.351281448389372E-2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3.2917940277451208E-2</v>
      </c>
      <c r="AJ821">
        <v>0</v>
      </c>
      <c r="AK821">
        <v>0</v>
      </c>
      <c r="AL821">
        <v>0.19750764166470727</v>
      </c>
      <c r="AM821">
        <v>0</v>
      </c>
      <c r="AN821">
        <v>5.4079473312955558E-3</v>
      </c>
      <c r="AO821">
        <v>0</v>
      </c>
      <c r="AP821">
        <v>0</v>
      </c>
      <c r="AQ821">
        <v>0</v>
      </c>
      <c r="AR821">
        <v>0</v>
      </c>
      <c r="AS821">
        <v>4.9376910416176817E-3</v>
      </c>
      <c r="AT821">
        <v>0</v>
      </c>
      <c r="AU821">
        <v>0</v>
      </c>
      <c r="AV821">
        <v>0</v>
      </c>
      <c r="AW821">
        <v>4.9376910416176817E-3</v>
      </c>
      <c r="AX821">
        <v>1.9045379731953915E-2</v>
      </c>
      <c r="AY821">
        <v>0</v>
      </c>
      <c r="AZ821">
        <v>0</v>
      </c>
      <c r="BA821">
        <v>1.4107688690336235E-2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4.7025628967787446E-3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4.7495885257465315E-2</v>
      </c>
      <c r="CA821">
        <v>0.48906654126498927</v>
      </c>
      <c r="CB821">
        <v>0</v>
      </c>
    </row>
    <row r="822" spans="1:80">
      <c r="A822">
        <v>821</v>
      </c>
      <c r="B822" t="s">
        <v>106</v>
      </c>
      <c r="C822" s="4" t="s">
        <v>166</v>
      </c>
      <c r="D822" s="4" t="s">
        <v>117</v>
      </c>
      <c r="E822" s="5">
        <v>40616</v>
      </c>
      <c r="F822" s="5">
        <v>40616</v>
      </c>
      <c r="G822">
        <v>1103</v>
      </c>
      <c r="H822" s="4" t="s">
        <v>110</v>
      </c>
      <c r="I822" s="4" t="s">
        <v>109</v>
      </c>
      <c r="J822" s="4" t="str">
        <f t="shared" si="12"/>
        <v>u_rem.c_rem</v>
      </c>
      <c r="K822" s="5">
        <v>1</v>
      </c>
      <c r="L822">
        <v>1.4996250937265684E-2</v>
      </c>
      <c r="M822">
        <v>6.5983504123969014E-2</v>
      </c>
      <c r="N822">
        <v>0.22519370157460628</v>
      </c>
      <c r="O822">
        <v>0</v>
      </c>
      <c r="P822">
        <v>0</v>
      </c>
      <c r="Q822">
        <v>2.0244938765308671E-2</v>
      </c>
      <c r="R822">
        <v>0.13496625843539112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2.0244938765308671E-2</v>
      </c>
      <c r="AJ822">
        <v>0.16520869782554362</v>
      </c>
      <c r="AK822">
        <v>0</v>
      </c>
      <c r="AL822">
        <v>9.997500624843789E-3</v>
      </c>
      <c r="AM822">
        <v>0</v>
      </c>
      <c r="AN822">
        <v>4.9987503124218938E-4</v>
      </c>
      <c r="AO822">
        <v>0</v>
      </c>
      <c r="AP822">
        <v>0</v>
      </c>
      <c r="AQ822">
        <v>0</v>
      </c>
      <c r="AR822">
        <v>0</v>
      </c>
      <c r="AS822">
        <v>4.9987503124218945E-3</v>
      </c>
      <c r="AT822">
        <v>1.9995001249687575E-3</v>
      </c>
      <c r="AU822">
        <v>0</v>
      </c>
      <c r="AV822">
        <v>0</v>
      </c>
      <c r="AW822">
        <v>0</v>
      </c>
      <c r="AX822">
        <v>2.5243689077730565E-2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5.2486878280429894E-3</v>
      </c>
      <c r="CA822">
        <v>0.30517370657335657</v>
      </c>
      <c r="CB822">
        <v>0</v>
      </c>
    </row>
    <row r="823" spans="1:80">
      <c r="A823">
        <v>822</v>
      </c>
      <c r="B823" t="s">
        <v>63</v>
      </c>
      <c r="C823" s="4" t="s">
        <v>166</v>
      </c>
      <c r="D823" s="4" t="s">
        <v>117</v>
      </c>
      <c r="E823" s="5">
        <v>40616</v>
      </c>
      <c r="F823" s="5">
        <v>40616</v>
      </c>
      <c r="G823">
        <v>1103</v>
      </c>
      <c r="H823" s="4" t="s">
        <v>110</v>
      </c>
      <c r="I823" s="4" t="s">
        <v>108</v>
      </c>
      <c r="J823" s="4" t="str">
        <f t="shared" si="12"/>
        <v>u_rem.c_con</v>
      </c>
      <c r="K823" s="5">
        <v>8</v>
      </c>
      <c r="L823">
        <v>0</v>
      </c>
      <c r="M823">
        <v>0.11543977055449334</v>
      </c>
      <c r="N823">
        <v>0.277246653919694</v>
      </c>
      <c r="O823">
        <v>2.3900573613766732E-4</v>
      </c>
      <c r="P823">
        <v>0</v>
      </c>
      <c r="Q823">
        <v>5.0191204588910139E-3</v>
      </c>
      <c r="R823">
        <v>5.7361376673040157E-2</v>
      </c>
      <c r="S823">
        <v>0</v>
      </c>
      <c r="T823">
        <v>2.8919694072657747E-2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2.8680688336520082E-2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7.2179732313575537E-2</v>
      </c>
      <c r="AJ823">
        <v>5.8078393881453166E-2</v>
      </c>
      <c r="AK823">
        <v>0</v>
      </c>
      <c r="AL823">
        <v>1.4340344168260039E-2</v>
      </c>
      <c r="AM823">
        <v>0</v>
      </c>
      <c r="AN823">
        <v>2.3900573613766732E-4</v>
      </c>
      <c r="AO823">
        <v>0</v>
      </c>
      <c r="AP823">
        <v>0</v>
      </c>
      <c r="AQ823">
        <v>0</v>
      </c>
      <c r="AR823">
        <v>0</v>
      </c>
      <c r="AS823">
        <v>1.457934990439771E-2</v>
      </c>
      <c r="AT823">
        <v>1.6730401529636714E-3</v>
      </c>
      <c r="AU823">
        <v>0</v>
      </c>
      <c r="AV823">
        <v>0</v>
      </c>
      <c r="AW823">
        <v>4.780114722753347E-3</v>
      </c>
      <c r="AX823">
        <v>1.457934990439771E-2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5.2581261950286808E-3</v>
      </c>
      <c r="CA823">
        <v>0.30114722753346079</v>
      </c>
      <c r="CB823">
        <v>0</v>
      </c>
    </row>
    <row r="824" spans="1:80">
      <c r="A824">
        <v>823</v>
      </c>
      <c r="B824" t="s">
        <v>64</v>
      </c>
      <c r="C824" s="4" t="s">
        <v>166</v>
      </c>
      <c r="D824" s="4" t="s">
        <v>117</v>
      </c>
      <c r="E824" s="5">
        <v>40616</v>
      </c>
      <c r="F824" s="5">
        <v>40616</v>
      </c>
      <c r="G824">
        <v>1103</v>
      </c>
      <c r="H824" s="4" t="s">
        <v>110</v>
      </c>
      <c r="I824" s="4" t="s">
        <v>109</v>
      </c>
      <c r="J824" s="4" t="str">
        <f t="shared" si="12"/>
        <v>u_rem.c_rem</v>
      </c>
      <c r="K824" s="5">
        <v>1</v>
      </c>
      <c r="L824">
        <v>0</v>
      </c>
      <c r="M824">
        <v>4.1797049620026824E-2</v>
      </c>
      <c r="N824">
        <v>0.50961108627626273</v>
      </c>
      <c r="O824">
        <v>0</v>
      </c>
      <c r="P824">
        <v>0</v>
      </c>
      <c r="Q824">
        <v>2.2351363433169424E-4</v>
      </c>
      <c r="R824">
        <v>0</v>
      </c>
      <c r="S824">
        <v>0</v>
      </c>
      <c r="T824">
        <v>4.4702726866338851E-3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4.4702726866338851E-3</v>
      </c>
      <c r="AF824">
        <v>0</v>
      </c>
      <c r="AG824">
        <v>0</v>
      </c>
      <c r="AH824">
        <v>0</v>
      </c>
      <c r="AI824">
        <v>6.7277603933839983E-2</v>
      </c>
      <c r="AJ824">
        <v>9.4322753687974978E-2</v>
      </c>
      <c r="AK824">
        <v>0</v>
      </c>
      <c r="AL824">
        <v>1.3410818059901656E-2</v>
      </c>
      <c r="AM824">
        <v>0</v>
      </c>
      <c r="AN824">
        <v>4.4702726866338848E-4</v>
      </c>
      <c r="AO824">
        <v>0</v>
      </c>
      <c r="AP824">
        <v>0</v>
      </c>
      <c r="AQ824">
        <v>8.9405453732677703E-3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1.3410818059901656E-2</v>
      </c>
      <c r="AY824">
        <v>0</v>
      </c>
      <c r="AZ824">
        <v>2.2351363433169424E-4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0.24139472507822973</v>
      </c>
      <c r="CB824">
        <v>0</v>
      </c>
    </row>
    <row r="825" spans="1:80">
      <c r="A825">
        <v>824</v>
      </c>
      <c r="B825" t="s">
        <v>65</v>
      </c>
      <c r="C825" s="4" t="s">
        <v>166</v>
      </c>
      <c r="D825" s="4" t="s">
        <v>117</v>
      </c>
      <c r="E825" s="5">
        <v>40616</v>
      </c>
      <c r="F825" s="5">
        <v>40616</v>
      </c>
      <c r="G825">
        <v>1103</v>
      </c>
      <c r="H825" s="4" t="s">
        <v>110</v>
      </c>
      <c r="I825" s="4" t="s">
        <v>108</v>
      </c>
      <c r="J825" s="4" t="str">
        <f t="shared" si="12"/>
        <v>u_rem.c_con</v>
      </c>
      <c r="K825" s="5">
        <v>8</v>
      </c>
      <c r="L825">
        <v>1.885902876001886E-2</v>
      </c>
      <c r="M825">
        <v>0.17468175388967469</v>
      </c>
      <c r="N825">
        <v>0.13696369636963698</v>
      </c>
      <c r="O825">
        <v>0</v>
      </c>
      <c r="P825">
        <v>0</v>
      </c>
      <c r="Q825">
        <v>4.7147571900047151E-3</v>
      </c>
      <c r="R825">
        <v>6.6006600660066014E-2</v>
      </c>
      <c r="S825">
        <v>0</v>
      </c>
      <c r="T825">
        <v>4.2668552569542662E-2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1.885902876001886E-2</v>
      </c>
      <c r="AE825">
        <v>0</v>
      </c>
      <c r="AF825">
        <v>0</v>
      </c>
      <c r="AG825">
        <v>0</v>
      </c>
      <c r="AH825">
        <v>0</v>
      </c>
      <c r="AI825">
        <v>4.7383309759547375E-2</v>
      </c>
      <c r="AJ825">
        <v>0.18859028760018859</v>
      </c>
      <c r="AK825">
        <v>0</v>
      </c>
      <c r="AL825">
        <v>0</v>
      </c>
      <c r="AM825">
        <v>0</v>
      </c>
      <c r="AN825">
        <v>2.003771805752004E-2</v>
      </c>
      <c r="AO825">
        <v>0</v>
      </c>
      <c r="AP825">
        <v>0</v>
      </c>
      <c r="AQ825">
        <v>2.3573785950023574E-4</v>
      </c>
      <c r="AR825">
        <v>0</v>
      </c>
      <c r="AS825">
        <v>9.6652522395096648E-3</v>
      </c>
      <c r="AT825">
        <v>3.0410183875530409E-2</v>
      </c>
      <c r="AU825">
        <v>0</v>
      </c>
      <c r="AV825">
        <v>0</v>
      </c>
      <c r="AW825">
        <v>0</v>
      </c>
      <c r="AX825">
        <v>2.8524280999528522E-2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4.9504950495049506E-3</v>
      </c>
      <c r="CA825">
        <v>0.20744931636020741</v>
      </c>
      <c r="CB825">
        <v>0</v>
      </c>
    </row>
    <row r="826" spans="1:80">
      <c r="A826">
        <v>825</v>
      </c>
      <c r="B826" t="s">
        <v>66</v>
      </c>
      <c r="C826" s="4" t="s">
        <v>167</v>
      </c>
      <c r="D826" s="4" t="s">
        <v>117</v>
      </c>
      <c r="E826" s="5">
        <v>40616</v>
      </c>
      <c r="F826" s="5">
        <v>40616</v>
      </c>
      <c r="G826">
        <v>1103</v>
      </c>
      <c r="H826" s="4" t="s">
        <v>107</v>
      </c>
      <c r="I826" s="4" t="s">
        <v>108</v>
      </c>
      <c r="J826" s="4" t="str">
        <f t="shared" si="12"/>
        <v>u_con.c_con</v>
      </c>
      <c r="K826" s="5">
        <v>19</v>
      </c>
      <c r="L826">
        <v>3.3034450212364327E-2</v>
      </c>
      <c r="M826">
        <v>0.42472864558754136</v>
      </c>
      <c r="N826">
        <v>0.24067956583294003</v>
      </c>
      <c r="O826">
        <v>0</v>
      </c>
      <c r="P826">
        <v>0</v>
      </c>
      <c r="Q826">
        <v>1.038225578102879E-2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4.719207173194904E-4</v>
      </c>
      <c r="AF826">
        <v>0</v>
      </c>
      <c r="AG826">
        <v>0</v>
      </c>
      <c r="AH826">
        <v>0</v>
      </c>
      <c r="AI826">
        <v>3.7989617744218974E-2</v>
      </c>
      <c r="AJ826">
        <v>4.7428032090608786E-2</v>
      </c>
      <c r="AK826">
        <v>0</v>
      </c>
      <c r="AL826">
        <v>5.2147239263803699E-2</v>
      </c>
      <c r="AM826">
        <v>0</v>
      </c>
      <c r="AN826">
        <v>1.9112789051439361E-2</v>
      </c>
      <c r="AO826">
        <v>0</v>
      </c>
      <c r="AP826">
        <v>0</v>
      </c>
      <c r="AQ826">
        <v>4.7192071731949042E-3</v>
      </c>
      <c r="AR826">
        <v>0</v>
      </c>
      <c r="AS826">
        <v>4.7192071731949042E-3</v>
      </c>
      <c r="AT826">
        <v>9.4384143463898079E-4</v>
      </c>
      <c r="AU826">
        <v>0</v>
      </c>
      <c r="AV826">
        <v>0</v>
      </c>
      <c r="AW826">
        <v>0</v>
      </c>
      <c r="AX826">
        <v>1.8876828692779617E-2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2.359603586597452E-4</v>
      </c>
      <c r="BY826">
        <v>0</v>
      </c>
      <c r="BZ826">
        <v>2.359603586597452E-4</v>
      </c>
      <c r="CA826">
        <v>0.1042944785276074</v>
      </c>
      <c r="CB826">
        <v>0</v>
      </c>
    </row>
    <row r="827" spans="1:80">
      <c r="A827">
        <v>826</v>
      </c>
      <c r="B827" t="s">
        <v>67</v>
      </c>
      <c r="C827" s="4" t="s">
        <v>167</v>
      </c>
      <c r="D827" s="4" t="s">
        <v>117</v>
      </c>
      <c r="E827" s="5">
        <v>40616</v>
      </c>
      <c r="F827" s="5">
        <v>40616</v>
      </c>
      <c r="G827">
        <v>1103</v>
      </c>
      <c r="H827" s="4" t="s">
        <v>107</v>
      </c>
      <c r="I827" s="4" t="s">
        <v>109</v>
      </c>
      <c r="J827" s="4" t="str">
        <f t="shared" si="12"/>
        <v>u_con.c_rem</v>
      </c>
      <c r="K827" s="5">
        <v>2</v>
      </c>
      <c r="L827">
        <v>1.4278914802475012E-2</v>
      </c>
      <c r="M827">
        <v>0.17229890528319847</v>
      </c>
      <c r="N827">
        <v>0.60447405997144232</v>
      </c>
      <c r="O827">
        <v>0</v>
      </c>
      <c r="P827">
        <v>0</v>
      </c>
      <c r="Q827">
        <v>1.0947168015230845E-2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4.7596382674916712E-3</v>
      </c>
      <c r="AF827">
        <v>0</v>
      </c>
      <c r="AG827">
        <v>0</v>
      </c>
      <c r="AH827">
        <v>0</v>
      </c>
      <c r="AI827">
        <v>2.9271775345073778E-2</v>
      </c>
      <c r="AJ827">
        <v>1.9038553069966685E-2</v>
      </c>
      <c r="AK827">
        <v>0</v>
      </c>
      <c r="AL827">
        <v>2.8557829604950024E-2</v>
      </c>
      <c r="AM827">
        <v>0</v>
      </c>
      <c r="AN827">
        <v>4.9976201808662555E-3</v>
      </c>
      <c r="AO827">
        <v>0</v>
      </c>
      <c r="AP827">
        <v>0</v>
      </c>
      <c r="AQ827">
        <v>9.5192765349833425E-3</v>
      </c>
      <c r="AR827">
        <v>0</v>
      </c>
      <c r="AS827">
        <v>4.9976201808662555E-3</v>
      </c>
      <c r="AT827">
        <v>0</v>
      </c>
      <c r="AU827">
        <v>0</v>
      </c>
      <c r="AV827">
        <v>0</v>
      </c>
      <c r="AW827">
        <v>0</v>
      </c>
      <c r="AX827">
        <v>1.4754878629224182E-2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4.759638267491671E-4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8.1627796287482179E-2</v>
      </c>
      <c r="CB827">
        <v>0</v>
      </c>
    </row>
    <row r="828" spans="1:80">
      <c r="A828">
        <v>827</v>
      </c>
      <c r="B828" t="s">
        <v>68</v>
      </c>
      <c r="C828" s="4" t="s">
        <v>167</v>
      </c>
      <c r="D828" s="4" t="s">
        <v>117</v>
      </c>
      <c r="E828" s="5">
        <v>40616</v>
      </c>
      <c r="F828" s="5">
        <v>40616</v>
      </c>
      <c r="G828">
        <v>1103</v>
      </c>
      <c r="H828" s="4" t="s">
        <v>107</v>
      </c>
      <c r="I828" s="4" t="s">
        <v>108</v>
      </c>
      <c r="J828" s="4" t="str">
        <f t="shared" si="12"/>
        <v>u_con.c_con</v>
      </c>
      <c r="K828" s="5">
        <v>19</v>
      </c>
      <c r="L828">
        <v>0</v>
      </c>
      <c r="M828">
        <v>0.22054856115107904</v>
      </c>
      <c r="N828">
        <v>0.22482014388489208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4.721223021582734E-3</v>
      </c>
      <c r="AF828">
        <v>0</v>
      </c>
      <c r="AG828">
        <v>0</v>
      </c>
      <c r="AH828">
        <v>0</v>
      </c>
      <c r="AI828">
        <v>9.0377697841726626E-2</v>
      </c>
      <c r="AJ828">
        <v>0.13534172661870503</v>
      </c>
      <c r="AK828">
        <v>0</v>
      </c>
      <c r="AL828">
        <v>5.8453237410071926E-2</v>
      </c>
      <c r="AM828">
        <v>0</v>
      </c>
      <c r="AN828">
        <v>4.9460431654676264E-3</v>
      </c>
      <c r="AO828">
        <v>0</v>
      </c>
      <c r="AP828">
        <v>0</v>
      </c>
      <c r="AQ828">
        <v>0</v>
      </c>
      <c r="AR828">
        <v>0</v>
      </c>
      <c r="AS828">
        <v>8.9928057553956831E-3</v>
      </c>
      <c r="AT828">
        <v>0</v>
      </c>
      <c r="AU828">
        <v>0</v>
      </c>
      <c r="AV828">
        <v>0</v>
      </c>
      <c r="AW828">
        <v>0</v>
      </c>
      <c r="AX828">
        <v>1.7985611510791366E-2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4.4964028776978415E-3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4.4964028776978415E-3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0.22482014388489202</v>
      </c>
      <c r="CB828">
        <v>0</v>
      </c>
    </row>
    <row r="829" spans="1:80">
      <c r="A829">
        <v>828</v>
      </c>
      <c r="B829" s="2" t="s">
        <v>69</v>
      </c>
      <c r="C829" s="4" t="s">
        <v>167</v>
      </c>
      <c r="D829" s="4" t="s">
        <v>117</v>
      </c>
      <c r="E829" s="5">
        <v>40616</v>
      </c>
      <c r="F829" s="5">
        <v>40616</v>
      </c>
      <c r="G829">
        <v>1103</v>
      </c>
      <c r="H829" s="4" t="s">
        <v>107</v>
      </c>
      <c r="I829" s="4" t="s">
        <v>109</v>
      </c>
      <c r="J829" s="4" t="str">
        <f t="shared" si="12"/>
        <v>u_con.c_rem</v>
      </c>
      <c r="K829" s="5">
        <v>2</v>
      </c>
      <c r="L829">
        <v>0</v>
      </c>
      <c r="M829">
        <v>0.12436715826546338</v>
      </c>
      <c r="N829">
        <v>0.14087607307946295</v>
      </c>
      <c r="O829">
        <v>0</v>
      </c>
      <c r="P829">
        <v>0</v>
      </c>
      <c r="Q829">
        <v>9.0248734316530944E-3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4.4023772837332173E-3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4.4023772837332173E-3</v>
      </c>
      <c r="AI829">
        <v>7.5720889280211326E-2</v>
      </c>
      <c r="AJ829">
        <v>0.18049746863306187</v>
      </c>
      <c r="AK829">
        <v>0</v>
      </c>
      <c r="AL829">
        <v>9.7072419106317448E-2</v>
      </c>
      <c r="AM829">
        <v>0</v>
      </c>
      <c r="AN829">
        <v>1.3647369579572974E-2</v>
      </c>
      <c r="AO829">
        <v>0</v>
      </c>
      <c r="AP829">
        <v>0</v>
      </c>
      <c r="AQ829">
        <v>0</v>
      </c>
      <c r="AR829">
        <v>0</v>
      </c>
      <c r="AS829">
        <v>9.244992295839756E-3</v>
      </c>
      <c r="AT829">
        <v>1.3207131851199652E-3</v>
      </c>
      <c r="AU829">
        <v>0</v>
      </c>
      <c r="AV829">
        <v>0</v>
      </c>
      <c r="AW829">
        <v>0</v>
      </c>
      <c r="AX829">
        <v>8.8047545674664347E-3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4.8426150121065386E-3</v>
      </c>
      <c r="CA829">
        <v>0.32577591899625796</v>
      </c>
      <c r="CB829">
        <v>0</v>
      </c>
    </row>
    <row r="830" spans="1:80">
      <c r="A830">
        <v>829</v>
      </c>
      <c r="B830" t="s">
        <v>71</v>
      </c>
      <c r="C830" s="4" t="s">
        <v>168</v>
      </c>
      <c r="D830" s="4" t="s">
        <v>117</v>
      </c>
      <c r="E830" s="5">
        <v>40616</v>
      </c>
      <c r="F830" s="5">
        <v>40616</v>
      </c>
      <c r="G830">
        <v>1103</v>
      </c>
      <c r="H830" s="4" t="s">
        <v>110</v>
      </c>
      <c r="I830" s="4" t="s">
        <v>108</v>
      </c>
      <c r="J830" s="4" t="str">
        <f t="shared" si="12"/>
        <v>u_rem.c_con</v>
      </c>
      <c r="K830" s="5">
        <v>8</v>
      </c>
      <c r="L830">
        <v>4.8532470533857166E-3</v>
      </c>
      <c r="M830">
        <v>0.3512826438641089</v>
      </c>
      <c r="N830">
        <v>0.3746244511208689</v>
      </c>
      <c r="O830">
        <v>0</v>
      </c>
      <c r="P830">
        <v>0</v>
      </c>
      <c r="Q830">
        <v>1.4097527155072797E-2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1.3866420152530621E-2</v>
      </c>
      <c r="AF830">
        <v>0</v>
      </c>
      <c r="AG830">
        <v>0</v>
      </c>
      <c r="AH830">
        <v>0</v>
      </c>
      <c r="AI830">
        <v>9.4753871042292572E-3</v>
      </c>
      <c r="AJ830">
        <v>0</v>
      </c>
      <c r="AK830">
        <v>0</v>
      </c>
      <c r="AL830">
        <v>5.1074647561821118E-2</v>
      </c>
      <c r="AM830">
        <v>0</v>
      </c>
      <c r="AN830">
        <v>0</v>
      </c>
      <c r="AO830">
        <v>0</v>
      </c>
      <c r="AP830">
        <v>0</v>
      </c>
      <c r="AQ830">
        <v>1.3866420152530621E-2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9.7296048070256519E-2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6.956320776519527E-2</v>
      </c>
      <c r="CB830">
        <v>0</v>
      </c>
    </row>
    <row r="831" spans="1:80">
      <c r="A831">
        <v>830</v>
      </c>
      <c r="B831" t="s">
        <v>70</v>
      </c>
      <c r="C831" s="4" t="s">
        <v>168</v>
      </c>
      <c r="D831" s="4" t="s">
        <v>117</v>
      </c>
      <c r="E831" s="5">
        <v>40616</v>
      </c>
      <c r="F831" s="5">
        <v>40616</v>
      </c>
      <c r="G831">
        <v>1103</v>
      </c>
      <c r="H831" s="4" t="s">
        <v>110</v>
      </c>
      <c r="I831" s="4" t="s">
        <v>109</v>
      </c>
      <c r="J831" s="4" t="str">
        <f t="shared" si="12"/>
        <v>u_rem.c_rem</v>
      </c>
      <c r="K831" s="5">
        <v>1</v>
      </c>
      <c r="L831">
        <v>1.9216910881575788E-2</v>
      </c>
      <c r="M831">
        <v>0.10617343262070623</v>
      </c>
      <c r="N831">
        <v>0.73985106894066766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0.13451837617103052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2.4021138601969732E-4</v>
      </c>
      <c r="CB831">
        <v>0</v>
      </c>
    </row>
    <row r="832" spans="1:80">
      <c r="A832">
        <v>831</v>
      </c>
      <c r="B832" t="s">
        <v>72</v>
      </c>
      <c r="C832" s="4" t="s">
        <v>168</v>
      </c>
      <c r="D832" s="4" t="s">
        <v>117</v>
      </c>
      <c r="E832" s="5">
        <v>40616</v>
      </c>
      <c r="F832" s="5">
        <v>40616</v>
      </c>
      <c r="G832">
        <v>1103</v>
      </c>
      <c r="H832" s="4" t="s">
        <v>110</v>
      </c>
      <c r="I832" s="4" t="s">
        <v>108</v>
      </c>
      <c r="J832" s="4" t="str">
        <f t="shared" si="12"/>
        <v>u_rem.c_con</v>
      </c>
      <c r="K832" s="5">
        <v>8</v>
      </c>
      <c r="L832">
        <v>4.9318929074682943E-3</v>
      </c>
      <c r="M832">
        <v>0.1836542977923907</v>
      </c>
      <c r="N832">
        <v>0.40394551432597448</v>
      </c>
      <c r="O832">
        <v>0</v>
      </c>
      <c r="P832">
        <v>0</v>
      </c>
      <c r="Q832">
        <v>1.9023015500234847E-2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1.9257867543447625E-2</v>
      </c>
      <c r="AF832">
        <v>0</v>
      </c>
      <c r="AG832">
        <v>0</v>
      </c>
      <c r="AH832">
        <v>0</v>
      </c>
      <c r="AI832">
        <v>2.4424612494128691E-2</v>
      </c>
      <c r="AJ832">
        <v>0</v>
      </c>
      <c r="AK832">
        <v>0</v>
      </c>
      <c r="AL832">
        <v>2.3485204321277587E-2</v>
      </c>
      <c r="AM832">
        <v>0</v>
      </c>
      <c r="AN832">
        <v>3.3583842179426948E-2</v>
      </c>
      <c r="AO832">
        <v>0</v>
      </c>
      <c r="AP832">
        <v>0</v>
      </c>
      <c r="AQ832">
        <v>4.6970408642555183E-3</v>
      </c>
      <c r="AR832">
        <v>0</v>
      </c>
      <c r="AS832">
        <v>0</v>
      </c>
      <c r="AT832">
        <v>0</v>
      </c>
      <c r="AU832">
        <v>2.3485204321277588E-4</v>
      </c>
      <c r="AV832">
        <v>0</v>
      </c>
      <c r="AW832">
        <v>0</v>
      </c>
      <c r="AX832">
        <v>2.3485204321277587E-2</v>
      </c>
      <c r="AY832">
        <v>0</v>
      </c>
      <c r="AZ832">
        <v>0</v>
      </c>
      <c r="BA832">
        <v>0.13644903710662279</v>
      </c>
      <c r="BB832">
        <v>0</v>
      </c>
      <c r="BC832">
        <v>0</v>
      </c>
      <c r="BD832">
        <v>0</v>
      </c>
      <c r="BE832">
        <v>5.1667449506810695E-3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9.3940817285110365E-3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4.6970408642555183E-3</v>
      </c>
      <c r="CA832">
        <v>0.10356975105683419</v>
      </c>
      <c r="CB832">
        <v>0</v>
      </c>
    </row>
    <row r="833" spans="1:80">
      <c r="A833">
        <v>832</v>
      </c>
      <c r="B833" t="s">
        <v>73</v>
      </c>
      <c r="C833" s="4" t="s">
        <v>168</v>
      </c>
      <c r="D833" s="4" t="s">
        <v>117</v>
      </c>
      <c r="E833" s="5">
        <v>40616</v>
      </c>
      <c r="F833" s="5">
        <v>40616</v>
      </c>
      <c r="G833">
        <v>1103</v>
      </c>
      <c r="H833" s="4" t="s">
        <v>110</v>
      </c>
      <c r="I833" s="4" t="s">
        <v>109</v>
      </c>
      <c r="J833" s="4" t="str">
        <f t="shared" si="12"/>
        <v>u_rem.c_rem</v>
      </c>
      <c r="K833" s="5">
        <v>1</v>
      </c>
      <c r="L833">
        <v>0</v>
      </c>
      <c r="M833">
        <v>0.32945736434108525</v>
      </c>
      <c r="N833">
        <v>0.36870155038759678</v>
      </c>
      <c r="O833">
        <v>0</v>
      </c>
      <c r="P833">
        <v>0</v>
      </c>
      <c r="Q833">
        <v>0</v>
      </c>
      <c r="R833">
        <v>2.4224806201550386E-2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2.4224806201550387E-4</v>
      </c>
      <c r="AF833">
        <v>0</v>
      </c>
      <c r="AG833">
        <v>0</v>
      </c>
      <c r="AH833">
        <v>0</v>
      </c>
      <c r="AI833">
        <v>5.3294573643410861E-3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0.18410852713178297</v>
      </c>
      <c r="BB833">
        <v>0</v>
      </c>
      <c r="BC833">
        <v>0</v>
      </c>
      <c r="BD833">
        <v>0</v>
      </c>
      <c r="BE833">
        <v>2.4224806201550387E-4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8.7693798449612406E-2</v>
      </c>
      <c r="CB833">
        <v>0</v>
      </c>
    </row>
    <row r="834" spans="1:80">
      <c r="A834">
        <v>833</v>
      </c>
      <c r="B834" t="s">
        <v>74</v>
      </c>
      <c r="C834" s="4" t="s">
        <v>169</v>
      </c>
      <c r="D834" s="4" t="s">
        <v>117</v>
      </c>
      <c r="E834" s="5">
        <v>40616</v>
      </c>
      <c r="F834" s="5">
        <v>40616</v>
      </c>
      <c r="G834">
        <v>1103</v>
      </c>
      <c r="H834" s="4" t="s">
        <v>110</v>
      </c>
      <c r="I834" s="4" t="s">
        <v>108</v>
      </c>
      <c r="J834" s="4" t="str">
        <f t="shared" ref="J834:J865" si="13">CONCATENATE(H834,".",I834)</f>
        <v>u_rem.c_con</v>
      </c>
      <c r="K834" s="5">
        <v>8</v>
      </c>
      <c r="L834">
        <v>4.9467067504782726E-2</v>
      </c>
      <c r="M834">
        <v>0.22957092101667115</v>
      </c>
      <c r="N834">
        <v>0.33889040721508601</v>
      </c>
      <c r="O834">
        <v>0</v>
      </c>
      <c r="P834">
        <v>0</v>
      </c>
      <c r="Q834">
        <v>5.4659743099207429E-3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5.7392730254167803E-3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0.19185569827821811</v>
      </c>
      <c r="AJ834">
        <v>0</v>
      </c>
      <c r="AK834">
        <v>0</v>
      </c>
      <c r="AL834">
        <v>7.6523640338890392E-2</v>
      </c>
      <c r="AM834">
        <v>0</v>
      </c>
      <c r="AN834">
        <v>3.3342443290516534E-2</v>
      </c>
      <c r="AO834">
        <v>0</v>
      </c>
      <c r="AP834">
        <v>0</v>
      </c>
      <c r="AQ834">
        <v>0</v>
      </c>
      <c r="AR834">
        <v>0</v>
      </c>
      <c r="AS834">
        <v>5.4659743099207429E-3</v>
      </c>
      <c r="AT834">
        <v>2.1863897239682972E-3</v>
      </c>
      <c r="AU834">
        <v>0</v>
      </c>
      <c r="AV834">
        <v>2.7329871549603714E-4</v>
      </c>
      <c r="AW834">
        <v>0</v>
      </c>
      <c r="AX834">
        <v>1.0931948619841486E-2</v>
      </c>
      <c r="AY834">
        <v>0</v>
      </c>
      <c r="AZ834">
        <v>0</v>
      </c>
      <c r="BA834">
        <v>5.4659743099207429E-4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4.9740366220278755E-2</v>
      </c>
      <c r="CB834">
        <v>0</v>
      </c>
    </row>
    <row r="835" spans="1:80">
      <c r="A835">
        <v>834</v>
      </c>
      <c r="B835" t="s">
        <v>75</v>
      </c>
      <c r="C835" s="4" t="s">
        <v>169</v>
      </c>
      <c r="D835" s="4" t="s">
        <v>117</v>
      </c>
      <c r="E835" s="5">
        <v>40616</v>
      </c>
      <c r="F835" s="5">
        <v>40616</v>
      </c>
      <c r="G835">
        <v>1103</v>
      </c>
      <c r="H835" s="4" t="s">
        <v>110</v>
      </c>
      <c r="I835" s="4" t="s">
        <v>108</v>
      </c>
      <c r="J835" s="4" t="str">
        <f t="shared" si="13"/>
        <v>u_rem.c_con</v>
      </c>
      <c r="K835" s="5">
        <v>8</v>
      </c>
      <c r="L835">
        <v>0</v>
      </c>
      <c r="M835">
        <v>0.28784056508577188</v>
      </c>
      <c r="N835">
        <v>0.2124117053481332</v>
      </c>
      <c r="O835">
        <v>0</v>
      </c>
      <c r="P835">
        <v>0</v>
      </c>
      <c r="Q835">
        <v>2.5227043390514632E-4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2.0181634712411706E-2</v>
      </c>
      <c r="AF835">
        <v>0</v>
      </c>
      <c r="AG835">
        <v>0</v>
      </c>
      <c r="AH835">
        <v>0</v>
      </c>
      <c r="AI835">
        <v>0.11175580221997981</v>
      </c>
      <c r="AJ835">
        <v>0</v>
      </c>
      <c r="AK835">
        <v>0</v>
      </c>
      <c r="AL835">
        <v>0.18163471241170534</v>
      </c>
      <c r="AM835">
        <v>0</v>
      </c>
      <c r="AN835">
        <v>5.6256306760847627E-2</v>
      </c>
      <c r="AO835">
        <v>0</v>
      </c>
      <c r="AP835">
        <v>0</v>
      </c>
      <c r="AQ835">
        <v>0</v>
      </c>
      <c r="AR835">
        <v>0</v>
      </c>
      <c r="AS835">
        <v>1.5388496468213927E-2</v>
      </c>
      <c r="AT835">
        <v>6.8113017154389508E-3</v>
      </c>
      <c r="AU835">
        <v>0</v>
      </c>
      <c r="AV835">
        <v>0</v>
      </c>
      <c r="AW835">
        <v>5.0454086781029264E-4</v>
      </c>
      <c r="AX835">
        <v>5.0454086781029266E-3</v>
      </c>
      <c r="AY835">
        <v>0</v>
      </c>
      <c r="AZ835">
        <v>0</v>
      </c>
      <c r="BA835">
        <v>1.0090817356205853E-3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0.10090817356205854</v>
      </c>
      <c r="CB835">
        <v>0</v>
      </c>
    </row>
    <row r="836" spans="1:80">
      <c r="A836">
        <v>835</v>
      </c>
      <c r="B836" t="s">
        <v>76</v>
      </c>
      <c r="C836" s="4" t="s">
        <v>169</v>
      </c>
      <c r="D836" s="4" t="s">
        <v>117</v>
      </c>
      <c r="E836" s="5">
        <v>40616</v>
      </c>
      <c r="F836" s="5">
        <v>40616</v>
      </c>
      <c r="G836">
        <v>1103</v>
      </c>
      <c r="H836" s="4" t="s">
        <v>110</v>
      </c>
      <c r="I836" s="4" t="s">
        <v>109</v>
      </c>
      <c r="J836" s="4" t="str">
        <f t="shared" si="13"/>
        <v>u_rem.c_rem</v>
      </c>
      <c r="K836" s="5">
        <v>1</v>
      </c>
      <c r="L836">
        <v>0.21201413427561835</v>
      </c>
      <c r="M836">
        <v>0.55594817432273258</v>
      </c>
      <c r="N836">
        <v>0.13686690223792697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1.4369846878680802E-2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7.5853945818610144E-2</v>
      </c>
      <c r="AR836">
        <v>0</v>
      </c>
      <c r="AS836">
        <v>0</v>
      </c>
      <c r="AT836">
        <v>2.3557126030624264E-4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4.7114252061248524E-3</v>
      </c>
      <c r="BZ836">
        <v>0</v>
      </c>
      <c r="CA836">
        <v>0</v>
      </c>
      <c r="CB836">
        <v>0</v>
      </c>
    </row>
    <row r="837" spans="1:80">
      <c r="A837">
        <v>836</v>
      </c>
      <c r="B837" t="s">
        <v>77</v>
      </c>
      <c r="C837" s="4" t="s">
        <v>169</v>
      </c>
      <c r="D837" s="4" t="s">
        <v>117</v>
      </c>
      <c r="E837" s="5">
        <v>40616</v>
      </c>
      <c r="F837" s="5">
        <v>40616</v>
      </c>
      <c r="G837">
        <v>1103</v>
      </c>
      <c r="H837" s="4" t="s">
        <v>110</v>
      </c>
      <c r="I837" s="4" t="s">
        <v>109</v>
      </c>
      <c r="J837" s="4" t="str">
        <f t="shared" si="13"/>
        <v>u_rem.c_rem</v>
      </c>
      <c r="K837" s="5">
        <v>1</v>
      </c>
      <c r="L837">
        <v>0</v>
      </c>
      <c r="M837">
        <v>0.22274412855377007</v>
      </c>
      <c r="N837">
        <v>0.24721878862793575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4.9443757725587149E-3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0.11891223733003708</v>
      </c>
      <c r="AI837">
        <v>8.5043263288009902E-2</v>
      </c>
      <c r="AJ837">
        <v>0</v>
      </c>
      <c r="AK837">
        <v>0</v>
      </c>
      <c r="AL837">
        <v>0.15822002472187888</v>
      </c>
      <c r="AM837">
        <v>0</v>
      </c>
      <c r="AN837">
        <v>2.4721878862793575E-2</v>
      </c>
      <c r="AO837">
        <v>0</v>
      </c>
      <c r="AP837">
        <v>0</v>
      </c>
      <c r="AQ837">
        <v>4.9443757725587149E-3</v>
      </c>
      <c r="AR837">
        <v>0</v>
      </c>
      <c r="AS837">
        <v>1.0135970333745366E-2</v>
      </c>
      <c r="AT837">
        <v>2.4721878862793575E-3</v>
      </c>
      <c r="AU837">
        <v>4.9443757725587149E-3</v>
      </c>
      <c r="AV837">
        <v>0</v>
      </c>
      <c r="AW837">
        <v>0</v>
      </c>
      <c r="AX837">
        <v>4.9443757725587149E-3</v>
      </c>
      <c r="AY837">
        <v>0</v>
      </c>
      <c r="AZ837">
        <v>0</v>
      </c>
      <c r="BA837">
        <v>3.0902348578491969E-2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7.9851668726823255E-2</v>
      </c>
      <c r="CB837">
        <v>0</v>
      </c>
    </row>
    <row r="838" spans="1:80">
      <c r="A838">
        <v>837</v>
      </c>
      <c r="B838" t="s">
        <v>78</v>
      </c>
      <c r="C838" s="4" t="s">
        <v>170</v>
      </c>
      <c r="D838" s="4" t="s">
        <v>117</v>
      </c>
      <c r="E838" s="5">
        <v>40616</v>
      </c>
      <c r="F838" s="5">
        <v>40616</v>
      </c>
      <c r="G838">
        <v>1103</v>
      </c>
      <c r="H838" s="4" t="s">
        <v>107</v>
      </c>
      <c r="I838" s="4" t="s">
        <v>109</v>
      </c>
      <c r="J838" s="4" t="str">
        <f t="shared" si="13"/>
        <v>u_con.c_rem</v>
      </c>
      <c r="K838" s="5">
        <v>2</v>
      </c>
      <c r="L838">
        <v>0</v>
      </c>
      <c r="M838">
        <v>0.25361033696478336</v>
      </c>
      <c r="N838">
        <v>0.31416265518115016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0.20800608056751962</v>
      </c>
      <c r="AJ838">
        <v>8.6141373194831547E-2</v>
      </c>
      <c r="AK838">
        <v>0</v>
      </c>
      <c r="AL838">
        <v>0</v>
      </c>
      <c r="AM838">
        <v>0</v>
      </c>
      <c r="AN838">
        <v>1.0894350139346341E-2</v>
      </c>
      <c r="AO838">
        <v>0</v>
      </c>
      <c r="AP838">
        <v>0</v>
      </c>
      <c r="AQ838">
        <v>0</v>
      </c>
      <c r="AR838">
        <v>0</v>
      </c>
      <c r="AS838">
        <v>2.5335697998479859E-2</v>
      </c>
      <c r="AT838">
        <v>5.0671395996959719E-4</v>
      </c>
      <c r="AU838">
        <v>0</v>
      </c>
      <c r="AV838">
        <v>0</v>
      </c>
      <c r="AW838">
        <v>0</v>
      </c>
      <c r="AX838">
        <v>5.0671395996959717E-3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9.6275652394223477E-2</v>
      </c>
      <c r="CB838">
        <v>0</v>
      </c>
    </row>
    <row r="839" spans="1:80">
      <c r="A839">
        <v>838</v>
      </c>
      <c r="B839" t="s">
        <v>79</v>
      </c>
      <c r="C839" s="4" t="s">
        <v>170</v>
      </c>
      <c r="D839" s="4" t="s">
        <v>117</v>
      </c>
      <c r="E839" s="5">
        <v>40616</v>
      </c>
      <c r="F839" s="5">
        <v>40616</v>
      </c>
      <c r="G839">
        <v>1103</v>
      </c>
      <c r="H839" s="4" t="s">
        <v>107</v>
      </c>
      <c r="I839" s="4" t="s">
        <v>108</v>
      </c>
      <c r="J839" s="4" t="str">
        <f t="shared" si="13"/>
        <v>u_con.c_con</v>
      </c>
      <c r="K839" s="5">
        <v>19</v>
      </c>
      <c r="L839">
        <v>1.8665422305179653E-2</v>
      </c>
      <c r="M839">
        <v>0.11759216052263183</v>
      </c>
      <c r="N839">
        <v>0.20998600093327105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1.8898740083994399E-2</v>
      </c>
      <c r="AF839">
        <v>0</v>
      </c>
      <c r="AG839">
        <v>0</v>
      </c>
      <c r="AH839">
        <v>0</v>
      </c>
      <c r="AI839">
        <v>0.1913205786280914</v>
      </c>
      <c r="AJ839">
        <v>0.2006532897806812</v>
      </c>
      <c r="AK839">
        <v>0</v>
      </c>
      <c r="AL839">
        <v>0</v>
      </c>
      <c r="AM839">
        <v>0</v>
      </c>
      <c r="AN839">
        <v>3.2664489034064388E-2</v>
      </c>
      <c r="AO839">
        <v>0</v>
      </c>
      <c r="AP839">
        <v>0</v>
      </c>
      <c r="AQ839">
        <v>0</v>
      </c>
      <c r="AR839">
        <v>0</v>
      </c>
      <c r="AS839">
        <v>2.7998133457769483E-2</v>
      </c>
      <c r="AT839">
        <v>2.3331777881474566E-4</v>
      </c>
      <c r="AU839">
        <v>0</v>
      </c>
      <c r="AV839">
        <v>0</v>
      </c>
      <c r="AW839">
        <v>9.3327111525898267E-3</v>
      </c>
      <c r="AX839">
        <v>4.6663555762949133E-3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0.16798880074661687</v>
      </c>
      <c r="CB839">
        <v>0</v>
      </c>
    </row>
    <row r="840" spans="1:80">
      <c r="A840">
        <v>839</v>
      </c>
      <c r="B840" t="s">
        <v>80</v>
      </c>
      <c r="C840" s="4" t="s">
        <v>170</v>
      </c>
      <c r="D840" s="4" t="s">
        <v>117</v>
      </c>
      <c r="E840" s="5">
        <v>40616</v>
      </c>
      <c r="F840" s="5">
        <v>40616</v>
      </c>
      <c r="G840">
        <v>1103</v>
      </c>
      <c r="H840" s="4" t="s">
        <v>107</v>
      </c>
      <c r="I840" s="4" t="s">
        <v>109</v>
      </c>
      <c r="J840" s="4" t="str">
        <f t="shared" si="13"/>
        <v>u_con.c_rem</v>
      </c>
      <c r="K840" s="5">
        <v>2</v>
      </c>
      <c r="L840">
        <v>0</v>
      </c>
      <c r="M840">
        <v>9.990552668871043E-2</v>
      </c>
      <c r="N840">
        <v>0.42985356636750122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4.7236655644780356E-3</v>
      </c>
      <c r="AF840">
        <v>0</v>
      </c>
      <c r="AG840">
        <v>0</v>
      </c>
      <c r="AH840">
        <v>0</v>
      </c>
      <c r="AI840">
        <v>7.1327350023618355E-2</v>
      </c>
      <c r="AJ840">
        <v>0.29286726499763821</v>
      </c>
      <c r="AK840">
        <v>0</v>
      </c>
      <c r="AL840">
        <v>0</v>
      </c>
      <c r="AM840">
        <v>0</v>
      </c>
      <c r="AN840">
        <v>4.7236655644780356E-3</v>
      </c>
      <c r="AO840">
        <v>0</v>
      </c>
      <c r="AP840">
        <v>0</v>
      </c>
      <c r="AQ840">
        <v>0</v>
      </c>
      <c r="AR840">
        <v>0</v>
      </c>
      <c r="AS840">
        <v>2.3618327822390176E-4</v>
      </c>
      <c r="AT840">
        <v>4.7236655644780352E-4</v>
      </c>
      <c r="AU840">
        <v>0</v>
      </c>
      <c r="AV840">
        <v>0</v>
      </c>
      <c r="AW840">
        <v>9.4473311289560713E-3</v>
      </c>
      <c r="AX840">
        <v>2.3618327822390176E-4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2.3618327822390176E-4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8.5970713273500241E-2</v>
      </c>
      <c r="CB840">
        <v>0</v>
      </c>
    </row>
    <row r="841" spans="1:80">
      <c r="A841">
        <v>840</v>
      </c>
      <c r="B841" t="s">
        <v>81</v>
      </c>
      <c r="C841" s="4" t="s">
        <v>170</v>
      </c>
      <c r="D841" s="4" t="s">
        <v>117</v>
      </c>
      <c r="E841" s="5">
        <v>40616</v>
      </c>
      <c r="F841" s="5">
        <v>40616</v>
      </c>
      <c r="G841">
        <v>1103</v>
      </c>
      <c r="H841" s="4" t="s">
        <v>107</v>
      </c>
      <c r="I841" s="4" t="s">
        <v>108</v>
      </c>
      <c r="J841" s="4" t="str">
        <f t="shared" si="13"/>
        <v>u_con.c_con</v>
      </c>
      <c r="K841" s="5">
        <v>19</v>
      </c>
      <c r="L841">
        <v>1.530612244897959E-2</v>
      </c>
      <c r="M841">
        <v>6.8877551020408129E-2</v>
      </c>
      <c r="N841">
        <v>0.23520408163265297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0.23979591836734679</v>
      </c>
      <c r="AJ841">
        <v>0.22448979591836726</v>
      </c>
      <c r="AK841">
        <v>0</v>
      </c>
      <c r="AL841">
        <v>0</v>
      </c>
      <c r="AM841">
        <v>0</v>
      </c>
      <c r="AN841">
        <v>1.0714285714285713E-2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1.1224489795918367E-2</v>
      </c>
      <c r="AU841">
        <v>0</v>
      </c>
      <c r="AV841">
        <v>1.0204081632653059E-2</v>
      </c>
      <c r="AW841">
        <v>5.3571428571428563E-3</v>
      </c>
      <c r="AX841">
        <v>1.0204081632653059E-2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2.5510204081632645E-4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0.1683673469387755</v>
      </c>
      <c r="CB841">
        <v>0</v>
      </c>
    </row>
    <row r="842" spans="1:80">
      <c r="A842">
        <v>841</v>
      </c>
      <c r="B842" t="s">
        <v>82</v>
      </c>
      <c r="C842" s="4" t="s">
        <v>171</v>
      </c>
      <c r="D842" s="4" t="s">
        <v>118</v>
      </c>
      <c r="E842" s="5">
        <v>40616</v>
      </c>
      <c r="F842" s="5">
        <v>40616</v>
      </c>
      <c r="G842">
        <v>1103</v>
      </c>
      <c r="H842" s="4" t="s">
        <v>110</v>
      </c>
      <c r="I842" s="4" t="s">
        <v>109</v>
      </c>
      <c r="J842" s="4" t="str">
        <f t="shared" si="13"/>
        <v>u_rem.c_rem</v>
      </c>
      <c r="K842" s="5">
        <v>1</v>
      </c>
      <c r="L842">
        <v>0</v>
      </c>
      <c r="M842">
        <v>0.18045977011494249</v>
      </c>
      <c r="N842">
        <v>0.11080459770114945</v>
      </c>
      <c r="O842">
        <v>0</v>
      </c>
      <c r="P842">
        <v>0</v>
      </c>
      <c r="Q842">
        <v>9.4252873563218393E-3</v>
      </c>
      <c r="R842">
        <v>0</v>
      </c>
      <c r="S842">
        <v>0</v>
      </c>
      <c r="T842">
        <v>4.5977011494252873E-3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9.1954022988505746E-3</v>
      </c>
      <c r="AJ842">
        <v>0</v>
      </c>
      <c r="AK842">
        <v>5.0574712643678167E-3</v>
      </c>
      <c r="AL842">
        <v>0</v>
      </c>
      <c r="AM842">
        <v>0</v>
      </c>
      <c r="AN842">
        <v>4.6436781609195406E-2</v>
      </c>
      <c r="AO842">
        <v>0</v>
      </c>
      <c r="AP842">
        <v>0</v>
      </c>
      <c r="AQ842">
        <v>1.1494252873563218E-3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4.827586206896552E-3</v>
      </c>
      <c r="AY842">
        <v>0</v>
      </c>
      <c r="AZ842">
        <v>0</v>
      </c>
      <c r="BA842">
        <v>9.7241379310344836E-2</v>
      </c>
      <c r="BB842">
        <v>5.2183908045977015E-2</v>
      </c>
      <c r="BC842">
        <v>0</v>
      </c>
      <c r="BD842">
        <v>0</v>
      </c>
      <c r="BE842">
        <v>0.29885057471264359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4.5977011494252873E-3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0.17517241379310342</v>
      </c>
      <c r="CB842">
        <v>0</v>
      </c>
    </row>
    <row r="843" spans="1:80">
      <c r="A843">
        <v>842</v>
      </c>
      <c r="B843" t="s">
        <v>83</v>
      </c>
      <c r="C843" s="4" t="s">
        <v>171</v>
      </c>
      <c r="D843" s="4" t="s">
        <v>118</v>
      </c>
      <c r="E843" s="5">
        <v>40616</v>
      </c>
      <c r="F843" s="5">
        <v>40616</v>
      </c>
      <c r="G843">
        <v>1103</v>
      </c>
      <c r="H843" s="4" t="s">
        <v>110</v>
      </c>
      <c r="I843" s="4" t="s">
        <v>108</v>
      </c>
      <c r="J843" s="4" t="str">
        <f t="shared" si="13"/>
        <v>u_rem.c_con</v>
      </c>
      <c r="K843" s="5">
        <v>8</v>
      </c>
      <c r="L843">
        <v>0</v>
      </c>
      <c r="M843">
        <v>0.23692456013497215</v>
      </c>
      <c r="N843">
        <v>0.11593154977102921</v>
      </c>
      <c r="O843">
        <v>0</v>
      </c>
      <c r="P843">
        <v>0</v>
      </c>
      <c r="Q843">
        <v>5.8086285852012531E-2</v>
      </c>
      <c r="R843">
        <v>0</v>
      </c>
      <c r="S843">
        <v>0</v>
      </c>
      <c r="T843">
        <v>4.8204386599180523E-3</v>
      </c>
      <c r="U843">
        <v>0</v>
      </c>
      <c r="V843">
        <v>0</v>
      </c>
      <c r="W843">
        <v>0</v>
      </c>
      <c r="X843">
        <v>5.0614605929139552E-3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4.8204386599180523E-3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1.9281754639672209E-2</v>
      </c>
      <c r="AM843">
        <v>0</v>
      </c>
      <c r="AN843">
        <v>1.012292118582791E-2</v>
      </c>
      <c r="AO843">
        <v>0</v>
      </c>
      <c r="AP843">
        <v>0</v>
      </c>
      <c r="AQ843">
        <v>9.6408773198361046E-3</v>
      </c>
      <c r="AR843">
        <v>0</v>
      </c>
      <c r="AS843">
        <v>4.8204386599180523E-3</v>
      </c>
      <c r="AT843">
        <v>7.2306579898770787E-4</v>
      </c>
      <c r="AU843">
        <v>0</v>
      </c>
      <c r="AV843">
        <v>0</v>
      </c>
      <c r="AW843">
        <v>0</v>
      </c>
      <c r="AX843">
        <v>9.8818992528320083E-3</v>
      </c>
      <c r="AY843">
        <v>0</v>
      </c>
      <c r="AZ843">
        <v>0</v>
      </c>
      <c r="BA843">
        <v>0.12629549288985298</v>
      </c>
      <c r="BB843">
        <v>4.5312123403229689E-2</v>
      </c>
      <c r="BC843">
        <v>0</v>
      </c>
      <c r="BD843">
        <v>0</v>
      </c>
      <c r="BE843">
        <v>0.15979754157628343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4.8204386599180523E-3</v>
      </c>
      <c r="BO843">
        <v>0</v>
      </c>
      <c r="BP843">
        <v>2.4102193299590263E-4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9.6408773198361046E-3</v>
      </c>
      <c r="CA843">
        <v>0.16895637503012775</v>
      </c>
      <c r="CB843">
        <v>0</v>
      </c>
    </row>
    <row r="844" spans="1:80">
      <c r="A844">
        <v>843</v>
      </c>
      <c r="B844" t="s">
        <v>84</v>
      </c>
      <c r="C844" s="4" t="s">
        <v>171</v>
      </c>
      <c r="D844" s="4" t="s">
        <v>118</v>
      </c>
      <c r="E844" s="5">
        <v>40616</v>
      </c>
      <c r="F844" s="5">
        <v>40616</v>
      </c>
      <c r="G844">
        <v>1103</v>
      </c>
      <c r="H844" s="4" t="s">
        <v>110</v>
      </c>
      <c r="I844" s="4" t="s">
        <v>109</v>
      </c>
      <c r="J844" s="4" t="str">
        <f t="shared" si="13"/>
        <v>u_rem.c_rem</v>
      </c>
      <c r="K844" s="5">
        <v>1</v>
      </c>
      <c r="L844">
        <v>0</v>
      </c>
      <c r="M844">
        <v>0.12123493975903611</v>
      </c>
      <c r="N844">
        <v>0.18599397590361444</v>
      </c>
      <c r="O844">
        <v>0</v>
      </c>
      <c r="P844">
        <v>0</v>
      </c>
      <c r="Q844">
        <v>0</v>
      </c>
      <c r="R844">
        <v>2.0080321285140559E-2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1.0040160642570279E-2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2.5100401606425695E-4</v>
      </c>
      <c r="AJ844">
        <v>0</v>
      </c>
      <c r="AK844">
        <v>0</v>
      </c>
      <c r="AL844">
        <v>1.0040160642570279E-2</v>
      </c>
      <c r="AM844">
        <v>5.2710843373493963E-3</v>
      </c>
      <c r="AN844">
        <v>5.5220883534136539E-3</v>
      </c>
      <c r="AO844">
        <v>0</v>
      </c>
      <c r="AP844">
        <v>0</v>
      </c>
      <c r="AQ844">
        <v>5.0200803212851397E-3</v>
      </c>
      <c r="AR844">
        <v>0</v>
      </c>
      <c r="AS844">
        <v>0</v>
      </c>
      <c r="AT844">
        <v>5.020080321285139E-4</v>
      </c>
      <c r="AU844">
        <v>0</v>
      </c>
      <c r="AV844">
        <v>0</v>
      </c>
      <c r="AW844">
        <v>0</v>
      </c>
      <c r="AX844">
        <v>1.0793172690763051E-2</v>
      </c>
      <c r="AY844">
        <v>0</v>
      </c>
      <c r="AZ844">
        <v>0</v>
      </c>
      <c r="BA844">
        <v>0.11169678714859435</v>
      </c>
      <c r="BB844">
        <v>8.1827309236947782E-2</v>
      </c>
      <c r="BC844">
        <v>0</v>
      </c>
      <c r="BD844">
        <v>0</v>
      </c>
      <c r="BE844">
        <v>0.30120481927710829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0.13052208835341361</v>
      </c>
      <c r="CB844">
        <v>0</v>
      </c>
    </row>
    <row r="845" spans="1:80">
      <c r="A845">
        <v>844</v>
      </c>
      <c r="B845" t="s">
        <v>85</v>
      </c>
      <c r="C845" s="4" t="s">
        <v>171</v>
      </c>
      <c r="D845" s="4" t="s">
        <v>118</v>
      </c>
      <c r="E845" s="5">
        <v>40616</v>
      </c>
      <c r="F845" s="5">
        <v>40616</v>
      </c>
      <c r="G845">
        <v>1103</v>
      </c>
      <c r="H845" s="4" t="s">
        <v>110</v>
      </c>
      <c r="I845" s="4" t="s">
        <v>108</v>
      </c>
      <c r="J845" s="4" t="str">
        <f t="shared" si="13"/>
        <v>u_rem.c_con</v>
      </c>
      <c r="K845" s="5">
        <v>8</v>
      </c>
      <c r="L845">
        <v>4.4533511467379199E-3</v>
      </c>
      <c r="M845">
        <v>0.34290803829881983</v>
      </c>
      <c r="N845">
        <v>7.5706969494544654E-2</v>
      </c>
      <c r="O845">
        <v>0</v>
      </c>
      <c r="P845">
        <v>0</v>
      </c>
      <c r="Q845">
        <v>8.082832331329326E-2</v>
      </c>
      <c r="R845">
        <v>0</v>
      </c>
      <c r="S845">
        <v>0</v>
      </c>
      <c r="T845">
        <v>1.336005344021376E-2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4.4533511467379199E-3</v>
      </c>
      <c r="AE845">
        <v>0</v>
      </c>
      <c r="AF845">
        <v>0</v>
      </c>
      <c r="AG845">
        <v>0</v>
      </c>
      <c r="AH845">
        <v>0</v>
      </c>
      <c r="AI845">
        <v>4.6760187040748163E-3</v>
      </c>
      <c r="AJ845">
        <v>0</v>
      </c>
      <c r="AK845">
        <v>0</v>
      </c>
      <c r="AL845">
        <v>0</v>
      </c>
      <c r="AM845">
        <v>0</v>
      </c>
      <c r="AN845">
        <v>4.8986862614117119E-3</v>
      </c>
      <c r="AO845">
        <v>0</v>
      </c>
      <c r="AP845">
        <v>0</v>
      </c>
      <c r="AQ845">
        <v>5.7893564907592961E-2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8.9067022934758398E-3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6.3237586283678454E-2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4.4533511467379199E-3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4.6760187040748163E-3</v>
      </c>
      <c r="CA845">
        <v>0.32954798485860604</v>
      </c>
      <c r="CB845">
        <v>0</v>
      </c>
    </row>
    <row r="846" spans="1:80">
      <c r="A846">
        <v>845</v>
      </c>
      <c r="B846" t="s">
        <v>86</v>
      </c>
      <c r="C846" s="4" t="s">
        <v>172</v>
      </c>
      <c r="D846" s="4" t="s">
        <v>118</v>
      </c>
      <c r="E846" s="5">
        <v>40616</v>
      </c>
      <c r="F846" s="5">
        <v>40616</v>
      </c>
      <c r="G846">
        <v>1103</v>
      </c>
      <c r="H846" s="4" t="s">
        <v>107</v>
      </c>
      <c r="I846" s="4" t="s">
        <v>108</v>
      </c>
      <c r="J846" s="4" t="str">
        <f t="shared" si="13"/>
        <v>u_con.c_con</v>
      </c>
      <c r="K846" s="5">
        <v>19</v>
      </c>
      <c r="L846">
        <v>4.6125461254612555E-3</v>
      </c>
      <c r="M846">
        <v>8.8099630996309991E-2</v>
      </c>
      <c r="N846">
        <v>8.348708487084873E-2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2.3062730627306278E-4</v>
      </c>
      <c r="AI846">
        <v>2.3062730627306276E-2</v>
      </c>
      <c r="AJ846">
        <v>0</v>
      </c>
      <c r="AK846">
        <v>0</v>
      </c>
      <c r="AL846">
        <v>9.2250922509225109E-3</v>
      </c>
      <c r="AM846">
        <v>0</v>
      </c>
      <c r="AN846">
        <v>1.4068265682656832E-2</v>
      </c>
      <c r="AO846">
        <v>0</v>
      </c>
      <c r="AP846">
        <v>0</v>
      </c>
      <c r="AQ846">
        <v>0</v>
      </c>
      <c r="AR846">
        <v>0</v>
      </c>
      <c r="AS846">
        <v>4.1512915129151298E-2</v>
      </c>
      <c r="AT846">
        <v>4.6125461254612555E-3</v>
      </c>
      <c r="AU846">
        <v>0</v>
      </c>
      <c r="AV846">
        <v>0</v>
      </c>
      <c r="AW846">
        <v>1.3837638376383765E-2</v>
      </c>
      <c r="AX846">
        <v>9.455719557195574E-3</v>
      </c>
      <c r="AY846">
        <v>0</v>
      </c>
      <c r="AZ846">
        <v>0</v>
      </c>
      <c r="BA846">
        <v>0.10193726937269376</v>
      </c>
      <c r="BB846">
        <v>2.3293357933579339E-2</v>
      </c>
      <c r="BC846">
        <v>0</v>
      </c>
      <c r="BD846">
        <v>0</v>
      </c>
      <c r="BE846">
        <v>8.8330258302583065E-2</v>
      </c>
      <c r="BF846">
        <v>1.8450184501845022E-2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4.6125461254612555E-3</v>
      </c>
      <c r="BO846">
        <v>4.6125461254612555E-3</v>
      </c>
      <c r="BP846">
        <v>9.2250922509225109E-3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2.3062730627306278E-4</v>
      </c>
      <c r="BY846">
        <v>0</v>
      </c>
      <c r="BZ846">
        <v>0</v>
      </c>
      <c r="CA846">
        <v>0.4428044280442805</v>
      </c>
      <c r="CB846">
        <v>1.3837638376383765E-2</v>
      </c>
    </row>
    <row r="847" spans="1:80">
      <c r="A847">
        <v>846</v>
      </c>
      <c r="B847" t="s">
        <v>87</v>
      </c>
      <c r="C847" s="4" t="s">
        <v>172</v>
      </c>
      <c r="D847" s="4" t="s">
        <v>118</v>
      </c>
      <c r="E847" s="5">
        <v>40616</v>
      </c>
      <c r="F847" s="5">
        <v>40616</v>
      </c>
      <c r="G847">
        <v>1103</v>
      </c>
      <c r="H847" s="4" t="s">
        <v>107</v>
      </c>
      <c r="I847" s="4" t="s">
        <v>109</v>
      </c>
      <c r="J847" s="4" t="str">
        <f t="shared" si="13"/>
        <v>u_con.c_rem</v>
      </c>
      <c r="K847" s="5">
        <v>2</v>
      </c>
      <c r="L847">
        <v>0</v>
      </c>
      <c r="M847">
        <v>5.4791154791154796E-2</v>
      </c>
      <c r="N847">
        <v>0.17714987714987718</v>
      </c>
      <c r="O847">
        <v>0</v>
      </c>
      <c r="P847">
        <v>0</v>
      </c>
      <c r="Q847">
        <v>4.9140049140049148E-3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8.3538083538083549E-2</v>
      </c>
      <c r="AF847">
        <v>0</v>
      </c>
      <c r="AG847">
        <v>0</v>
      </c>
      <c r="AH847">
        <v>0</v>
      </c>
      <c r="AI847">
        <v>0.15233415233415235</v>
      </c>
      <c r="AJ847">
        <v>0</v>
      </c>
      <c r="AK847">
        <v>0</v>
      </c>
      <c r="AL847">
        <v>0</v>
      </c>
      <c r="AM847">
        <v>6.3882063882063897E-2</v>
      </c>
      <c r="AN847">
        <v>9.8280098280098295E-3</v>
      </c>
      <c r="AO847">
        <v>0</v>
      </c>
      <c r="AP847">
        <v>0</v>
      </c>
      <c r="AQ847">
        <v>0</v>
      </c>
      <c r="AR847">
        <v>0</v>
      </c>
      <c r="AS847">
        <v>1.5233415233415237E-2</v>
      </c>
      <c r="AT847">
        <v>0</v>
      </c>
      <c r="AU847">
        <v>4.9140049140049148E-3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7.9115479115479156E-2</v>
      </c>
      <c r="BB847">
        <v>1.4987714987714992E-2</v>
      </c>
      <c r="BC847">
        <v>0</v>
      </c>
      <c r="BD847">
        <v>0</v>
      </c>
      <c r="BE847">
        <v>8.3538083538083563E-2</v>
      </c>
      <c r="BF847">
        <v>5.1597051597051611E-3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2.9484029484029485E-2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0.19656019656019658</v>
      </c>
      <c r="CB847">
        <v>1.9656019656019659E-2</v>
      </c>
    </row>
    <row r="848" spans="1:80">
      <c r="A848">
        <v>847</v>
      </c>
      <c r="B848" t="s">
        <v>88</v>
      </c>
      <c r="C848" s="4" t="s">
        <v>172</v>
      </c>
      <c r="D848" s="4" t="s">
        <v>118</v>
      </c>
      <c r="E848" s="5">
        <v>40616</v>
      </c>
      <c r="F848" s="5">
        <v>40616</v>
      </c>
      <c r="G848">
        <v>1103</v>
      </c>
      <c r="H848" s="4" t="s">
        <v>107</v>
      </c>
      <c r="I848" s="4" t="s">
        <v>109</v>
      </c>
      <c r="J848" s="4" t="str">
        <f t="shared" si="13"/>
        <v>u_con.c_rem</v>
      </c>
      <c r="K848" s="5">
        <v>2</v>
      </c>
      <c r="L848">
        <v>0</v>
      </c>
      <c r="M848">
        <v>3.5074809909246989E-2</v>
      </c>
      <c r="N848">
        <v>0.23080696590630359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5.6414029923963693E-3</v>
      </c>
      <c r="Y848">
        <v>0</v>
      </c>
      <c r="Z848">
        <v>4.9055678194751045E-3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0.11307333823890116</v>
      </c>
      <c r="AJ848">
        <v>0</v>
      </c>
      <c r="AK848">
        <v>0</v>
      </c>
      <c r="AL848">
        <v>9.8111356389502091E-3</v>
      </c>
      <c r="AM848">
        <v>8.3394652931076785E-2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3.4338974736325724E-2</v>
      </c>
      <c r="AT848">
        <v>7.3583517292126553E-4</v>
      </c>
      <c r="AU848">
        <v>0</v>
      </c>
      <c r="AV848">
        <v>2.4527839097375519E-4</v>
      </c>
      <c r="AW848">
        <v>0</v>
      </c>
      <c r="AX848">
        <v>2.4527839097375519E-4</v>
      </c>
      <c r="AY848">
        <v>0</v>
      </c>
      <c r="AZ848">
        <v>0</v>
      </c>
      <c r="BA848">
        <v>0.15697817022320337</v>
      </c>
      <c r="BB848">
        <v>4.439538876624969E-2</v>
      </c>
      <c r="BC848">
        <v>0</v>
      </c>
      <c r="BD848">
        <v>0</v>
      </c>
      <c r="BE848">
        <v>6.4017660044150104E-2</v>
      </c>
      <c r="BF848">
        <v>1.9867549668874173E-2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2.4773117488349275E-2</v>
      </c>
      <c r="BO848">
        <v>0</v>
      </c>
      <c r="BP848">
        <v>0</v>
      </c>
      <c r="BQ848">
        <v>9.8111356389502091E-3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0.11282805984792738</v>
      </c>
      <c r="CB848">
        <v>4.905567819475104E-2</v>
      </c>
    </row>
    <row r="849" spans="1:80">
      <c r="A849">
        <v>848</v>
      </c>
      <c r="B849" t="s">
        <v>89</v>
      </c>
      <c r="C849" s="4" t="s">
        <v>172</v>
      </c>
      <c r="D849" s="4" t="s">
        <v>118</v>
      </c>
      <c r="E849" s="5">
        <v>40616</v>
      </c>
      <c r="F849" s="5">
        <v>40616</v>
      </c>
      <c r="G849">
        <v>1103</v>
      </c>
      <c r="H849" s="4" t="s">
        <v>107</v>
      </c>
      <c r="I849" s="4" t="s">
        <v>108</v>
      </c>
      <c r="J849" s="4" t="str">
        <f t="shared" si="13"/>
        <v>u_con.c_con</v>
      </c>
      <c r="K849" s="5">
        <v>19</v>
      </c>
      <c r="L849">
        <v>0</v>
      </c>
      <c r="M849">
        <v>3.9459341617615003E-2</v>
      </c>
      <c r="N849">
        <v>0.18312622629169389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7.4122520165685643E-2</v>
      </c>
      <c r="AF849">
        <v>0</v>
      </c>
      <c r="AG849">
        <v>1.3080444735120997E-2</v>
      </c>
      <c r="AH849">
        <v>0</v>
      </c>
      <c r="AI849">
        <v>1.3734466971877047E-2</v>
      </c>
      <c r="AJ849">
        <v>0</v>
      </c>
      <c r="AK849">
        <v>0</v>
      </c>
      <c r="AL849">
        <v>0</v>
      </c>
      <c r="AM849">
        <v>6.9762371920645327E-2</v>
      </c>
      <c r="AN849">
        <v>2.1800741225201658E-4</v>
      </c>
      <c r="AO849">
        <v>0</v>
      </c>
      <c r="AP849">
        <v>0</v>
      </c>
      <c r="AQ849">
        <v>0</v>
      </c>
      <c r="AR849">
        <v>0</v>
      </c>
      <c r="AS849">
        <v>5.2539786352735998E-2</v>
      </c>
      <c r="AT849">
        <v>4.3601482450403317E-4</v>
      </c>
      <c r="AU849">
        <v>8.7202964900806642E-3</v>
      </c>
      <c r="AV849">
        <v>8.7202964900806642E-3</v>
      </c>
      <c r="AW849">
        <v>1.3080444735120997E-2</v>
      </c>
      <c r="AX849">
        <v>6.5402223675604975E-4</v>
      </c>
      <c r="AY849">
        <v>0</v>
      </c>
      <c r="AZ849">
        <v>0</v>
      </c>
      <c r="BA849">
        <v>9.679529103989537E-2</v>
      </c>
      <c r="BB849">
        <v>1.351645955962503E-2</v>
      </c>
      <c r="BC849">
        <v>0</v>
      </c>
      <c r="BD849">
        <v>0</v>
      </c>
      <c r="BE849">
        <v>0.14846304774362326</v>
      </c>
      <c r="BF849">
        <v>8.7202964900806633E-4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1.3298452147373014E-2</v>
      </c>
      <c r="BO849">
        <v>4.5781556572923486E-3</v>
      </c>
      <c r="BP849">
        <v>1.7440592980161328E-2</v>
      </c>
      <c r="BQ849">
        <v>4.5781556572923486E-3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4.3601482450403317E-4</v>
      </c>
      <c r="CA849">
        <v>0.21364726400697626</v>
      </c>
      <c r="CB849">
        <v>8.7202964900806642E-3</v>
      </c>
    </row>
    <row r="850" spans="1:80">
      <c r="A850">
        <v>849</v>
      </c>
      <c r="B850" t="s">
        <v>90</v>
      </c>
      <c r="C850" s="4" t="s">
        <v>173</v>
      </c>
      <c r="D850" s="4" t="s">
        <v>118</v>
      </c>
      <c r="E850" s="5">
        <v>40616</v>
      </c>
      <c r="F850" s="5">
        <v>40616</v>
      </c>
      <c r="G850">
        <v>1103</v>
      </c>
      <c r="H850" s="4" t="s">
        <v>107</v>
      </c>
      <c r="I850" s="4" t="s">
        <v>108</v>
      </c>
      <c r="J850" s="4" t="str">
        <f t="shared" si="13"/>
        <v>u_con.c_con</v>
      </c>
      <c r="K850" s="5">
        <v>19</v>
      </c>
      <c r="L850">
        <v>0</v>
      </c>
      <c r="M850">
        <v>6.5179677819083029E-2</v>
      </c>
      <c r="N850">
        <v>0.30731102850061953</v>
      </c>
      <c r="O850">
        <v>0</v>
      </c>
      <c r="P850">
        <v>0</v>
      </c>
      <c r="Q850">
        <v>3.0235439900867415E-2</v>
      </c>
      <c r="R850">
        <v>4.956629491945478E-3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3.4944237918215618E-2</v>
      </c>
      <c r="AA850">
        <v>2.4783147459727387E-4</v>
      </c>
      <c r="AB850">
        <v>0</v>
      </c>
      <c r="AC850">
        <v>0</v>
      </c>
      <c r="AD850">
        <v>0</v>
      </c>
      <c r="AE850">
        <v>4.956629491945478E-3</v>
      </c>
      <c r="AF850">
        <v>0</v>
      </c>
      <c r="AG850">
        <v>1.4869888475836436E-2</v>
      </c>
      <c r="AH850">
        <v>0</v>
      </c>
      <c r="AI850">
        <v>3.0978934324659237E-2</v>
      </c>
      <c r="AJ850">
        <v>0</v>
      </c>
      <c r="AK850">
        <v>0</v>
      </c>
      <c r="AL850">
        <v>9.913258983890956E-3</v>
      </c>
      <c r="AM850">
        <v>0</v>
      </c>
      <c r="AN850">
        <v>1.5613382899628258E-2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9.9132589838909547E-4</v>
      </c>
      <c r="AU850">
        <v>0</v>
      </c>
      <c r="AV850">
        <v>0</v>
      </c>
      <c r="AW850">
        <v>0</v>
      </c>
      <c r="AX850">
        <v>2.5526641883519212E-2</v>
      </c>
      <c r="AY850">
        <v>0</v>
      </c>
      <c r="AZ850">
        <v>0</v>
      </c>
      <c r="BA850">
        <v>0.10483271375464687</v>
      </c>
      <c r="BB850">
        <v>6.5923172242874861E-2</v>
      </c>
      <c r="BC850">
        <v>0</v>
      </c>
      <c r="BD850">
        <v>0</v>
      </c>
      <c r="BE850">
        <v>2.0074349442379187E-2</v>
      </c>
      <c r="BF850">
        <v>7.4349442379182166E-4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4.956629491945478E-3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4.956629491945478E-3</v>
      </c>
      <c r="BX850">
        <v>9.913258983890956E-3</v>
      </c>
      <c r="BY850">
        <v>0</v>
      </c>
      <c r="BZ850">
        <v>0</v>
      </c>
      <c r="CA850">
        <v>0.23791821561338289</v>
      </c>
      <c r="CB850">
        <v>4.956629491945478E-3</v>
      </c>
    </row>
    <row r="851" spans="1:80">
      <c r="A851">
        <v>850</v>
      </c>
      <c r="B851" t="s">
        <v>91</v>
      </c>
      <c r="C851" s="4" t="s">
        <v>173</v>
      </c>
      <c r="D851" s="4" t="s">
        <v>118</v>
      </c>
      <c r="E851" s="5">
        <v>40616</v>
      </c>
      <c r="F851" s="5">
        <v>40616</v>
      </c>
      <c r="G851">
        <v>1103</v>
      </c>
      <c r="H851" s="4" t="s">
        <v>107</v>
      </c>
      <c r="I851" s="4" t="s">
        <v>109</v>
      </c>
      <c r="J851" s="4" t="str">
        <f t="shared" si="13"/>
        <v>u_con.c_rem</v>
      </c>
      <c r="K851" s="5">
        <v>2</v>
      </c>
      <c r="L851">
        <v>1.4144271570014143E-2</v>
      </c>
      <c r="M851">
        <v>0.10938236680810939</v>
      </c>
      <c r="N851">
        <v>9.4766619519094777E-2</v>
      </c>
      <c r="O851">
        <v>0</v>
      </c>
      <c r="P851">
        <v>0</v>
      </c>
      <c r="Q851">
        <v>4.714757190004714E-2</v>
      </c>
      <c r="R851">
        <v>9.4530881659594529E-2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1.0136727958510137E-2</v>
      </c>
      <c r="AJ851">
        <v>0</v>
      </c>
      <c r="AK851">
        <v>0</v>
      </c>
      <c r="AL851">
        <v>2.3573785950023574E-2</v>
      </c>
      <c r="AM851">
        <v>0</v>
      </c>
      <c r="AN851">
        <v>2.3573785950023574E-2</v>
      </c>
      <c r="AO851">
        <v>0</v>
      </c>
      <c r="AP851">
        <v>0</v>
      </c>
      <c r="AQ851">
        <v>4.7147571900047151E-3</v>
      </c>
      <c r="AR851">
        <v>0</v>
      </c>
      <c r="AS851">
        <v>0</v>
      </c>
      <c r="AT851">
        <v>0</v>
      </c>
      <c r="AU851">
        <v>4.7147571900047151E-3</v>
      </c>
      <c r="AV851">
        <v>0</v>
      </c>
      <c r="AW851">
        <v>0</v>
      </c>
      <c r="AX851">
        <v>1.9094766619519095E-2</v>
      </c>
      <c r="AY851">
        <v>0</v>
      </c>
      <c r="AZ851">
        <v>0</v>
      </c>
      <c r="BA851">
        <v>0.12352663837812353</v>
      </c>
      <c r="BB851">
        <v>9.6652522395096648E-3</v>
      </c>
      <c r="BC851">
        <v>0</v>
      </c>
      <c r="BD851">
        <v>0</v>
      </c>
      <c r="BE851">
        <v>0.20768505421970765</v>
      </c>
      <c r="BF851">
        <v>4.7147571900047147E-4</v>
      </c>
      <c r="BG851">
        <v>0</v>
      </c>
      <c r="BH851">
        <v>0</v>
      </c>
      <c r="BI851">
        <v>0</v>
      </c>
      <c r="BJ851">
        <v>0</v>
      </c>
      <c r="BK851">
        <v>4.9504950495049506E-3</v>
      </c>
      <c r="BL851">
        <v>0</v>
      </c>
      <c r="BM851">
        <v>0</v>
      </c>
      <c r="BN851">
        <v>4.7147571900047147E-4</v>
      </c>
      <c r="BO851">
        <v>4.7147571900047151E-3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0.20273455917020267</v>
      </c>
      <c r="CB851">
        <v>0</v>
      </c>
    </row>
    <row r="852" spans="1:80">
      <c r="A852">
        <v>851</v>
      </c>
      <c r="B852" t="s">
        <v>92</v>
      </c>
      <c r="C852" s="4" t="s">
        <v>173</v>
      </c>
      <c r="D852" s="4" t="s">
        <v>118</v>
      </c>
      <c r="E852" s="5">
        <v>40616</v>
      </c>
      <c r="F852" s="5">
        <v>40616</v>
      </c>
      <c r="G852">
        <v>1103</v>
      </c>
      <c r="H852" s="4" t="s">
        <v>107</v>
      </c>
      <c r="I852" s="4" t="s">
        <v>108</v>
      </c>
      <c r="J852" s="4" t="str">
        <f t="shared" si="13"/>
        <v>u_con.c_con</v>
      </c>
      <c r="K852" s="5">
        <v>19</v>
      </c>
      <c r="L852">
        <v>0</v>
      </c>
      <c r="M852">
        <v>2.0458466847424205E-2</v>
      </c>
      <c r="N852">
        <v>0.27138279516884389</v>
      </c>
      <c r="O852">
        <v>0</v>
      </c>
      <c r="P852">
        <v>0</v>
      </c>
      <c r="Q852">
        <v>2.982499383781119E-2</v>
      </c>
      <c r="R852">
        <v>4.9297510475720972E-2</v>
      </c>
      <c r="S852">
        <v>0</v>
      </c>
      <c r="T852">
        <v>4.9297510475720977E-3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9.4404732561005678E-2</v>
      </c>
      <c r="AJ852">
        <v>0</v>
      </c>
      <c r="AK852">
        <v>0</v>
      </c>
      <c r="AL852">
        <v>0</v>
      </c>
      <c r="AM852">
        <v>0</v>
      </c>
      <c r="AN852">
        <v>1.0352477199901407E-2</v>
      </c>
      <c r="AO852">
        <v>0</v>
      </c>
      <c r="AP852">
        <v>0</v>
      </c>
      <c r="AQ852">
        <v>0</v>
      </c>
      <c r="AR852">
        <v>0</v>
      </c>
      <c r="AS852">
        <v>4.9297510475720977E-3</v>
      </c>
      <c r="AT852">
        <v>5.6692137047079129E-3</v>
      </c>
      <c r="AU852">
        <v>5.1762385999507034E-3</v>
      </c>
      <c r="AV852">
        <v>0</v>
      </c>
      <c r="AW852">
        <v>0</v>
      </c>
      <c r="AX852">
        <v>9.8595020951441955E-3</v>
      </c>
      <c r="AY852">
        <v>0</v>
      </c>
      <c r="AZ852">
        <v>0</v>
      </c>
      <c r="BA852">
        <v>0.1037712595513927</v>
      </c>
      <c r="BB852">
        <v>2.4648755237860487E-4</v>
      </c>
      <c r="BC852">
        <v>0</v>
      </c>
      <c r="BD852">
        <v>0</v>
      </c>
      <c r="BE852">
        <v>0.14789253142716294</v>
      </c>
      <c r="BF852">
        <v>4.9297510475720977E-3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4.9297510475720977E-3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0.23194478678826716</v>
      </c>
      <c r="CB852">
        <v>0</v>
      </c>
    </row>
    <row r="853" spans="1:80">
      <c r="A853">
        <v>852</v>
      </c>
      <c r="B853" t="s">
        <v>93</v>
      </c>
      <c r="C853" s="4" t="s">
        <v>173</v>
      </c>
      <c r="D853" s="4" t="s">
        <v>118</v>
      </c>
      <c r="E853" s="5">
        <v>40616</v>
      </c>
      <c r="F853" s="5">
        <v>40616</v>
      </c>
      <c r="G853">
        <v>1103</v>
      </c>
      <c r="H853" s="4" t="s">
        <v>107</v>
      </c>
      <c r="I853" s="4" t="s">
        <v>109</v>
      </c>
      <c r="J853" s="4" t="str">
        <f t="shared" si="13"/>
        <v>u_con.c_rem</v>
      </c>
      <c r="K853" s="5">
        <v>2</v>
      </c>
      <c r="L853">
        <v>0</v>
      </c>
      <c r="M853">
        <v>1.7273288093769285E-2</v>
      </c>
      <c r="N853">
        <v>0.17293851531976151</v>
      </c>
      <c r="O853">
        <v>0</v>
      </c>
      <c r="P853">
        <v>0</v>
      </c>
      <c r="Q853">
        <v>2.4881760230310513E-2</v>
      </c>
      <c r="R853">
        <v>0</v>
      </c>
      <c r="S853">
        <v>0</v>
      </c>
      <c r="T853">
        <v>4.1126876413736385E-3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2.878881348961547E-2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4.1126876413736385E-3</v>
      </c>
      <c r="AH853">
        <v>0</v>
      </c>
      <c r="AI853">
        <v>5.3670573719925979E-2</v>
      </c>
      <c r="AJ853">
        <v>0</v>
      </c>
      <c r="AK853">
        <v>0</v>
      </c>
      <c r="AL853">
        <v>5.7577626979230939E-2</v>
      </c>
      <c r="AM853">
        <v>0</v>
      </c>
      <c r="AN853">
        <v>2.4881760230310513E-2</v>
      </c>
      <c r="AO853">
        <v>0</v>
      </c>
      <c r="AP853">
        <v>0</v>
      </c>
      <c r="AQ853">
        <v>0</v>
      </c>
      <c r="AR853">
        <v>0</v>
      </c>
      <c r="AS853">
        <v>2.8994447871684152E-2</v>
      </c>
      <c r="AT853">
        <v>0</v>
      </c>
      <c r="AU853">
        <v>0</v>
      </c>
      <c r="AV853">
        <v>0</v>
      </c>
      <c r="AW853">
        <v>0</v>
      </c>
      <c r="AX853">
        <v>1.6862019329631921E-2</v>
      </c>
      <c r="AY853">
        <v>0</v>
      </c>
      <c r="AZ853">
        <v>0</v>
      </c>
      <c r="BA853">
        <v>7.4439646308862878E-2</v>
      </c>
      <c r="BB853">
        <v>5.4287476866132042E-2</v>
      </c>
      <c r="BC853">
        <v>0</v>
      </c>
      <c r="BD853">
        <v>0</v>
      </c>
      <c r="BE853">
        <v>0.14887929261772573</v>
      </c>
      <c r="BF853">
        <v>8.4310096648159607E-3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0.27966275961340736</v>
      </c>
      <c r="CB853">
        <v>0</v>
      </c>
    </row>
    <row r="854" spans="1:80">
      <c r="A854">
        <v>853</v>
      </c>
      <c r="B854" t="s">
        <v>94</v>
      </c>
      <c r="C854" s="4" t="s">
        <v>174</v>
      </c>
      <c r="D854" s="4" t="s">
        <v>118</v>
      </c>
      <c r="E854" s="5">
        <v>40616</v>
      </c>
      <c r="F854" s="5">
        <v>40616</v>
      </c>
      <c r="G854">
        <v>1103</v>
      </c>
      <c r="H854" s="4" t="s">
        <v>110</v>
      </c>
      <c r="I854" s="4" t="s">
        <v>108</v>
      </c>
      <c r="J854" s="4" t="str">
        <f t="shared" si="13"/>
        <v>u_rem.c_con</v>
      </c>
      <c r="K854" s="5">
        <v>8</v>
      </c>
      <c r="L854">
        <v>0</v>
      </c>
      <c r="M854">
        <v>7.4419663177059656E-2</v>
      </c>
      <c r="N854">
        <v>0.43695949021392821</v>
      </c>
      <c r="O854">
        <v>0</v>
      </c>
      <c r="P854">
        <v>0</v>
      </c>
      <c r="Q854">
        <v>1.8206645425580342E-2</v>
      </c>
      <c r="R854">
        <v>0.10923987255348205</v>
      </c>
      <c r="S854">
        <v>0</v>
      </c>
      <c r="T854">
        <v>2.7309968138370513E-2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9.1260810195721492E-2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9.1033227127901711E-3</v>
      </c>
      <c r="AT854">
        <v>5.4619936276741029E-3</v>
      </c>
      <c r="AU854">
        <v>0</v>
      </c>
      <c r="AV854">
        <v>0</v>
      </c>
      <c r="AW854">
        <v>4.5516613563950856E-3</v>
      </c>
      <c r="AX854">
        <v>4.7792444242148397E-3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2.2758306781975427E-4</v>
      </c>
      <c r="CA854">
        <v>0.21847974510696405</v>
      </c>
      <c r="CB854">
        <v>0</v>
      </c>
    </row>
    <row r="855" spans="1:80">
      <c r="A855">
        <v>854</v>
      </c>
      <c r="B855" t="s">
        <v>95</v>
      </c>
      <c r="C855" s="4" t="s">
        <v>174</v>
      </c>
      <c r="D855" s="4" t="s">
        <v>118</v>
      </c>
      <c r="E855" s="5">
        <v>40616</v>
      </c>
      <c r="F855" s="5">
        <v>40616</v>
      </c>
      <c r="G855">
        <v>1103</v>
      </c>
      <c r="H855" s="4" t="s">
        <v>110</v>
      </c>
      <c r="I855" s="4" t="s">
        <v>109</v>
      </c>
      <c r="J855" s="4" t="str">
        <f t="shared" si="13"/>
        <v>u_rem.c_rem</v>
      </c>
      <c r="K855" s="5">
        <v>1</v>
      </c>
      <c r="L855">
        <v>0</v>
      </c>
      <c r="M855">
        <v>8.5970819304152638E-2</v>
      </c>
      <c r="N855">
        <v>0.32323232323232315</v>
      </c>
      <c r="O855">
        <v>0</v>
      </c>
      <c r="P855">
        <v>4.4893378226711555E-3</v>
      </c>
      <c r="Q855">
        <v>1.3468013468013469E-2</v>
      </c>
      <c r="R855">
        <v>0</v>
      </c>
      <c r="S855">
        <v>0</v>
      </c>
      <c r="T855">
        <v>1.3468013468013466E-2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8.5521885521885527E-2</v>
      </c>
      <c r="AJ855">
        <v>0.1212121212121212</v>
      </c>
      <c r="AK855">
        <v>0</v>
      </c>
      <c r="AL855">
        <v>0</v>
      </c>
      <c r="AM855">
        <v>0</v>
      </c>
      <c r="AN855">
        <v>4.7138047138047135E-3</v>
      </c>
      <c r="AO855">
        <v>0</v>
      </c>
      <c r="AP855">
        <v>0</v>
      </c>
      <c r="AQ855">
        <v>0</v>
      </c>
      <c r="AR855">
        <v>0</v>
      </c>
      <c r="AS855">
        <v>9.2031425364758699E-3</v>
      </c>
      <c r="AT855">
        <v>4.7138047138047135E-3</v>
      </c>
      <c r="AU855">
        <v>1.1223344556677889E-3</v>
      </c>
      <c r="AV855">
        <v>0</v>
      </c>
      <c r="AW855">
        <v>1.8181818181818181E-2</v>
      </c>
      <c r="AX855">
        <v>4.9382716049382715E-3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4.4893378226711555E-3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8.978675645342311E-3</v>
      </c>
      <c r="BY855">
        <v>0</v>
      </c>
      <c r="BZ855">
        <v>0</v>
      </c>
      <c r="CA855">
        <v>0.29629629629629622</v>
      </c>
      <c r="CB855">
        <v>0</v>
      </c>
    </row>
    <row r="856" spans="1:80">
      <c r="A856">
        <v>855</v>
      </c>
      <c r="B856" t="s">
        <v>96</v>
      </c>
      <c r="C856" s="4" t="s">
        <v>174</v>
      </c>
      <c r="D856" s="4" t="s">
        <v>118</v>
      </c>
      <c r="E856" s="5">
        <v>40616</v>
      </c>
      <c r="F856" s="5">
        <v>40616</v>
      </c>
      <c r="G856">
        <v>1103</v>
      </c>
      <c r="H856" s="4" t="s">
        <v>110</v>
      </c>
      <c r="I856" s="4" t="s">
        <v>109</v>
      </c>
      <c r="J856" s="4" t="str">
        <f t="shared" si="13"/>
        <v>u_rem.c_rem</v>
      </c>
      <c r="K856" s="5">
        <v>1</v>
      </c>
      <c r="L856">
        <v>0</v>
      </c>
      <c r="M856">
        <v>4.5655050727834143E-2</v>
      </c>
      <c r="N856">
        <v>0.34406704896338774</v>
      </c>
      <c r="O856">
        <v>0</v>
      </c>
      <c r="P856">
        <v>0</v>
      </c>
      <c r="Q856">
        <v>4.4111160123511258E-3</v>
      </c>
      <c r="R856">
        <v>0</v>
      </c>
      <c r="S856">
        <v>0</v>
      </c>
      <c r="T856">
        <v>4.8742831936479936E-2</v>
      </c>
      <c r="U856">
        <v>0</v>
      </c>
      <c r="V856">
        <v>0</v>
      </c>
      <c r="W856">
        <v>0</v>
      </c>
      <c r="X856">
        <v>4.4111160123511258E-3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0.10586678429642704</v>
      </c>
      <c r="AJ856">
        <v>0.15902073224525806</v>
      </c>
      <c r="AK856">
        <v>0</v>
      </c>
      <c r="AL856">
        <v>0</v>
      </c>
      <c r="AM856">
        <v>0</v>
      </c>
      <c r="AN856">
        <v>1.4115571239523603E-2</v>
      </c>
      <c r="AO856">
        <v>0</v>
      </c>
      <c r="AP856">
        <v>0</v>
      </c>
      <c r="AQ856">
        <v>0</v>
      </c>
      <c r="AR856">
        <v>0</v>
      </c>
      <c r="AS856">
        <v>3.5288928098809E-2</v>
      </c>
      <c r="AT856">
        <v>1.7865019850022059E-2</v>
      </c>
      <c r="AU856">
        <v>4.4111160123511258E-3</v>
      </c>
      <c r="AV856">
        <v>0</v>
      </c>
      <c r="AW856">
        <v>1.7644464049404503E-2</v>
      </c>
      <c r="AX856">
        <v>4.4111160123511258E-3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0.19408910454344949</v>
      </c>
      <c r="CB856">
        <v>0</v>
      </c>
    </row>
    <row r="857" spans="1:80">
      <c r="A857">
        <v>856</v>
      </c>
      <c r="B857" t="s">
        <v>97</v>
      </c>
      <c r="C857" s="4" t="s">
        <v>174</v>
      </c>
      <c r="D857" s="4" t="s">
        <v>118</v>
      </c>
      <c r="E857" s="5">
        <v>40616</v>
      </c>
      <c r="F857" s="5">
        <v>40616</v>
      </c>
      <c r="G857">
        <v>1103</v>
      </c>
      <c r="H857" s="4" t="s">
        <v>110</v>
      </c>
      <c r="I857" s="4" t="s">
        <v>108</v>
      </c>
      <c r="J857" s="4" t="str">
        <f t="shared" si="13"/>
        <v>u_rem.c_con</v>
      </c>
      <c r="K857" s="5">
        <v>8</v>
      </c>
      <c r="L857">
        <v>0</v>
      </c>
      <c r="M857">
        <v>0.11763377737638299</v>
      </c>
      <c r="N857">
        <v>0.26665161435990059</v>
      </c>
      <c r="O857">
        <v>0</v>
      </c>
      <c r="P857">
        <v>0</v>
      </c>
      <c r="Q857">
        <v>1.8514337322194631E-2</v>
      </c>
      <c r="R857">
        <v>0.17611198916233911</v>
      </c>
      <c r="S857">
        <v>0</v>
      </c>
      <c r="T857">
        <v>9.482953262587494E-3</v>
      </c>
      <c r="U857">
        <v>0</v>
      </c>
      <c r="V857">
        <v>0</v>
      </c>
      <c r="W857">
        <v>0</v>
      </c>
      <c r="X857">
        <v>2.2578460149017842E-4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4.5156920298035684E-3</v>
      </c>
      <c r="AI857">
        <v>4.5834274102506213E-2</v>
      </c>
      <c r="AJ857">
        <v>5.8703996387446389E-3</v>
      </c>
      <c r="AK857">
        <v>0</v>
      </c>
      <c r="AL857">
        <v>0</v>
      </c>
      <c r="AM857">
        <v>0</v>
      </c>
      <c r="AN857">
        <v>4.5156920298035684E-3</v>
      </c>
      <c r="AO857">
        <v>0</v>
      </c>
      <c r="AP857">
        <v>0</v>
      </c>
      <c r="AQ857">
        <v>0</v>
      </c>
      <c r="AR857">
        <v>0</v>
      </c>
      <c r="AS857">
        <v>2.7094152178821409E-2</v>
      </c>
      <c r="AT857">
        <v>4.9672612327839255E-3</v>
      </c>
      <c r="AU857">
        <v>9.0313840596071369E-3</v>
      </c>
      <c r="AV857">
        <v>0</v>
      </c>
      <c r="AW857">
        <v>9.0313840596071367E-4</v>
      </c>
      <c r="AX857">
        <v>2.844885978776248E-2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2.2578460149017842E-4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0.27545721381801763</v>
      </c>
      <c r="CB857">
        <v>4.5156920298035684E-3</v>
      </c>
    </row>
    <row r="858" spans="1:80">
      <c r="A858">
        <v>857</v>
      </c>
      <c r="B858" t="s">
        <v>98</v>
      </c>
      <c r="C858" s="4" t="s">
        <v>175</v>
      </c>
      <c r="D858" s="4" t="s">
        <v>118</v>
      </c>
      <c r="E858" s="5">
        <v>40616</v>
      </c>
      <c r="F858" s="5">
        <v>40616</v>
      </c>
      <c r="G858">
        <v>1103</v>
      </c>
      <c r="H858" s="4" t="s">
        <v>107</v>
      </c>
      <c r="I858" s="4" t="s">
        <v>109</v>
      </c>
      <c r="J858" s="4" t="str">
        <f t="shared" si="13"/>
        <v>u_con.c_rem</v>
      </c>
      <c r="K858" s="5">
        <v>2</v>
      </c>
      <c r="L858">
        <v>0</v>
      </c>
      <c r="M858">
        <v>0.15141072582382079</v>
      </c>
      <c r="N858">
        <v>6.5044152487615775E-2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4.5229377557613609E-3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3.4460478139134179E-2</v>
      </c>
      <c r="AI858">
        <v>5.5998276976093046E-2</v>
      </c>
      <c r="AJ858">
        <v>3.0152918371742402E-2</v>
      </c>
      <c r="AK858">
        <v>0</v>
      </c>
      <c r="AL858">
        <v>0</v>
      </c>
      <c r="AM858">
        <v>0</v>
      </c>
      <c r="AN858">
        <v>1.4214947232392848E-2</v>
      </c>
      <c r="AO858">
        <v>0</v>
      </c>
      <c r="AP858">
        <v>0</v>
      </c>
      <c r="AQ858">
        <v>0</v>
      </c>
      <c r="AR858">
        <v>0</v>
      </c>
      <c r="AS858">
        <v>5.2121473185440435E-2</v>
      </c>
      <c r="AT858">
        <v>1.3353435278914496E-2</v>
      </c>
      <c r="AU858">
        <v>1.7445617057936676E-2</v>
      </c>
      <c r="AV858">
        <v>0</v>
      </c>
      <c r="AW858">
        <v>2.5845358604350631E-2</v>
      </c>
      <c r="AX858">
        <v>1.7660995046306267E-2</v>
      </c>
      <c r="AY858">
        <v>8.6151195347835448E-3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0.18544044798621576</v>
      </c>
      <c r="BF858">
        <v>4.3075597673917724E-3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0.31875942278699104</v>
      </c>
      <c r="CB858">
        <v>0</v>
      </c>
    </row>
    <row r="859" spans="1:80">
      <c r="A859">
        <v>858</v>
      </c>
      <c r="B859" t="s">
        <v>99</v>
      </c>
      <c r="C859" s="4" t="s">
        <v>175</v>
      </c>
      <c r="D859" s="4" t="s">
        <v>118</v>
      </c>
      <c r="E859" s="5">
        <v>40616</v>
      </c>
      <c r="F859" s="5">
        <v>40616</v>
      </c>
      <c r="G859">
        <v>1103</v>
      </c>
      <c r="H859" s="4" t="s">
        <v>107</v>
      </c>
      <c r="I859" s="4" t="s">
        <v>108</v>
      </c>
      <c r="J859" s="4" t="str">
        <f t="shared" si="13"/>
        <v>u_con.c_con</v>
      </c>
      <c r="K859" s="5">
        <v>19</v>
      </c>
      <c r="L859">
        <v>0</v>
      </c>
      <c r="M859">
        <v>0.17003696455751252</v>
      </c>
      <c r="N859">
        <v>0.25222874537943024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3.5007610350076102E-2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1.3046314416177433E-2</v>
      </c>
      <c r="AI859">
        <v>8.7845183735594704E-2</v>
      </c>
      <c r="AJ859">
        <v>7.8277886497064603E-2</v>
      </c>
      <c r="AK859">
        <v>0</v>
      </c>
      <c r="AL859">
        <v>0</v>
      </c>
      <c r="AM859">
        <v>0</v>
      </c>
      <c r="AN859">
        <v>2.1961295933898676E-2</v>
      </c>
      <c r="AO859">
        <v>0</v>
      </c>
      <c r="AP859">
        <v>0</v>
      </c>
      <c r="AQ859">
        <v>0</v>
      </c>
      <c r="AR859">
        <v>0</v>
      </c>
      <c r="AS859">
        <v>5.2185257664709724E-2</v>
      </c>
      <c r="AT859">
        <v>6.5231572080887157E-4</v>
      </c>
      <c r="AU859">
        <v>0</v>
      </c>
      <c r="AV859">
        <v>0</v>
      </c>
      <c r="AW859">
        <v>0</v>
      </c>
      <c r="AX859">
        <v>1.326375298978039E-2</v>
      </c>
      <c r="AY859">
        <v>0</v>
      </c>
      <c r="AZ859">
        <v>0</v>
      </c>
      <c r="BA859">
        <v>5.4359643400739297E-3</v>
      </c>
      <c r="BB859">
        <v>0</v>
      </c>
      <c r="BC859">
        <v>0</v>
      </c>
      <c r="BD859">
        <v>0</v>
      </c>
      <c r="BE859">
        <v>0.13916068710589263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8.914981517721245E-3</v>
      </c>
      <c r="BY859">
        <v>0</v>
      </c>
      <c r="BZ859">
        <v>0</v>
      </c>
      <c r="CA859">
        <v>0.12176560121765603</v>
      </c>
      <c r="CB859">
        <v>0</v>
      </c>
    </row>
    <row r="860" spans="1:80">
      <c r="A860">
        <v>859</v>
      </c>
      <c r="B860" t="s">
        <v>100</v>
      </c>
      <c r="C860" s="4" t="s">
        <v>175</v>
      </c>
      <c r="D860" s="4" t="s">
        <v>118</v>
      </c>
      <c r="E860" s="5">
        <v>40616</v>
      </c>
      <c r="F860" s="5">
        <v>40616</v>
      </c>
      <c r="G860">
        <v>1103</v>
      </c>
      <c r="H860" s="4" t="s">
        <v>107</v>
      </c>
      <c r="I860" s="4" t="s">
        <v>109</v>
      </c>
      <c r="J860" s="4" t="str">
        <f t="shared" si="13"/>
        <v>u_con.c_rem</v>
      </c>
      <c r="K860" s="5">
        <v>2</v>
      </c>
      <c r="L860">
        <v>4.8490191756667394E-3</v>
      </c>
      <c r="M860">
        <v>0.3438395415472778</v>
      </c>
      <c r="N860">
        <v>0.12364998897950191</v>
      </c>
      <c r="O860">
        <v>0</v>
      </c>
      <c r="P860">
        <v>0</v>
      </c>
      <c r="Q860">
        <v>4.6286092131364335E-3</v>
      </c>
      <c r="R860">
        <v>0</v>
      </c>
      <c r="S860">
        <v>0</v>
      </c>
      <c r="T860">
        <v>1.7853206964954814E-2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2.6669605466167066E-2</v>
      </c>
      <c r="AJ860">
        <v>4.4081992506061268E-3</v>
      </c>
      <c r="AK860">
        <v>0</v>
      </c>
      <c r="AL860">
        <v>0</v>
      </c>
      <c r="AM860">
        <v>0</v>
      </c>
      <c r="AN860">
        <v>2.3143046065682168E-2</v>
      </c>
      <c r="AO860">
        <v>0</v>
      </c>
      <c r="AP860">
        <v>0</v>
      </c>
      <c r="AQ860">
        <v>0</v>
      </c>
      <c r="AR860">
        <v>0</v>
      </c>
      <c r="AS860">
        <v>6.171478950848578E-2</v>
      </c>
      <c r="AT860">
        <v>1.8073616927485121E-2</v>
      </c>
      <c r="AU860">
        <v>0</v>
      </c>
      <c r="AV860">
        <v>0</v>
      </c>
      <c r="AW860">
        <v>0</v>
      </c>
      <c r="AX860">
        <v>1.7853206964954814E-2</v>
      </c>
      <c r="AY860">
        <v>0</v>
      </c>
      <c r="AZ860">
        <v>0</v>
      </c>
      <c r="BA860">
        <v>2.2040996253030635E-4</v>
      </c>
      <c r="BB860">
        <v>0</v>
      </c>
      <c r="BC860">
        <v>0</v>
      </c>
      <c r="BD860">
        <v>0</v>
      </c>
      <c r="BE860">
        <v>9.3013004187789267E-2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0.25567555653515533</v>
      </c>
      <c r="CB860">
        <v>4.4081992506061268E-3</v>
      </c>
    </row>
    <row r="861" spans="1:80">
      <c r="A861">
        <v>860</v>
      </c>
      <c r="B861" t="s">
        <v>101</v>
      </c>
      <c r="C861" s="4" t="s">
        <v>175</v>
      </c>
      <c r="D861" s="4" t="s">
        <v>118</v>
      </c>
      <c r="E861" s="5">
        <v>40616</v>
      </c>
      <c r="F861" s="5">
        <v>40616</v>
      </c>
      <c r="G861">
        <v>1103</v>
      </c>
      <c r="H861" s="4" t="s">
        <v>107</v>
      </c>
      <c r="I861" s="4" t="s">
        <v>108</v>
      </c>
      <c r="J861" s="4" t="str">
        <f t="shared" si="13"/>
        <v>u_con.c_con</v>
      </c>
      <c r="K861" s="5">
        <v>19</v>
      </c>
      <c r="L861">
        <v>0</v>
      </c>
      <c r="M861">
        <v>0.19362084456424083</v>
      </c>
      <c r="N861">
        <v>9.0071877807726908E-2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0.11680143755615457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4.4923629829290218E-3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8.1311769991015304E-2</v>
      </c>
      <c r="AJ861">
        <v>2.6954177897574129E-2</v>
      </c>
      <c r="AK861">
        <v>0</v>
      </c>
      <c r="AL861">
        <v>0</v>
      </c>
      <c r="AM861">
        <v>0</v>
      </c>
      <c r="AN861">
        <v>9.209344115004495E-3</v>
      </c>
      <c r="AO861">
        <v>0</v>
      </c>
      <c r="AP861">
        <v>0</v>
      </c>
      <c r="AQ861">
        <v>0</v>
      </c>
      <c r="AR861">
        <v>0</v>
      </c>
      <c r="AS861">
        <v>5.8849955076370197E-2</v>
      </c>
      <c r="AT861">
        <v>4.7169811320754733E-3</v>
      </c>
      <c r="AU861">
        <v>0</v>
      </c>
      <c r="AV861">
        <v>0</v>
      </c>
      <c r="AW861">
        <v>0</v>
      </c>
      <c r="AX861">
        <v>1.7969451931716087E-2</v>
      </c>
      <c r="AY861">
        <v>8.9847259658580435E-3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2.717879604672058E-2</v>
      </c>
      <c r="BF861">
        <v>2.246181491464511E-4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8.9847259658580435E-3</v>
      </c>
      <c r="BY861">
        <v>0</v>
      </c>
      <c r="BZ861">
        <v>0</v>
      </c>
      <c r="CA861">
        <v>0.35040431266846367</v>
      </c>
      <c r="CB861">
        <v>0</v>
      </c>
    </row>
    <row r="862" spans="1:80">
      <c r="A862">
        <v>861</v>
      </c>
      <c r="B862" t="s">
        <v>102</v>
      </c>
      <c r="C862" s="4" t="s">
        <v>176</v>
      </c>
      <c r="D862" s="4" t="s">
        <v>118</v>
      </c>
      <c r="E862" s="5">
        <v>40616</v>
      </c>
      <c r="F862" s="5">
        <v>40616</v>
      </c>
      <c r="G862">
        <v>1103</v>
      </c>
      <c r="H862" s="4" t="s">
        <v>110</v>
      </c>
      <c r="I862" s="4" t="s">
        <v>108</v>
      </c>
      <c r="J862" s="4" t="str">
        <f t="shared" si="13"/>
        <v>u_rem.c_con</v>
      </c>
      <c r="K862" s="5">
        <v>8</v>
      </c>
      <c r="L862">
        <v>0</v>
      </c>
      <c r="M862">
        <v>7.123834886817576E-2</v>
      </c>
      <c r="N862">
        <v>3.5508211273857074E-2</v>
      </c>
      <c r="O862">
        <v>0</v>
      </c>
      <c r="P862">
        <v>0</v>
      </c>
      <c r="Q862">
        <v>4.4385264092321351E-3</v>
      </c>
      <c r="R862">
        <v>4.4385264092321351E-3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4.4385264092321351E-3</v>
      </c>
      <c r="AA862">
        <v>0</v>
      </c>
      <c r="AB862">
        <v>0</v>
      </c>
      <c r="AC862">
        <v>0</v>
      </c>
      <c r="AD862">
        <v>0</v>
      </c>
      <c r="AE862">
        <v>4.6604527296937419E-3</v>
      </c>
      <c r="AF862">
        <v>0</v>
      </c>
      <c r="AG862">
        <v>8.8770528184642702E-3</v>
      </c>
      <c r="AH862">
        <v>0</v>
      </c>
      <c r="AI862">
        <v>2.2414558366622279E-2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0.29738126941855303</v>
      </c>
      <c r="AP862">
        <v>0</v>
      </c>
      <c r="AQ862">
        <v>3.5508211273857074E-2</v>
      </c>
      <c r="AR862">
        <v>0</v>
      </c>
      <c r="AS862">
        <v>9.0989791389258761E-3</v>
      </c>
      <c r="AT862">
        <v>0</v>
      </c>
      <c r="AU862">
        <v>4.4385264092321351E-3</v>
      </c>
      <c r="AV862">
        <v>0</v>
      </c>
      <c r="AW862">
        <v>0</v>
      </c>
      <c r="AX862">
        <v>8.8770528184642702E-3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0.18664003550821123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4.4385264092321351E-3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0.19529516200621394</v>
      </c>
      <c r="CB862">
        <v>0</v>
      </c>
    </row>
    <row r="863" spans="1:80">
      <c r="A863">
        <v>862</v>
      </c>
      <c r="B863" t="s">
        <v>103</v>
      </c>
      <c r="C863" s="4" t="s">
        <v>176</v>
      </c>
      <c r="D863" s="4" t="s">
        <v>118</v>
      </c>
      <c r="E863" s="5">
        <v>40616</v>
      </c>
      <c r="F863" s="5">
        <v>40616</v>
      </c>
      <c r="G863">
        <v>1103</v>
      </c>
      <c r="H863" s="4" t="s">
        <v>110</v>
      </c>
      <c r="I863" s="4" t="s">
        <v>109</v>
      </c>
      <c r="J863" s="4" t="str">
        <f t="shared" si="13"/>
        <v>u_rem.c_rem</v>
      </c>
      <c r="K863" s="5">
        <v>1</v>
      </c>
      <c r="L863">
        <v>0</v>
      </c>
      <c r="M863">
        <v>6.6870629370629348E-2</v>
      </c>
      <c r="N863">
        <v>0.29720279720279719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1.748251748251748E-2</v>
      </c>
      <c r="AH863">
        <v>4.3706293706293701E-3</v>
      </c>
      <c r="AI863">
        <v>7.0148601398601393E-2</v>
      </c>
      <c r="AJ863">
        <v>0</v>
      </c>
      <c r="AK863">
        <v>0</v>
      </c>
      <c r="AL863">
        <v>0</v>
      </c>
      <c r="AM863">
        <v>0</v>
      </c>
      <c r="AN863">
        <v>3.9335664335664329E-2</v>
      </c>
      <c r="AO863">
        <v>1.354895104895105E-2</v>
      </c>
      <c r="AP863">
        <v>0</v>
      </c>
      <c r="AQ863">
        <v>0</v>
      </c>
      <c r="AR863">
        <v>0</v>
      </c>
      <c r="AS863">
        <v>2.1853146853146852E-2</v>
      </c>
      <c r="AT863">
        <v>9.3968531468531461E-3</v>
      </c>
      <c r="AU863">
        <v>4.8295454545454537E-2</v>
      </c>
      <c r="AV863">
        <v>0</v>
      </c>
      <c r="AW863">
        <v>4.589160839160839E-3</v>
      </c>
      <c r="AX863">
        <v>1.748251748251748E-2</v>
      </c>
      <c r="AY863">
        <v>0</v>
      </c>
      <c r="AZ863">
        <v>0</v>
      </c>
      <c r="BA863">
        <v>0.19230769230769229</v>
      </c>
      <c r="BB863">
        <v>0</v>
      </c>
      <c r="BC863">
        <v>0</v>
      </c>
      <c r="BD863">
        <v>0</v>
      </c>
      <c r="BE863">
        <v>8.3260489510489505E-2</v>
      </c>
      <c r="BF863">
        <v>0</v>
      </c>
      <c r="BG863">
        <v>0</v>
      </c>
      <c r="BH863">
        <v>0</v>
      </c>
      <c r="BI863">
        <v>8.7412587412587402E-3</v>
      </c>
      <c r="BJ863">
        <v>0</v>
      </c>
      <c r="BK863">
        <v>0</v>
      </c>
      <c r="BL863">
        <v>0</v>
      </c>
      <c r="BM863">
        <v>0</v>
      </c>
      <c r="BN863">
        <v>4.589160839160839E-3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0.10052447552447555</v>
      </c>
      <c r="CB863">
        <v>0</v>
      </c>
    </row>
    <row r="864" spans="1:80">
      <c r="A864">
        <v>863</v>
      </c>
      <c r="B864" t="s">
        <v>104</v>
      </c>
      <c r="C864" s="4" t="s">
        <v>176</v>
      </c>
      <c r="D864" s="4" t="s">
        <v>118</v>
      </c>
      <c r="E864" s="5">
        <v>40616</v>
      </c>
      <c r="F864" s="5">
        <v>40616</v>
      </c>
      <c r="G864">
        <v>1103</v>
      </c>
      <c r="H864" s="4" t="s">
        <v>110</v>
      </c>
      <c r="I864" s="4" t="s">
        <v>108</v>
      </c>
      <c r="J864" s="4" t="str">
        <f t="shared" si="13"/>
        <v>u_rem.c_con</v>
      </c>
      <c r="K864" s="5">
        <v>8</v>
      </c>
      <c r="L864">
        <v>2.2563176895306863E-4</v>
      </c>
      <c r="M864">
        <v>0.26195848375451264</v>
      </c>
      <c r="N864">
        <v>0.10401624548736467</v>
      </c>
      <c r="O864">
        <v>0</v>
      </c>
      <c r="P864">
        <v>0</v>
      </c>
      <c r="Q864">
        <v>2.2563176895306864E-2</v>
      </c>
      <c r="R864">
        <v>0</v>
      </c>
      <c r="S864">
        <v>0</v>
      </c>
      <c r="T864">
        <v>4.5126353790613727E-3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4.5126353790613727E-3</v>
      </c>
      <c r="AF864">
        <v>0</v>
      </c>
      <c r="AG864">
        <v>0</v>
      </c>
      <c r="AH864">
        <v>0</v>
      </c>
      <c r="AI864">
        <v>3.6777978339350183E-2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0.16245487364620942</v>
      </c>
      <c r="AP864">
        <v>0</v>
      </c>
      <c r="AQ864">
        <v>2.2563176895306864E-2</v>
      </c>
      <c r="AR864">
        <v>0</v>
      </c>
      <c r="AS864">
        <v>9.0252707581227453E-3</v>
      </c>
      <c r="AT864">
        <v>2.2563176895306863E-4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3.6101083032490974E-2</v>
      </c>
      <c r="BF864">
        <v>9.0252707581227453E-3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2.2563176895306863E-4</v>
      </c>
      <c r="BQ864">
        <v>9.0252707581227453E-3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9.4765342960288837E-3</v>
      </c>
      <c r="BY864">
        <v>0</v>
      </c>
      <c r="BZ864">
        <v>4.5126353790613728E-2</v>
      </c>
      <c r="CA864">
        <v>0.24390794223826712</v>
      </c>
      <c r="CB864">
        <v>0</v>
      </c>
    </row>
    <row r="865" spans="1:80">
      <c r="A865">
        <v>864</v>
      </c>
      <c r="B865" t="s">
        <v>105</v>
      </c>
      <c r="C865" s="4" t="s">
        <v>176</v>
      </c>
      <c r="D865" s="4" t="s">
        <v>118</v>
      </c>
      <c r="E865" s="5">
        <v>40616</v>
      </c>
      <c r="F865" s="5">
        <v>40616</v>
      </c>
      <c r="G865">
        <v>1103</v>
      </c>
      <c r="H865" s="4" t="s">
        <v>110</v>
      </c>
      <c r="I865" s="4" t="s">
        <v>109</v>
      </c>
      <c r="J865" s="4" t="str">
        <f t="shared" si="13"/>
        <v>u_rem.c_rem</v>
      </c>
      <c r="K865" s="5">
        <v>1</v>
      </c>
      <c r="L865">
        <v>0</v>
      </c>
      <c r="M865">
        <v>1.8920166128287959E-2</v>
      </c>
      <c r="N865">
        <v>0.17997231195200741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1.8458698661744353E-2</v>
      </c>
      <c r="AB865">
        <v>0</v>
      </c>
      <c r="AC865">
        <v>9.2293493308721761E-2</v>
      </c>
      <c r="AD865">
        <v>9.2293493308721764E-3</v>
      </c>
      <c r="AE865">
        <v>0</v>
      </c>
      <c r="AF865">
        <v>0</v>
      </c>
      <c r="AG865">
        <v>0</v>
      </c>
      <c r="AH865">
        <v>0</v>
      </c>
      <c r="AI865">
        <v>0.15274573142593451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3.3225657591139837E-2</v>
      </c>
      <c r="AP865">
        <v>1.8458698661744353E-2</v>
      </c>
      <c r="AQ865">
        <v>4.6146746654360882E-3</v>
      </c>
      <c r="AR865">
        <v>0</v>
      </c>
      <c r="AS865">
        <v>2.8149515459160137E-2</v>
      </c>
      <c r="AT865">
        <v>2.1688970927549615E-2</v>
      </c>
      <c r="AU865">
        <v>2.3073373327180439E-4</v>
      </c>
      <c r="AV865">
        <v>0</v>
      </c>
      <c r="AW865">
        <v>4.8454083987078929E-3</v>
      </c>
      <c r="AX865">
        <v>9.4600830641439811E-3</v>
      </c>
      <c r="AY865">
        <v>0</v>
      </c>
      <c r="AZ865">
        <v>0</v>
      </c>
      <c r="BA865">
        <v>1.9150899861559767E-2</v>
      </c>
      <c r="BB865">
        <v>0</v>
      </c>
      <c r="BC865">
        <v>0</v>
      </c>
      <c r="BD865">
        <v>0</v>
      </c>
      <c r="BE865">
        <v>3.7378864790032308E-2</v>
      </c>
      <c r="BF865">
        <v>9.4600830641439811E-3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4.8454083987078929E-3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2.7688047992616528E-2</v>
      </c>
      <c r="BY865">
        <v>0</v>
      </c>
      <c r="BZ865">
        <v>2.307337332718044E-2</v>
      </c>
      <c r="CA865">
        <v>0.28610982925703737</v>
      </c>
      <c r="CB865">
        <v>0</v>
      </c>
    </row>
  </sheetData>
  <sortState ref="A2:CA865">
    <sortCondition ref="A1"/>
  </sortState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81"/>
  <sheetViews>
    <sheetView workbookViewId="0">
      <pane xSplit="10" ySplit="1" topLeftCell="K56" activePane="bottomRight" state="frozen"/>
      <selection pane="topRight" activeCell="I1" sqref="I1"/>
      <selection pane="bottomLeft" activeCell="A2" sqref="A2"/>
      <selection pane="bottomRight" activeCell="N77" sqref="N77"/>
    </sheetView>
  </sheetViews>
  <sheetFormatPr baseColWidth="10" defaultColWidth="6" defaultRowHeight="15" x14ac:dyDescent="0"/>
  <cols>
    <col min="2" max="2" width="8.1640625" customWidth="1"/>
    <col min="3" max="3" width="6" customWidth="1"/>
    <col min="4" max="4" width="3.83203125" customWidth="1"/>
    <col min="5" max="6" width="9.83203125" style="5" customWidth="1"/>
    <col min="8" max="8" width="6.5" customWidth="1"/>
    <col min="9" max="9" width="6.33203125" customWidth="1"/>
    <col min="10" max="10" width="12.1640625" customWidth="1"/>
    <col min="11" max="11" width="4.83203125" style="5" customWidth="1"/>
    <col min="12" max="80" width="5" customWidth="1"/>
  </cols>
  <sheetData>
    <row r="1" spans="1:80" s="6" customFormat="1" ht="64" thickBot="1">
      <c r="A1" s="6" t="s">
        <v>158</v>
      </c>
      <c r="B1" s="6" t="s">
        <v>111</v>
      </c>
      <c r="C1" s="6" t="s">
        <v>122</v>
      </c>
      <c r="D1" s="6" t="s">
        <v>115</v>
      </c>
      <c r="E1" s="21" t="s">
        <v>120</v>
      </c>
      <c r="F1" s="21" t="s">
        <v>121</v>
      </c>
      <c r="G1" s="6" t="s">
        <v>114</v>
      </c>
      <c r="H1" s="10" t="s">
        <v>112</v>
      </c>
      <c r="I1" s="10" t="s">
        <v>113</v>
      </c>
      <c r="J1" s="10" t="s">
        <v>119</v>
      </c>
      <c r="K1" s="21" t="s">
        <v>157</v>
      </c>
      <c r="L1" s="8" t="s">
        <v>133</v>
      </c>
      <c r="M1" s="8" t="s">
        <v>134</v>
      </c>
      <c r="N1" s="9" t="s">
        <v>135</v>
      </c>
      <c r="O1" s="23" t="s">
        <v>124</v>
      </c>
      <c r="P1" s="23" t="s">
        <v>126</v>
      </c>
      <c r="Q1" s="23" t="s">
        <v>125</v>
      </c>
      <c r="R1" s="24" t="s">
        <v>127</v>
      </c>
      <c r="S1" s="25" t="s">
        <v>128</v>
      </c>
      <c r="T1" s="26" t="s">
        <v>129</v>
      </c>
      <c r="U1" s="26" t="s">
        <v>31</v>
      </c>
      <c r="V1" s="26" t="s">
        <v>32</v>
      </c>
      <c r="W1" s="26" t="s">
        <v>33</v>
      </c>
      <c r="X1" s="26" t="s">
        <v>17</v>
      </c>
      <c r="Y1" s="10" t="s">
        <v>136</v>
      </c>
      <c r="Z1" s="31" t="s">
        <v>137</v>
      </c>
      <c r="AA1" s="31" t="s">
        <v>138</v>
      </c>
      <c r="AB1" s="31" t="s">
        <v>139</v>
      </c>
      <c r="AC1" s="32" t="s">
        <v>140</v>
      </c>
      <c r="AD1" s="31" t="s">
        <v>14</v>
      </c>
      <c r="AE1" s="31" t="s">
        <v>142</v>
      </c>
      <c r="AF1" s="31" t="s">
        <v>27</v>
      </c>
      <c r="AG1" s="11" t="s">
        <v>141</v>
      </c>
      <c r="AH1" s="12" t="s">
        <v>143</v>
      </c>
      <c r="AI1" s="12" t="s">
        <v>144</v>
      </c>
      <c r="AJ1" s="12" t="s">
        <v>145</v>
      </c>
      <c r="AK1" s="12" t="s">
        <v>16</v>
      </c>
      <c r="AL1" s="28" t="s">
        <v>130</v>
      </c>
      <c r="AM1" s="30" t="s">
        <v>152</v>
      </c>
      <c r="AN1" s="29" t="s">
        <v>153</v>
      </c>
      <c r="AO1" s="28" t="s">
        <v>123</v>
      </c>
      <c r="AP1" s="30" t="s">
        <v>15</v>
      </c>
      <c r="AQ1" s="14" t="s">
        <v>150</v>
      </c>
      <c r="AR1" s="14" t="s">
        <v>151</v>
      </c>
      <c r="AS1" s="14" t="s">
        <v>154</v>
      </c>
      <c r="AT1" s="14" t="s">
        <v>155</v>
      </c>
      <c r="AU1" s="14" t="s">
        <v>156</v>
      </c>
      <c r="AV1" s="14" t="s">
        <v>0</v>
      </c>
      <c r="AW1" s="14" t="s">
        <v>1</v>
      </c>
      <c r="AX1" s="14" t="s">
        <v>2</v>
      </c>
      <c r="AY1" s="14" t="s">
        <v>12</v>
      </c>
      <c r="AZ1" s="14" t="s">
        <v>13</v>
      </c>
      <c r="BA1" s="27" t="s">
        <v>146</v>
      </c>
      <c r="BB1" s="27" t="s">
        <v>148</v>
      </c>
      <c r="BC1" s="27" t="s">
        <v>21</v>
      </c>
      <c r="BD1" s="27" t="s">
        <v>22</v>
      </c>
      <c r="BE1" s="13" t="s">
        <v>147</v>
      </c>
      <c r="BF1" s="13" t="s">
        <v>149</v>
      </c>
      <c r="BG1" s="13" t="s">
        <v>18</v>
      </c>
      <c r="BH1" s="13" t="s">
        <v>19</v>
      </c>
      <c r="BI1" s="13" t="s">
        <v>20</v>
      </c>
      <c r="BJ1" s="13" t="s">
        <v>23</v>
      </c>
      <c r="BK1" s="13" t="s">
        <v>24</v>
      </c>
      <c r="BL1" s="13" t="s">
        <v>25</v>
      </c>
      <c r="BM1" s="13" t="s">
        <v>26</v>
      </c>
      <c r="BN1" s="27" t="s">
        <v>34</v>
      </c>
      <c r="BO1" s="27" t="s">
        <v>3</v>
      </c>
      <c r="BP1" s="27" t="s">
        <v>4</v>
      </c>
      <c r="BQ1" s="27" t="s">
        <v>5</v>
      </c>
      <c r="BR1" s="27" t="s">
        <v>6</v>
      </c>
      <c r="BS1" s="27" t="s">
        <v>7</v>
      </c>
      <c r="BT1" s="27" t="s">
        <v>8</v>
      </c>
      <c r="BU1" s="27" t="s">
        <v>9</v>
      </c>
      <c r="BV1" s="27" t="s">
        <v>10</v>
      </c>
      <c r="BW1" s="27" t="s">
        <v>11</v>
      </c>
      <c r="BX1" s="15" t="s">
        <v>28</v>
      </c>
      <c r="BY1" s="16" t="s">
        <v>29</v>
      </c>
      <c r="BZ1" s="7" t="s">
        <v>131</v>
      </c>
      <c r="CA1" s="7" t="s">
        <v>132</v>
      </c>
      <c r="CB1" s="17" t="s">
        <v>30</v>
      </c>
    </row>
    <row r="2" spans="1:80">
      <c r="A2">
        <v>649</v>
      </c>
      <c r="B2" t="s">
        <v>35</v>
      </c>
      <c r="C2" s="4" t="s">
        <v>159</v>
      </c>
      <c r="D2" s="4" t="s">
        <v>116</v>
      </c>
      <c r="E2" s="5">
        <v>40420</v>
      </c>
      <c r="F2" s="5">
        <v>40420</v>
      </c>
      <c r="G2">
        <v>1009</v>
      </c>
      <c r="H2" s="4" t="s">
        <v>107</v>
      </c>
      <c r="I2" s="4" t="s">
        <v>108</v>
      </c>
      <c r="J2" s="4" t="str">
        <f t="shared" ref="J2:J57" si="0">CONCATENATE(H2,".",I2)</f>
        <v>u_con.c_con</v>
      </c>
      <c r="K2" s="5">
        <v>19</v>
      </c>
      <c r="L2">
        <v>0</v>
      </c>
      <c r="M2">
        <v>6.5717141429285378E-2</v>
      </c>
      <c r="N2">
        <v>0.17491254372813597</v>
      </c>
      <c r="O2">
        <v>1.499250374812594E-2</v>
      </c>
      <c r="P2">
        <v>0</v>
      </c>
      <c r="Q2">
        <v>4.9975012493753135E-3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5.9970014992503755E-2</v>
      </c>
      <c r="Z2">
        <v>4.0729635182408803E-2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9.995002498750627E-3</v>
      </c>
      <c r="AH2">
        <v>3.023488255872064E-2</v>
      </c>
      <c r="AI2">
        <v>4.0229885057471264E-2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3.5732133933033483E-2</v>
      </c>
      <c r="AT2">
        <v>4.9975012493753133E-4</v>
      </c>
      <c r="AU2">
        <v>2.4987506246876566E-4</v>
      </c>
      <c r="AV2">
        <v>0</v>
      </c>
      <c r="AW2">
        <v>0</v>
      </c>
      <c r="AX2">
        <v>2.4987506246876566E-4</v>
      </c>
      <c r="AY2">
        <v>0</v>
      </c>
      <c r="AZ2">
        <v>0</v>
      </c>
      <c r="BA2">
        <v>4.1229385307346329E-2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4.9975012493753133E-4</v>
      </c>
      <c r="BX2">
        <v>0</v>
      </c>
      <c r="BY2">
        <v>0</v>
      </c>
      <c r="BZ2">
        <v>0</v>
      </c>
      <c r="CA2">
        <v>0.47976011994003004</v>
      </c>
      <c r="CB2">
        <v>0</v>
      </c>
    </row>
    <row r="3" spans="1:80">
      <c r="A3">
        <v>650</v>
      </c>
      <c r="B3" t="s">
        <v>36</v>
      </c>
      <c r="C3" s="4" t="s">
        <v>159</v>
      </c>
      <c r="D3" s="4" t="s">
        <v>116</v>
      </c>
      <c r="E3" s="5">
        <v>40420</v>
      </c>
      <c r="F3" s="5">
        <v>40420</v>
      </c>
      <c r="G3">
        <v>1009</v>
      </c>
      <c r="H3" s="4" t="s">
        <v>107</v>
      </c>
      <c r="I3" s="4" t="s">
        <v>109</v>
      </c>
      <c r="J3" s="4" t="str">
        <f t="shared" si="0"/>
        <v>u_con.c_rem</v>
      </c>
      <c r="K3" s="5">
        <v>2</v>
      </c>
      <c r="L3">
        <v>9.4786729857819912E-3</v>
      </c>
      <c r="M3">
        <v>2.9620853080568717E-2</v>
      </c>
      <c r="N3">
        <v>0.2087677725118483</v>
      </c>
      <c r="O3">
        <v>0</v>
      </c>
      <c r="P3">
        <v>0</v>
      </c>
      <c r="Q3">
        <v>4.7393364928909956E-3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5.6872037914691941E-2</v>
      </c>
      <c r="Z3">
        <v>0.20876777251184833</v>
      </c>
      <c r="AA3">
        <v>0</v>
      </c>
      <c r="AB3">
        <v>0</v>
      </c>
      <c r="AC3">
        <v>0</v>
      </c>
      <c r="AD3">
        <v>0</v>
      </c>
      <c r="AE3">
        <v>2.3696682464454974E-4</v>
      </c>
      <c r="AF3">
        <v>0</v>
      </c>
      <c r="AG3">
        <v>0</v>
      </c>
      <c r="AH3">
        <v>1.4928909952606637E-2</v>
      </c>
      <c r="AI3">
        <v>3.3412322274881515E-2</v>
      </c>
      <c r="AJ3">
        <v>0</v>
      </c>
      <c r="AK3">
        <v>0</v>
      </c>
      <c r="AL3">
        <v>0</v>
      </c>
      <c r="AM3">
        <v>0</v>
      </c>
      <c r="AN3">
        <v>9.71563981042654E-3</v>
      </c>
      <c r="AO3">
        <v>0</v>
      </c>
      <c r="AP3">
        <v>0</v>
      </c>
      <c r="AQ3">
        <v>0</v>
      </c>
      <c r="AR3">
        <v>0</v>
      </c>
      <c r="AS3">
        <v>3.3412322274881515E-2</v>
      </c>
      <c r="AT3">
        <v>2.3696682464454974E-4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6.2322274881516593E-2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4.7393364928909956E-3</v>
      </c>
      <c r="BO3">
        <v>4.7393364928909956E-3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9.9526066350710905E-3</v>
      </c>
      <c r="CA3">
        <v>0.3080568720379146</v>
      </c>
      <c r="CB3">
        <v>0</v>
      </c>
    </row>
    <row r="4" spans="1:80">
      <c r="A4">
        <v>651</v>
      </c>
      <c r="B4" t="s">
        <v>37</v>
      </c>
      <c r="C4" s="4" t="s">
        <v>159</v>
      </c>
      <c r="D4" s="4" t="s">
        <v>116</v>
      </c>
      <c r="E4" s="5">
        <v>40420</v>
      </c>
      <c r="F4" s="5">
        <v>40420</v>
      </c>
      <c r="G4">
        <v>1009</v>
      </c>
      <c r="H4" s="4" t="s">
        <v>107</v>
      </c>
      <c r="I4" s="4" t="s">
        <v>109</v>
      </c>
      <c r="J4" s="4" t="str">
        <f t="shared" si="0"/>
        <v>u_con.c_rem</v>
      </c>
      <c r="K4" s="5">
        <v>2</v>
      </c>
      <c r="L4">
        <v>5.0787201625190469E-3</v>
      </c>
      <c r="M4">
        <v>7.6434738445911657E-2</v>
      </c>
      <c r="N4">
        <v>0.19807008633824283</v>
      </c>
      <c r="O4">
        <v>2.5393600812595233E-2</v>
      </c>
      <c r="P4">
        <v>0</v>
      </c>
      <c r="Q4">
        <v>0.1726764855256476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8.63382427628238E-2</v>
      </c>
      <c r="Z4">
        <v>0.10741493143727783</v>
      </c>
      <c r="AA4">
        <v>0</v>
      </c>
      <c r="AB4">
        <v>0</v>
      </c>
      <c r="AC4">
        <v>0</v>
      </c>
      <c r="AD4">
        <v>0</v>
      </c>
      <c r="AE4">
        <v>1.5744032503809048E-2</v>
      </c>
      <c r="AF4">
        <v>0</v>
      </c>
      <c r="AG4">
        <v>0</v>
      </c>
      <c r="AH4">
        <v>1.0919248349415952E-2</v>
      </c>
      <c r="AI4">
        <v>7.6180802437785693E-4</v>
      </c>
      <c r="AJ4">
        <v>0</v>
      </c>
      <c r="AK4">
        <v>0</v>
      </c>
      <c r="AL4">
        <v>0</v>
      </c>
      <c r="AM4">
        <v>0</v>
      </c>
      <c r="AN4">
        <v>5.3326561706449997E-3</v>
      </c>
      <c r="AO4">
        <v>0</v>
      </c>
      <c r="AP4">
        <v>0</v>
      </c>
      <c r="AQ4">
        <v>0</v>
      </c>
      <c r="AR4">
        <v>0</v>
      </c>
      <c r="AS4">
        <v>1.0411376333164047E-2</v>
      </c>
      <c r="AT4">
        <v>2.5393600812595235E-4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5.0787201625190469E-4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2.5393600812595235E-4</v>
      </c>
      <c r="CA4">
        <v>0.28440832910106661</v>
      </c>
      <c r="CB4">
        <v>0</v>
      </c>
    </row>
    <row r="5" spans="1:80">
      <c r="A5">
        <v>652</v>
      </c>
      <c r="B5" t="s">
        <v>38</v>
      </c>
      <c r="C5" s="4" t="s">
        <v>159</v>
      </c>
      <c r="D5" s="4" t="s">
        <v>116</v>
      </c>
      <c r="E5" s="5">
        <v>40420</v>
      </c>
      <c r="F5" s="5">
        <v>40420</v>
      </c>
      <c r="G5">
        <v>1009</v>
      </c>
      <c r="H5" s="4" t="s">
        <v>107</v>
      </c>
      <c r="I5" s="4" t="s">
        <v>108</v>
      </c>
      <c r="J5" s="4" t="str">
        <f t="shared" si="0"/>
        <v>u_con.c_con</v>
      </c>
      <c r="K5" s="5">
        <v>19</v>
      </c>
      <c r="L5">
        <v>4.899559039686429E-3</v>
      </c>
      <c r="M5">
        <v>7.0308672219500254E-2</v>
      </c>
      <c r="N5">
        <v>0.23517883390494851</v>
      </c>
      <c r="O5">
        <v>0</v>
      </c>
      <c r="P5">
        <v>0</v>
      </c>
      <c r="Q5">
        <v>6.8593826555610027E-2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4.899559039686429E-3</v>
      </c>
      <c r="Z5">
        <v>4.899559039686429E-2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3.4541891229789325E-2</v>
      </c>
      <c r="AI5">
        <v>0.10289073983341504</v>
      </c>
      <c r="AJ5">
        <v>0</v>
      </c>
      <c r="AK5">
        <v>0</v>
      </c>
      <c r="AL5">
        <v>0</v>
      </c>
      <c r="AM5">
        <v>0</v>
      </c>
      <c r="AN5">
        <v>1.004409603135718E-2</v>
      </c>
      <c r="AO5">
        <v>0</v>
      </c>
      <c r="AP5">
        <v>0</v>
      </c>
      <c r="AQ5">
        <v>0</v>
      </c>
      <c r="AR5">
        <v>0</v>
      </c>
      <c r="AS5">
        <v>1.4698677119059289E-2</v>
      </c>
      <c r="AT5">
        <v>1.7148456638902503E-3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8.4272415482606583E-2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3.4541891229789325E-2</v>
      </c>
      <c r="CA5">
        <v>0.28417442430181289</v>
      </c>
      <c r="CB5">
        <v>0</v>
      </c>
    </row>
    <row r="6" spans="1:80">
      <c r="A6">
        <v>653</v>
      </c>
      <c r="B6" t="s">
        <v>39</v>
      </c>
      <c r="C6" s="4" t="s">
        <v>160</v>
      </c>
      <c r="D6" s="4" t="s">
        <v>116</v>
      </c>
      <c r="E6" s="5">
        <v>40420</v>
      </c>
      <c r="F6" s="5">
        <v>40420</v>
      </c>
      <c r="G6">
        <v>1009</v>
      </c>
      <c r="H6" s="4" t="s">
        <v>110</v>
      </c>
      <c r="I6" s="4" t="s">
        <v>109</v>
      </c>
      <c r="J6" s="4" t="str">
        <f t="shared" si="0"/>
        <v>u_rem.c_rem</v>
      </c>
      <c r="K6" s="5">
        <v>1</v>
      </c>
      <c r="L6">
        <v>0</v>
      </c>
      <c r="M6">
        <v>5.6526207605344294E-3</v>
      </c>
      <c r="N6">
        <v>0.36485097636176772</v>
      </c>
      <c r="O6">
        <v>5.3956834532374104E-3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6.1921891058581709E-2</v>
      </c>
      <c r="AA6">
        <v>0</v>
      </c>
      <c r="AB6">
        <v>0</v>
      </c>
      <c r="AC6">
        <v>0</v>
      </c>
      <c r="AD6">
        <v>0</v>
      </c>
      <c r="AE6">
        <v>2.5693730729701953E-4</v>
      </c>
      <c r="AF6">
        <v>0</v>
      </c>
      <c r="AG6">
        <v>0</v>
      </c>
      <c r="AH6">
        <v>0</v>
      </c>
      <c r="AI6">
        <v>2.6464542651593009E-2</v>
      </c>
      <c r="AJ6">
        <v>0</v>
      </c>
      <c r="AK6">
        <v>0</v>
      </c>
      <c r="AL6">
        <v>8.7615621788283651E-2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5.1387461459403904E-3</v>
      </c>
      <c r="AT6">
        <v>0</v>
      </c>
      <c r="AU6">
        <v>0</v>
      </c>
      <c r="AV6">
        <v>0.10817060637204524</v>
      </c>
      <c r="AW6">
        <v>0</v>
      </c>
      <c r="AX6">
        <v>0</v>
      </c>
      <c r="AY6">
        <v>0</v>
      </c>
      <c r="AZ6">
        <v>0</v>
      </c>
      <c r="BA6">
        <v>1.0534429599177801E-2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0.11330935251798566</v>
      </c>
      <c r="CA6">
        <v>0.19527235354573483</v>
      </c>
      <c r="CB6">
        <v>1.5416238437821174E-2</v>
      </c>
    </row>
    <row r="7" spans="1:80">
      <c r="A7">
        <v>654</v>
      </c>
      <c r="B7" t="s">
        <v>40</v>
      </c>
      <c r="C7" s="4" t="s">
        <v>160</v>
      </c>
      <c r="D7" s="4" t="s">
        <v>116</v>
      </c>
      <c r="E7" s="5">
        <v>40420</v>
      </c>
      <c r="F7" s="5">
        <v>40420</v>
      </c>
      <c r="G7">
        <v>1009</v>
      </c>
      <c r="H7" s="4" t="s">
        <v>110</v>
      </c>
      <c r="I7" s="4" t="s">
        <v>108</v>
      </c>
      <c r="J7" s="4" t="str">
        <f t="shared" si="0"/>
        <v>u_rem.c_con</v>
      </c>
      <c r="K7" s="5">
        <v>8</v>
      </c>
      <c r="L7">
        <v>0</v>
      </c>
      <c r="M7">
        <v>1.5533980582524276E-2</v>
      </c>
      <c r="N7">
        <v>0.44660194174757289</v>
      </c>
      <c r="O7">
        <v>0</v>
      </c>
      <c r="P7">
        <v>0</v>
      </c>
      <c r="Q7">
        <v>2.4271844660194182E-4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1.9417475728155345E-2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4.8543689320388363E-3</v>
      </c>
      <c r="AI7">
        <v>1.0194174757281557E-2</v>
      </c>
      <c r="AJ7">
        <v>0</v>
      </c>
      <c r="AK7">
        <v>0</v>
      </c>
      <c r="AL7">
        <v>1.9417475728155345E-2</v>
      </c>
      <c r="AM7">
        <v>0</v>
      </c>
      <c r="AN7">
        <v>2.4271844660194182E-4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0.175242718446602</v>
      </c>
      <c r="AW7">
        <v>0</v>
      </c>
      <c r="AX7">
        <v>0</v>
      </c>
      <c r="AY7">
        <v>0</v>
      </c>
      <c r="AZ7">
        <v>0</v>
      </c>
      <c r="BA7">
        <v>4.9757281553398071E-2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4.9514563106796118E-2</v>
      </c>
      <c r="CA7">
        <v>0.2089805825242719</v>
      </c>
      <c r="CB7">
        <v>0</v>
      </c>
    </row>
    <row r="8" spans="1:80">
      <c r="A8">
        <v>655</v>
      </c>
      <c r="B8" t="s">
        <v>41</v>
      </c>
      <c r="C8" s="4" t="s">
        <v>160</v>
      </c>
      <c r="D8" s="4" t="s">
        <v>116</v>
      </c>
      <c r="E8" s="5">
        <v>40420</v>
      </c>
      <c r="F8" s="5">
        <v>40420</v>
      </c>
      <c r="G8">
        <v>1009</v>
      </c>
      <c r="H8" s="4" t="s">
        <v>110</v>
      </c>
      <c r="I8" s="4" t="s">
        <v>109</v>
      </c>
      <c r="J8" s="4" t="str">
        <f t="shared" si="0"/>
        <v>u_rem.c_rem</v>
      </c>
      <c r="K8" s="5">
        <v>1</v>
      </c>
      <c r="L8">
        <v>0</v>
      </c>
      <c r="M8">
        <v>0</v>
      </c>
      <c r="N8">
        <v>0.30965839272548523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2.9491275497665274E-2</v>
      </c>
      <c r="AA8">
        <v>0</v>
      </c>
      <c r="AB8">
        <v>0</v>
      </c>
      <c r="AC8">
        <v>0</v>
      </c>
      <c r="AD8">
        <v>0</v>
      </c>
      <c r="AE8">
        <v>1.0321946424182847E-2</v>
      </c>
      <c r="AF8">
        <v>0</v>
      </c>
      <c r="AG8">
        <v>0</v>
      </c>
      <c r="AH8">
        <v>0</v>
      </c>
      <c r="AI8">
        <v>9.8304251658884265E-3</v>
      </c>
      <c r="AJ8">
        <v>0</v>
      </c>
      <c r="AK8">
        <v>0</v>
      </c>
      <c r="AL8">
        <v>0.1966085033177685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0.14770213811747362</v>
      </c>
      <c r="AW8">
        <v>0</v>
      </c>
      <c r="AX8">
        <v>0</v>
      </c>
      <c r="AY8">
        <v>0</v>
      </c>
      <c r="AZ8">
        <v>0</v>
      </c>
      <c r="BA8">
        <v>1.499139837797985E-2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6.512656672401082E-2</v>
      </c>
      <c r="CA8">
        <v>0.21626935364954533</v>
      </c>
      <c r="CB8">
        <v>0</v>
      </c>
    </row>
    <row r="9" spans="1:80">
      <c r="A9">
        <v>656</v>
      </c>
      <c r="B9" t="s">
        <v>42</v>
      </c>
      <c r="C9" s="4" t="s">
        <v>160</v>
      </c>
      <c r="D9" s="4" t="s">
        <v>116</v>
      </c>
      <c r="E9" s="5">
        <v>40420</v>
      </c>
      <c r="F9" s="5">
        <v>40420</v>
      </c>
      <c r="G9">
        <v>1009</v>
      </c>
      <c r="H9" s="4" t="s">
        <v>110</v>
      </c>
      <c r="I9" s="4" t="s">
        <v>108</v>
      </c>
      <c r="J9" s="4" t="str">
        <f t="shared" si="0"/>
        <v>u_rem.c_con</v>
      </c>
      <c r="K9" s="5">
        <v>8</v>
      </c>
      <c r="L9">
        <v>0</v>
      </c>
      <c r="M9">
        <v>1.9347037484885126E-2</v>
      </c>
      <c r="N9">
        <v>0.22974607013301085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6.3482466747279316E-3</v>
      </c>
      <c r="AF9">
        <v>0</v>
      </c>
      <c r="AG9">
        <v>0</v>
      </c>
      <c r="AH9">
        <v>6.3482466747279316E-3</v>
      </c>
      <c r="AI9">
        <v>1.2394195888754534E-2</v>
      </c>
      <c r="AJ9">
        <v>0</v>
      </c>
      <c r="AK9">
        <v>0</v>
      </c>
      <c r="AL9">
        <v>0</v>
      </c>
      <c r="AM9">
        <v>0.37515114873035049</v>
      </c>
      <c r="AN9">
        <v>0</v>
      </c>
      <c r="AO9">
        <v>0</v>
      </c>
      <c r="AP9">
        <v>0</v>
      </c>
      <c r="AQ9">
        <v>0</v>
      </c>
      <c r="AR9">
        <v>0</v>
      </c>
      <c r="AS9">
        <v>6.9528415961305923E-3</v>
      </c>
      <c r="AT9">
        <v>1.2091898428053202E-3</v>
      </c>
      <c r="AU9">
        <v>0</v>
      </c>
      <c r="AV9">
        <v>0.18772672309552599</v>
      </c>
      <c r="AW9">
        <v>0</v>
      </c>
      <c r="AX9">
        <v>0</v>
      </c>
      <c r="AY9">
        <v>0</v>
      </c>
      <c r="AZ9">
        <v>3.0229746070133004E-4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1.8440145102781132E-2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3.8996372430471576E-2</v>
      </c>
      <c r="CA9">
        <v>9.7037484885126979E-2</v>
      </c>
      <c r="CB9">
        <v>0</v>
      </c>
    </row>
    <row r="10" spans="1:80">
      <c r="A10">
        <v>657</v>
      </c>
      <c r="B10" t="s">
        <v>43</v>
      </c>
      <c r="C10" s="4" t="s">
        <v>161</v>
      </c>
      <c r="D10" s="4" t="s">
        <v>116</v>
      </c>
      <c r="E10" s="5">
        <v>40420</v>
      </c>
      <c r="F10" s="5">
        <v>40420</v>
      </c>
      <c r="G10">
        <v>1009</v>
      </c>
      <c r="H10" s="4" t="s">
        <v>107</v>
      </c>
      <c r="I10" s="4" t="s">
        <v>109</v>
      </c>
      <c r="J10" s="4" t="str">
        <f t="shared" si="0"/>
        <v>u_con.c_rem</v>
      </c>
      <c r="K10" s="5">
        <v>2</v>
      </c>
      <c r="L10">
        <v>4.9633656346017505E-3</v>
      </c>
      <c r="M10">
        <v>8.6268021744268522E-2</v>
      </c>
      <c r="N10">
        <v>0.44433939966910901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2.8362089340581431E-2</v>
      </c>
      <c r="AA10">
        <v>0</v>
      </c>
      <c r="AB10">
        <v>0</v>
      </c>
      <c r="AC10">
        <v>0</v>
      </c>
      <c r="AD10">
        <v>0</v>
      </c>
      <c r="AE10">
        <v>7.0905223351453578E-4</v>
      </c>
      <c r="AF10">
        <v>0</v>
      </c>
      <c r="AG10">
        <v>0</v>
      </c>
      <c r="AH10">
        <v>4.727014890096905E-4</v>
      </c>
      <c r="AI10">
        <v>2.387142519498937E-2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5.6724178681162862E-3</v>
      </c>
      <c r="AT10">
        <v>6.381470101630822E-3</v>
      </c>
      <c r="AU10">
        <v>4.277948475537699E-2</v>
      </c>
      <c r="AV10">
        <v>1.0635783502718038E-2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4.7270148900969058E-3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4.727014890096905E-4</v>
      </c>
      <c r="CA10">
        <v>0.34034507208697712</v>
      </c>
      <c r="CB10">
        <v>0</v>
      </c>
    </row>
    <row r="11" spans="1:80">
      <c r="A11">
        <v>658</v>
      </c>
      <c r="B11" t="s">
        <v>44</v>
      </c>
      <c r="C11" s="4" t="s">
        <v>161</v>
      </c>
      <c r="D11" s="4" t="s">
        <v>116</v>
      </c>
      <c r="E11" s="5">
        <v>40420</v>
      </c>
      <c r="F11" s="5">
        <v>40420</v>
      </c>
      <c r="G11">
        <v>1009</v>
      </c>
      <c r="H11" s="4" t="s">
        <v>107</v>
      </c>
      <c r="I11" s="4" t="s">
        <v>109</v>
      </c>
      <c r="J11" s="4" t="str">
        <f t="shared" si="0"/>
        <v>u_con.c_rem</v>
      </c>
      <c r="K11" s="5">
        <v>2</v>
      </c>
      <c r="L11">
        <v>0</v>
      </c>
      <c r="M11">
        <v>5.5871446229913461E-2</v>
      </c>
      <c r="N11">
        <v>0.5142150803461063</v>
      </c>
      <c r="O11">
        <v>0</v>
      </c>
      <c r="P11">
        <v>0</v>
      </c>
      <c r="Q11">
        <v>5.19159456118665E-3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3.9802224969097653E-2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4.944375772558714E-3</v>
      </c>
      <c r="AI11">
        <v>1.03831891223733E-2</v>
      </c>
      <c r="AJ11">
        <v>0</v>
      </c>
      <c r="AK11">
        <v>0</v>
      </c>
      <c r="AL11">
        <v>0</v>
      </c>
      <c r="AM11">
        <v>0</v>
      </c>
      <c r="AN11">
        <v>4.944375772558714E-3</v>
      </c>
      <c r="AO11">
        <v>0</v>
      </c>
      <c r="AP11">
        <v>0</v>
      </c>
      <c r="AQ11">
        <v>0</v>
      </c>
      <c r="AR11">
        <v>0</v>
      </c>
      <c r="AS11">
        <v>1.4833127317676144E-2</v>
      </c>
      <c r="AT11">
        <v>7.4165636588380713E-4</v>
      </c>
      <c r="AU11">
        <v>4.944375772558714E-3</v>
      </c>
      <c r="AV11">
        <v>0.13943139678615574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2.6452410383189122E-2</v>
      </c>
      <c r="CA11">
        <v>0.17824474660074166</v>
      </c>
      <c r="CB11">
        <v>0</v>
      </c>
    </row>
    <row r="12" spans="1:80">
      <c r="A12">
        <v>659</v>
      </c>
      <c r="B12" t="s">
        <v>45</v>
      </c>
      <c r="C12" s="4" t="s">
        <v>161</v>
      </c>
      <c r="D12" s="4" t="s">
        <v>116</v>
      </c>
      <c r="E12" s="5">
        <v>40420</v>
      </c>
      <c r="F12" s="5">
        <v>40420</v>
      </c>
      <c r="G12">
        <v>1009</v>
      </c>
      <c r="H12" s="4" t="s">
        <v>107</v>
      </c>
      <c r="I12" s="4" t="s">
        <v>108</v>
      </c>
      <c r="J12" s="4" t="str">
        <f t="shared" si="0"/>
        <v>u_con.c_con</v>
      </c>
      <c r="K12" s="5">
        <v>19</v>
      </c>
      <c r="L12">
        <v>0</v>
      </c>
      <c r="M12">
        <v>3.0463242698892241E-2</v>
      </c>
      <c r="N12">
        <v>0.23665659617321247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5.0352467270896265E-3</v>
      </c>
      <c r="Y12">
        <v>0</v>
      </c>
      <c r="Z12">
        <v>0.37764350453172196</v>
      </c>
      <c r="AA12">
        <v>0</v>
      </c>
      <c r="AB12">
        <v>0</v>
      </c>
      <c r="AC12">
        <v>0</v>
      </c>
      <c r="AD12">
        <v>0</v>
      </c>
      <c r="AE12">
        <v>2.0140986908358506E-2</v>
      </c>
      <c r="AF12">
        <v>0</v>
      </c>
      <c r="AG12">
        <v>0</v>
      </c>
      <c r="AH12">
        <v>5.0352467270896265E-3</v>
      </c>
      <c r="AI12">
        <v>6.5709969788519618E-2</v>
      </c>
      <c r="AJ12">
        <v>0</v>
      </c>
      <c r="AK12">
        <v>0</v>
      </c>
      <c r="AL12">
        <v>1.510574018126888E-2</v>
      </c>
      <c r="AM12">
        <v>0</v>
      </c>
      <c r="AN12">
        <v>5.0352467270896265E-3</v>
      </c>
      <c r="AO12">
        <v>0</v>
      </c>
      <c r="AP12">
        <v>0</v>
      </c>
      <c r="AQ12">
        <v>0</v>
      </c>
      <c r="AR12">
        <v>0</v>
      </c>
      <c r="AS12">
        <v>3.0715005035246722E-2</v>
      </c>
      <c r="AT12">
        <v>6.0422960725075529E-3</v>
      </c>
      <c r="AU12">
        <v>5.0352467270896265E-3</v>
      </c>
      <c r="AV12">
        <v>5.7905337361530713E-3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2.5176233635448132E-4</v>
      </c>
      <c r="BY12">
        <v>0</v>
      </c>
      <c r="BZ12">
        <v>1.0070493454179253E-2</v>
      </c>
      <c r="CA12">
        <v>0.18126888217522658</v>
      </c>
      <c r="CB12">
        <v>0</v>
      </c>
    </row>
    <row r="13" spans="1:80">
      <c r="A13">
        <v>660</v>
      </c>
      <c r="B13" t="s">
        <v>46</v>
      </c>
      <c r="C13" s="4" t="s">
        <v>161</v>
      </c>
      <c r="D13" s="4" t="s">
        <v>116</v>
      </c>
      <c r="E13" s="5">
        <v>40420</v>
      </c>
      <c r="F13" s="5">
        <v>40420</v>
      </c>
      <c r="G13">
        <v>1009</v>
      </c>
      <c r="H13" s="4" t="s">
        <v>107</v>
      </c>
      <c r="I13" s="4" t="s">
        <v>108</v>
      </c>
      <c r="J13" s="4" t="str">
        <f t="shared" si="0"/>
        <v>u_con.c_con</v>
      </c>
      <c r="K13" s="5">
        <v>19</v>
      </c>
      <c r="L13">
        <v>0</v>
      </c>
      <c r="M13">
        <v>8.0554250821982171E-2</v>
      </c>
      <c r="N13">
        <v>0.51667449506810714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1.4325974635979335E-2</v>
      </c>
      <c r="AA13">
        <v>0</v>
      </c>
      <c r="AB13">
        <v>0</v>
      </c>
      <c r="AC13">
        <v>0</v>
      </c>
      <c r="AD13">
        <v>0</v>
      </c>
      <c r="AE13">
        <v>4.6970408642555191E-3</v>
      </c>
      <c r="AF13">
        <v>0</v>
      </c>
      <c r="AG13">
        <v>0</v>
      </c>
      <c r="AH13">
        <v>4.931892907468296E-3</v>
      </c>
      <c r="AI13">
        <v>3.8515735086895257E-2</v>
      </c>
      <c r="AJ13">
        <v>0</v>
      </c>
      <c r="AK13">
        <v>0</v>
      </c>
      <c r="AL13">
        <v>1.8788163457022077E-2</v>
      </c>
      <c r="AM13">
        <v>0</v>
      </c>
      <c r="AN13">
        <v>4.931892907468296E-3</v>
      </c>
      <c r="AO13">
        <v>0</v>
      </c>
      <c r="AP13">
        <v>0</v>
      </c>
      <c r="AQ13">
        <v>0</v>
      </c>
      <c r="AR13">
        <v>0</v>
      </c>
      <c r="AS13">
        <v>4.2743071864725223E-2</v>
      </c>
      <c r="AT13">
        <v>2.3485204321277596E-4</v>
      </c>
      <c r="AU13">
        <v>4.2273367778299674E-2</v>
      </c>
      <c r="AV13">
        <v>9.8637858149365931E-2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2.9121653358384219E-2</v>
      </c>
      <c r="CA13">
        <v>0.10356975105683421</v>
      </c>
      <c r="CB13">
        <v>0</v>
      </c>
    </row>
    <row r="14" spans="1:80">
      <c r="A14">
        <v>661</v>
      </c>
      <c r="B14" t="s">
        <v>47</v>
      </c>
      <c r="C14" s="4" t="s">
        <v>162</v>
      </c>
      <c r="D14" s="4" t="s">
        <v>116</v>
      </c>
      <c r="E14" s="5">
        <v>40420</v>
      </c>
      <c r="F14" s="5">
        <v>40420</v>
      </c>
      <c r="G14">
        <v>1009</v>
      </c>
      <c r="H14" s="4" t="s">
        <v>110</v>
      </c>
      <c r="I14" s="4" t="s">
        <v>108</v>
      </c>
      <c r="J14" s="4" t="str">
        <f t="shared" si="0"/>
        <v>u_rem.c_con</v>
      </c>
      <c r="K14" s="5">
        <v>8</v>
      </c>
      <c r="L14">
        <v>0</v>
      </c>
      <c r="M14">
        <v>8.421311072919227E-2</v>
      </c>
      <c r="N14">
        <v>0.12349619445126445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1.473115639577707E-2</v>
      </c>
      <c r="AD14">
        <v>0</v>
      </c>
      <c r="AE14">
        <v>9.8207709305180475E-3</v>
      </c>
      <c r="AF14">
        <v>0</v>
      </c>
      <c r="AG14">
        <v>0</v>
      </c>
      <c r="AH14">
        <v>0.19690645715688687</v>
      </c>
      <c r="AI14">
        <v>2.4797446599558067E-2</v>
      </c>
      <c r="AJ14">
        <v>4.9103854652590238E-3</v>
      </c>
      <c r="AK14">
        <v>0</v>
      </c>
      <c r="AL14">
        <v>0</v>
      </c>
      <c r="AM14">
        <v>0</v>
      </c>
      <c r="AN14">
        <v>8.4213110729192256E-2</v>
      </c>
      <c r="AO14">
        <v>0</v>
      </c>
      <c r="AP14">
        <v>0</v>
      </c>
      <c r="AQ14">
        <v>0</v>
      </c>
      <c r="AR14">
        <v>0</v>
      </c>
      <c r="AS14">
        <v>4.4930027007120066E-2</v>
      </c>
      <c r="AT14">
        <v>4.1983795727964644E-2</v>
      </c>
      <c r="AU14">
        <v>9.8207709305180475E-3</v>
      </c>
      <c r="AV14">
        <v>5.8924625583108283E-3</v>
      </c>
      <c r="AW14">
        <v>0</v>
      </c>
      <c r="AX14">
        <v>2.4551927326295114E-4</v>
      </c>
      <c r="AY14">
        <v>0</v>
      </c>
      <c r="AZ14">
        <v>0</v>
      </c>
      <c r="BA14">
        <v>0.23103363614043701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4.9103854652590238E-3</v>
      </c>
      <c r="BY14">
        <v>0</v>
      </c>
      <c r="BZ14">
        <v>0</v>
      </c>
      <c r="CA14">
        <v>0.11809477043947952</v>
      </c>
      <c r="CB14">
        <v>0</v>
      </c>
    </row>
    <row r="15" spans="1:80">
      <c r="A15">
        <v>662</v>
      </c>
      <c r="B15" t="s">
        <v>48</v>
      </c>
      <c r="C15" s="4" t="s">
        <v>162</v>
      </c>
      <c r="D15" s="4" t="s">
        <v>116</v>
      </c>
      <c r="E15" s="5">
        <v>40420</v>
      </c>
      <c r="F15" s="5">
        <v>40420</v>
      </c>
      <c r="G15">
        <v>1009</v>
      </c>
      <c r="H15" s="4" t="s">
        <v>110</v>
      </c>
      <c r="I15" s="4" t="s">
        <v>108</v>
      </c>
      <c r="J15" s="4" t="str">
        <f t="shared" si="0"/>
        <v>u_rem.c_con</v>
      </c>
      <c r="K15" s="5">
        <v>8</v>
      </c>
      <c r="L15">
        <v>5.2020636285468616E-2</v>
      </c>
      <c r="M15">
        <v>0.12080825451418746</v>
      </c>
      <c r="N15">
        <v>0.23215821152192606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4.2992261392949267E-2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0.14230438521066208</v>
      </c>
      <c r="AI15">
        <v>4.3852106620808261E-2</v>
      </c>
      <c r="AJ15">
        <v>2.1496130696474638E-4</v>
      </c>
      <c r="AK15">
        <v>0</v>
      </c>
      <c r="AL15">
        <v>1.2897678417884782E-2</v>
      </c>
      <c r="AM15">
        <v>0</v>
      </c>
      <c r="AN15">
        <v>4.3852106620808261E-2</v>
      </c>
      <c r="AO15">
        <v>0</v>
      </c>
      <c r="AP15">
        <v>0</v>
      </c>
      <c r="AQ15">
        <v>0</v>
      </c>
      <c r="AR15">
        <v>0</v>
      </c>
      <c r="AS15">
        <v>1.311263972484953E-2</v>
      </c>
      <c r="AT15">
        <v>3.6973344797936375E-2</v>
      </c>
      <c r="AU15">
        <v>0</v>
      </c>
      <c r="AV15">
        <v>4.7291487532244211E-3</v>
      </c>
      <c r="AW15">
        <v>1.7196904557179711E-2</v>
      </c>
      <c r="AX15">
        <v>0</v>
      </c>
      <c r="AY15">
        <v>0</v>
      </c>
      <c r="AZ15">
        <v>0</v>
      </c>
      <c r="BA15">
        <v>0.18508168529664656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5.1805674978503864E-2</v>
      </c>
      <c r="CB15">
        <v>0</v>
      </c>
    </row>
    <row r="16" spans="1:80">
      <c r="A16">
        <v>663</v>
      </c>
      <c r="B16" t="s">
        <v>49</v>
      </c>
      <c r="C16" s="4" t="s">
        <v>162</v>
      </c>
      <c r="D16" s="4" t="s">
        <v>116</v>
      </c>
      <c r="E16" s="5">
        <v>40420</v>
      </c>
      <c r="F16" s="5">
        <v>40420</v>
      </c>
      <c r="G16">
        <v>1009</v>
      </c>
      <c r="H16" s="4" t="s">
        <v>110</v>
      </c>
      <c r="I16" s="4" t="s">
        <v>109</v>
      </c>
      <c r="J16" s="4" t="str">
        <f t="shared" si="0"/>
        <v>u_rem.c_rem</v>
      </c>
      <c r="K16" s="5">
        <v>1</v>
      </c>
      <c r="L16">
        <v>1.6078017923036377E-2</v>
      </c>
      <c r="M16">
        <v>0.23247232472324722</v>
      </c>
      <c r="N16">
        <v>0.16895097522403799</v>
      </c>
      <c r="O16">
        <v>0</v>
      </c>
      <c r="P16">
        <v>0</v>
      </c>
      <c r="Q16">
        <v>1.5814443858724304E-2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9.4886663152345813E-2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2.6357406431207171E-2</v>
      </c>
      <c r="AI16">
        <v>5.535055350553506E-3</v>
      </c>
      <c r="AJ16">
        <v>0</v>
      </c>
      <c r="AK16">
        <v>0</v>
      </c>
      <c r="AL16">
        <v>0</v>
      </c>
      <c r="AM16">
        <v>0</v>
      </c>
      <c r="AN16">
        <v>8.0653663679493948E-2</v>
      </c>
      <c r="AO16">
        <v>0</v>
      </c>
      <c r="AP16">
        <v>0</v>
      </c>
      <c r="AQ16">
        <v>0</v>
      </c>
      <c r="AR16">
        <v>0</v>
      </c>
      <c r="AS16">
        <v>5.7986294148655781E-3</v>
      </c>
      <c r="AT16">
        <v>1.9504480759093314E-2</v>
      </c>
      <c r="AU16">
        <v>5.2714812862414348E-3</v>
      </c>
      <c r="AV16">
        <v>5.7986294148655772E-3</v>
      </c>
      <c r="AW16">
        <v>0</v>
      </c>
      <c r="AX16">
        <v>1.6078017923036377E-2</v>
      </c>
      <c r="AY16">
        <v>0</v>
      </c>
      <c r="AZ16">
        <v>0</v>
      </c>
      <c r="BA16">
        <v>0.21085925144965736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2.6357406431207171E-4</v>
      </c>
      <c r="CA16">
        <v>9.5413811280969971E-2</v>
      </c>
      <c r="CB16">
        <v>0</v>
      </c>
    </row>
    <row r="17" spans="1:80">
      <c r="A17">
        <v>664</v>
      </c>
      <c r="B17" t="s">
        <v>50</v>
      </c>
      <c r="C17" s="4" t="s">
        <v>162</v>
      </c>
      <c r="D17" s="4" t="s">
        <v>116</v>
      </c>
      <c r="E17" s="5">
        <v>40420</v>
      </c>
      <c r="F17" s="5">
        <v>40420</v>
      </c>
      <c r="G17">
        <v>1009</v>
      </c>
      <c r="H17" s="4" t="s">
        <v>110</v>
      </c>
      <c r="I17" s="4" t="s">
        <v>109</v>
      </c>
      <c r="J17" s="4" t="str">
        <f t="shared" si="0"/>
        <v>u_rem.c_rem</v>
      </c>
      <c r="K17" s="5">
        <v>1</v>
      </c>
      <c r="L17">
        <v>5.5432372505543233E-3</v>
      </c>
      <c r="M17">
        <v>0.2441796008869179</v>
      </c>
      <c r="N17">
        <v>0</v>
      </c>
      <c r="O17">
        <v>5.8203991130820398E-3</v>
      </c>
      <c r="P17">
        <v>0</v>
      </c>
      <c r="Q17">
        <v>3.880266075388026E-2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5.8203991130820398E-3</v>
      </c>
      <c r="AF17">
        <v>0</v>
      </c>
      <c r="AG17">
        <v>5.5432372505543233E-3</v>
      </c>
      <c r="AH17">
        <v>1.1363636363636362E-2</v>
      </c>
      <c r="AI17">
        <v>6.1252771618625267E-2</v>
      </c>
      <c r="AJ17">
        <v>0.18292682926829265</v>
      </c>
      <c r="AK17">
        <v>0</v>
      </c>
      <c r="AL17">
        <v>9.4235033259423492E-2</v>
      </c>
      <c r="AM17">
        <v>0</v>
      </c>
      <c r="AN17">
        <v>4.6008869179600877E-2</v>
      </c>
      <c r="AO17">
        <v>0</v>
      </c>
      <c r="AP17">
        <v>0</v>
      </c>
      <c r="AQ17">
        <v>0</v>
      </c>
      <c r="AR17">
        <v>0</v>
      </c>
      <c r="AS17">
        <v>1.1086474501108645E-3</v>
      </c>
      <c r="AT17">
        <v>1.9401330376940132E-3</v>
      </c>
      <c r="AU17">
        <v>1.164079822616408E-2</v>
      </c>
      <c r="AV17">
        <v>0</v>
      </c>
      <c r="AW17">
        <v>0</v>
      </c>
      <c r="AX17">
        <v>5.5432372505543233E-3</v>
      </c>
      <c r="AY17">
        <v>0</v>
      </c>
      <c r="AZ17">
        <v>0</v>
      </c>
      <c r="BA17">
        <v>5.6263858093126382E-2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2.2172949002217293E-2</v>
      </c>
      <c r="CA17">
        <v>0.19983370288248331</v>
      </c>
      <c r="CB17">
        <v>0</v>
      </c>
    </row>
    <row r="18" spans="1:80">
      <c r="A18">
        <v>665</v>
      </c>
      <c r="B18" t="s">
        <v>51</v>
      </c>
      <c r="C18" s="4" t="s">
        <v>163</v>
      </c>
      <c r="D18" s="4" t="s">
        <v>116</v>
      </c>
      <c r="E18" s="5">
        <v>40420</v>
      </c>
      <c r="F18" s="5">
        <v>40420</v>
      </c>
      <c r="G18">
        <v>1009</v>
      </c>
      <c r="H18" s="4" t="s">
        <v>107</v>
      </c>
      <c r="I18" s="4" t="s">
        <v>109</v>
      </c>
      <c r="J18" s="4" t="str">
        <f t="shared" si="0"/>
        <v>u_con.c_rem</v>
      </c>
      <c r="K18" s="5">
        <v>2</v>
      </c>
      <c r="L18">
        <v>0</v>
      </c>
      <c r="M18">
        <v>5.3305996924654028E-2</v>
      </c>
      <c r="N18">
        <v>0.14864172219374683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0.1181445412608919</v>
      </c>
      <c r="AA18">
        <v>0</v>
      </c>
      <c r="AB18">
        <v>0</v>
      </c>
      <c r="AC18">
        <v>5.1255766273705797E-3</v>
      </c>
      <c r="AD18">
        <v>0</v>
      </c>
      <c r="AE18">
        <v>5.1255766273705797E-3</v>
      </c>
      <c r="AF18">
        <v>0</v>
      </c>
      <c r="AG18">
        <v>0</v>
      </c>
      <c r="AH18">
        <v>5.6637621732444916E-2</v>
      </c>
      <c r="AI18">
        <v>5.2537160430548423E-2</v>
      </c>
      <c r="AJ18">
        <v>3.0753459764223483E-2</v>
      </c>
      <c r="AK18">
        <v>0</v>
      </c>
      <c r="AL18">
        <v>7.7139928241927225E-2</v>
      </c>
      <c r="AM18">
        <v>0</v>
      </c>
      <c r="AN18">
        <v>6.1506919528446962E-3</v>
      </c>
      <c r="AO18">
        <v>0</v>
      </c>
      <c r="AP18">
        <v>0</v>
      </c>
      <c r="AQ18">
        <v>0</v>
      </c>
      <c r="AR18">
        <v>0</v>
      </c>
      <c r="AS18">
        <v>2.7165556125064074E-2</v>
      </c>
      <c r="AT18">
        <v>8.20092260379293E-3</v>
      </c>
      <c r="AU18">
        <v>7.7139928241927239E-2</v>
      </c>
      <c r="AV18">
        <v>5.3818554587391088E-3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1.5376729882111742E-2</v>
      </c>
      <c r="CA18">
        <v>0.31266017426960535</v>
      </c>
      <c r="CB18">
        <v>0</v>
      </c>
    </row>
    <row r="19" spans="1:80">
      <c r="A19">
        <v>666</v>
      </c>
      <c r="B19" t="s">
        <v>52</v>
      </c>
      <c r="C19" s="4" t="s">
        <v>163</v>
      </c>
      <c r="D19" s="4" t="s">
        <v>116</v>
      </c>
      <c r="E19" s="5">
        <v>40420</v>
      </c>
      <c r="F19" s="5">
        <v>40420</v>
      </c>
      <c r="G19">
        <v>1009</v>
      </c>
      <c r="H19" s="4" t="s">
        <v>107</v>
      </c>
      <c r="I19" s="4" t="s">
        <v>109</v>
      </c>
      <c r="J19" s="4" t="str">
        <f t="shared" si="0"/>
        <v>u_con.c_rem</v>
      </c>
      <c r="K19" s="5">
        <v>2</v>
      </c>
      <c r="L19">
        <v>0</v>
      </c>
      <c r="M19">
        <v>0.10609659540775929</v>
      </c>
      <c r="N19">
        <v>0.14832409606756403</v>
      </c>
      <c r="O19">
        <v>1.583531274742676E-2</v>
      </c>
      <c r="P19">
        <v>0</v>
      </c>
      <c r="Q19">
        <v>1.0820797044074954E-2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5.2784375824755873E-3</v>
      </c>
      <c r="Y19">
        <v>0</v>
      </c>
      <c r="Z19">
        <v>0.24307205067300072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2.6656109791501716E-2</v>
      </c>
      <c r="AI19">
        <v>1.0820797044074954E-2</v>
      </c>
      <c r="AJ19">
        <v>8.9997360781208777E-2</v>
      </c>
      <c r="AK19">
        <v>0</v>
      </c>
      <c r="AL19">
        <v>0</v>
      </c>
      <c r="AM19">
        <v>0</v>
      </c>
      <c r="AN19">
        <v>5.9118500923726572E-2</v>
      </c>
      <c r="AO19">
        <v>0</v>
      </c>
      <c r="AP19">
        <v>0</v>
      </c>
      <c r="AQ19">
        <v>0</v>
      </c>
      <c r="AR19">
        <v>0</v>
      </c>
      <c r="AS19">
        <v>5.8062813407231458E-3</v>
      </c>
      <c r="AT19">
        <v>7.9176563737133835E-3</v>
      </c>
      <c r="AU19">
        <v>3.7740828714700449E-2</v>
      </c>
      <c r="AV19">
        <v>0</v>
      </c>
      <c r="AW19">
        <v>5.5423594615993674E-3</v>
      </c>
      <c r="AX19">
        <v>5.2784375824755873E-3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0.22169437846397463</v>
      </c>
      <c r="CB19">
        <v>0</v>
      </c>
    </row>
    <row r="20" spans="1:80">
      <c r="A20">
        <v>667</v>
      </c>
      <c r="B20" t="s">
        <v>53</v>
      </c>
      <c r="C20" s="4" t="s">
        <v>163</v>
      </c>
      <c r="D20" s="4" t="s">
        <v>116</v>
      </c>
      <c r="E20" s="5">
        <v>40420</v>
      </c>
      <c r="F20" s="5">
        <v>40420</v>
      </c>
      <c r="G20">
        <v>1009</v>
      </c>
      <c r="H20" s="4" t="s">
        <v>107</v>
      </c>
      <c r="I20" s="4" t="s">
        <v>108</v>
      </c>
      <c r="J20" s="4" t="str">
        <f t="shared" si="0"/>
        <v>u_con.c_con</v>
      </c>
      <c r="K20" s="5">
        <v>19</v>
      </c>
      <c r="L20">
        <v>0</v>
      </c>
      <c r="M20">
        <v>8.558670305135202E-2</v>
      </c>
      <c r="N20">
        <v>0.18357727611014638</v>
      </c>
      <c r="O20">
        <v>0</v>
      </c>
      <c r="P20">
        <v>0</v>
      </c>
      <c r="Q20">
        <v>2.5055817415033484E-2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2.9769288017861564E-2</v>
      </c>
      <c r="Z20">
        <v>0.18953113371371863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6.0034730836020823E-2</v>
      </c>
      <c r="AI20">
        <v>5.5073182833043889E-2</v>
      </c>
      <c r="AJ20">
        <v>9.9230960059538565E-3</v>
      </c>
      <c r="AK20">
        <v>0</v>
      </c>
      <c r="AL20">
        <v>0.11411560406846935</v>
      </c>
      <c r="AM20">
        <v>0</v>
      </c>
      <c r="AN20">
        <v>1.5132721409079631E-2</v>
      </c>
      <c r="AO20">
        <v>0</v>
      </c>
      <c r="AP20">
        <v>0</v>
      </c>
      <c r="AQ20">
        <v>0</v>
      </c>
      <c r="AR20">
        <v>0</v>
      </c>
      <c r="AS20">
        <v>4.9615480029769276E-4</v>
      </c>
      <c r="AT20">
        <v>6.4500124038700058E-3</v>
      </c>
      <c r="AU20">
        <v>4.0436616224261958E-2</v>
      </c>
      <c r="AV20">
        <v>2.4807740014884638E-4</v>
      </c>
      <c r="AW20">
        <v>9.9230960059538565E-3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2.4807740014884638E-4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4.9615480029769276E-4</v>
      </c>
      <c r="CA20">
        <v>0.1739022575043413</v>
      </c>
      <c r="CB20">
        <v>0</v>
      </c>
    </row>
    <row r="21" spans="1:80">
      <c r="A21">
        <v>668</v>
      </c>
      <c r="B21" t="s">
        <v>54</v>
      </c>
      <c r="C21" s="4" t="s">
        <v>163</v>
      </c>
      <c r="D21" s="4" t="s">
        <v>116</v>
      </c>
      <c r="E21" s="5">
        <v>40420</v>
      </c>
      <c r="F21" s="5">
        <v>40420</v>
      </c>
      <c r="G21">
        <v>1009</v>
      </c>
      <c r="H21" s="4" t="s">
        <v>107</v>
      </c>
      <c r="I21" s="4" t="s">
        <v>108</v>
      </c>
      <c r="J21" s="4" t="str">
        <f t="shared" si="0"/>
        <v>u_con.c_con</v>
      </c>
      <c r="K21" s="5">
        <v>19</v>
      </c>
      <c r="L21">
        <v>0</v>
      </c>
      <c r="M21">
        <v>1.4426379665674383E-2</v>
      </c>
      <c r="N21">
        <v>8.7016258300893115E-2</v>
      </c>
      <c r="O21">
        <v>1.3968399358827576E-2</v>
      </c>
      <c r="P21">
        <v>0</v>
      </c>
      <c r="Q21">
        <v>5.5186626975040079E-2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0.37119303869933595</v>
      </c>
      <c r="AA21">
        <v>0</v>
      </c>
      <c r="AB21">
        <v>0</v>
      </c>
      <c r="AC21">
        <v>0</v>
      </c>
      <c r="AD21">
        <v>0</v>
      </c>
      <c r="AE21">
        <v>4.5798030684680575E-4</v>
      </c>
      <c r="AF21">
        <v>0</v>
      </c>
      <c r="AG21">
        <v>0</v>
      </c>
      <c r="AH21">
        <v>1.3739409205404174E-2</v>
      </c>
      <c r="AI21">
        <v>4.5798030684680571E-3</v>
      </c>
      <c r="AJ21">
        <v>0</v>
      </c>
      <c r="AK21">
        <v>0</v>
      </c>
      <c r="AL21">
        <v>2.7478818410808348E-2</v>
      </c>
      <c r="AM21">
        <v>0</v>
      </c>
      <c r="AN21">
        <v>2.4501946416304106E-2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1.3739409205404173E-3</v>
      </c>
      <c r="AU21">
        <v>2.4043966109457301E-2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4.8087932218914605E-3</v>
      </c>
      <c r="CA21">
        <v>0.35722463934050847</v>
      </c>
      <c r="CB21">
        <v>0</v>
      </c>
    </row>
    <row r="22" spans="1:80">
      <c r="A22">
        <v>669</v>
      </c>
      <c r="B22" t="s">
        <v>55</v>
      </c>
      <c r="C22" s="4" t="s">
        <v>164</v>
      </c>
      <c r="D22" s="4" t="s">
        <v>116</v>
      </c>
      <c r="E22" s="5">
        <v>40420</v>
      </c>
      <c r="F22" s="5">
        <v>40420</v>
      </c>
      <c r="G22">
        <v>1009</v>
      </c>
      <c r="H22" s="4" t="s">
        <v>110</v>
      </c>
      <c r="I22" s="4" t="s">
        <v>108</v>
      </c>
      <c r="J22" s="4" t="str">
        <f t="shared" si="0"/>
        <v>u_rem.c_con</v>
      </c>
      <c r="K22" s="5">
        <v>8</v>
      </c>
      <c r="L22">
        <v>0</v>
      </c>
      <c r="M22">
        <v>6.0251535536706632E-2</v>
      </c>
      <c r="N22">
        <v>7.6338110558642883E-2</v>
      </c>
      <c r="O22">
        <v>5.3231939163498089E-2</v>
      </c>
      <c r="P22">
        <v>0</v>
      </c>
      <c r="Q22">
        <v>2.3983620941795847E-2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1.1699327288680899E-2</v>
      </c>
      <c r="AA22">
        <v>0</v>
      </c>
      <c r="AB22">
        <v>0</v>
      </c>
      <c r="AC22">
        <v>0</v>
      </c>
      <c r="AD22">
        <v>0</v>
      </c>
      <c r="AE22">
        <v>3.0125767768353316E-2</v>
      </c>
      <c r="AF22">
        <v>0</v>
      </c>
      <c r="AG22">
        <v>5.8496636443404492E-4</v>
      </c>
      <c r="AH22">
        <v>1.286926001754899E-2</v>
      </c>
      <c r="AI22">
        <v>6.1421468265574729E-3</v>
      </c>
      <c r="AJ22">
        <v>5.8496636443404497E-3</v>
      </c>
      <c r="AK22">
        <v>0</v>
      </c>
      <c r="AL22">
        <v>0.12284293653114944</v>
      </c>
      <c r="AM22">
        <v>0</v>
      </c>
      <c r="AN22">
        <v>3.7145364141561853E-2</v>
      </c>
      <c r="AO22">
        <v>0</v>
      </c>
      <c r="AP22">
        <v>0</v>
      </c>
      <c r="AQ22">
        <v>0</v>
      </c>
      <c r="AR22">
        <v>0</v>
      </c>
      <c r="AS22">
        <v>4.1532611874817188E-2</v>
      </c>
      <c r="AT22">
        <v>7.312079555425564E-3</v>
      </c>
      <c r="AU22">
        <v>3.0125767768353316E-2</v>
      </c>
      <c r="AV22">
        <v>0</v>
      </c>
      <c r="AW22">
        <v>5.8496636443404497E-3</v>
      </c>
      <c r="AX22">
        <v>6.1421468265574729E-3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1.1699327288680899E-2</v>
      </c>
      <c r="CA22">
        <v>0.45627376425855498</v>
      </c>
      <c r="CB22">
        <v>0</v>
      </c>
    </row>
    <row r="23" spans="1:80">
      <c r="A23">
        <v>670</v>
      </c>
      <c r="B23" t="s">
        <v>56</v>
      </c>
      <c r="C23" s="4" t="s">
        <v>164</v>
      </c>
      <c r="D23" s="4" t="s">
        <v>116</v>
      </c>
      <c r="E23" s="5">
        <v>40420</v>
      </c>
      <c r="F23" s="5">
        <v>40420</v>
      </c>
      <c r="G23">
        <v>1009</v>
      </c>
      <c r="H23" s="4" t="s">
        <v>110</v>
      </c>
      <c r="I23" s="4" t="s">
        <v>109</v>
      </c>
      <c r="J23" s="4" t="str">
        <f t="shared" si="0"/>
        <v>u_rem.c_rem</v>
      </c>
      <c r="K23" s="5">
        <v>1</v>
      </c>
      <c r="L23">
        <v>0</v>
      </c>
      <c r="M23">
        <v>2.1525378687217645E-2</v>
      </c>
      <c r="N23">
        <v>0.17565771990433166</v>
      </c>
      <c r="O23">
        <v>1.0895562051554611E-2</v>
      </c>
      <c r="P23">
        <v>0</v>
      </c>
      <c r="Q23">
        <v>2.6574541589157585E-4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6.3778899813978218E-2</v>
      </c>
      <c r="AA23">
        <v>0</v>
      </c>
      <c r="AB23">
        <v>0</v>
      </c>
      <c r="AC23">
        <v>0</v>
      </c>
      <c r="AD23">
        <v>0</v>
      </c>
      <c r="AE23">
        <v>1.0629816635663035E-2</v>
      </c>
      <c r="AF23">
        <v>0</v>
      </c>
      <c r="AG23">
        <v>0</v>
      </c>
      <c r="AH23">
        <v>5.8463991496146691E-3</v>
      </c>
      <c r="AI23">
        <v>5.368057401009832E-2</v>
      </c>
      <c r="AJ23">
        <v>0</v>
      </c>
      <c r="AK23">
        <v>0</v>
      </c>
      <c r="AL23">
        <v>0.56364602710603251</v>
      </c>
      <c r="AM23">
        <v>0</v>
      </c>
      <c r="AN23">
        <v>1.3287270794578793E-3</v>
      </c>
      <c r="AO23">
        <v>0</v>
      </c>
      <c r="AP23">
        <v>0</v>
      </c>
      <c r="AQ23">
        <v>0</v>
      </c>
      <c r="AR23">
        <v>0</v>
      </c>
      <c r="AS23">
        <v>1.0895562051554611E-2</v>
      </c>
      <c r="AT23">
        <v>5.8463991496146691E-3</v>
      </c>
      <c r="AU23">
        <v>2.684028700504916E-2</v>
      </c>
      <c r="AV23">
        <v>5.8463991496146691E-3</v>
      </c>
      <c r="AW23">
        <v>5.5806537337230932E-3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3.2155195322880678E-2</v>
      </c>
      <c r="CB23">
        <v>5.5806537337230932E-3</v>
      </c>
    </row>
    <row r="24" spans="1:80">
      <c r="A24">
        <v>671</v>
      </c>
      <c r="B24" t="s">
        <v>57</v>
      </c>
      <c r="C24" s="4" t="s">
        <v>164</v>
      </c>
      <c r="D24" s="4" t="s">
        <v>116</v>
      </c>
      <c r="E24" s="5">
        <v>40420</v>
      </c>
      <c r="F24" s="5">
        <v>40420</v>
      </c>
      <c r="G24">
        <v>1009</v>
      </c>
      <c r="H24" s="4" t="s">
        <v>110</v>
      </c>
      <c r="I24" s="4" t="s">
        <v>108</v>
      </c>
      <c r="J24" s="4" t="str">
        <f t="shared" si="0"/>
        <v>u_rem.c_con</v>
      </c>
      <c r="K24" s="5">
        <v>8</v>
      </c>
      <c r="L24">
        <v>0</v>
      </c>
      <c r="M24">
        <v>1.0337871911245588E-2</v>
      </c>
      <c r="N24">
        <v>9.0771558245083206E-2</v>
      </c>
      <c r="O24">
        <v>1.5128593040847202E-2</v>
      </c>
      <c r="P24">
        <v>0</v>
      </c>
      <c r="Q24">
        <v>1.0337871911245588E-2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3.0761472516389304E-2</v>
      </c>
      <c r="AA24">
        <v>0</v>
      </c>
      <c r="AB24">
        <v>0</v>
      </c>
      <c r="AC24">
        <v>0</v>
      </c>
      <c r="AD24">
        <v>0</v>
      </c>
      <c r="AE24">
        <v>5.5471507816439742E-3</v>
      </c>
      <c r="AF24">
        <v>0</v>
      </c>
      <c r="AG24">
        <v>0</v>
      </c>
      <c r="AH24">
        <v>1.059001512859304E-2</v>
      </c>
      <c r="AI24">
        <v>5.0428643469490665E-4</v>
      </c>
      <c r="AJ24">
        <v>0</v>
      </c>
      <c r="AK24">
        <v>0</v>
      </c>
      <c r="AL24">
        <v>0.34291477559253647</v>
      </c>
      <c r="AM24">
        <v>0</v>
      </c>
      <c r="AN24">
        <v>6.303580433686333E-3</v>
      </c>
      <c r="AO24">
        <v>0</v>
      </c>
      <c r="AP24">
        <v>0</v>
      </c>
      <c r="AQ24">
        <v>0</v>
      </c>
      <c r="AR24">
        <v>0</v>
      </c>
      <c r="AS24">
        <v>1.1346444780635401E-2</v>
      </c>
      <c r="AT24">
        <v>5.7992939989914265E-3</v>
      </c>
      <c r="AU24">
        <v>5.0428643469490664E-2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5.2950075642965201E-3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2.5214321734745332E-2</v>
      </c>
      <c r="CA24">
        <v>0.37821482602118001</v>
      </c>
      <c r="CB24">
        <v>0</v>
      </c>
    </row>
    <row r="25" spans="1:80">
      <c r="A25">
        <v>672</v>
      </c>
      <c r="B25" t="s">
        <v>58</v>
      </c>
      <c r="C25" s="4" t="s">
        <v>164</v>
      </c>
      <c r="D25" s="4" t="s">
        <v>116</v>
      </c>
      <c r="E25" s="5">
        <v>40420</v>
      </c>
      <c r="F25" s="5">
        <v>40420</v>
      </c>
      <c r="G25">
        <v>1009</v>
      </c>
      <c r="H25" s="4" t="s">
        <v>110</v>
      </c>
      <c r="I25" s="4" t="s">
        <v>109</v>
      </c>
      <c r="J25" s="4" t="str">
        <f t="shared" si="0"/>
        <v>u_rem.c_rem</v>
      </c>
      <c r="K25" s="5">
        <v>1</v>
      </c>
      <c r="L25">
        <v>0</v>
      </c>
      <c r="M25">
        <v>1.2198097096852896E-3</v>
      </c>
      <c r="N25">
        <v>0.12246889485240305</v>
      </c>
      <c r="O25">
        <v>4.9036350329348645E-2</v>
      </c>
      <c r="P25">
        <v>0</v>
      </c>
      <c r="Q25">
        <v>8.3191022200536757E-2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1.4637716516223476E-2</v>
      </c>
      <c r="Z25">
        <v>0.17589656013661872</v>
      </c>
      <c r="AA25">
        <v>0</v>
      </c>
      <c r="AB25">
        <v>0</v>
      </c>
      <c r="AC25">
        <v>0</v>
      </c>
      <c r="AD25">
        <v>0</v>
      </c>
      <c r="AE25">
        <v>5.4403513051963906E-2</v>
      </c>
      <c r="AF25">
        <v>0</v>
      </c>
      <c r="AG25">
        <v>0</v>
      </c>
      <c r="AH25">
        <v>1.0734325445230548E-2</v>
      </c>
      <c r="AI25">
        <v>5.367162722615274E-3</v>
      </c>
      <c r="AJ25">
        <v>0</v>
      </c>
      <c r="AK25">
        <v>0</v>
      </c>
      <c r="AL25">
        <v>2.4396194193705791E-2</v>
      </c>
      <c r="AM25">
        <v>0</v>
      </c>
      <c r="AN25">
        <v>1.2198097096852897E-2</v>
      </c>
      <c r="AO25">
        <v>0</v>
      </c>
      <c r="AP25">
        <v>0</v>
      </c>
      <c r="AQ25">
        <v>0</v>
      </c>
      <c r="AR25">
        <v>0</v>
      </c>
      <c r="AS25">
        <v>1.536960234203465E-2</v>
      </c>
      <c r="AT25">
        <v>1.4637716516223474E-3</v>
      </c>
      <c r="AU25">
        <v>2.4640156135642848E-2</v>
      </c>
      <c r="AV25">
        <v>0</v>
      </c>
      <c r="AW25">
        <v>0</v>
      </c>
      <c r="AX25">
        <v>4.8792388387411583E-3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0.40009758477677493</v>
      </c>
      <c r="CB25">
        <v>0</v>
      </c>
    </row>
    <row r="26" spans="1:80">
      <c r="A26">
        <v>673</v>
      </c>
      <c r="B26" t="s">
        <v>59</v>
      </c>
      <c r="C26" s="4" t="s">
        <v>165</v>
      </c>
      <c r="D26" s="4" t="s">
        <v>117</v>
      </c>
      <c r="E26" s="5">
        <v>40421</v>
      </c>
      <c r="F26" s="5">
        <v>40420</v>
      </c>
      <c r="G26">
        <v>1009</v>
      </c>
      <c r="H26" s="4" t="s">
        <v>107</v>
      </c>
      <c r="I26" s="4" t="s">
        <v>109</v>
      </c>
      <c r="J26" s="4" t="str">
        <f t="shared" si="0"/>
        <v>u_con.c_rem</v>
      </c>
      <c r="K26" s="5">
        <v>2</v>
      </c>
      <c r="L26">
        <v>2.541942043721403E-2</v>
      </c>
      <c r="M26">
        <v>0.16344687341128619</v>
      </c>
      <c r="N26">
        <v>4.067107269954244E-2</v>
      </c>
      <c r="O26">
        <v>3.5841382816471777E-2</v>
      </c>
      <c r="P26">
        <v>0</v>
      </c>
      <c r="Q26">
        <v>2.592780884595831E-2</v>
      </c>
      <c r="R26">
        <v>3.5587188612099641E-2</v>
      </c>
      <c r="S26">
        <v>0</v>
      </c>
      <c r="T26">
        <v>1.0421962379257754E-2</v>
      </c>
      <c r="U26">
        <v>0</v>
      </c>
      <c r="V26">
        <v>0</v>
      </c>
      <c r="W26">
        <v>0</v>
      </c>
      <c r="X26">
        <v>2.0843924758515507E-2</v>
      </c>
      <c r="Y26">
        <v>4.5754956786985247E-2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2.5419420437214032E-4</v>
      </c>
      <c r="AF26">
        <v>0</v>
      </c>
      <c r="AG26">
        <v>0</v>
      </c>
      <c r="AH26">
        <v>0</v>
      </c>
      <c r="AI26">
        <v>5.8464667005592276E-3</v>
      </c>
      <c r="AJ26">
        <v>0.19344178952719879</v>
      </c>
      <c r="AK26">
        <v>0</v>
      </c>
      <c r="AL26">
        <v>6.1260803253685825E-2</v>
      </c>
      <c r="AM26">
        <v>0</v>
      </c>
      <c r="AN26">
        <v>1.2709710218607015E-3</v>
      </c>
      <c r="AO26">
        <v>0</v>
      </c>
      <c r="AP26">
        <v>0</v>
      </c>
      <c r="AQ26">
        <v>0</v>
      </c>
      <c r="AR26">
        <v>0</v>
      </c>
      <c r="AS26">
        <v>2.5419420437214032E-4</v>
      </c>
      <c r="AT26">
        <v>6.6090493136756493E-3</v>
      </c>
      <c r="AU26">
        <v>0</v>
      </c>
      <c r="AV26">
        <v>2.5419420437214032E-4</v>
      </c>
      <c r="AW26">
        <v>1.525165226232842E-2</v>
      </c>
      <c r="AX26">
        <v>7.6258261311642084E-4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5.8464667005592268E-3</v>
      </c>
      <c r="CA26">
        <v>0.2745297407219115</v>
      </c>
      <c r="CB26">
        <v>3.0503304524656834E-2</v>
      </c>
    </row>
    <row r="27" spans="1:80">
      <c r="A27">
        <v>674</v>
      </c>
      <c r="B27" t="s">
        <v>60</v>
      </c>
      <c r="C27" s="4" t="s">
        <v>165</v>
      </c>
      <c r="D27" s="4" t="s">
        <v>117</v>
      </c>
      <c r="E27" s="5">
        <v>40421</v>
      </c>
      <c r="F27" s="5">
        <v>40420</v>
      </c>
      <c r="G27">
        <v>1009</v>
      </c>
      <c r="H27" s="4" t="s">
        <v>107</v>
      </c>
      <c r="I27" s="4" t="s">
        <v>108</v>
      </c>
      <c r="J27" s="4" t="str">
        <f t="shared" si="0"/>
        <v>u_con.c_con</v>
      </c>
      <c r="K27" s="5">
        <v>19</v>
      </c>
      <c r="L27">
        <v>5.0143266475644712E-3</v>
      </c>
      <c r="M27">
        <v>0.20558739255014327</v>
      </c>
      <c r="N27">
        <v>5.2769818529130853E-2</v>
      </c>
      <c r="O27">
        <v>0</v>
      </c>
      <c r="P27">
        <v>0</v>
      </c>
      <c r="Q27">
        <v>5.7784145176695334E-2</v>
      </c>
      <c r="R27">
        <v>5.730659025787966E-2</v>
      </c>
      <c r="S27">
        <v>0</v>
      </c>
      <c r="T27">
        <v>4.7755491881566392E-3</v>
      </c>
      <c r="U27">
        <v>0</v>
      </c>
      <c r="V27">
        <v>0</v>
      </c>
      <c r="W27">
        <v>0</v>
      </c>
      <c r="X27">
        <v>7.1633237822349579E-4</v>
      </c>
      <c r="Y27">
        <v>9.073543457497614E-2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7.1633237822349579E-4</v>
      </c>
      <c r="AF27">
        <v>0</v>
      </c>
      <c r="AG27">
        <v>0</v>
      </c>
      <c r="AH27">
        <v>0</v>
      </c>
      <c r="AI27">
        <v>2.3877745940783192E-4</v>
      </c>
      <c r="AJ27">
        <v>9.7898758357211103E-3</v>
      </c>
      <c r="AK27">
        <v>0</v>
      </c>
      <c r="AL27">
        <v>0.1862464183381089</v>
      </c>
      <c r="AM27">
        <v>0</v>
      </c>
      <c r="AN27">
        <v>7.1633237822349579E-4</v>
      </c>
      <c r="AO27">
        <v>0</v>
      </c>
      <c r="AP27">
        <v>0</v>
      </c>
      <c r="AQ27">
        <v>0</v>
      </c>
      <c r="AR27">
        <v>0</v>
      </c>
      <c r="AS27">
        <v>5.4918815663801343E-3</v>
      </c>
      <c r="AT27">
        <v>0</v>
      </c>
      <c r="AU27">
        <v>0</v>
      </c>
      <c r="AV27">
        <v>0</v>
      </c>
      <c r="AW27">
        <v>0</v>
      </c>
      <c r="AX27">
        <v>2.3877745940783192E-4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4.7755491881566384E-4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4.7755491881566392E-3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5.9694364851957983E-3</v>
      </c>
      <c r="CA27">
        <v>0.30563514804202474</v>
      </c>
      <c r="CB27">
        <v>5.0143266475644712E-3</v>
      </c>
    </row>
    <row r="28" spans="1:80">
      <c r="A28">
        <v>675</v>
      </c>
      <c r="B28" t="s">
        <v>61</v>
      </c>
      <c r="C28" s="4" t="s">
        <v>165</v>
      </c>
      <c r="D28" s="4" t="s">
        <v>117</v>
      </c>
      <c r="E28" s="5">
        <v>40421</v>
      </c>
      <c r="F28" s="5">
        <v>40420</v>
      </c>
      <c r="G28">
        <v>1009</v>
      </c>
      <c r="H28" s="4" t="s">
        <v>107</v>
      </c>
      <c r="I28" s="4" t="s">
        <v>109</v>
      </c>
      <c r="J28" s="4" t="str">
        <f t="shared" si="0"/>
        <v>u_con.c_rem</v>
      </c>
      <c r="K28" s="5">
        <v>2</v>
      </c>
      <c r="L28">
        <v>2.5551972215331186E-2</v>
      </c>
      <c r="M28">
        <v>0.33242371619945416</v>
      </c>
      <c r="N28">
        <v>6.4748201438848921E-2</v>
      </c>
      <c r="O28">
        <v>0</v>
      </c>
      <c r="P28">
        <v>0</v>
      </c>
      <c r="Q28">
        <v>4.96154800297693E-3</v>
      </c>
      <c r="R28">
        <v>0.12900024807740018</v>
      </c>
      <c r="S28">
        <v>0</v>
      </c>
      <c r="T28">
        <v>2.4807740014884649E-4</v>
      </c>
      <c r="U28">
        <v>0</v>
      </c>
      <c r="V28">
        <v>0</v>
      </c>
      <c r="W28">
        <v>0</v>
      </c>
      <c r="X28">
        <v>1.0667328206400399E-2</v>
      </c>
      <c r="Y28">
        <v>1.4884644008930787E-2</v>
      </c>
      <c r="Z28">
        <v>7.4423220044653941E-4</v>
      </c>
      <c r="AA28">
        <v>0</v>
      </c>
      <c r="AB28">
        <v>0</v>
      </c>
      <c r="AC28">
        <v>0</v>
      </c>
      <c r="AD28">
        <v>0</v>
      </c>
      <c r="AE28">
        <v>2.4807740014884649E-4</v>
      </c>
      <c r="AF28">
        <v>0</v>
      </c>
      <c r="AG28">
        <v>0</v>
      </c>
      <c r="AH28">
        <v>0</v>
      </c>
      <c r="AI28">
        <v>5.2096254031257765E-3</v>
      </c>
      <c r="AJ28">
        <v>0.11907715207144633</v>
      </c>
      <c r="AK28">
        <v>0</v>
      </c>
      <c r="AL28">
        <v>1.0419250806251553E-2</v>
      </c>
      <c r="AM28">
        <v>0</v>
      </c>
      <c r="AN28">
        <v>1.0419250806251553E-2</v>
      </c>
      <c r="AO28">
        <v>0</v>
      </c>
      <c r="AP28">
        <v>0</v>
      </c>
      <c r="AQ28">
        <v>0</v>
      </c>
      <c r="AR28">
        <v>0</v>
      </c>
      <c r="AS28">
        <v>1.0915405606549246E-2</v>
      </c>
      <c r="AT28">
        <v>7.4423220044653941E-4</v>
      </c>
      <c r="AU28">
        <v>0</v>
      </c>
      <c r="AV28">
        <v>0</v>
      </c>
      <c r="AW28">
        <v>0</v>
      </c>
      <c r="AX28">
        <v>1.0171173406102706E-2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5.4577028032746231E-3</v>
      </c>
      <c r="BY28">
        <v>0</v>
      </c>
      <c r="BZ28">
        <v>9.9230960059538595E-4</v>
      </c>
      <c r="CA28">
        <v>0.2431158521458695</v>
      </c>
      <c r="CB28">
        <v>0</v>
      </c>
    </row>
    <row r="29" spans="1:80">
      <c r="A29">
        <v>676</v>
      </c>
      <c r="B29" t="s">
        <v>62</v>
      </c>
      <c r="C29" s="4" t="s">
        <v>165</v>
      </c>
      <c r="D29" s="4" t="s">
        <v>117</v>
      </c>
      <c r="E29" s="5">
        <v>40421</v>
      </c>
      <c r="F29" s="5">
        <v>40420</v>
      </c>
      <c r="G29">
        <v>1009</v>
      </c>
      <c r="H29" s="4" t="s">
        <v>107</v>
      </c>
      <c r="I29" s="4" t="s">
        <v>108</v>
      </c>
      <c r="J29" s="4" t="str">
        <f t="shared" si="0"/>
        <v>u_con.c_con</v>
      </c>
      <c r="K29" s="5">
        <v>19</v>
      </c>
      <c r="L29">
        <v>0</v>
      </c>
      <c r="M29">
        <v>3.3411214953271026E-2</v>
      </c>
      <c r="N29">
        <v>4.2056074766355145E-2</v>
      </c>
      <c r="O29">
        <v>9.3457943925233655E-3</v>
      </c>
      <c r="P29">
        <v>0</v>
      </c>
      <c r="Q29">
        <v>0.12663551401869158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2.8738317757009347E-2</v>
      </c>
      <c r="Y29">
        <v>0.20560747663551404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4.6728971962616828E-3</v>
      </c>
      <c r="AF29">
        <v>0</v>
      </c>
      <c r="AG29">
        <v>0</v>
      </c>
      <c r="AH29">
        <v>0</v>
      </c>
      <c r="AI29">
        <v>9.8130841121495341E-3</v>
      </c>
      <c r="AJ29">
        <v>0</v>
      </c>
      <c r="AK29">
        <v>0</v>
      </c>
      <c r="AL29">
        <v>0.17289719626168226</v>
      </c>
      <c r="AM29">
        <v>0</v>
      </c>
      <c r="AN29">
        <v>1.4719626168224302E-2</v>
      </c>
      <c r="AO29">
        <v>0</v>
      </c>
      <c r="AP29">
        <v>0</v>
      </c>
      <c r="AQ29">
        <v>0</v>
      </c>
      <c r="AR29">
        <v>0</v>
      </c>
      <c r="AS29">
        <v>4.6728971962616824E-4</v>
      </c>
      <c r="AT29">
        <v>0</v>
      </c>
      <c r="AU29">
        <v>0</v>
      </c>
      <c r="AV29">
        <v>9.3457943925233649E-4</v>
      </c>
      <c r="AW29">
        <v>0</v>
      </c>
      <c r="AX29">
        <v>0</v>
      </c>
      <c r="AY29">
        <v>0</v>
      </c>
      <c r="AZ29">
        <v>0</v>
      </c>
      <c r="BA29">
        <v>9.5794392523364507E-3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4.6728971962616828E-3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0.3364485981308411</v>
      </c>
      <c r="CB29">
        <v>0</v>
      </c>
    </row>
    <row r="30" spans="1:80">
      <c r="A30">
        <v>677</v>
      </c>
      <c r="B30" t="s">
        <v>106</v>
      </c>
      <c r="C30" s="4" t="s">
        <v>166</v>
      </c>
      <c r="D30" s="4" t="s">
        <v>117</v>
      </c>
      <c r="E30" s="5">
        <v>40421</v>
      </c>
      <c r="F30" s="5">
        <v>40420</v>
      </c>
      <c r="G30">
        <v>1009</v>
      </c>
      <c r="H30" s="4" t="s">
        <v>110</v>
      </c>
      <c r="I30" s="4" t="s">
        <v>109</v>
      </c>
      <c r="J30" s="4" t="str">
        <f t="shared" si="0"/>
        <v>u_rem.c_rem</v>
      </c>
      <c r="K30" s="5">
        <v>1</v>
      </c>
      <c r="L30">
        <v>0</v>
      </c>
      <c r="M30">
        <v>4.4305321454370335E-2</v>
      </c>
      <c r="N30">
        <v>0.10113171201541056</v>
      </c>
      <c r="O30">
        <v>4.815795810257646E-3</v>
      </c>
      <c r="P30">
        <v>0</v>
      </c>
      <c r="Q30">
        <v>3.8526366482061161E-2</v>
      </c>
      <c r="R30">
        <v>4.8157958102576455E-2</v>
      </c>
      <c r="S30">
        <v>0</v>
      </c>
      <c r="T30">
        <v>2.407897905128823E-4</v>
      </c>
      <c r="U30">
        <v>0</v>
      </c>
      <c r="V30">
        <v>0</v>
      </c>
      <c r="W30">
        <v>0</v>
      </c>
      <c r="X30">
        <v>4.815795810257646E-3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1.035396099205394E-2</v>
      </c>
      <c r="AF30">
        <v>0</v>
      </c>
      <c r="AG30">
        <v>0</v>
      </c>
      <c r="AH30">
        <v>0</v>
      </c>
      <c r="AI30">
        <v>2.407897905128823E-4</v>
      </c>
      <c r="AJ30">
        <v>0.15916205152901519</v>
      </c>
      <c r="AK30">
        <v>0</v>
      </c>
      <c r="AL30">
        <v>6.2605345533349399E-2</v>
      </c>
      <c r="AM30">
        <v>0</v>
      </c>
      <c r="AN30">
        <v>9.631591620515292E-4</v>
      </c>
      <c r="AO30">
        <v>0</v>
      </c>
      <c r="AP30">
        <v>0</v>
      </c>
      <c r="AQ30">
        <v>0</v>
      </c>
      <c r="AR30">
        <v>0</v>
      </c>
      <c r="AS30">
        <v>4.815795810257646E-4</v>
      </c>
      <c r="AT30">
        <v>1.757765470744041E-2</v>
      </c>
      <c r="AU30">
        <v>0</v>
      </c>
      <c r="AV30">
        <v>0</v>
      </c>
      <c r="AW30">
        <v>0</v>
      </c>
      <c r="AX30">
        <v>9.8723814110281746E-3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4.815795810257646E-4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2.407897905128823E-4</v>
      </c>
      <c r="CA30">
        <v>0.49602696845653754</v>
      </c>
      <c r="CB30">
        <v>0</v>
      </c>
    </row>
    <row r="31" spans="1:80">
      <c r="A31">
        <v>678</v>
      </c>
      <c r="B31" t="s">
        <v>63</v>
      </c>
      <c r="C31" s="4" t="s">
        <v>166</v>
      </c>
      <c r="D31" s="4" t="s">
        <v>117</v>
      </c>
      <c r="E31" s="5">
        <v>40421</v>
      </c>
      <c r="F31" s="5">
        <v>40420</v>
      </c>
      <c r="G31">
        <v>1009</v>
      </c>
      <c r="H31" s="4" t="s">
        <v>110</v>
      </c>
      <c r="I31" s="4" t="s">
        <v>108</v>
      </c>
      <c r="J31" s="4" t="str">
        <f t="shared" si="0"/>
        <v>u_rem.c_con</v>
      </c>
      <c r="K31" s="5">
        <v>8</v>
      </c>
      <c r="L31">
        <v>9.4658553076403008E-3</v>
      </c>
      <c r="M31">
        <v>9.6236195627676366E-2</v>
      </c>
      <c r="N31">
        <v>0.17128690556682447</v>
      </c>
      <c r="O31">
        <v>9.0151002929907617E-3</v>
      </c>
      <c r="P31">
        <v>0</v>
      </c>
      <c r="Q31">
        <v>3.2003606040117205E-2</v>
      </c>
      <c r="R31">
        <v>1.8030200585981523E-2</v>
      </c>
      <c r="S31">
        <v>0</v>
      </c>
      <c r="T31">
        <v>4.5526256479603344E-2</v>
      </c>
      <c r="U31">
        <v>0</v>
      </c>
      <c r="V31">
        <v>0</v>
      </c>
      <c r="W31">
        <v>0</v>
      </c>
      <c r="X31">
        <v>0</v>
      </c>
      <c r="Y31">
        <v>0</v>
      </c>
      <c r="Z31">
        <v>2.2763128239801672E-2</v>
      </c>
      <c r="AA31">
        <v>0</v>
      </c>
      <c r="AB31">
        <v>0</v>
      </c>
      <c r="AC31">
        <v>0</v>
      </c>
      <c r="AD31">
        <v>0</v>
      </c>
      <c r="AE31">
        <v>1.3748027946810914E-2</v>
      </c>
      <c r="AF31">
        <v>0</v>
      </c>
      <c r="AG31">
        <v>0</v>
      </c>
      <c r="AH31">
        <v>0</v>
      </c>
      <c r="AI31">
        <v>2.2537750732476905E-4</v>
      </c>
      <c r="AJ31">
        <v>0.12192923146270006</v>
      </c>
      <c r="AK31">
        <v>0</v>
      </c>
      <c r="AL31">
        <v>3.6285778679287811E-2</v>
      </c>
      <c r="AM31">
        <v>0</v>
      </c>
      <c r="AN31">
        <v>4.507550146495381E-4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2.4791525805724591E-3</v>
      </c>
      <c r="AU31">
        <v>0</v>
      </c>
      <c r="AV31">
        <v>0</v>
      </c>
      <c r="AW31">
        <v>2.2537750732476905E-4</v>
      </c>
      <c r="AX31">
        <v>4.9583051611449191E-3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2.2537750732476905E-4</v>
      </c>
      <c r="BZ31">
        <v>2.2537750732476905E-4</v>
      </c>
      <c r="CA31">
        <v>0.41469461347757508</v>
      </c>
      <c r="CB31">
        <v>0</v>
      </c>
    </row>
    <row r="32" spans="1:80">
      <c r="A32">
        <v>679</v>
      </c>
      <c r="B32" t="s">
        <v>64</v>
      </c>
      <c r="C32" s="4" t="s">
        <v>166</v>
      </c>
      <c r="D32" s="4" t="s">
        <v>117</v>
      </c>
      <c r="E32" s="5">
        <v>40421</v>
      </c>
      <c r="F32" s="5">
        <v>40420</v>
      </c>
      <c r="G32">
        <v>1009</v>
      </c>
      <c r="H32" s="4" t="s">
        <v>110</v>
      </c>
      <c r="I32" s="4" t="s">
        <v>109</v>
      </c>
      <c r="J32" s="4" t="str">
        <f t="shared" si="0"/>
        <v>u_rem.c_rem</v>
      </c>
      <c r="K32" s="5">
        <v>1</v>
      </c>
      <c r="L32">
        <v>4.4883303411131066E-4</v>
      </c>
      <c r="M32">
        <v>4.6005385996409347E-2</v>
      </c>
      <c r="N32">
        <v>0.38599640933572721</v>
      </c>
      <c r="O32">
        <v>2.2441651705565533E-4</v>
      </c>
      <c r="P32">
        <v>0</v>
      </c>
      <c r="Q32">
        <v>2.6929982046678638E-2</v>
      </c>
      <c r="R32">
        <v>4.039497307001795E-2</v>
      </c>
      <c r="S32">
        <v>0</v>
      </c>
      <c r="T32">
        <v>9.201077199281869E-3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2.2441651705565533E-4</v>
      </c>
      <c r="AF32">
        <v>0</v>
      </c>
      <c r="AG32">
        <v>0</v>
      </c>
      <c r="AH32">
        <v>0</v>
      </c>
      <c r="AI32">
        <v>4.4883303411131066E-4</v>
      </c>
      <c r="AJ32">
        <v>0.11243267504488332</v>
      </c>
      <c r="AK32">
        <v>1.8402154398563738E-2</v>
      </c>
      <c r="AL32">
        <v>1.3464991023339321E-2</v>
      </c>
      <c r="AM32">
        <v>0</v>
      </c>
      <c r="AN32">
        <v>4.488330341113107E-3</v>
      </c>
      <c r="AO32">
        <v>0</v>
      </c>
      <c r="AP32">
        <v>0</v>
      </c>
      <c r="AQ32">
        <v>8.9766606822262139E-3</v>
      </c>
      <c r="AR32">
        <v>0</v>
      </c>
      <c r="AS32">
        <v>0</v>
      </c>
      <c r="AT32">
        <v>0</v>
      </c>
      <c r="AU32">
        <v>0</v>
      </c>
      <c r="AV32">
        <v>2.2441651705565533E-4</v>
      </c>
      <c r="AW32">
        <v>0</v>
      </c>
      <c r="AX32">
        <v>8.9766606822262139E-3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0.3231597845601436</v>
      </c>
      <c r="CB32">
        <v>0</v>
      </c>
    </row>
    <row r="33" spans="1:80">
      <c r="A33">
        <v>680</v>
      </c>
      <c r="B33" t="s">
        <v>65</v>
      </c>
      <c r="C33" s="4" t="s">
        <v>166</v>
      </c>
      <c r="D33" s="4" t="s">
        <v>117</v>
      </c>
      <c r="E33" s="5">
        <v>40421</v>
      </c>
      <c r="F33" s="5">
        <v>40420</v>
      </c>
      <c r="G33">
        <v>1009</v>
      </c>
      <c r="H33" s="4" t="s">
        <v>110</v>
      </c>
      <c r="I33" s="4" t="s">
        <v>108</v>
      </c>
      <c r="J33" s="4" t="str">
        <f t="shared" si="0"/>
        <v>u_rem.c_con</v>
      </c>
      <c r="K33" s="5">
        <v>8</v>
      </c>
      <c r="L33">
        <v>1.4479430016088259E-2</v>
      </c>
      <c r="M33">
        <v>0.10158584233509541</v>
      </c>
      <c r="N33">
        <v>6.0675706734084137E-2</v>
      </c>
      <c r="O33">
        <v>0</v>
      </c>
      <c r="P33">
        <v>0</v>
      </c>
      <c r="Q33">
        <v>3.2636175591817973E-2</v>
      </c>
      <c r="R33">
        <v>5.0563088945070105E-2</v>
      </c>
      <c r="S33">
        <v>0</v>
      </c>
      <c r="T33">
        <v>3.2866007814295564E-2</v>
      </c>
      <c r="U33">
        <v>0</v>
      </c>
      <c r="V33">
        <v>0</v>
      </c>
      <c r="W33">
        <v>0</v>
      </c>
      <c r="X33">
        <v>2.2983222247759138E-4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1.838657779820731E-2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0.18869225465410253</v>
      </c>
      <c r="AK33">
        <v>0</v>
      </c>
      <c r="AL33">
        <v>4.1369800045966444E-2</v>
      </c>
      <c r="AM33">
        <v>0</v>
      </c>
      <c r="AN33">
        <v>1.0112617789014022E-2</v>
      </c>
      <c r="AO33">
        <v>0</v>
      </c>
      <c r="AP33">
        <v>0</v>
      </c>
      <c r="AQ33">
        <v>0</v>
      </c>
      <c r="AR33">
        <v>0</v>
      </c>
      <c r="AS33">
        <v>4.5966444495518276E-4</v>
      </c>
      <c r="AT33">
        <v>1.0802114456446797E-2</v>
      </c>
      <c r="AU33">
        <v>0</v>
      </c>
      <c r="AV33">
        <v>0</v>
      </c>
      <c r="AW33">
        <v>0</v>
      </c>
      <c r="AX33">
        <v>1.4019765571133077E-2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2.2983222247759138E-4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0.42289128935876807</v>
      </c>
      <c r="CB33">
        <v>0</v>
      </c>
    </row>
    <row r="34" spans="1:80">
      <c r="A34">
        <v>681</v>
      </c>
      <c r="B34" t="s">
        <v>66</v>
      </c>
      <c r="C34" s="4" t="s">
        <v>167</v>
      </c>
      <c r="D34" s="4" t="s">
        <v>117</v>
      </c>
      <c r="E34" s="5">
        <v>40421</v>
      </c>
      <c r="F34" s="5">
        <v>40420</v>
      </c>
      <c r="G34">
        <v>1009</v>
      </c>
      <c r="H34" s="4" t="s">
        <v>107</v>
      </c>
      <c r="I34" s="4" t="s">
        <v>108</v>
      </c>
      <c r="J34" s="4" t="str">
        <f t="shared" si="0"/>
        <v>u_con.c_con</v>
      </c>
      <c r="K34" s="5">
        <v>19</v>
      </c>
      <c r="L34">
        <v>7.0788107597923554E-4</v>
      </c>
      <c r="M34">
        <v>0.42968381311939602</v>
      </c>
      <c r="N34">
        <v>0.13237376120811706</v>
      </c>
      <c r="O34">
        <v>0</v>
      </c>
      <c r="P34">
        <v>0</v>
      </c>
      <c r="Q34">
        <v>3.3034450212364327E-2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2.359603586597452E-4</v>
      </c>
      <c r="AF34">
        <v>0</v>
      </c>
      <c r="AG34">
        <v>0</v>
      </c>
      <c r="AH34">
        <v>0</v>
      </c>
      <c r="AI34">
        <v>9.4384143463898079E-4</v>
      </c>
      <c r="AJ34">
        <v>8.0226521944313386E-2</v>
      </c>
      <c r="AK34">
        <v>0</v>
      </c>
      <c r="AL34">
        <v>0.14157621519584712</v>
      </c>
      <c r="AM34">
        <v>0</v>
      </c>
      <c r="AN34">
        <v>9.9103350637092993E-3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2.359603586597452E-4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7.0788107597923554E-4</v>
      </c>
      <c r="BF34">
        <v>9.9103350637092993E-3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1.4157621519584711E-2</v>
      </c>
      <c r="BY34">
        <v>4.7192071731949042E-3</v>
      </c>
      <c r="BZ34">
        <v>0</v>
      </c>
      <c r="CA34">
        <v>0.14157621519584715</v>
      </c>
      <c r="CB34">
        <v>0</v>
      </c>
    </row>
    <row r="35" spans="1:80">
      <c r="A35">
        <v>682</v>
      </c>
      <c r="B35" t="s">
        <v>67</v>
      </c>
      <c r="C35" s="4" t="s">
        <v>167</v>
      </c>
      <c r="D35" s="4" t="s">
        <v>117</v>
      </c>
      <c r="E35" s="5">
        <v>40421</v>
      </c>
      <c r="F35" s="5">
        <v>40420</v>
      </c>
      <c r="G35">
        <v>1009</v>
      </c>
      <c r="H35" s="4" t="s">
        <v>107</v>
      </c>
      <c r="I35" s="4" t="s">
        <v>109</v>
      </c>
      <c r="J35" s="4" t="str">
        <f t="shared" si="0"/>
        <v>u_con.c_rem</v>
      </c>
      <c r="K35" s="5">
        <v>2</v>
      </c>
      <c r="L35">
        <v>0</v>
      </c>
      <c r="M35">
        <v>0.1752624372432679</v>
      </c>
      <c r="N35">
        <v>0.57507987220447288</v>
      </c>
      <c r="O35">
        <v>0</v>
      </c>
      <c r="P35">
        <v>0</v>
      </c>
      <c r="Q35">
        <v>2.7384755819260614E-2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5.2487448653582838E-3</v>
      </c>
      <c r="AF35">
        <v>0</v>
      </c>
      <c r="AG35">
        <v>0</v>
      </c>
      <c r="AH35">
        <v>0</v>
      </c>
      <c r="AI35">
        <v>5.4769511638521227E-3</v>
      </c>
      <c r="AJ35">
        <v>2.7384755819260611E-2</v>
      </c>
      <c r="AK35">
        <v>0</v>
      </c>
      <c r="AL35">
        <v>1.8256503879507075E-2</v>
      </c>
      <c r="AM35">
        <v>0</v>
      </c>
      <c r="AN35">
        <v>4.7923322683706077E-3</v>
      </c>
      <c r="AO35">
        <v>0</v>
      </c>
      <c r="AP35">
        <v>0</v>
      </c>
      <c r="AQ35">
        <v>1.3692377909630307E-2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2.2820629849383843E-2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1.0041077133728891E-2</v>
      </c>
      <c r="BF35">
        <v>2.2820629849383843E-4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0.11433135554541309</v>
      </c>
      <c r="CB35">
        <v>0</v>
      </c>
    </row>
    <row r="36" spans="1:80">
      <c r="A36">
        <v>683</v>
      </c>
      <c r="B36" t="s">
        <v>68</v>
      </c>
      <c r="C36" s="4" t="s">
        <v>167</v>
      </c>
      <c r="D36" s="4" t="s">
        <v>117</v>
      </c>
      <c r="E36" s="5">
        <v>40421</v>
      </c>
      <c r="F36" s="5">
        <v>40420</v>
      </c>
      <c r="G36">
        <v>1009</v>
      </c>
      <c r="H36" s="4" t="s">
        <v>107</v>
      </c>
      <c r="I36" s="4" t="s">
        <v>108</v>
      </c>
      <c r="J36" s="4" t="str">
        <f t="shared" si="0"/>
        <v>u_con.c_con</v>
      </c>
      <c r="K36" s="5">
        <v>19</v>
      </c>
      <c r="L36">
        <v>1.3861935126143611E-3</v>
      </c>
      <c r="M36">
        <v>0.1228167452176324</v>
      </c>
      <c r="N36">
        <v>0.24397005822012754</v>
      </c>
      <c r="O36">
        <v>0</v>
      </c>
      <c r="P36">
        <v>0</v>
      </c>
      <c r="Q36">
        <v>0.1275298031605212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2.8832825062378709E-2</v>
      </c>
      <c r="AF36">
        <v>0</v>
      </c>
      <c r="AG36">
        <v>0</v>
      </c>
      <c r="AH36">
        <v>2.772387025228722E-4</v>
      </c>
      <c r="AI36">
        <v>0</v>
      </c>
      <c r="AJ36">
        <v>0.13418353202107014</v>
      </c>
      <c r="AK36">
        <v>0</v>
      </c>
      <c r="AL36">
        <v>6.6537288605489325E-2</v>
      </c>
      <c r="AM36">
        <v>0</v>
      </c>
      <c r="AN36">
        <v>5.5447740504574439E-4</v>
      </c>
      <c r="AO36">
        <v>0</v>
      </c>
      <c r="AP36">
        <v>0</v>
      </c>
      <c r="AQ36">
        <v>0</v>
      </c>
      <c r="AR36">
        <v>0</v>
      </c>
      <c r="AS36">
        <v>6.099251455503189E-3</v>
      </c>
      <c r="AT36">
        <v>8.3171610756861659E-4</v>
      </c>
      <c r="AU36">
        <v>0</v>
      </c>
      <c r="AV36">
        <v>0</v>
      </c>
      <c r="AW36">
        <v>0</v>
      </c>
      <c r="AX36">
        <v>1.6634322151372335E-2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1.1921264208483506E-2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5.5447740504574444E-3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0.2328805101192126</v>
      </c>
      <c r="CB36">
        <v>0</v>
      </c>
    </row>
    <row r="37" spans="1:80">
      <c r="A37">
        <v>684</v>
      </c>
      <c r="B37" s="2" t="s">
        <v>69</v>
      </c>
      <c r="C37" s="4" t="s">
        <v>167</v>
      </c>
      <c r="D37" s="4" t="s">
        <v>117</v>
      </c>
      <c r="E37" s="5">
        <v>40421</v>
      </c>
      <c r="F37" s="5">
        <v>40420</v>
      </c>
      <c r="G37">
        <v>1009</v>
      </c>
      <c r="H37" s="4" t="s">
        <v>107</v>
      </c>
      <c r="I37" s="4" t="s">
        <v>109</v>
      </c>
      <c r="J37" s="4" t="str">
        <f t="shared" si="0"/>
        <v>u_con.c_rem</v>
      </c>
      <c r="K37" s="5">
        <v>2</v>
      </c>
      <c r="L37">
        <v>4.9916805324459251E-3</v>
      </c>
      <c r="M37">
        <v>8.628476348942242E-2</v>
      </c>
      <c r="N37">
        <v>0.17114333254100311</v>
      </c>
      <c r="O37">
        <v>0</v>
      </c>
      <c r="P37">
        <v>0</v>
      </c>
      <c r="Q37">
        <v>6.6793439505585944E-2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1.0934157356786312E-2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2.3769907297361545E-2</v>
      </c>
      <c r="AF37">
        <v>0</v>
      </c>
      <c r="AG37">
        <v>0</v>
      </c>
      <c r="AH37">
        <v>1.4261944378416928E-2</v>
      </c>
      <c r="AI37">
        <v>1.4261944378416928E-2</v>
      </c>
      <c r="AJ37">
        <v>0.237936772046589</v>
      </c>
      <c r="AK37">
        <v>0</v>
      </c>
      <c r="AL37">
        <v>0.20465890183028287</v>
      </c>
      <c r="AM37">
        <v>0</v>
      </c>
      <c r="AN37">
        <v>5.4670786783931561E-3</v>
      </c>
      <c r="AO37">
        <v>0</v>
      </c>
      <c r="AP37">
        <v>0</v>
      </c>
      <c r="AQ37">
        <v>0</v>
      </c>
      <c r="AR37">
        <v>0</v>
      </c>
      <c r="AS37">
        <v>7.1309721892084629E-4</v>
      </c>
      <c r="AT37">
        <v>6.180175897314003E-3</v>
      </c>
      <c r="AU37">
        <v>0</v>
      </c>
      <c r="AV37">
        <v>0</v>
      </c>
      <c r="AW37">
        <v>0</v>
      </c>
      <c r="AX37">
        <v>2.3769907297361545E-4</v>
      </c>
      <c r="AY37">
        <v>0</v>
      </c>
      <c r="AZ37">
        <v>0</v>
      </c>
      <c r="BA37">
        <v>0</v>
      </c>
      <c r="BB37">
        <v>2.3769907297361545E-4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4.7539814594723092E-3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0.14737342524364161</v>
      </c>
      <c r="CB37">
        <v>0</v>
      </c>
    </row>
    <row r="38" spans="1:80">
      <c r="A38">
        <v>685</v>
      </c>
      <c r="B38" t="s">
        <v>71</v>
      </c>
      <c r="C38" s="4" t="s">
        <v>168</v>
      </c>
      <c r="D38" s="4" t="s">
        <v>117</v>
      </c>
      <c r="E38" s="5">
        <v>40421</v>
      </c>
      <c r="F38" s="5">
        <v>40420</v>
      </c>
      <c r="G38">
        <v>1009</v>
      </c>
      <c r="H38" s="4" t="s">
        <v>110</v>
      </c>
      <c r="I38" s="4" t="s">
        <v>108</v>
      </c>
      <c r="J38" s="4" t="str">
        <f t="shared" si="0"/>
        <v>u_rem.c_con</v>
      </c>
      <c r="K38" s="5">
        <v>8</v>
      </c>
      <c r="L38">
        <v>0</v>
      </c>
      <c r="M38">
        <v>0.16131078224101478</v>
      </c>
      <c r="N38">
        <v>0.13974630021141649</v>
      </c>
      <c r="O38">
        <v>0</v>
      </c>
      <c r="P38">
        <v>0</v>
      </c>
      <c r="Q38">
        <v>5.9408033826638486E-2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2.1141649048625792E-4</v>
      </c>
      <c r="AF38">
        <v>0</v>
      </c>
      <c r="AG38">
        <v>0</v>
      </c>
      <c r="AH38">
        <v>0</v>
      </c>
      <c r="AI38">
        <v>2.1141649048625792E-4</v>
      </c>
      <c r="AJ38">
        <v>0</v>
      </c>
      <c r="AK38">
        <v>0</v>
      </c>
      <c r="AL38">
        <v>5.4968287526427059E-2</v>
      </c>
      <c r="AM38">
        <v>0</v>
      </c>
      <c r="AN38">
        <v>0</v>
      </c>
      <c r="AO38">
        <v>0</v>
      </c>
      <c r="AP38">
        <v>0</v>
      </c>
      <c r="AQ38">
        <v>2.1353065539112048E-2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0.14841437632135301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0.41437632135306562</v>
      </c>
      <c r="CB38">
        <v>0</v>
      </c>
    </row>
    <row r="39" spans="1:80">
      <c r="A39">
        <v>686</v>
      </c>
      <c r="B39" t="s">
        <v>70</v>
      </c>
      <c r="C39" s="4" t="s">
        <v>168</v>
      </c>
      <c r="D39" s="4" t="s">
        <v>117</v>
      </c>
      <c r="E39" s="5">
        <v>40421</v>
      </c>
      <c r="F39" s="5">
        <v>40420</v>
      </c>
      <c r="G39">
        <v>1009</v>
      </c>
      <c r="H39" s="4" t="s">
        <v>110</v>
      </c>
      <c r="I39" s="4" t="s">
        <v>109</v>
      </c>
      <c r="J39" s="4" t="str">
        <f t="shared" si="0"/>
        <v>u_rem.c_rem</v>
      </c>
      <c r="K39" s="5">
        <v>1</v>
      </c>
      <c r="L39">
        <v>8.5708163702592679E-3</v>
      </c>
      <c r="M39">
        <v>8.2065566745232493E-2</v>
      </c>
      <c r="N39">
        <v>0.5399614313263339</v>
      </c>
      <c r="O39">
        <v>0</v>
      </c>
      <c r="P39">
        <v>0</v>
      </c>
      <c r="Q39">
        <v>2.1641311334904649E-2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8.7850867795157498E-3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0.27426612384829646</v>
      </c>
      <c r="BB39">
        <v>0</v>
      </c>
      <c r="BC39">
        <v>0</v>
      </c>
      <c r="BD39">
        <v>0</v>
      </c>
      <c r="BE39">
        <v>0</v>
      </c>
      <c r="BF39">
        <v>2.1427040925648167E-4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6.4495393186200983E-2</v>
      </c>
      <c r="CB39">
        <v>0</v>
      </c>
    </row>
    <row r="40" spans="1:80">
      <c r="A40">
        <v>687</v>
      </c>
      <c r="B40" t="s">
        <v>72</v>
      </c>
      <c r="C40" s="4" t="s">
        <v>168</v>
      </c>
      <c r="D40" s="4" t="s">
        <v>117</v>
      </c>
      <c r="E40" s="5">
        <v>40421</v>
      </c>
      <c r="F40" s="5">
        <v>40420</v>
      </c>
      <c r="G40">
        <v>1009</v>
      </c>
      <c r="H40" s="4" t="s">
        <v>110</v>
      </c>
      <c r="I40" s="4" t="s">
        <v>108</v>
      </c>
      <c r="J40" s="4" t="str">
        <f t="shared" si="0"/>
        <v>u_rem.c_con</v>
      </c>
      <c r="K40" s="5">
        <v>8</v>
      </c>
      <c r="L40">
        <v>0</v>
      </c>
      <c r="M40">
        <v>8.8006902502157036E-2</v>
      </c>
      <c r="N40">
        <v>0.14667817083692841</v>
      </c>
      <c r="O40">
        <v>5.1768766177739442E-2</v>
      </c>
      <c r="P40">
        <v>0</v>
      </c>
      <c r="Q40">
        <v>0.13869715271786023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2.1570319240724764E-4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9.059534081104402E-3</v>
      </c>
      <c r="AF40">
        <v>0</v>
      </c>
      <c r="AG40">
        <v>0</v>
      </c>
      <c r="AH40">
        <v>2.1570319240724764E-4</v>
      </c>
      <c r="AI40">
        <v>4.529767040552201E-3</v>
      </c>
      <c r="AJ40">
        <v>0</v>
      </c>
      <c r="AK40">
        <v>2.2217428817946507E-2</v>
      </c>
      <c r="AL40">
        <v>1.7256255392579811E-2</v>
      </c>
      <c r="AM40">
        <v>0</v>
      </c>
      <c r="AN40">
        <v>9.922346850733392E-3</v>
      </c>
      <c r="AO40">
        <v>0</v>
      </c>
      <c r="AP40">
        <v>0</v>
      </c>
      <c r="AQ40">
        <v>8.6281276962899053E-3</v>
      </c>
      <c r="AR40">
        <v>0</v>
      </c>
      <c r="AS40">
        <v>8.6281276962899055E-4</v>
      </c>
      <c r="AT40">
        <v>2.1570319240724764E-4</v>
      </c>
      <c r="AU40">
        <v>0</v>
      </c>
      <c r="AV40">
        <v>0</v>
      </c>
      <c r="AW40">
        <v>0</v>
      </c>
      <c r="AX40">
        <v>4.3140638481449526E-3</v>
      </c>
      <c r="AY40">
        <v>0</v>
      </c>
      <c r="AZ40">
        <v>0</v>
      </c>
      <c r="BA40">
        <v>0.40142364106988776</v>
      </c>
      <c r="BB40">
        <v>0</v>
      </c>
      <c r="BC40">
        <v>0</v>
      </c>
      <c r="BD40">
        <v>0</v>
      </c>
      <c r="BE40">
        <v>6.4710957722174283E-4</v>
      </c>
      <c r="BF40">
        <v>2.1570319240724764E-4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4.3140638481449526E-3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2.1570319240724764E-4</v>
      </c>
      <c r="CA40">
        <v>9.0595340811044034E-2</v>
      </c>
      <c r="CB40">
        <v>0</v>
      </c>
    </row>
    <row r="41" spans="1:80">
      <c r="A41">
        <v>688</v>
      </c>
      <c r="B41" t="s">
        <v>73</v>
      </c>
      <c r="C41" s="4" t="s">
        <v>168</v>
      </c>
      <c r="D41" s="4" t="s">
        <v>117</v>
      </c>
      <c r="E41" s="5">
        <v>40421</v>
      </c>
      <c r="F41" s="5">
        <v>40420</v>
      </c>
      <c r="G41">
        <v>1009</v>
      </c>
      <c r="H41" s="4" t="s">
        <v>110</v>
      </c>
      <c r="I41" s="4" t="s">
        <v>109</v>
      </c>
      <c r="J41" s="4" t="str">
        <f t="shared" si="0"/>
        <v>u_rem.c_rem</v>
      </c>
      <c r="K41" s="5">
        <v>1</v>
      </c>
      <c r="L41">
        <v>2.1632041122296001E-2</v>
      </c>
      <c r="M41">
        <v>0.21460698222317415</v>
      </c>
      <c r="N41">
        <v>0.25722852859284639</v>
      </c>
      <c r="O41">
        <v>0</v>
      </c>
      <c r="P41">
        <v>0</v>
      </c>
      <c r="Q41">
        <v>4.2835724994645542E-3</v>
      </c>
      <c r="R41">
        <v>1.7348468622831445E-2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2.1417862497322772E-4</v>
      </c>
      <c r="AF41">
        <v>0</v>
      </c>
      <c r="AG41">
        <v>0</v>
      </c>
      <c r="AH41">
        <v>0</v>
      </c>
      <c r="AI41">
        <v>4.4977511244377825E-3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4.2835724994645542E-3</v>
      </c>
      <c r="AR41">
        <v>0</v>
      </c>
      <c r="AS41">
        <v>2.1417862497322772E-4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0.23988005997001499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1.3064896123366893E-2</v>
      </c>
      <c r="BY41">
        <v>0</v>
      </c>
      <c r="BZ41">
        <v>0</v>
      </c>
      <c r="CA41">
        <v>0.22274576997215678</v>
      </c>
      <c r="CB41">
        <v>0</v>
      </c>
    </row>
    <row r="42" spans="1:80">
      <c r="A42">
        <v>689</v>
      </c>
      <c r="B42" t="s">
        <v>74</v>
      </c>
      <c r="C42" s="4" t="s">
        <v>169</v>
      </c>
      <c r="D42" s="4" t="s">
        <v>117</v>
      </c>
      <c r="E42" s="5">
        <v>40421</v>
      </c>
      <c r="F42" s="5">
        <v>40420</v>
      </c>
      <c r="G42">
        <v>1009</v>
      </c>
      <c r="H42" s="4" t="s">
        <v>110</v>
      </c>
      <c r="I42" s="4" t="s">
        <v>108</v>
      </c>
      <c r="J42" s="4" t="str">
        <f t="shared" si="0"/>
        <v>u_rem.c_con</v>
      </c>
      <c r="K42" s="5">
        <v>8</v>
      </c>
      <c r="L42">
        <v>1.9668985368193812E-2</v>
      </c>
      <c r="M42">
        <v>0.22619333173422876</v>
      </c>
      <c r="N42">
        <v>0.23051091388822251</v>
      </c>
      <c r="O42">
        <v>0</v>
      </c>
      <c r="P42">
        <v>0</v>
      </c>
      <c r="Q42">
        <v>1.9429119692971935E-2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1.4391940513312542E-2</v>
      </c>
      <c r="Z42">
        <v>0</v>
      </c>
      <c r="AA42">
        <v>2.3986567522187572E-4</v>
      </c>
      <c r="AB42">
        <v>0</v>
      </c>
      <c r="AC42">
        <v>0</v>
      </c>
      <c r="AD42">
        <v>0</v>
      </c>
      <c r="AE42">
        <v>4.7973135044375144E-3</v>
      </c>
      <c r="AF42">
        <v>0</v>
      </c>
      <c r="AG42">
        <v>0</v>
      </c>
      <c r="AH42">
        <v>1.9429119692971935E-2</v>
      </c>
      <c r="AI42">
        <v>0.13480450947469416</v>
      </c>
      <c r="AJ42">
        <v>2.3986567522187571E-2</v>
      </c>
      <c r="AK42">
        <v>0</v>
      </c>
      <c r="AL42">
        <v>6.2604941232909564E-2</v>
      </c>
      <c r="AM42">
        <v>0</v>
      </c>
      <c r="AN42">
        <v>2.974334372751259E-2</v>
      </c>
      <c r="AO42">
        <v>0</v>
      </c>
      <c r="AP42">
        <v>0</v>
      </c>
      <c r="AQ42">
        <v>0</v>
      </c>
      <c r="AR42">
        <v>0</v>
      </c>
      <c r="AS42">
        <v>5.0371791796593908E-3</v>
      </c>
      <c r="AT42">
        <v>1.6790597265531303E-3</v>
      </c>
      <c r="AU42">
        <v>0</v>
      </c>
      <c r="AV42">
        <v>5.2770448548812663E-3</v>
      </c>
      <c r="AW42">
        <v>0</v>
      </c>
      <c r="AX42">
        <v>9.5946270088750289E-3</v>
      </c>
      <c r="AY42">
        <v>0</v>
      </c>
      <c r="AZ42">
        <v>0</v>
      </c>
      <c r="BA42">
        <v>9.5946270088750289E-3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5.0371791796593908E-3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4.7973135044375144E-3</v>
      </c>
      <c r="BY42">
        <v>0</v>
      </c>
      <c r="BZ42">
        <v>2.3986567522187572E-4</v>
      </c>
      <c r="CA42">
        <v>0.17270328615975056</v>
      </c>
      <c r="CB42">
        <v>0</v>
      </c>
    </row>
    <row r="43" spans="1:80">
      <c r="A43">
        <v>690</v>
      </c>
      <c r="B43" t="s">
        <v>75</v>
      </c>
      <c r="C43" s="4" t="s">
        <v>169</v>
      </c>
      <c r="D43" s="4" t="s">
        <v>117</v>
      </c>
      <c r="E43" s="5">
        <v>40421</v>
      </c>
      <c r="F43" s="5">
        <v>40420</v>
      </c>
      <c r="G43">
        <v>1009</v>
      </c>
      <c r="H43" s="4" t="s">
        <v>110</v>
      </c>
      <c r="I43" s="4" t="s">
        <v>108</v>
      </c>
      <c r="J43" s="4" t="str">
        <f t="shared" si="0"/>
        <v>u_rem.c_con</v>
      </c>
      <c r="K43" s="5">
        <v>8</v>
      </c>
      <c r="L43">
        <v>3.2365329195300371E-2</v>
      </c>
      <c r="M43">
        <v>0.22677898470405664</v>
      </c>
      <c r="N43">
        <v>0.13744180891154956</v>
      </c>
      <c r="O43">
        <v>0</v>
      </c>
      <c r="P43">
        <v>0</v>
      </c>
      <c r="Q43">
        <v>9.3105741520727106E-3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4.433606739082243E-3</v>
      </c>
      <c r="AB43">
        <v>0</v>
      </c>
      <c r="AC43">
        <v>0</v>
      </c>
      <c r="AD43">
        <v>0</v>
      </c>
      <c r="AE43">
        <v>1.3522500554200843E-2</v>
      </c>
      <c r="AF43">
        <v>0</v>
      </c>
      <c r="AG43">
        <v>0</v>
      </c>
      <c r="AH43">
        <v>1.3522500554200843E-2</v>
      </c>
      <c r="AI43">
        <v>6.2735535358013725E-2</v>
      </c>
      <c r="AJ43">
        <v>4.433606739082243E-3</v>
      </c>
      <c r="AK43">
        <v>0</v>
      </c>
      <c r="AL43">
        <v>0.22212369762802031</v>
      </c>
      <c r="AM43">
        <v>0</v>
      </c>
      <c r="AN43">
        <v>3.2143648858346259E-2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6.6504101086233643E-4</v>
      </c>
      <c r="AV43">
        <v>0</v>
      </c>
      <c r="AW43">
        <v>0</v>
      </c>
      <c r="AX43">
        <v>4.4336067390822427E-4</v>
      </c>
      <c r="AY43">
        <v>0</v>
      </c>
      <c r="AZ43">
        <v>0</v>
      </c>
      <c r="BA43">
        <v>7.6036355575260478E-2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0.16404344934604304</v>
      </c>
      <c r="CB43">
        <v>0</v>
      </c>
    </row>
    <row r="44" spans="1:80">
      <c r="A44">
        <v>691</v>
      </c>
      <c r="B44" t="s">
        <v>76</v>
      </c>
      <c r="C44" s="4" t="s">
        <v>169</v>
      </c>
      <c r="D44" s="4" t="s">
        <v>117</v>
      </c>
      <c r="E44" s="5">
        <v>40421</v>
      </c>
      <c r="F44" s="5">
        <v>40420</v>
      </c>
      <c r="G44">
        <v>1009</v>
      </c>
      <c r="H44" s="4" t="s">
        <v>110</v>
      </c>
      <c r="I44" s="4" t="s">
        <v>109</v>
      </c>
      <c r="J44" s="4" t="str">
        <f t="shared" si="0"/>
        <v>u_rem.c_rem</v>
      </c>
      <c r="K44" s="5">
        <v>1</v>
      </c>
      <c r="L44">
        <v>0</v>
      </c>
      <c r="M44">
        <v>0.59212024595764057</v>
      </c>
      <c r="N44">
        <v>0.10066044181279893</v>
      </c>
      <c r="O44">
        <v>4.554771122751082E-2</v>
      </c>
      <c r="P44">
        <v>0</v>
      </c>
      <c r="Q44">
        <v>4.1220678660897292E-2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1.0020496470052383E-2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0.12798906854930539</v>
      </c>
      <c r="AR44">
        <v>0</v>
      </c>
      <c r="AS44">
        <v>0</v>
      </c>
      <c r="AT44">
        <v>2.2773855613755412E-4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4.5547711227510827E-3</v>
      </c>
      <c r="BB44">
        <v>0</v>
      </c>
      <c r="BC44">
        <v>0</v>
      </c>
      <c r="BD44">
        <v>0</v>
      </c>
      <c r="BE44">
        <v>2.2773855613755412E-4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7.7431109086768396E-2</v>
      </c>
      <c r="CB44">
        <v>0</v>
      </c>
    </row>
    <row r="45" spans="1:80">
      <c r="A45">
        <v>692</v>
      </c>
      <c r="B45" t="s">
        <v>77</v>
      </c>
      <c r="C45" s="4" t="s">
        <v>169</v>
      </c>
      <c r="D45" s="4" t="s">
        <v>117</v>
      </c>
      <c r="E45" s="5">
        <v>40421</v>
      </c>
      <c r="F45" s="5">
        <v>40420</v>
      </c>
      <c r="G45">
        <v>1009</v>
      </c>
      <c r="H45" s="4" t="s">
        <v>110</v>
      </c>
      <c r="I45" s="4" t="s">
        <v>109</v>
      </c>
      <c r="J45" s="4" t="str">
        <f t="shared" si="0"/>
        <v>u_rem.c_rem</v>
      </c>
      <c r="K45" s="5">
        <v>1</v>
      </c>
      <c r="L45">
        <v>6.4844103027564381E-2</v>
      </c>
      <c r="M45">
        <v>0.23068233167645713</v>
      </c>
      <c r="N45">
        <v>0.21690013556258469</v>
      </c>
      <c r="O45">
        <v>0</v>
      </c>
      <c r="P45">
        <v>0</v>
      </c>
      <c r="Q45">
        <v>2.2593764121102575E-2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6.3262539539087212E-2</v>
      </c>
      <c r="AI45">
        <v>6.4618165386353371E-2</v>
      </c>
      <c r="AJ45">
        <v>0</v>
      </c>
      <c r="AK45">
        <v>0</v>
      </c>
      <c r="AL45">
        <v>0.20808856755535471</v>
      </c>
      <c r="AM45">
        <v>0</v>
      </c>
      <c r="AN45">
        <v>9.4893809308630814E-3</v>
      </c>
      <c r="AO45">
        <v>0</v>
      </c>
      <c r="AP45">
        <v>0</v>
      </c>
      <c r="AQ45">
        <v>2.2593764121102574E-4</v>
      </c>
      <c r="AR45">
        <v>0</v>
      </c>
      <c r="AS45">
        <v>4.5187528242205148E-3</v>
      </c>
      <c r="AT45">
        <v>6.7781292363307722E-4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7.2751920469950299E-2</v>
      </c>
      <c r="BB45">
        <v>0</v>
      </c>
      <c r="BC45">
        <v>0</v>
      </c>
      <c r="BD45">
        <v>0</v>
      </c>
      <c r="BE45">
        <v>6.7781292363307722E-4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4.5187528242205148E-3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3.6150022593764111E-2</v>
      </c>
      <c r="CB45">
        <v>0</v>
      </c>
    </row>
    <row r="46" spans="1:80">
      <c r="A46">
        <v>693</v>
      </c>
      <c r="B46" t="s">
        <v>78</v>
      </c>
      <c r="C46" s="4" t="s">
        <v>170</v>
      </c>
      <c r="D46" s="4" t="s">
        <v>117</v>
      </c>
      <c r="E46" s="5">
        <v>40421</v>
      </c>
      <c r="F46" s="5">
        <v>40420</v>
      </c>
      <c r="G46">
        <v>1009</v>
      </c>
      <c r="H46" s="4" t="s">
        <v>107</v>
      </c>
      <c r="I46" s="4" t="s">
        <v>109</v>
      </c>
      <c r="J46" s="4" t="str">
        <f t="shared" si="0"/>
        <v>u_con.c_rem</v>
      </c>
      <c r="K46" s="5">
        <v>2</v>
      </c>
      <c r="L46">
        <v>9.6952908587257646E-3</v>
      </c>
      <c r="M46">
        <v>0.23568790397045242</v>
      </c>
      <c r="N46">
        <v>0.23084025854108953</v>
      </c>
      <c r="O46">
        <v>4.6168051708217923E-3</v>
      </c>
      <c r="P46">
        <v>0</v>
      </c>
      <c r="Q46">
        <v>2.3314866112650049E-2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4.6168051708217923E-3</v>
      </c>
      <c r="AF46">
        <v>0</v>
      </c>
      <c r="AG46">
        <v>0</v>
      </c>
      <c r="AH46">
        <v>0</v>
      </c>
      <c r="AI46">
        <v>0.13388734995383197</v>
      </c>
      <c r="AJ46">
        <v>0.14335180055401667</v>
      </c>
      <c r="AK46">
        <v>0</v>
      </c>
      <c r="AL46">
        <v>0</v>
      </c>
      <c r="AM46">
        <v>0</v>
      </c>
      <c r="AN46">
        <v>6.9252077562326881E-4</v>
      </c>
      <c r="AO46">
        <v>0</v>
      </c>
      <c r="AP46">
        <v>0</v>
      </c>
      <c r="AQ46">
        <v>7.4099722991689779E-2</v>
      </c>
      <c r="AR46">
        <v>0</v>
      </c>
      <c r="AS46">
        <v>9.2336103416435847E-3</v>
      </c>
      <c r="AT46">
        <v>4.6168051708217922E-4</v>
      </c>
      <c r="AU46">
        <v>0</v>
      </c>
      <c r="AV46">
        <v>0</v>
      </c>
      <c r="AW46">
        <v>0</v>
      </c>
      <c r="AX46">
        <v>4.8476454293628823E-3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4.6168051708217923E-3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4.6168051708217923E-3</v>
      </c>
      <c r="BY46">
        <v>0</v>
      </c>
      <c r="BZ46">
        <v>0</v>
      </c>
      <c r="CA46">
        <v>0.11542012927054481</v>
      </c>
      <c r="CB46">
        <v>0</v>
      </c>
    </row>
    <row r="47" spans="1:80">
      <c r="A47">
        <v>694</v>
      </c>
      <c r="B47" t="s">
        <v>79</v>
      </c>
      <c r="C47" s="4" t="s">
        <v>170</v>
      </c>
      <c r="D47" s="4" t="s">
        <v>117</v>
      </c>
      <c r="E47" s="5">
        <v>40421</v>
      </c>
      <c r="F47" s="5">
        <v>40420</v>
      </c>
      <c r="G47">
        <v>1009</v>
      </c>
      <c r="H47" s="4" t="s">
        <v>107</v>
      </c>
      <c r="I47" s="4" t="s">
        <v>108</v>
      </c>
      <c r="J47" s="4" t="str">
        <f t="shared" si="0"/>
        <v>u_con.c_con</v>
      </c>
      <c r="K47" s="5">
        <v>19</v>
      </c>
      <c r="L47">
        <v>4.6005855290673367E-3</v>
      </c>
      <c r="M47">
        <v>9.242994562944376E-2</v>
      </c>
      <c r="N47">
        <v>0.18820577164366373</v>
      </c>
      <c r="O47">
        <v>1.6729401923881223E-2</v>
      </c>
      <c r="P47">
        <v>0</v>
      </c>
      <c r="Q47">
        <v>3.366792137181096E-2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2.1120869928900041E-2</v>
      </c>
      <c r="AF47">
        <v>0</v>
      </c>
      <c r="AG47">
        <v>0</v>
      </c>
      <c r="AH47">
        <v>0</v>
      </c>
      <c r="AI47">
        <v>0.1758678377248013</v>
      </c>
      <c r="AJ47">
        <v>0.20932664157256373</v>
      </c>
      <c r="AK47">
        <v>0</v>
      </c>
      <c r="AL47">
        <v>0</v>
      </c>
      <c r="AM47">
        <v>0</v>
      </c>
      <c r="AN47">
        <v>5.0188205771643677E-3</v>
      </c>
      <c r="AO47">
        <v>0</v>
      </c>
      <c r="AP47">
        <v>0</v>
      </c>
      <c r="AQ47">
        <v>2.5512337933918865E-2</v>
      </c>
      <c r="AR47">
        <v>0</v>
      </c>
      <c r="AS47">
        <v>8.5738184859891261E-3</v>
      </c>
      <c r="AT47">
        <v>8.3647009619406104E-4</v>
      </c>
      <c r="AU47">
        <v>0</v>
      </c>
      <c r="AV47">
        <v>2.0911752404851526E-4</v>
      </c>
      <c r="AW47">
        <v>8.3647009619406115E-3</v>
      </c>
      <c r="AX47">
        <v>8.5738184859891261E-3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2.0911752404851526E-4</v>
      </c>
      <c r="CA47">
        <v>0.20075282308657461</v>
      </c>
      <c r="CB47">
        <v>0</v>
      </c>
    </row>
    <row r="48" spans="1:80">
      <c r="A48">
        <v>695</v>
      </c>
      <c r="B48" t="s">
        <v>80</v>
      </c>
      <c r="C48" s="4" t="s">
        <v>170</v>
      </c>
      <c r="D48" s="4" t="s">
        <v>117</v>
      </c>
      <c r="E48" s="5">
        <v>40421</v>
      </c>
      <c r="F48" s="5">
        <v>40420</v>
      </c>
      <c r="G48">
        <v>1009</v>
      </c>
      <c r="H48" s="4" t="s">
        <v>107</v>
      </c>
      <c r="I48" s="4" t="s">
        <v>109</v>
      </c>
      <c r="J48" s="4" t="str">
        <f t="shared" si="0"/>
        <v>u_con.c_rem</v>
      </c>
      <c r="K48" s="5">
        <v>2</v>
      </c>
      <c r="L48">
        <v>2.2675736961451246E-4</v>
      </c>
      <c r="M48">
        <v>9.9773242630385492E-2</v>
      </c>
      <c r="N48">
        <v>0.39002267573696142</v>
      </c>
      <c r="O48">
        <v>0</v>
      </c>
      <c r="P48">
        <v>0</v>
      </c>
      <c r="Q48">
        <v>1.8140589569160998E-2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1.4058956916099773E-2</v>
      </c>
      <c r="AF48">
        <v>0</v>
      </c>
      <c r="AG48">
        <v>0</v>
      </c>
      <c r="AH48">
        <v>1.3832199546485263E-2</v>
      </c>
      <c r="AI48">
        <v>3.2426303854875278E-2</v>
      </c>
      <c r="AJ48">
        <v>0.30408163265306121</v>
      </c>
      <c r="AK48">
        <v>0</v>
      </c>
      <c r="AL48">
        <v>0</v>
      </c>
      <c r="AM48">
        <v>0</v>
      </c>
      <c r="AN48">
        <v>2.2675736961451246E-4</v>
      </c>
      <c r="AO48">
        <v>0</v>
      </c>
      <c r="AP48">
        <v>0</v>
      </c>
      <c r="AQ48">
        <v>0</v>
      </c>
      <c r="AR48">
        <v>0</v>
      </c>
      <c r="AS48">
        <v>2.2675736961451246E-4</v>
      </c>
      <c r="AT48">
        <v>0</v>
      </c>
      <c r="AU48">
        <v>0</v>
      </c>
      <c r="AV48">
        <v>0</v>
      </c>
      <c r="AW48">
        <v>1.360544217687075E-2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0.11337868480725623</v>
      </c>
      <c r="CB48">
        <v>0</v>
      </c>
    </row>
    <row r="49" spans="1:80">
      <c r="A49">
        <v>696</v>
      </c>
      <c r="B49" t="s">
        <v>81</v>
      </c>
      <c r="C49" s="4" t="s">
        <v>170</v>
      </c>
      <c r="D49" s="4" t="s">
        <v>117</v>
      </c>
      <c r="E49" s="5">
        <v>40421</v>
      </c>
      <c r="F49" s="5">
        <v>40420</v>
      </c>
      <c r="G49">
        <v>1009</v>
      </c>
      <c r="H49" s="4" t="s">
        <v>107</v>
      </c>
      <c r="I49" s="4" t="s">
        <v>108</v>
      </c>
      <c r="J49" s="4" t="str">
        <f t="shared" si="0"/>
        <v>u_con.c_con</v>
      </c>
      <c r="K49" s="5">
        <v>19</v>
      </c>
      <c r="L49">
        <v>6.1751584879079599E-2</v>
      </c>
      <c r="M49">
        <v>2.9349612585113878E-2</v>
      </c>
      <c r="N49">
        <v>0.26297252876262034</v>
      </c>
      <c r="O49">
        <v>0</v>
      </c>
      <c r="P49">
        <v>0</v>
      </c>
      <c r="Q49">
        <v>5.6351256163418649E-2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2.3479690068091104E-4</v>
      </c>
      <c r="AF49">
        <v>0</v>
      </c>
      <c r="AG49">
        <v>0</v>
      </c>
      <c r="AH49">
        <v>0</v>
      </c>
      <c r="AI49">
        <v>0.15543554825076311</v>
      </c>
      <c r="AJ49">
        <v>0.29584409485794783</v>
      </c>
      <c r="AK49">
        <v>0</v>
      </c>
      <c r="AL49">
        <v>0</v>
      </c>
      <c r="AM49">
        <v>0</v>
      </c>
      <c r="AN49">
        <v>9.6266729279173534E-3</v>
      </c>
      <c r="AO49">
        <v>0</v>
      </c>
      <c r="AP49">
        <v>0</v>
      </c>
      <c r="AQ49">
        <v>0</v>
      </c>
      <c r="AR49">
        <v>0</v>
      </c>
      <c r="AS49">
        <v>2.3479690068091104E-4</v>
      </c>
      <c r="AT49">
        <v>9.3918760272364418E-4</v>
      </c>
      <c r="AU49">
        <v>2.3479690068091104E-4</v>
      </c>
      <c r="AV49">
        <v>4.6959380136182213E-3</v>
      </c>
      <c r="AW49">
        <v>4.930734914299132E-3</v>
      </c>
      <c r="AX49">
        <v>4.6959380136182213E-3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4.6959380136182213E-3</v>
      </c>
      <c r="CA49">
        <v>0.10800657431321908</v>
      </c>
      <c r="CB49">
        <v>0</v>
      </c>
    </row>
    <row r="50" spans="1:80">
      <c r="A50">
        <v>697</v>
      </c>
      <c r="B50" t="s">
        <v>82</v>
      </c>
      <c r="C50" s="4" t="s">
        <v>171</v>
      </c>
      <c r="D50" s="4" t="s">
        <v>118</v>
      </c>
      <c r="E50" s="5">
        <v>40420</v>
      </c>
      <c r="F50" s="5">
        <v>40420</v>
      </c>
      <c r="G50">
        <v>1009</v>
      </c>
      <c r="H50" s="4" t="s">
        <v>110</v>
      </c>
      <c r="I50" s="4" t="s">
        <v>109</v>
      </c>
      <c r="J50" s="4" t="str">
        <f t="shared" si="0"/>
        <v>u_rem.c_rem</v>
      </c>
      <c r="K50" s="5">
        <v>1</v>
      </c>
      <c r="L50">
        <v>3.9533504645186792E-3</v>
      </c>
      <c r="M50">
        <v>0.11899584898201225</v>
      </c>
      <c r="N50">
        <v>0.10733346511168214</v>
      </c>
      <c r="O50">
        <v>0</v>
      </c>
      <c r="P50">
        <v>0</v>
      </c>
      <c r="Q50">
        <v>9.9031429136192908E-2</v>
      </c>
      <c r="R50">
        <v>0</v>
      </c>
      <c r="S50">
        <v>0</v>
      </c>
      <c r="T50">
        <v>3.9533504645186792E-3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7.9067009290373583E-3</v>
      </c>
      <c r="AF50">
        <v>0</v>
      </c>
      <c r="AG50">
        <v>0</v>
      </c>
      <c r="AH50">
        <v>0</v>
      </c>
      <c r="AI50">
        <v>1.9766752322593396E-4</v>
      </c>
      <c r="AJ50">
        <v>0</v>
      </c>
      <c r="AK50">
        <v>0</v>
      </c>
      <c r="AL50">
        <v>0</v>
      </c>
      <c r="AM50">
        <v>0</v>
      </c>
      <c r="AN50">
        <v>3.2615141332279107E-2</v>
      </c>
      <c r="AO50">
        <v>0</v>
      </c>
      <c r="AP50">
        <v>0</v>
      </c>
      <c r="AQ50">
        <v>2.7673453251630755E-2</v>
      </c>
      <c r="AR50">
        <v>0</v>
      </c>
      <c r="AS50">
        <v>3.9533504645186793E-4</v>
      </c>
      <c r="AT50">
        <v>1.9766752322593396E-4</v>
      </c>
      <c r="AU50">
        <v>0</v>
      </c>
      <c r="AV50">
        <v>0</v>
      </c>
      <c r="AW50">
        <v>0</v>
      </c>
      <c r="AX50">
        <v>1.9766752322593396E-4</v>
      </c>
      <c r="AY50">
        <v>0</v>
      </c>
      <c r="AZ50">
        <v>0</v>
      </c>
      <c r="BA50">
        <v>0.16208736904526588</v>
      </c>
      <c r="BB50">
        <v>0.24135204585886527</v>
      </c>
      <c r="BC50">
        <v>0</v>
      </c>
      <c r="BD50">
        <v>0</v>
      </c>
      <c r="BE50">
        <v>0.12670488238782368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1.9766752322593396E-4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6.7206957896817562E-2</v>
      </c>
      <c r="CB50">
        <v>0</v>
      </c>
    </row>
    <row r="51" spans="1:80">
      <c r="A51">
        <v>698</v>
      </c>
      <c r="B51" t="s">
        <v>83</v>
      </c>
      <c r="C51" s="4" t="s">
        <v>171</v>
      </c>
      <c r="D51" s="4" t="s">
        <v>118</v>
      </c>
      <c r="E51" s="5">
        <v>40420</v>
      </c>
      <c r="F51" s="5">
        <v>40420</v>
      </c>
      <c r="G51">
        <v>1009</v>
      </c>
      <c r="H51" s="4" t="s">
        <v>110</v>
      </c>
      <c r="I51" s="4" t="s">
        <v>108</v>
      </c>
      <c r="J51" s="4" t="str">
        <f t="shared" si="0"/>
        <v>u_rem.c_con</v>
      </c>
      <c r="K51" s="5">
        <v>8</v>
      </c>
      <c r="L51">
        <v>9.7402597402597418E-3</v>
      </c>
      <c r="M51">
        <v>0.16697588126159557</v>
      </c>
      <c r="N51">
        <v>3.7105751391465679E-2</v>
      </c>
      <c r="O51">
        <v>0</v>
      </c>
      <c r="P51">
        <v>0</v>
      </c>
      <c r="Q51">
        <v>0.1855287569573284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4.6382189239332098E-3</v>
      </c>
      <c r="AF51">
        <v>0</v>
      </c>
      <c r="AG51">
        <v>0</v>
      </c>
      <c r="AH51">
        <v>0</v>
      </c>
      <c r="AI51">
        <v>4.6382189239332103E-4</v>
      </c>
      <c r="AJ51">
        <v>0</v>
      </c>
      <c r="AK51">
        <v>0</v>
      </c>
      <c r="AL51">
        <v>6.0296846011131722E-2</v>
      </c>
      <c r="AM51">
        <v>0</v>
      </c>
      <c r="AN51">
        <v>9.7402597402597418E-3</v>
      </c>
      <c r="AO51">
        <v>0</v>
      </c>
      <c r="AP51">
        <v>0</v>
      </c>
      <c r="AQ51">
        <v>9.2764378478664197E-3</v>
      </c>
      <c r="AR51">
        <v>0</v>
      </c>
      <c r="AS51">
        <v>9.2764378478664197E-3</v>
      </c>
      <c r="AT51">
        <v>2.3191094619666051E-4</v>
      </c>
      <c r="AU51">
        <v>0</v>
      </c>
      <c r="AV51">
        <v>0</v>
      </c>
      <c r="AW51">
        <v>0</v>
      </c>
      <c r="AX51">
        <v>4.6382189239332098E-3</v>
      </c>
      <c r="AY51">
        <v>0</v>
      </c>
      <c r="AZ51">
        <v>0</v>
      </c>
      <c r="BA51">
        <v>0.10714285714285718</v>
      </c>
      <c r="BB51">
        <v>0.16697588126159557</v>
      </c>
      <c r="BC51">
        <v>0</v>
      </c>
      <c r="BD51">
        <v>0</v>
      </c>
      <c r="BE51">
        <v>0.11665120593692022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4.6382189239332098E-3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0.10667903525046386</v>
      </c>
      <c r="CB51">
        <v>0</v>
      </c>
    </row>
    <row r="52" spans="1:80">
      <c r="A52">
        <v>699</v>
      </c>
      <c r="B52" t="s">
        <v>84</v>
      </c>
      <c r="C52" s="4" t="s">
        <v>171</v>
      </c>
      <c r="D52" s="4" t="s">
        <v>118</v>
      </c>
      <c r="E52" s="5">
        <v>40420</v>
      </c>
      <c r="F52" s="5">
        <v>40420</v>
      </c>
      <c r="G52">
        <v>1009</v>
      </c>
      <c r="H52" s="4" t="s">
        <v>110</v>
      </c>
      <c r="I52" s="4" t="s">
        <v>109</v>
      </c>
      <c r="J52" s="4" t="str">
        <f t="shared" si="0"/>
        <v>u_rem.c_rem</v>
      </c>
      <c r="K52" s="5">
        <v>1</v>
      </c>
      <c r="L52">
        <v>3.9737730975561297E-3</v>
      </c>
      <c r="M52">
        <v>4.0135108285316912E-2</v>
      </c>
      <c r="N52">
        <v>5.1857738923107501E-2</v>
      </c>
      <c r="O52">
        <v>0</v>
      </c>
      <c r="P52">
        <v>0</v>
      </c>
      <c r="Q52">
        <v>7.1527915756010349E-2</v>
      </c>
      <c r="R52">
        <v>7.9475461951122595E-3</v>
      </c>
      <c r="S52">
        <v>0</v>
      </c>
      <c r="T52">
        <v>3.9737730975561297E-3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3.9737730975561297E-3</v>
      </c>
      <c r="AJ52">
        <v>0</v>
      </c>
      <c r="AK52">
        <v>0</v>
      </c>
      <c r="AL52">
        <v>1.5895092390224519E-2</v>
      </c>
      <c r="AM52">
        <v>0</v>
      </c>
      <c r="AN52">
        <v>4.5698390621895495E-3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1.9868865487780648E-4</v>
      </c>
      <c r="AW52">
        <v>0</v>
      </c>
      <c r="AX52">
        <v>1.9868865487780648E-4</v>
      </c>
      <c r="AY52">
        <v>0</v>
      </c>
      <c r="AZ52">
        <v>0</v>
      </c>
      <c r="BA52">
        <v>8.8217762765746111E-2</v>
      </c>
      <c r="BB52">
        <v>0.31015299026425591</v>
      </c>
      <c r="BC52">
        <v>0</v>
      </c>
      <c r="BD52">
        <v>0</v>
      </c>
      <c r="BE52">
        <v>0.30995430160937809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7.9475461951122595E-3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7.9475461951122608E-2</v>
      </c>
      <c r="CB52">
        <v>0</v>
      </c>
    </row>
    <row r="53" spans="1:80">
      <c r="A53">
        <v>700</v>
      </c>
      <c r="B53" t="s">
        <v>85</v>
      </c>
      <c r="C53" s="4" t="s">
        <v>171</v>
      </c>
      <c r="D53" s="4" t="s">
        <v>118</v>
      </c>
      <c r="E53" s="5">
        <v>40420</v>
      </c>
      <c r="F53" s="5">
        <v>40420</v>
      </c>
      <c r="G53">
        <v>1009</v>
      </c>
      <c r="H53" s="4" t="s">
        <v>110</v>
      </c>
      <c r="I53" s="4" t="s">
        <v>108</v>
      </c>
      <c r="J53" s="4" t="str">
        <f t="shared" si="0"/>
        <v>u_rem.c_con</v>
      </c>
      <c r="K53" s="5">
        <v>8</v>
      </c>
      <c r="L53">
        <v>8.6662439230606667E-3</v>
      </c>
      <c r="M53">
        <v>0.1693088142041852</v>
      </c>
      <c r="N53">
        <v>2.5364616360177557E-2</v>
      </c>
      <c r="O53">
        <v>0</v>
      </c>
      <c r="P53">
        <v>0</v>
      </c>
      <c r="Q53">
        <v>0.18600718664130209</v>
      </c>
      <c r="R53">
        <v>0</v>
      </c>
      <c r="S53">
        <v>0</v>
      </c>
      <c r="T53">
        <v>3.001479602621011E-2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8.454872120059187E-3</v>
      </c>
      <c r="AF53">
        <v>0</v>
      </c>
      <c r="AG53">
        <v>0</v>
      </c>
      <c r="AH53">
        <v>2.1137180300147965E-4</v>
      </c>
      <c r="AI53">
        <v>4.2274360600295935E-3</v>
      </c>
      <c r="AJ53">
        <v>0</v>
      </c>
      <c r="AK53">
        <v>0</v>
      </c>
      <c r="AL53">
        <v>0</v>
      </c>
      <c r="AM53">
        <v>0</v>
      </c>
      <c r="AN53">
        <v>2.1137180300147965E-4</v>
      </c>
      <c r="AO53">
        <v>0</v>
      </c>
      <c r="AP53">
        <v>0</v>
      </c>
      <c r="AQ53">
        <v>1.6909744240118374E-2</v>
      </c>
      <c r="AR53">
        <v>0</v>
      </c>
      <c r="AS53">
        <v>8.454872120059187E-3</v>
      </c>
      <c r="AT53">
        <v>0</v>
      </c>
      <c r="AU53">
        <v>0</v>
      </c>
      <c r="AV53">
        <v>0</v>
      </c>
      <c r="AW53">
        <v>0</v>
      </c>
      <c r="AX53">
        <v>2.1137180300147965E-4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0.10610864510674278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2.1137180300147965E-4</v>
      </c>
      <c r="BO53">
        <v>0</v>
      </c>
      <c r="BP53">
        <v>2.1137180300147965E-4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4.2274360600295935E-3</v>
      </c>
      <c r="BX53">
        <v>0</v>
      </c>
      <c r="BY53">
        <v>0</v>
      </c>
      <c r="BZ53">
        <v>0</v>
      </c>
      <c r="CA53">
        <v>0.43119847812301848</v>
      </c>
      <c r="CB53">
        <v>0</v>
      </c>
    </row>
    <row r="54" spans="1:80">
      <c r="A54">
        <v>701</v>
      </c>
      <c r="B54" t="s">
        <v>86</v>
      </c>
      <c r="C54" s="4" t="s">
        <v>172</v>
      </c>
      <c r="D54" s="4" t="s">
        <v>118</v>
      </c>
      <c r="E54" s="5">
        <v>40420</v>
      </c>
      <c r="F54" s="5">
        <v>40420</v>
      </c>
      <c r="G54">
        <v>1009</v>
      </c>
      <c r="H54" s="4" t="s">
        <v>107</v>
      </c>
      <c r="I54" s="4" t="s">
        <v>108</v>
      </c>
      <c r="J54" s="4" t="str">
        <f t="shared" si="0"/>
        <v>u_con.c_con</v>
      </c>
      <c r="K54" s="5">
        <v>19</v>
      </c>
      <c r="L54">
        <v>0</v>
      </c>
      <c r="M54">
        <v>3.0963057868887471E-2</v>
      </c>
      <c r="N54">
        <v>2.5624599615631006E-2</v>
      </c>
      <c r="O54">
        <v>0</v>
      </c>
      <c r="P54">
        <v>0</v>
      </c>
      <c r="Q54">
        <v>4.4843049327354268E-3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4.2707666026051676E-3</v>
      </c>
      <c r="Y54">
        <v>0.15823190262652145</v>
      </c>
      <c r="Z54">
        <v>4.2707666026051676E-3</v>
      </c>
      <c r="AA54">
        <v>0</v>
      </c>
      <c r="AB54">
        <v>0</v>
      </c>
      <c r="AC54">
        <v>0</v>
      </c>
      <c r="AD54">
        <v>0</v>
      </c>
      <c r="AE54">
        <v>4.4843049327354268E-3</v>
      </c>
      <c r="AF54">
        <v>0</v>
      </c>
      <c r="AG54">
        <v>1.2812299807815505E-2</v>
      </c>
      <c r="AH54">
        <v>2.135383301302584E-4</v>
      </c>
      <c r="AI54">
        <v>4.4843049327354268E-3</v>
      </c>
      <c r="AJ54">
        <v>0</v>
      </c>
      <c r="AK54">
        <v>0</v>
      </c>
      <c r="AL54">
        <v>1.7083066410420671E-2</v>
      </c>
      <c r="AM54">
        <v>0</v>
      </c>
      <c r="AN54">
        <v>9.6092248558616294E-3</v>
      </c>
      <c r="AO54">
        <v>0</v>
      </c>
      <c r="AP54">
        <v>0</v>
      </c>
      <c r="AQ54">
        <v>0</v>
      </c>
      <c r="AR54">
        <v>0</v>
      </c>
      <c r="AS54">
        <v>1.2812299807815505E-2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0.20926756352765316</v>
      </c>
      <c r="BB54">
        <v>0.11125346999786465</v>
      </c>
      <c r="BC54">
        <v>0</v>
      </c>
      <c r="BD54">
        <v>0</v>
      </c>
      <c r="BE54">
        <v>0.11573777493060004</v>
      </c>
      <c r="BF54">
        <v>4.4843049327354268E-3</v>
      </c>
      <c r="BG54">
        <v>4.2707666026051676E-3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2.135383301302584E-4</v>
      </c>
      <c r="BO54">
        <v>0</v>
      </c>
      <c r="BP54">
        <v>3.8436899423446504E-2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2.1567371343156099E-2</v>
      </c>
      <c r="BY54">
        <v>0</v>
      </c>
      <c r="BZ54">
        <v>0</v>
      </c>
      <c r="CA54">
        <v>0.19645526371983765</v>
      </c>
      <c r="CB54">
        <v>0</v>
      </c>
    </row>
    <row r="55" spans="1:80">
      <c r="A55">
        <v>702</v>
      </c>
      <c r="B55" t="s">
        <v>87</v>
      </c>
      <c r="C55" s="4" t="s">
        <v>172</v>
      </c>
      <c r="D55" s="4" t="s">
        <v>118</v>
      </c>
      <c r="E55" s="5">
        <v>40420</v>
      </c>
      <c r="F55" s="5">
        <v>40420</v>
      </c>
      <c r="G55">
        <v>1009</v>
      </c>
      <c r="H55" s="4" t="s">
        <v>107</v>
      </c>
      <c r="I55" s="4" t="s">
        <v>109</v>
      </c>
      <c r="J55" s="4" t="str">
        <f t="shared" si="0"/>
        <v>u_con.c_rem</v>
      </c>
      <c r="K55" s="5">
        <v>2</v>
      </c>
      <c r="L55">
        <v>1.5844620495783286E-2</v>
      </c>
      <c r="M55">
        <v>2.7089189879887548E-2</v>
      </c>
      <c r="N55">
        <v>6.2356248402760016E-2</v>
      </c>
      <c r="O55">
        <v>0</v>
      </c>
      <c r="P55">
        <v>0</v>
      </c>
      <c r="Q55">
        <v>5.1111679018655751E-3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3.066700741119345E-2</v>
      </c>
      <c r="Z55">
        <v>5.1111679018655751E-3</v>
      </c>
      <c r="AA55">
        <v>0</v>
      </c>
      <c r="AB55">
        <v>0</v>
      </c>
      <c r="AC55">
        <v>0</v>
      </c>
      <c r="AD55">
        <v>0</v>
      </c>
      <c r="AE55">
        <v>7.1811909021211345E-2</v>
      </c>
      <c r="AF55">
        <v>0</v>
      </c>
      <c r="AG55">
        <v>0</v>
      </c>
      <c r="AH55">
        <v>5.3667262969588547E-3</v>
      </c>
      <c r="AI55">
        <v>5.6733963710707887E-2</v>
      </c>
      <c r="AJ55">
        <v>0</v>
      </c>
      <c r="AK55">
        <v>0</v>
      </c>
      <c r="AL55">
        <v>0</v>
      </c>
      <c r="AM55">
        <v>4.1656018400204435E-2</v>
      </c>
      <c r="AN55">
        <v>5.6222846920521334E-3</v>
      </c>
      <c r="AO55">
        <v>0</v>
      </c>
      <c r="AP55">
        <v>0</v>
      </c>
      <c r="AQ55">
        <v>0</v>
      </c>
      <c r="AR55">
        <v>0</v>
      </c>
      <c r="AS55">
        <v>2.5811397904421152E-2</v>
      </c>
      <c r="AT55">
        <v>7.6667518527983626E-4</v>
      </c>
      <c r="AU55">
        <v>5.1111679018655751E-3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0.23511372348581647</v>
      </c>
      <c r="BB55">
        <v>0.10273447482749808</v>
      </c>
      <c r="BC55">
        <v>0</v>
      </c>
      <c r="BD55">
        <v>0</v>
      </c>
      <c r="BE55">
        <v>7.1811909021211345E-2</v>
      </c>
      <c r="BF55">
        <v>5.1111679018655751E-4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3.628929210324558E-2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0.19422438027089187</v>
      </c>
      <c r="CB55">
        <v>0</v>
      </c>
    </row>
    <row r="56" spans="1:80">
      <c r="A56">
        <v>703</v>
      </c>
      <c r="B56" t="s">
        <v>88</v>
      </c>
      <c r="C56" s="4" t="s">
        <v>172</v>
      </c>
      <c r="D56" s="4" t="s">
        <v>118</v>
      </c>
      <c r="E56" s="5">
        <v>40420</v>
      </c>
      <c r="F56" s="5">
        <v>40420</v>
      </c>
      <c r="G56">
        <v>1009</v>
      </c>
      <c r="H56" s="4" t="s">
        <v>107</v>
      </c>
      <c r="I56" s="4" t="s">
        <v>109</v>
      </c>
      <c r="J56" s="4" t="str">
        <f t="shared" si="0"/>
        <v>u_con.c_rem</v>
      </c>
      <c r="K56" s="5">
        <v>2</v>
      </c>
      <c r="L56">
        <v>0</v>
      </c>
      <c r="M56">
        <v>4.8286962520119568E-3</v>
      </c>
      <c r="N56">
        <v>8.3237525868015652E-2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1.4945964589560821E-2</v>
      </c>
      <c r="Y56">
        <v>9.1975166704989647E-3</v>
      </c>
      <c r="Z56">
        <v>3.6790066681995859E-2</v>
      </c>
      <c r="AA56">
        <v>0</v>
      </c>
      <c r="AB56">
        <v>0</v>
      </c>
      <c r="AC56">
        <v>0</v>
      </c>
      <c r="AD56">
        <v>0</v>
      </c>
      <c r="AE56">
        <v>1.8395033340997929E-2</v>
      </c>
      <c r="AF56">
        <v>0</v>
      </c>
      <c r="AG56">
        <v>0</v>
      </c>
      <c r="AH56">
        <v>0</v>
      </c>
      <c r="AI56">
        <v>5.1046217521269262E-2</v>
      </c>
      <c r="AJ56">
        <v>0</v>
      </c>
      <c r="AK56">
        <v>0</v>
      </c>
      <c r="AL56">
        <v>0</v>
      </c>
      <c r="AM56">
        <v>4.2078638767532761E-2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1.0117268337548863E-2</v>
      </c>
      <c r="AT56">
        <v>1.1496895838123706E-3</v>
      </c>
      <c r="AU56">
        <v>0</v>
      </c>
      <c r="AV56">
        <v>4.8286962520119568E-3</v>
      </c>
      <c r="AW56">
        <v>0</v>
      </c>
      <c r="AX56">
        <v>0</v>
      </c>
      <c r="AY56">
        <v>0</v>
      </c>
      <c r="AZ56">
        <v>4.5987583352494824E-3</v>
      </c>
      <c r="BA56">
        <v>0.34950563347896058</v>
      </c>
      <c r="BB56">
        <v>0.10117268337548863</v>
      </c>
      <c r="BC56">
        <v>0</v>
      </c>
      <c r="BD56">
        <v>0</v>
      </c>
      <c r="BE56">
        <v>7.3580133363991732E-2</v>
      </c>
      <c r="BF56">
        <v>1.0117268337548863E-2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2.2993791676247412E-2</v>
      </c>
      <c r="BO56">
        <v>0</v>
      </c>
      <c r="BP56">
        <v>1.3796275005748447E-2</v>
      </c>
      <c r="BQ56">
        <v>1.3796275005748449E-2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4.5987583352494824E-3</v>
      </c>
      <c r="BY56">
        <v>0</v>
      </c>
      <c r="BZ56">
        <v>4.8286962520119568E-3</v>
      </c>
      <c r="CA56">
        <v>0.12416647505173607</v>
      </c>
      <c r="CB56">
        <v>0</v>
      </c>
    </row>
    <row r="57" spans="1:80">
      <c r="A57">
        <v>704</v>
      </c>
      <c r="B57" t="s">
        <v>89</v>
      </c>
      <c r="C57" s="4" t="s">
        <v>172</v>
      </c>
      <c r="D57" s="4" t="s">
        <v>118</v>
      </c>
      <c r="E57" s="5">
        <v>40420</v>
      </c>
      <c r="F57" s="5">
        <v>40420</v>
      </c>
      <c r="G57">
        <v>1009</v>
      </c>
      <c r="H57" s="4" t="s">
        <v>107</v>
      </c>
      <c r="I57" s="4" t="s">
        <v>108</v>
      </c>
      <c r="J57" s="4" t="str">
        <f t="shared" si="0"/>
        <v>u_con.c_con</v>
      </c>
      <c r="K57" s="5">
        <v>19</v>
      </c>
      <c r="L57">
        <v>0</v>
      </c>
      <c r="M57">
        <v>3.6217303822937634E-2</v>
      </c>
      <c r="N57">
        <v>0.107981220657277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4.6948356807511747E-3</v>
      </c>
      <c r="Y57">
        <v>0.11178180192264699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4.068857589984351E-2</v>
      </c>
      <c r="AF57">
        <v>0</v>
      </c>
      <c r="AG57">
        <v>4.4712720769058802E-3</v>
      </c>
      <c r="AH57">
        <v>0</v>
      </c>
      <c r="AI57">
        <v>1.7885088307623521E-2</v>
      </c>
      <c r="AJ57">
        <v>0</v>
      </c>
      <c r="AK57">
        <v>0</v>
      </c>
      <c r="AL57">
        <v>0</v>
      </c>
      <c r="AM57">
        <v>4.493628437290409E-2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1.386094343840823E-2</v>
      </c>
      <c r="AT57">
        <v>2.23563603845294E-4</v>
      </c>
      <c r="AU57">
        <v>4.47127207690588E-4</v>
      </c>
      <c r="AV57">
        <v>4.4712720769058802E-3</v>
      </c>
      <c r="AW57">
        <v>2.23563603845294E-4</v>
      </c>
      <c r="AX57">
        <v>2.23563603845294E-4</v>
      </c>
      <c r="AY57">
        <v>0</v>
      </c>
      <c r="AZ57">
        <v>0</v>
      </c>
      <c r="BA57">
        <v>0.20612564274536097</v>
      </c>
      <c r="BB57">
        <v>4.1135703107534095E-2</v>
      </c>
      <c r="BC57">
        <v>0</v>
      </c>
      <c r="BD57">
        <v>0</v>
      </c>
      <c r="BE57">
        <v>0.13056114464565166</v>
      </c>
      <c r="BF57">
        <v>5.3655264922870564E-3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4.6948356807511747E-3</v>
      </c>
      <c r="BO57">
        <v>0</v>
      </c>
      <c r="BP57">
        <v>3.5993740219092331E-2</v>
      </c>
      <c r="BQ57">
        <v>0</v>
      </c>
      <c r="BR57">
        <v>0</v>
      </c>
      <c r="BS57">
        <v>4.4712720769058802E-3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4.6948356807511747E-3</v>
      </c>
      <c r="CA57">
        <v>0.1788508830762352</v>
      </c>
      <c r="CB57">
        <v>0</v>
      </c>
    </row>
    <row r="58" spans="1:80">
      <c r="A58">
        <v>705</v>
      </c>
      <c r="B58" t="s">
        <v>90</v>
      </c>
      <c r="C58" s="4" t="s">
        <v>173</v>
      </c>
      <c r="D58" s="4" t="s">
        <v>118</v>
      </c>
      <c r="E58" s="5">
        <v>40420</v>
      </c>
      <c r="F58" s="5">
        <v>40420</v>
      </c>
      <c r="G58">
        <v>1009</v>
      </c>
      <c r="H58" s="4" t="s">
        <v>107</v>
      </c>
      <c r="I58" s="4" t="s">
        <v>108</v>
      </c>
      <c r="J58" s="4" t="str">
        <f t="shared" ref="J58:J73" si="1">CONCATENATE(H58,".",I58)</f>
        <v>u_con.c_con</v>
      </c>
      <c r="K58" s="5">
        <v>19</v>
      </c>
      <c r="L58">
        <v>0</v>
      </c>
      <c r="M58">
        <v>3.8832666509767008E-2</v>
      </c>
      <c r="N58">
        <v>0.19839962344080958</v>
      </c>
      <c r="O58">
        <v>0</v>
      </c>
      <c r="P58">
        <v>0</v>
      </c>
      <c r="Q58">
        <v>1.929865850788421E-2</v>
      </c>
      <c r="R58">
        <v>3.7655919039774069E-2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3.3419628147799488E-2</v>
      </c>
      <c r="AA58">
        <v>0</v>
      </c>
      <c r="AB58">
        <v>0</v>
      </c>
      <c r="AC58">
        <v>0</v>
      </c>
      <c r="AD58">
        <v>0</v>
      </c>
      <c r="AE58">
        <v>9.4139797599435172E-3</v>
      </c>
      <c r="AF58">
        <v>0</v>
      </c>
      <c r="AG58">
        <v>3.7655919039774069E-2</v>
      </c>
      <c r="AH58">
        <v>9.4139797599435172E-3</v>
      </c>
      <c r="AI58">
        <v>3.7891268533772657E-2</v>
      </c>
      <c r="AJ58">
        <v>0</v>
      </c>
      <c r="AK58">
        <v>0</v>
      </c>
      <c r="AL58">
        <v>4.7069898799717586E-3</v>
      </c>
      <c r="AM58">
        <v>0</v>
      </c>
      <c r="AN58">
        <v>1.5062367615909631E-2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1.0120028241939283E-2</v>
      </c>
      <c r="AU58">
        <v>0</v>
      </c>
      <c r="AV58">
        <v>0</v>
      </c>
      <c r="AW58">
        <v>0</v>
      </c>
      <c r="AX58">
        <v>1.929865850788421E-2</v>
      </c>
      <c r="AY58">
        <v>0</v>
      </c>
      <c r="AZ58">
        <v>0</v>
      </c>
      <c r="BA58">
        <v>0.15533066603906806</v>
      </c>
      <c r="BB58">
        <v>0.10826076723935048</v>
      </c>
      <c r="BC58">
        <v>0</v>
      </c>
      <c r="BD58">
        <v>0</v>
      </c>
      <c r="BE58">
        <v>1.035537773593787E-2</v>
      </c>
      <c r="BF58">
        <v>2.3534949399858793E-4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9.4139797599435172E-3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4.7069898799717586E-3</v>
      </c>
      <c r="BX58">
        <v>0</v>
      </c>
      <c r="BY58">
        <v>0</v>
      </c>
      <c r="BZ58">
        <v>0</v>
      </c>
      <c r="CA58">
        <v>0.24005648387855963</v>
      </c>
      <c r="CB58">
        <v>0</v>
      </c>
    </row>
    <row r="59" spans="1:80">
      <c r="A59">
        <v>706</v>
      </c>
      <c r="B59" t="s">
        <v>91</v>
      </c>
      <c r="C59" s="4" t="s">
        <v>173</v>
      </c>
      <c r="D59" s="4" t="s">
        <v>118</v>
      </c>
      <c r="E59" s="5">
        <v>40420</v>
      </c>
      <c r="F59" s="5">
        <v>40420</v>
      </c>
      <c r="G59">
        <v>1009</v>
      </c>
      <c r="H59" s="4" t="s">
        <v>107</v>
      </c>
      <c r="I59" s="4" t="s">
        <v>109</v>
      </c>
      <c r="J59" s="4" t="str">
        <f t="shared" si="1"/>
        <v>u_con.c_rem</v>
      </c>
      <c r="K59" s="5">
        <v>2</v>
      </c>
      <c r="L59">
        <v>0</v>
      </c>
      <c r="M59">
        <v>1.9470228661987776E-2</v>
      </c>
      <c r="N59">
        <v>3.1922119085352044E-2</v>
      </c>
      <c r="O59">
        <v>1.811184061580258E-2</v>
      </c>
      <c r="P59">
        <v>0</v>
      </c>
      <c r="Q59">
        <v>0.14942268508037129</v>
      </c>
      <c r="R59">
        <v>0.12678288431061804</v>
      </c>
      <c r="S59">
        <v>0</v>
      </c>
      <c r="T59">
        <v>0</v>
      </c>
      <c r="U59">
        <v>0</v>
      </c>
      <c r="V59">
        <v>0</v>
      </c>
      <c r="W59">
        <v>0</v>
      </c>
      <c r="X59">
        <v>4.7543581616481777E-3</v>
      </c>
      <c r="Y59">
        <v>5.8863482001358387E-2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2.2639800769753225E-4</v>
      </c>
      <c r="AF59">
        <v>0</v>
      </c>
      <c r="AG59">
        <v>0</v>
      </c>
      <c r="AH59">
        <v>2.2639800769753225E-4</v>
      </c>
      <c r="AI59">
        <v>9.0559203079012898E-3</v>
      </c>
      <c r="AJ59">
        <v>0</v>
      </c>
      <c r="AK59">
        <v>0</v>
      </c>
      <c r="AL59">
        <v>4.5279601539506449E-3</v>
      </c>
      <c r="AM59">
        <v>0</v>
      </c>
      <c r="AN59">
        <v>1.8564636631197645E-2</v>
      </c>
      <c r="AO59">
        <v>0</v>
      </c>
      <c r="AP59">
        <v>0</v>
      </c>
      <c r="AQ59">
        <v>0</v>
      </c>
      <c r="AR59">
        <v>0</v>
      </c>
      <c r="AS59">
        <v>4.7543581616481777E-3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9.101199909440795E-2</v>
      </c>
      <c r="BB59">
        <v>2.7394158931401402E-2</v>
      </c>
      <c r="BC59">
        <v>0</v>
      </c>
      <c r="BD59">
        <v>0</v>
      </c>
      <c r="BE59">
        <v>0.26262168892913734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9.2823183155988226E-3</v>
      </c>
      <c r="BL59">
        <v>0</v>
      </c>
      <c r="BM59">
        <v>0</v>
      </c>
      <c r="BN59">
        <v>0</v>
      </c>
      <c r="BO59">
        <v>0</v>
      </c>
      <c r="BP59">
        <v>9.0559203079012898E-3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0.14942268508037129</v>
      </c>
      <c r="CB59">
        <v>4.5279601539506449E-3</v>
      </c>
    </row>
    <row r="60" spans="1:80">
      <c r="A60">
        <v>707</v>
      </c>
      <c r="B60" t="s">
        <v>92</v>
      </c>
      <c r="C60" s="4" t="s">
        <v>173</v>
      </c>
      <c r="D60" s="4" t="s">
        <v>118</v>
      </c>
      <c r="E60" s="5">
        <v>40420</v>
      </c>
      <c r="F60" s="5">
        <v>40420</v>
      </c>
      <c r="G60">
        <v>1009</v>
      </c>
      <c r="H60" s="4" t="s">
        <v>107</v>
      </c>
      <c r="I60" s="4" t="s">
        <v>108</v>
      </c>
      <c r="J60" s="4" t="str">
        <f t="shared" si="1"/>
        <v>u_con.c_con</v>
      </c>
      <c r="K60" s="5">
        <v>19</v>
      </c>
      <c r="L60">
        <v>5.0994390617032127E-3</v>
      </c>
      <c r="M60">
        <v>1.121876593574707E-2</v>
      </c>
      <c r="N60">
        <v>7.2412034676185635E-2</v>
      </c>
      <c r="O60">
        <v>0</v>
      </c>
      <c r="P60">
        <v>0</v>
      </c>
      <c r="Q60">
        <v>4.0795512493625702E-2</v>
      </c>
      <c r="R60">
        <v>0.11269760326364102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0.11218765935747069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3.1361550229474761E-2</v>
      </c>
      <c r="AJ60">
        <v>0</v>
      </c>
      <c r="AK60">
        <v>0</v>
      </c>
      <c r="AL60">
        <v>0</v>
      </c>
      <c r="AM60">
        <v>0</v>
      </c>
      <c r="AN60">
        <v>1.529831718510964E-3</v>
      </c>
      <c r="AO60">
        <v>0</v>
      </c>
      <c r="AP60">
        <v>0</v>
      </c>
      <c r="AQ60">
        <v>0</v>
      </c>
      <c r="AR60">
        <v>0</v>
      </c>
      <c r="AS60">
        <v>1.0198878123406425E-2</v>
      </c>
      <c r="AT60">
        <v>0</v>
      </c>
      <c r="AU60">
        <v>0</v>
      </c>
      <c r="AV60">
        <v>0</v>
      </c>
      <c r="AW60">
        <v>5.0994390617032127E-3</v>
      </c>
      <c r="AX60">
        <v>0</v>
      </c>
      <c r="AY60">
        <v>0</v>
      </c>
      <c r="AZ60">
        <v>0</v>
      </c>
      <c r="BA60">
        <v>0.12748597654258034</v>
      </c>
      <c r="BB60">
        <v>7.6491585925548208E-2</v>
      </c>
      <c r="BC60">
        <v>0</v>
      </c>
      <c r="BD60">
        <v>0</v>
      </c>
      <c r="BE60">
        <v>0.22463029066802653</v>
      </c>
      <c r="BF60">
        <v>5.3544110147883735E-3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5.3544110147883735E-3</v>
      </c>
      <c r="BO60">
        <v>0</v>
      </c>
      <c r="BP60">
        <v>5.0994390617032127E-3</v>
      </c>
      <c r="BQ60">
        <v>5.0994390617032127E-3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0.14788373278939315</v>
      </c>
      <c r="CB60">
        <v>0</v>
      </c>
    </row>
    <row r="61" spans="1:80">
      <c r="A61">
        <v>708</v>
      </c>
      <c r="B61" t="s">
        <v>93</v>
      </c>
      <c r="C61" s="4" t="s">
        <v>173</v>
      </c>
      <c r="D61" s="4" t="s">
        <v>118</v>
      </c>
      <c r="E61" s="5">
        <v>40420</v>
      </c>
      <c r="F61" s="5">
        <v>40420</v>
      </c>
      <c r="G61">
        <v>1009</v>
      </c>
      <c r="H61" s="4" t="s">
        <v>107</v>
      </c>
      <c r="I61" s="4" t="s">
        <v>109</v>
      </c>
      <c r="J61" s="4" t="str">
        <f t="shared" si="1"/>
        <v>u_con.c_rem</v>
      </c>
      <c r="K61" s="5">
        <v>2</v>
      </c>
      <c r="L61">
        <v>4.9248953459738983E-4</v>
      </c>
      <c r="M61">
        <v>1.0588524993843882E-2</v>
      </c>
      <c r="N61">
        <v>7.8798325535582386E-2</v>
      </c>
      <c r="O61">
        <v>0</v>
      </c>
      <c r="P61">
        <v>0</v>
      </c>
      <c r="Q61">
        <v>6.9194779610933274E-2</v>
      </c>
      <c r="R61">
        <v>1.994582615119429E-2</v>
      </c>
      <c r="S61">
        <v>0</v>
      </c>
      <c r="T61">
        <v>4.9248953459738983E-3</v>
      </c>
      <c r="U61">
        <v>0</v>
      </c>
      <c r="V61">
        <v>0</v>
      </c>
      <c r="W61">
        <v>0</v>
      </c>
      <c r="X61">
        <v>2.4624476729869491E-4</v>
      </c>
      <c r="Y61">
        <v>0.18714602314700815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4.9248953459738983E-3</v>
      </c>
      <c r="AF61">
        <v>0</v>
      </c>
      <c r="AG61">
        <v>0</v>
      </c>
      <c r="AH61">
        <v>0</v>
      </c>
      <c r="AI61">
        <v>1.4774686037921696E-2</v>
      </c>
      <c r="AJ61">
        <v>0</v>
      </c>
      <c r="AK61">
        <v>0</v>
      </c>
      <c r="AL61">
        <v>0</v>
      </c>
      <c r="AM61">
        <v>0</v>
      </c>
      <c r="AN61">
        <v>1.994582615119429E-2</v>
      </c>
      <c r="AO61">
        <v>0</v>
      </c>
      <c r="AP61">
        <v>0</v>
      </c>
      <c r="AQ61">
        <v>0</v>
      </c>
      <c r="AR61">
        <v>0</v>
      </c>
      <c r="AS61">
        <v>1.0096035459246491E-2</v>
      </c>
      <c r="AT61">
        <v>0</v>
      </c>
      <c r="AU61">
        <v>0</v>
      </c>
      <c r="AV61">
        <v>0</v>
      </c>
      <c r="AW61">
        <v>0</v>
      </c>
      <c r="AX61">
        <v>1.0096035459246491E-2</v>
      </c>
      <c r="AY61">
        <v>0</v>
      </c>
      <c r="AZ61">
        <v>0</v>
      </c>
      <c r="BA61">
        <v>0.12853976852991875</v>
      </c>
      <c r="BB61">
        <v>9.8990396454075369E-2</v>
      </c>
      <c r="BC61">
        <v>0</v>
      </c>
      <c r="BD61">
        <v>0</v>
      </c>
      <c r="BE61">
        <v>0.16276779118443729</v>
      </c>
      <c r="BF61">
        <v>2.4624476729869491E-4</v>
      </c>
      <c r="BG61">
        <v>0</v>
      </c>
      <c r="BH61">
        <v>0</v>
      </c>
      <c r="BI61">
        <v>0</v>
      </c>
      <c r="BJ61">
        <v>0</v>
      </c>
      <c r="BK61">
        <v>2.4624476729869491E-4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9.8497906919477966E-3</v>
      </c>
      <c r="BY61">
        <v>0</v>
      </c>
      <c r="BZ61">
        <v>4.9248953459738983E-3</v>
      </c>
      <c r="CA61">
        <v>0.16252154641713865</v>
      </c>
      <c r="CB61">
        <v>0</v>
      </c>
    </row>
    <row r="62" spans="1:80">
      <c r="A62">
        <v>709</v>
      </c>
      <c r="B62" t="s">
        <v>94</v>
      </c>
      <c r="C62" s="4" t="s">
        <v>174</v>
      </c>
      <c r="D62" s="4" t="s">
        <v>118</v>
      </c>
      <c r="E62" s="5">
        <v>40420</v>
      </c>
      <c r="F62" s="5">
        <v>40420</v>
      </c>
      <c r="G62">
        <v>1009</v>
      </c>
      <c r="H62" s="4" t="s">
        <v>110</v>
      </c>
      <c r="I62" s="4" t="s">
        <v>108</v>
      </c>
      <c r="J62" s="4" t="str">
        <f t="shared" si="1"/>
        <v>u_rem.c_con</v>
      </c>
      <c r="K62" s="5">
        <v>8</v>
      </c>
      <c r="L62">
        <v>1.8827959519887034E-2</v>
      </c>
      <c r="M62">
        <v>7.6017886561543929E-2</v>
      </c>
      <c r="N62">
        <v>0.34831725111791006</v>
      </c>
      <c r="O62">
        <v>0</v>
      </c>
      <c r="P62">
        <v>0</v>
      </c>
      <c r="Q62">
        <v>3.7655919039774069E-2</v>
      </c>
      <c r="R62">
        <v>0.28712638267827728</v>
      </c>
      <c r="S62">
        <v>0</v>
      </c>
      <c r="T62">
        <v>2.3534949399858795E-2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1.4120969639915278E-2</v>
      </c>
      <c r="AI62">
        <v>8.4961167333490267E-2</v>
      </c>
      <c r="AJ62">
        <v>1.4356319133913865E-2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5.413038361967523E-3</v>
      </c>
      <c r="AU62">
        <v>0</v>
      </c>
      <c r="AV62">
        <v>0</v>
      </c>
      <c r="AW62">
        <v>0</v>
      </c>
      <c r="AX62">
        <v>2.3534949399858793E-4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8.9432807719463436E-2</v>
      </c>
      <c r="CB62">
        <v>0</v>
      </c>
    </row>
    <row r="63" spans="1:80">
      <c r="A63">
        <v>710</v>
      </c>
      <c r="B63" t="s">
        <v>95</v>
      </c>
      <c r="C63" s="4" t="s">
        <v>174</v>
      </c>
      <c r="D63" s="4" t="s">
        <v>118</v>
      </c>
      <c r="E63" s="5">
        <v>40420</v>
      </c>
      <c r="F63" s="5">
        <v>40420</v>
      </c>
      <c r="G63">
        <v>1009</v>
      </c>
      <c r="H63" s="4" t="s">
        <v>110</v>
      </c>
      <c r="I63" s="4" t="s">
        <v>109</v>
      </c>
      <c r="J63" s="4" t="str">
        <f t="shared" si="1"/>
        <v>u_rem.c_rem</v>
      </c>
      <c r="K63" s="5">
        <v>1</v>
      </c>
      <c r="L63">
        <v>4.9103854652590238E-3</v>
      </c>
      <c r="M63">
        <v>5.4996317210901063E-2</v>
      </c>
      <c r="N63">
        <v>0.25116621654799903</v>
      </c>
      <c r="O63">
        <v>0</v>
      </c>
      <c r="P63">
        <v>0</v>
      </c>
      <c r="Q63">
        <v>0.10802848023569851</v>
      </c>
      <c r="R63">
        <v>0</v>
      </c>
      <c r="S63">
        <v>0</v>
      </c>
      <c r="T63">
        <v>5.1559047385219747E-3</v>
      </c>
      <c r="U63">
        <v>0</v>
      </c>
      <c r="V63">
        <v>0</v>
      </c>
      <c r="W63">
        <v>4.9103854652590238E-3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2.9462312791554139E-2</v>
      </c>
      <c r="AF63">
        <v>0</v>
      </c>
      <c r="AG63">
        <v>0</v>
      </c>
      <c r="AH63">
        <v>7.4392339798674212E-2</v>
      </c>
      <c r="AI63">
        <v>6.4326049594893214E-2</v>
      </c>
      <c r="AJ63">
        <v>0.27498158605450529</v>
      </c>
      <c r="AK63">
        <v>0</v>
      </c>
      <c r="AL63">
        <v>0</v>
      </c>
      <c r="AM63">
        <v>0</v>
      </c>
      <c r="AN63">
        <v>2.4551927326295114E-4</v>
      </c>
      <c r="AO63">
        <v>0</v>
      </c>
      <c r="AP63">
        <v>0</v>
      </c>
      <c r="AQ63">
        <v>0</v>
      </c>
      <c r="AR63">
        <v>0</v>
      </c>
      <c r="AS63">
        <v>9.8207709305180458E-4</v>
      </c>
      <c r="AT63">
        <v>1.2275963663147559E-2</v>
      </c>
      <c r="AU63">
        <v>4.9103854652590238E-3</v>
      </c>
      <c r="AV63">
        <v>0</v>
      </c>
      <c r="AW63">
        <v>4.9103854652590238E-3</v>
      </c>
      <c r="AX63">
        <v>2.4551927326295114E-4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4.9103854652590229E-4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4.9103854652590238E-3</v>
      </c>
      <c r="BY63">
        <v>0</v>
      </c>
      <c r="BZ63">
        <v>0</v>
      </c>
      <c r="CA63">
        <v>9.8698747851706375E-2</v>
      </c>
      <c r="CB63">
        <v>0</v>
      </c>
    </row>
    <row r="64" spans="1:80">
      <c r="A64">
        <v>711</v>
      </c>
      <c r="B64" t="s">
        <v>96</v>
      </c>
      <c r="C64" s="4" t="s">
        <v>174</v>
      </c>
      <c r="D64" s="4" t="s">
        <v>118</v>
      </c>
      <c r="E64" s="5">
        <v>40420</v>
      </c>
      <c r="F64" s="5">
        <v>40420</v>
      </c>
      <c r="G64">
        <v>1009</v>
      </c>
      <c r="H64" s="4" t="s">
        <v>110</v>
      </c>
      <c r="I64" s="4" t="s">
        <v>109</v>
      </c>
      <c r="J64" s="4" t="str">
        <f t="shared" si="1"/>
        <v>u_rem.c_rem</v>
      </c>
      <c r="K64" s="5">
        <v>1</v>
      </c>
      <c r="L64">
        <v>2.1155066638459914E-2</v>
      </c>
      <c r="M64">
        <v>5.6695578591072569E-2</v>
      </c>
      <c r="N64">
        <v>0.28770890628305479</v>
      </c>
      <c r="O64">
        <v>0</v>
      </c>
      <c r="P64">
        <v>0</v>
      </c>
      <c r="Q64">
        <v>8.4620266553839651E-3</v>
      </c>
      <c r="R64">
        <v>0</v>
      </c>
      <c r="S64">
        <v>0</v>
      </c>
      <c r="T64">
        <v>6.3676750581764349E-2</v>
      </c>
      <c r="U64">
        <v>0</v>
      </c>
      <c r="V64">
        <v>0</v>
      </c>
      <c r="W64">
        <v>0</v>
      </c>
      <c r="X64">
        <v>4.2310133276919825E-3</v>
      </c>
      <c r="Y64">
        <v>1.269303998307595E-2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8.4620266553839651E-3</v>
      </c>
      <c r="AF64">
        <v>0</v>
      </c>
      <c r="AG64">
        <v>0</v>
      </c>
      <c r="AH64">
        <v>5.0983710598688385E-2</v>
      </c>
      <c r="AI64">
        <v>4.3579437275227423E-2</v>
      </c>
      <c r="AJ64">
        <v>0.26655383964459478</v>
      </c>
      <c r="AK64">
        <v>0</v>
      </c>
      <c r="AL64">
        <v>0</v>
      </c>
      <c r="AM64">
        <v>0</v>
      </c>
      <c r="AN64">
        <v>1.3539242648614346E-2</v>
      </c>
      <c r="AO64">
        <v>0</v>
      </c>
      <c r="AP64">
        <v>0</v>
      </c>
      <c r="AQ64">
        <v>0</v>
      </c>
      <c r="AR64">
        <v>0</v>
      </c>
      <c r="AS64">
        <v>1.692405331076793E-2</v>
      </c>
      <c r="AT64">
        <v>1.8404907975460127E-2</v>
      </c>
      <c r="AU64">
        <v>0</v>
      </c>
      <c r="AV64">
        <v>0</v>
      </c>
      <c r="AW64">
        <v>2.9617093293843877E-2</v>
      </c>
      <c r="AX64">
        <v>1.692405331076793E-2</v>
      </c>
      <c r="AY64">
        <v>0</v>
      </c>
      <c r="AZ64">
        <v>1.692405331076793E-2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4.2310133276919825E-3</v>
      </c>
      <c r="CA64">
        <v>5.9234186587687761E-2</v>
      </c>
      <c r="CB64">
        <v>0</v>
      </c>
    </row>
    <row r="65" spans="1:80">
      <c r="A65">
        <v>712</v>
      </c>
      <c r="B65" t="s">
        <v>97</v>
      </c>
      <c r="C65" s="4" t="s">
        <v>174</v>
      </c>
      <c r="D65" s="4" t="s">
        <v>118</v>
      </c>
      <c r="E65" s="5">
        <v>40420</v>
      </c>
      <c r="F65" s="5">
        <v>40420</v>
      </c>
      <c r="G65">
        <v>1009</v>
      </c>
      <c r="H65" s="4" t="s">
        <v>110</v>
      </c>
      <c r="I65" s="4" t="s">
        <v>108</v>
      </c>
      <c r="J65" s="4" t="str">
        <f t="shared" si="1"/>
        <v>u_rem.c_con</v>
      </c>
      <c r="K65" s="5">
        <v>8</v>
      </c>
      <c r="L65">
        <v>0</v>
      </c>
      <c r="M65">
        <v>7.5061124694376521E-2</v>
      </c>
      <c r="N65">
        <v>0.11246943765281175</v>
      </c>
      <c r="O65">
        <v>0</v>
      </c>
      <c r="P65">
        <v>0</v>
      </c>
      <c r="Q65">
        <v>4.9144254278728601E-2</v>
      </c>
      <c r="R65">
        <v>0.23471882640586797</v>
      </c>
      <c r="S65">
        <v>0</v>
      </c>
      <c r="T65">
        <v>1.5158924205378977E-2</v>
      </c>
      <c r="U65">
        <v>0</v>
      </c>
      <c r="V65">
        <v>0</v>
      </c>
      <c r="W65">
        <v>0</v>
      </c>
      <c r="X65">
        <v>4.8899755501222502E-3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5.1344743276283628E-3</v>
      </c>
      <c r="AI65">
        <v>1.5403422982885089E-2</v>
      </c>
      <c r="AJ65">
        <v>2.5183374083129585E-2</v>
      </c>
      <c r="AK65">
        <v>0</v>
      </c>
      <c r="AL65">
        <v>5.1344743276283628E-3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9.7799511002445E-4</v>
      </c>
      <c r="AT65">
        <v>2.444987775061125E-4</v>
      </c>
      <c r="AU65">
        <v>4.8899755501222502E-3</v>
      </c>
      <c r="AV65">
        <v>0</v>
      </c>
      <c r="AW65">
        <v>9.7799511002445E-4</v>
      </c>
      <c r="AX65">
        <v>1.5403422982885089E-2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4.8899755501222502E-3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1.9559902200489001E-2</v>
      </c>
      <c r="BY65">
        <v>0</v>
      </c>
      <c r="BZ65">
        <v>0</v>
      </c>
      <c r="CA65">
        <v>0.41075794621026895</v>
      </c>
      <c r="CB65">
        <v>0</v>
      </c>
    </row>
    <row r="66" spans="1:80">
      <c r="A66">
        <v>713</v>
      </c>
      <c r="B66" t="s">
        <v>98</v>
      </c>
      <c r="C66" s="4" t="s">
        <v>175</v>
      </c>
      <c r="D66" s="4" t="s">
        <v>118</v>
      </c>
      <c r="E66" s="5">
        <v>40420</v>
      </c>
      <c r="F66" s="5">
        <v>40420</v>
      </c>
      <c r="G66">
        <v>1009</v>
      </c>
      <c r="H66" s="4" t="s">
        <v>107</v>
      </c>
      <c r="I66" s="4" t="s">
        <v>109</v>
      </c>
      <c r="J66" s="4" t="str">
        <f t="shared" si="1"/>
        <v>u_con.c_rem</v>
      </c>
      <c r="K66" s="5">
        <v>2</v>
      </c>
      <c r="L66">
        <v>0</v>
      </c>
      <c r="M66">
        <v>0.11997242013330267</v>
      </c>
      <c r="N66">
        <v>3.2406343369340375E-2</v>
      </c>
      <c r="O66">
        <v>0</v>
      </c>
      <c r="P66">
        <v>0</v>
      </c>
      <c r="Q66">
        <v>4.5966444495518267E-3</v>
      </c>
      <c r="R66">
        <v>0</v>
      </c>
      <c r="S66">
        <v>0</v>
      </c>
      <c r="T66">
        <v>1.3789933348655482E-2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4.5966444495518267E-3</v>
      </c>
      <c r="AF66">
        <v>0</v>
      </c>
      <c r="AG66">
        <v>0</v>
      </c>
      <c r="AH66">
        <v>4.8264766720294188E-3</v>
      </c>
      <c r="AI66">
        <v>9.1932888991036549E-2</v>
      </c>
      <c r="AJ66">
        <v>5.5159733394621928E-2</v>
      </c>
      <c r="AK66">
        <v>0</v>
      </c>
      <c r="AL66">
        <v>0</v>
      </c>
      <c r="AM66">
        <v>0</v>
      </c>
      <c r="AN66">
        <v>1.4479430016088257E-2</v>
      </c>
      <c r="AO66">
        <v>0</v>
      </c>
      <c r="AP66">
        <v>0</v>
      </c>
      <c r="AQ66">
        <v>0</v>
      </c>
      <c r="AR66">
        <v>0</v>
      </c>
      <c r="AS66">
        <v>4.1369800045966437E-2</v>
      </c>
      <c r="AT66">
        <v>4.8264766720294188E-3</v>
      </c>
      <c r="AU66">
        <v>0</v>
      </c>
      <c r="AV66">
        <v>0</v>
      </c>
      <c r="AW66">
        <v>4.5966444495518267E-3</v>
      </c>
      <c r="AX66">
        <v>9.1932888991036535E-3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0.27120202252355768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4.8264766720294188E-3</v>
      </c>
      <c r="BY66">
        <v>0</v>
      </c>
      <c r="BZ66">
        <v>0</v>
      </c>
      <c r="CA66">
        <v>0.3217651114686278</v>
      </c>
      <c r="CB66">
        <v>0</v>
      </c>
    </row>
    <row r="67" spans="1:80">
      <c r="A67">
        <v>714</v>
      </c>
      <c r="B67" t="s">
        <v>99</v>
      </c>
      <c r="C67" s="4" t="s">
        <v>175</v>
      </c>
      <c r="D67" s="4" t="s">
        <v>118</v>
      </c>
      <c r="E67" s="5">
        <v>40420</v>
      </c>
      <c r="F67" s="5">
        <v>40420</v>
      </c>
      <c r="G67">
        <v>1009</v>
      </c>
      <c r="H67" s="4" t="s">
        <v>107</v>
      </c>
      <c r="I67" s="4" t="s">
        <v>108</v>
      </c>
      <c r="J67" s="4" t="str">
        <f t="shared" si="1"/>
        <v>u_con.c_con</v>
      </c>
      <c r="K67" s="5">
        <v>19</v>
      </c>
      <c r="L67">
        <v>4.6040515653775326E-3</v>
      </c>
      <c r="M67">
        <v>0.14755985267034993</v>
      </c>
      <c r="N67">
        <v>0.19383057090239408</v>
      </c>
      <c r="O67">
        <v>0</v>
      </c>
      <c r="P67">
        <v>0</v>
      </c>
      <c r="Q67">
        <v>0</v>
      </c>
      <c r="R67">
        <v>0</v>
      </c>
      <c r="S67">
        <v>0</v>
      </c>
      <c r="T67">
        <v>4.6270718232044199E-2</v>
      </c>
      <c r="U67">
        <v>0</v>
      </c>
      <c r="V67">
        <v>0</v>
      </c>
      <c r="W67">
        <v>0</v>
      </c>
      <c r="X67">
        <v>2.3020257826887662E-4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1.38121546961326E-2</v>
      </c>
      <c r="AI67">
        <v>6.4686924493554329E-2</v>
      </c>
      <c r="AJ67">
        <v>9.668508287292818E-2</v>
      </c>
      <c r="AK67">
        <v>0</v>
      </c>
      <c r="AL67">
        <v>0</v>
      </c>
      <c r="AM67">
        <v>0</v>
      </c>
      <c r="AN67">
        <v>1.4272559852670353E-2</v>
      </c>
      <c r="AO67">
        <v>0</v>
      </c>
      <c r="AP67">
        <v>0</v>
      </c>
      <c r="AQ67">
        <v>0</v>
      </c>
      <c r="AR67">
        <v>0</v>
      </c>
      <c r="AS67">
        <v>1.9106813996316762E-2</v>
      </c>
      <c r="AT67">
        <v>1.1510128913443832E-3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7.9419889502762422E-2</v>
      </c>
      <c r="BB67">
        <v>0</v>
      </c>
      <c r="BC67">
        <v>0</v>
      </c>
      <c r="BD67">
        <v>0</v>
      </c>
      <c r="BE67">
        <v>0.19383057090239417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9.2081031307550652E-3</v>
      </c>
      <c r="BY67">
        <v>0</v>
      </c>
      <c r="BZ67">
        <v>0</v>
      </c>
      <c r="CA67">
        <v>0.11510128913443833</v>
      </c>
      <c r="CB67">
        <v>0</v>
      </c>
    </row>
    <row r="68" spans="1:80">
      <c r="A68">
        <v>715</v>
      </c>
      <c r="B68" t="s">
        <v>100</v>
      </c>
      <c r="C68" s="4" t="s">
        <v>175</v>
      </c>
      <c r="D68" s="4" t="s">
        <v>118</v>
      </c>
      <c r="E68" s="5">
        <v>40420</v>
      </c>
      <c r="F68" s="5">
        <v>40420</v>
      </c>
      <c r="G68">
        <v>1009</v>
      </c>
      <c r="H68" s="4" t="s">
        <v>107</v>
      </c>
      <c r="I68" s="4" t="s">
        <v>109</v>
      </c>
      <c r="J68" s="4" t="str">
        <f t="shared" si="1"/>
        <v>u_con.c_rem</v>
      </c>
      <c r="K68" s="5">
        <v>2</v>
      </c>
      <c r="L68">
        <v>0</v>
      </c>
      <c r="M68">
        <v>0.27084613808645763</v>
      </c>
      <c r="N68">
        <v>4.5277607047736125E-2</v>
      </c>
      <c r="O68">
        <v>0</v>
      </c>
      <c r="P68">
        <v>0</v>
      </c>
      <c r="Q68">
        <v>2.0692481048965379E-2</v>
      </c>
      <c r="R68">
        <v>0</v>
      </c>
      <c r="S68">
        <v>0</v>
      </c>
      <c r="T68">
        <v>2.9502151198524895E-2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8.1950419995902492E-3</v>
      </c>
      <c r="AE68">
        <v>0</v>
      </c>
      <c r="AF68">
        <v>0</v>
      </c>
      <c r="AG68">
        <v>0</v>
      </c>
      <c r="AH68">
        <v>0</v>
      </c>
      <c r="AI68">
        <v>2.5609506248719528E-2</v>
      </c>
      <c r="AJ68">
        <v>4.0975209997951246E-3</v>
      </c>
      <c r="AK68">
        <v>0</v>
      </c>
      <c r="AL68">
        <v>0</v>
      </c>
      <c r="AM68">
        <v>0</v>
      </c>
      <c r="AN68">
        <v>9.0145461995492747E-3</v>
      </c>
      <c r="AO68">
        <v>0</v>
      </c>
      <c r="AP68">
        <v>0</v>
      </c>
      <c r="AQ68">
        <v>0</v>
      </c>
      <c r="AR68">
        <v>0</v>
      </c>
      <c r="AS68">
        <v>1.6390083999180498E-2</v>
      </c>
      <c r="AT68">
        <v>2.0487604998975623E-4</v>
      </c>
      <c r="AU68">
        <v>0</v>
      </c>
      <c r="AV68">
        <v>0</v>
      </c>
      <c r="AW68">
        <v>0</v>
      </c>
      <c r="AX68">
        <v>4.3023970497848806E-3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0.25425117803728747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0.31141159598442941</v>
      </c>
      <c r="CB68">
        <v>2.0487604998975623E-4</v>
      </c>
    </row>
    <row r="69" spans="1:80">
      <c r="A69">
        <v>716</v>
      </c>
      <c r="B69" t="s">
        <v>101</v>
      </c>
      <c r="C69" s="4" t="s">
        <v>175</v>
      </c>
      <c r="D69" s="4" t="s">
        <v>118</v>
      </c>
      <c r="E69" s="5">
        <v>40420</v>
      </c>
      <c r="F69" s="5">
        <v>40420</v>
      </c>
      <c r="G69">
        <v>1009</v>
      </c>
      <c r="H69" s="4" t="s">
        <v>107</v>
      </c>
      <c r="I69" s="4" t="s">
        <v>108</v>
      </c>
      <c r="J69" s="4" t="str">
        <f t="shared" si="1"/>
        <v>u_con.c_con</v>
      </c>
      <c r="K69" s="5">
        <v>19</v>
      </c>
      <c r="L69">
        <v>4.815409309791332E-3</v>
      </c>
      <c r="M69">
        <v>0.16555835817473055</v>
      </c>
      <c r="N69">
        <v>2.3159825728044023E-2</v>
      </c>
      <c r="O69">
        <v>0</v>
      </c>
      <c r="P69">
        <v>0</v>
      </c>
      <c r="Q69">
        <v>0</v>
      </c>
      <c r="R69">
        <v>0</v>
      </c>
      <c r="S69">
        <v>0</v>
      </c>
      <c r="T69">
        <v>0.12864022013299697</v>
      </c>
      <c r="U69">
        <v>0</v>
      </c>
      <c r="V69">
        <v>0</v>
      </c>
      <c r="W69">
        <v>5.0447145150194911E-3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4.5861041045631729E-3</v>
      </c>
      <c r="AF69">
        <v>0</v>
      </c>
      <c r="AG69">
        <v>0</v>
      </c>
      <c r="AH69">
        <v>1.3758312313689521E-2</v>
      </c>
      <c r="AI69">
        <v>9.6537491401054804E-2</v>
      </c>
      <c r="AJ69">
        <v>1.3758312313689521E-2</v>
      </c>
      <c r="AK69">
        <v>0</v>
      </c>
      <c r="AL69">
        <v>0</v>
      </c>
      <c r="AM69">
        <v>0</v>
      </c>
      <c r="AN69">
        <v>6.8791561568447594E-4</v>
      </c>
      <c r="AO69">
        <v>0</v>
      </c>
      <c r="AP69">
        <v>0</v>
      </c>
      <c r="AQ69">
        <v>0</v>
      </c>
      <c r="AR69">
        <v>0</v>
      </c>
      <c r="AS69">
        <v>3.3019949552854845E-2</v>
      </c>
      <c r="AT69">
        <v>9.8601238248108222E-3</v>
      </c>
      <c r="AU69">
        <v>0</v>
      </c>
      <c r="AV69">
        <v>0</v>
      </c>
      <c r="AW69">
        <v>0</v>
      </c>
      <c r="AX69">
        <v>9.1722082091263459E-3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5.9848658564549413E-2</v>
      </c>
      <c r="BF69">
        <v>4.5861041045631729E-3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2.2930520522815865E-4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4.5861041045631729E-3</v>
      </c>
      <c r="BY69">
        <v>0</v>
      </c>
      <c r="BZ69">
        <v>0</v>
      </c>
      <c r="CA69">
        <v>0.42192157761981186</v>
      </c>
      <c r="CB69">
        <v>0</v>
      </c>
    </row>
    <row r="70" spans="1:80">
      <c r="A70">
        <v>717</v>
      </c>
      <c r="B70" t="s">
        <v>102</v>
      </c>
      <c r="C70" s="4" t="s">
        <v>176</v>
      </c>
      <c r="D70" s="4" t="s">
        <v>118</v>
      </c>
      <c r="E70" s="5">
        <v>40420</v>
      </c>
      <c r="F70" s="5">
        <v>40420</v>
      </c>
      <c r="G70">
        <v>1009</v>
      </c>
      <c r="H70" s="4" t="s">
        <v>110</v>
      </c>
      <c r="I70" s="4" t="s">
        <v>108</v>
      </c>
      <c r="J70" s="4" t="str">
        <f t="shared" si="1"/>
        <v>u_rem.c_con</v>
      </c>
      <c r="K70" s="5">
        <v>8</v>
      </c>
      <c r="L70">
        <v>9.3852651337400297E-3</v>
      </c>
      <c r="M70">
        <v>3.2848427968090101E-2</v>
      </c>
      <c r="N70">
        <v>2.3463162834350071E-2</v>
      </c>
      <c r="O70">
        <v>0</v>
      </c>
      <c r="P70">
        <v>0</v>
      </c>
      <c r="Q70">
        <v>4.6926325668700149E-3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4.6926325668700149E-3</v>
      </c>
      <c r="AF70">
        <v>0</v>
      </c>
      <c r="AG70">
        <v>0</v>
      </c>
      <c r="AH70">
        <v>0</v>
      </c>
      <c r="AI70">
        <v>2.8390427029563587E-2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0.32848427968090099</v>
      </c>
      <c r="AP70">
        <v>0</v>
      </c>
      <c r="AQ70">
        <v>1.4077897700610045E-2</v>
      </c>
      <c r="AR70">
        <v>0</v>
      </c>
      <c r="AS70">
        <v>4.6926325668700149E-3</v>
      </c>
      <c r="AT70">
        <v>0</v>
      </c>
      <c r="AU70">
        <v>4.6926325668700149E-3</v>
      </c>
      <c r="AV70">
        <v>0</v>
      </c>
      <c r="AW70">
        <v>0</v>
      </c>
      <c r="AX70">
        <v>4.6926325668700149E-3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0.15485687470671047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2.3463162834350072E-4</v>
      </c>
      <c r="BY70">
        <v>0</v>
      </c>
      <c r="BZ70">
        <v>0</v>
      </c>
      <c r="CA70">
        <v>0.15016424213984045</v>
      </c>
      <c r="CB70">
        <v>0</v>
      </c>
    </row>
    <row r="71" spans="1:80">
      <c r="A71">
        <v>718</v>
      </c>
      <c r="B71" t="s">
        <v>103</v>
      </c>
      <c r="C71" s="4" t="s">
        <v>176</v>
      </c>
      <c r="D71" s="4" t="s">
        <v>118</v>
      </c>
      <c r="E71" s="5">
        <v>40420</v>
      </c>
      <c r="F71" s="5">
        <v>40420</v>
      </c>
      <c r="G71">
        <v>1009</v>
      </c>
      <c r="H71" s="4" t="s">
        <v>110</v>
      </c>
      <c r="I71" s="4" t="s">
        <v>109</v>
      </c>
      <c r="J71" s="4" t="str">
        <f t="shared" si="1"/>
        <v>u_rem.c_rem</v>
      </c>
      <c r="K71" s="5">
        <v>1</v>
      </c>
      <c r="L71">
        <v>1.6003200640128029E-2</v>
      </c>
      <c r="M71">
        <v>4.8809761952390472E-2</v>
      </c>
      <c r="N71">
        <v>0.18023604720944189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4.0008001600320073E-3</v>
      </c>
      <c r="AF71">
        <v>0</v>
      </c>
      <c r="AG71">
        <v>2.0004000800160033E-2</v>
      </c>
      <c r="AH71">
        <v>0</v>
      </c>
      <c r="AI71">
        <v>3.2206441288257649E-2</v>
      </c>
      <c r="AJ71">
        <v>0</v>
      </c>
      <c r="AK71">
        <v>0</v>
      </c>
      <c r="AL71">
        <v>0</v>
      </c>
      <c r="AM71">
        <v>0</v>
      </c>
      <c r="AN71">
        <v>3.2406481296259254E-2</v>
      </c>
      <c r="AO71">
        <v>1.2402480496099223E-2</v>
      </c>
      <c r="AP71">
        <v>0</v>
      </c>
      <c r="AQ71">
        <v>0</v>
      </c>
      <c r="AR71">
        <v>0</v>
      </c>
      <c r="AS71">
        <v>8.2016403280656142E-3</v>
      </c>
      <c r="AT71">
        <v>4.8009601920384086E-3</v>
      </c>
      <c r="AU71">
        <v>2.0004000800160035E-4</v>
      </c>
      <c r="AV71">
        <v>0</v>
      </c>
      <c r="AW71">
        <v>1.6003200640128029E-2</v>
      </c>
      <c r="AX71">
        <v>1.2002400480096022E-2</v>
      </c>
      <c r="AY71">
        <v>0</v>
      </c>
      <c r="AZ71">
        <v>0</v>
      </c>
      <c r="BA71">
        <v>0.41608321664332881</v>
      </c>
      <c r="BB71">
        <v>0</v>
      </c>
      <c r="BC71">
        <v>0</v>
      </c>
      <c r="BD71">
        <v>0</v>
      </c>
      <c r="BE71">
        <v>0.12002400480096022</v>
      </c>
      <c r="BF71">
        <v>0</v>
      </c>
      <c r="BG71">
        <v>0</v>
      </c>
      <c r="BH71">
        <v>0</v>
      </c>
      <c r="BI71">
        <v>2.440488097619524E-2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4.0008001600320073E-3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4.8209641928385685E-2</v>
      </c>
      <c r="CB71">
        <v>0</v>
      </c>
    </row>
    <row r="72" spans="1:80">
      <c r="A72">
        <v>719</v>
      </c>
      <c r="B72" t="s">
        <v>104</v>
      </c>
      <c r="C72" s="4" t="s">
        <v>176</v>
      </c>
      <c r="D72" s="4" t="s">
        <v>118</v>
      </c>
      <c r="E72" s="5">
        <v>40420</v>
      </c>
      <c r="F72" s="5">
        <v>40420</v>
      </c>
      <c r="G72">
        <v>1009</v>
      </c>
      <c r="H72" s="4" t="s">
        <v>110</v>
      </c>
      <c r="I72" s="4" t="s">
        <v>108</v>
      </c>
      <c r="J72" s="4" t="str">
        <f t="shared" si="1"/>
        <v>u_rem.c_con</v>
      </c>
      <c r="K72" s="5">
        <v>8</v>
      </c>
      <c r="L72">
        <v>1.7271157167530221E-2</v>
      </c>
      <c r="M72">
        <v>0.27655440414507765</v>
      </c>
      <c r="N72">
        <v>6.9084628670120898E-2</v>
      </c>
      <c r="O72">
        <v>0</v>
      </c>
      <c r="P72">
        <v>0</v>
      </c>
      <c r="Q72">
        <v>1.7487046632124352E-2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4.3177892918825553E-3</v>
      </c>
      <c r="AF72">
        <v>0</v>
      </c>
      <c r="AG72">
        <v>0</v>
      </c>
      <c r="AH72">
        <v>0</v>
      </c>
      <c r="AI72">
        <v>2.6122625215889459E-2</v>
      </c>
      <c r="AJ72">
        <v>2.1588946459412777E-4</v>
      </c>
      <c r="AK72">
        <v>0</v>
      </c>
      <c r="AL72">
        <v>0</v>
      </c>
      <c r="AM72">
        <v>0</v>
      </c>
      <c r="AN72">
        <v>0</v>
      </c>
      <c r="AO72">
        <v>0.116580310880829</v>
      </c>
      <c r="AP72">
        <v>0</v>
      </c>
      <c r="AQ72">
        <v>8.6355785837651106E-3</v>
      </c>
      <c r="AR72">
        <v>0</v>
      </c>
      <c r="AS72">
        <v>2.1588946459412777E-4</v>
      </c>
      <c r="AT72">
        <v>4.3177892918825554E-4</v>
      </c>
      <c r="AU72">
        <v>0</v>
      </c>
      <c r="AV72">
        <v>0</v>
      </c>
      <c r="AW72">
        <v>0</v>
      </c>
      <c r="AX72">
        <v>2.1588946459412777E-4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3.4758203799654573E-2</v>
      </c>
      <c r="BF72">
        <v>4.3177892918825553E-3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4.3177892918825553E-2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1.7487046632124352E-2</v>
      </c>
      <c r="BY72">
        <v>0</v>
      </c>
      <c r="BZ72">
        <v>6.4766839378238336E-2</v>
      </c>
      <c r="CA72">
        <v>0.21157167530224524</v>
      </c>
      <c r="CB72">
        <v>0</v>
      </c>
    </row>
    <row r="73" spans="1:80">
      <c r="A73">
        <v>720</v>
      </c>
      <c r="B73" t="s">
        <v>105</v>
      </c>
      <c r="C73" s="4" t="s">
        <v>176</v>
      </c>
      <c r="D73" s="4" t="s">
        <v>118</v>
      </c>
      <c r="E73" s="5">
        <v>40420</v>
      </c>
      <c r="F73" s="5">
        <v>40420</v>
      </c>
      <c r="G73">
        <v>1009</v>
      </c>
      <c r="H73" s="4" t="s">
        <v>110</v>
      </c>
      <c r="I73" s="4" t="s">
        <v>109</v>
      </c>
      <c r="J73" s="4" t="str">
        <f t="shared" si="1"/>
        <v>u_rem.c_rem</v>
      </c>
      <c r="K73" s="5">
        <v>1</v>
      </c>
      <c r="L73">
        <v>6.3658536585365841E-2</v>
      </c>
      <c r="M73">
        <v>1.9756097560975606E-2</v>
      </c>
      <c r="N73">
        <v>0.19536585365853654</v>
      </c>
      <c r="O73">
        <v>0</v>
      </c>
      <c r="P73">
        <v>0</v>
      </c>
      <c r="Q73">
        <v>2.4390243902439022E-4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9.2682926829268306E-2</v>
      </c>
      <c r="AD73">
        <v>9.756097560975608E-3</v>
      </c>
      <c r="AE73">
        <v>3.4390243902439013E-2</v>
      </c>
      <c r="AF73">
        <v>0</v>
      </c>
      <c r="AG73">
        <v>0</v>
      </c>
      <c r="AH73">
        <v>0</v>
      </c>
      <c r="AI73">
        <v>8.8292682926829277E-2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3.9268292682926823E-2</v>
      </c>
      <c r="AP73">
        <v>2.9756097560975605E-2</v>
      </c>
      <c r="AQ73">
        <v>0</v>
      </c>
      <c r="AR73">
        <v>0</v>
      </c>
      <c r="AS73">
        <v>3.9268292682926823E-2</v>
      </c>
      <c r="AT73">
        <v>1.073170731707317E-2</v>
      </c>
      <c r="AU73">
        <v>0</v>
      </c>
      <c r="AV73">
        <v>0</v>
      </c>
      <c r="AW73">
        <v>1.9512195121951216E-2</v>
      </c>
      <c r="AX73">
        <v>2.9268292682926824E-2</v>
      </c>
      <c r="AY73">
        <v>0</v>
      </c>
      <c r="AZ73">
        <v>0</v>
      </c>
      <c r="BA73">
        <v>9.9999999999999985E-3</v>
      </c>
      <c r="BB73">
        <v>0</v>
      </c>
      <c r="BC73">
        <v>0</v>
      </c>
      <c r="BD73">
        <v>0</v>
      </c>
      <c r="BE73">
        <v>2.4390243902439022E-2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2.4390243902439022E-4</v>
      </c>
      <c r="BO73">
        <v>0</v>
      </c>
      <c r="BP73">
        <v>4.878048780487804E-3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3.9512195121951213E-2</v>
      </c>
      <c r="BY73">
        <v>0</v>
      </c>
      <c r="BZ73">
        <v>2.4390243902439022E-4</v>
      </c>
      <c r="CA73">
        <v>0.24878048780487791</v>
      </c>
      <c r="CB73">
        <v>0</v>
      </c>
    </row>
    <row r="75" spans="1:80">
      <c r="K75" s="5" t="s">
        <v>177</v>
      </c>
      <c r="L75">
        <f>COUNTIF(L2:L73, "&gt;0")</f>
        <v>41</v>
      </c>
      <c r="M75">
        <f t="shared" ref="M75:BX75" si="2">COUNTIF(M2:M73, "&gt;0")</f>
        <v>71</v>
      </c>
      <c r="N75">
        <f t="shared" si="2"/>
        <v>71</v>
      </c>
      <c r="O75">
        <f t="shared" si="2"/>
        <v>20</v>
      </c>
      <c r="P75">
        <f t="shared" si="2"/>
        <v>0</v>
      </c>
      <c r="Q75">
        <f t="shared" si="2"/>
        <v>58</v>
      </c>
      <c r="R75">
        <f t="shared" si="2"/>
        <v>15</v>
      </c>
      <c r="S75">
        <f t="shared" si="2"/>
        <v>0</v>
      </c>
      <c r="T75">
        <f t="shared" si="2"/>
        <v>19</v>
      </c>
      <c r="U75">
        <f t="shared" si="2"/>
        <v>0</v>
      </c>
      <c r="V75">
        <f t="shared" si="2"/>
        <v>0</v>
      </c>
      <c r="W75">
        <f t="shared" si="2"/>
        <v>2</v>
      </c>
      <c r="X75">
        <f t="shared" si="2"/>
        <v>18</v>
      </c>
      <c r="Y75">
        <f t="shared" si="2"/>
        <v>19</v>
      </c>
      <c r="Z75">
        <f t="shared" si="2"/>
        <v>27</v>
      </c>
      <c r="AA75">
        <f t="shared" si="2"/>
        <v>2</v>
      </c>
      <c r="AB75">
        <f t="shared" si="2"/>
        <v>0</v>
      </c>
      <c r="AC75">
        <f t="shared" si="2"/>
        <v>3</v>
      </c>
      <c r="AD75">
        <f t="shared" si="2"/>
        <v>3</v>
      </c>
      <c r="AE75">
        <f t="shared" si="2"/>
        <v>54</v>
      </c>
      <c r="AF75">
        <f t="shared" si="2"/>
        <v>0</v>
      </c>
      <c r="AG75">
        <f t="shared" si="2"/>
        <v>7</v>
      </c>
      <c r="AH75">
        <f t="shared" si="2"/>
        <v>41</v>
      </c>
      <c r="AI75">
        <f t="shared" si="2"/>
        <v>69</v>
      </c>
      <c r="AJ75">
        <f t="shared" si="2"/>
        <v>33</v>
      </c>
      <c r="AK75">
        <f t="shared" si="2"/>
        <v>2</v>
      </c>
      <c r="AL75">
        <f t="shared" si="2"/>
        <v>37</v>
      </c>
      <c r="AM75">
        <f t="shared" si="2"/>
        <v>4</v>
      </c>
      <c r="AN75">
        <f t="shared" si="2"/>
        <v>56</v>
      </c>
      <c r="AO75">
        <f t="shared" si="2"/>
        <v>4</v>
      </c>
      <c r="AP75">
        <f t="shared" si="2"/>
        <v>1</v>
      </c>
      <c r="AQ75">
        <f t="shared" si="2"/>
        <v>15</v>
      </c>
      <c r="AR75">
        <f t="shared" si="2"/>
        <v>0</v>
      </c>
      <c r="AS75">
        <f t="shared" si="2"/>
        <v>58</v>
      </c>
      <c r="AT75">
        <f t="shared" si="2"/>
        <v>53</v>
      </c>
      <c r="AU75">
        <f t="shared" si="2"/>
        <v>24</v>
      </c>
      <c r="AV75">
        <f t="shared" si="2"/>
        <v>23</v>
      </c>
      <c r="AW75">
        <f t="shared" si="2"/>
        <v>18</v>
      </c>
      <c r="AX75">
        <f t="shared" si="2"/>
        <v>41</v>
      </c>
      <c r="AY75">
        <f t="shared" si="2"/>
        <v>0</v>
      </c>
      <c r="AZ75">
        <f t="shared" si="2"/>
        <v>3</v>
      </c>
      <c r="BA75">
        <f t="shared" si="2"/>
        <v>35</v>
      </c>
      <c r="BB75">
        <f t="shared" si="2"/>
        <v>12</v>
      </c>
      <c r="BC75">
        <f t="shared" si="2"/>
        <v>0</v>
      </c>
      <c r="BD75">
        <f t="shared" si="2"/>
        <v>0</v>
      </c>
      <c r="BE75">
        <f t="shared" si="2"/>
        <v>27</v>
      </c>
      <c r="BF75">
        <f t="shared" si="2"/>
        <v>17</v>
      </c>
      <c r="BG75">
        <f t="shared" si="2"/>
        <v>1</v>
      </c>
      <c r="BH75">
        <f t="shared" si="2"/>
        <v>0</v>
      </c>
      <c r="BI75">
        <f t="shared" si="2"/>
        <v>1</v>
      </c>
      <c r="BJ75">
        <f t="shared" si="2"/>
        <v>0</v>
      </c>
      <c r="BK75">
        <f t="shared" si="2"/>
        <v>2</v>
      </c>
      <c r="BL75">
        <f t="shared" si="2"/>
        <v>0</v>
      </c>
      <c r="BM75">
        <f t="shared" si="2"/>
        <v>0</v>
      </c>
      <c r="BN75">
        <f t="shared" si="2"/>
        <v>12</v>
      </c>
      <c r="BO75">
        <f t="shared" si="2"/>
        <v>4</v>
      </c>
      <c r="BP75">
        <f t="shared" si="2"/>
        <v>12</v>
      </c>
      <c r="BQ75">
        <f t="shared" si="2"/>
        <v>7</v>
      </c>
      <c r="BR75">
        <f t="shared" si="2"/>
        <v>1</v>
      </c>
      <c r="BS75">
        <f t="shared" si="2"/>
        <v>1</v>
      </c>
      <c r="BT75">
        <f t="shared" si="2"/>
        <v>0</v>
      </c>
      <c r="BU75">
        <f t="shared" si="2"/>
        <v>0</v>
      </c>
      <c r="BV75">
        <f t="shared" si="2"/>
        <v>0</v>
      </c>
      <c r="BW75">
        <f t="shared" si="2"/>
        <v>3</v>
      </c>
      <c r="BX75">
        <f t="shared" si="2"/>
        <v>18</v>
      </c>
      <c r="BY75">
        <f t="shared" ref="BY75:CB75" si="3">COUNTIF(BY2:BY73, "&gt;0")</f>
        <v>2</v>
      </c>
      <c r="BZ75">
        <f t="shared" si="3"/>
        <v>33</v>
      </c>
      <c r="CA75">
        <f t="shared" si="3"/>
        <v>72</v>
      </c>
      <c r="CB75">
        <f t="shared" si="3"/>
        <v>6</v>
      </c>
    </row>
    <row r="76" spans="1:80">
      <c r="K76" s="5" t="s">
        <v>178</v>
      </c>
      <c r="L76">
        <f>AVERAGE(L2:L73)</f>
        <v>8.5733958906077327E-3</v>
      </c>
      <c r="M76">
        <f t="shared" ref="M76:BX76" si="4">AVERAGE(M2:M73)</f>
        <v>0.10702154938681023</v>
      </c>
      <c r="N76">
        <f>AVERAGE(N2:N73)</f>
        <v>0.18006978079602828</v>
      </c>
      <c r="O76">
        <f t="shared" si="4"/>
        <v>5.6349355383833143E-3</v>
      </c>
      <c r="P76">
        <f t="shared" si="4"/>
        <v>0</v>
      </c>
      <c r="Q76">
        <f t="shared" si="4"/>
        <v>3.6798781789410942E-2</v>
      </c>
      <c r="R76">
        <f t="shared" si="4"/>
        <v>1.6989773671088081E-2</v>
      </c>
      <c r="S76">
        <f t="shared" si="4"/>
        <v>0</v>
      </c>
      <c r="T76">
        <f t="shared" si="4"/>
        <v>6.553834541989741E-3</v>
      </c>
      <c r="U76">
        <f t="shared" si="4"/>
        <v>0</v>
      </c>
      <c r="V76">
        <f t="shared" si="4"/>
        <v>0</v>
      </c>
      <c r="W76">
        <f t="shared" si="4"/>
        <v>1.3826527750386826E-4</v>
      </c>
      <c r="X76">
        <f t="shared" si="4"/>
        <v>1.746367184022082E-3</v>
      </c>
      <c r="Y76">
        <f t="shared" si="4"/>
        <v>1.8119857567823385E-2</v>
      </c>
      <c r="Z76">
        <f t="shared" si="4"/>
        <v>3.3637879218230624E-2</v>
      </c>
      <c r="AA76">
        <f t="shared" si="4"/>
        <v>6.4909339087557198E-5</v>
      </c>
      <c r="AB76">
        <f t="shared" si="4"/>
        <v>0</v>
      </c>
      <c r="AC76">
        <f t="shared" si="4"/>
        <v>1.5630508312835549E-3</v>
      </c>
      <c r="AD76">
        <f t="shared" si="4"/>
        <v>5.0469051887184959E-4</v>
      </c>
      <c r="AE76">
        <f t="shared" si="4"/>
        <v>8.3608519937545984E-3</v>
      </c>
      <c r="AF76">
        <f t="shared" si="4"/>
        <v>0</v>
      </c>
      <c r="AG76">
        <f t="shared" si="4"/>
        <v>1.264815247755479E-3</v>
      </c>
      <c r="AH76">
        <f t="shared" si="4"/>
        <v>1.400712804045498E-2</v>
      </c>
      <c r="AI76">
        <f t="shared" si="4"/>
        <v>3.3537306131320284E-2</v>
      </c>
      <c r="AJ76">
        <f t="shared" si="4"/>
        <v>4.7789560695182989E-2</v>
      </c>
      <c r="AK76">
        <f t="shared" si="4"/>
        <v>5.6416087800708671E-4</v>
      </c>
      <c r="AL76">
        <f t="shared" si="4"/>
        <v>4.7298155170220173E-2</v>
      </c>
      <c r="AM76">
        <f t="shared" si="4"/>
        <v>6.997529031541553E-3</v>
      </c>
      <c r="AN76">
        <f t="shared" si="4"/>
        <v>1.1384711696500328E-2</v>
      </c>
      <c r="AO76">
        <f t="shared" si="4"/>
        <v>6.8991022741771669E-3</v>
      </c>
      <c r="AP76">
        <f t="shared" si="4"/>
        <v>4.1327913279132786E-4</v>
      </c>
      <c r="AQ76">
        <f t="shared" si="4"/>
        <v>5.1405426367549236E-3</v>
      </c>
      <c r="AR76">
        <f t="shared" si="4"/>
        <v>0</v>
      </c>
      <c r="AS76">
        <f t="shared" si="4"/>
        <v>9.980322237378908E-3</v>
      </c>
      <c r="AT76">
        <f t="shared" si="4"/>
        <v>4.077963638938995E-3</v>
      </c>
      <c r="AU76">
        <f t="shared" si="4"/>
        <v>6.3133716780410069E-3</v>
      </c>
      <c r="AV76">
        <f t="shared" si="4"/>
        <v>1.2810114978860651E-2</v>
      </c>
      <c r="AW76">
        <f t="shared" si="4"/>
        <v>2.3251541940537091E-3</v>
      </c>
      <c r="AX76">
        <f t="shared" si="4"/>
        <v>4.1124705900599306E-3</v>
      </c>
      <c r="AY76">
        <f t="shared" si="4"/>
        <v>0</v>
      </c>
      <c r="AZ76">
        <f t="shared" si="4"/>
        <v>3.0312651537109364E-4</v>
      </c>
      <c r="BA76">
        <f t="shared" si="4"/>
        <v>6.3249748318679078E-2</v>
      </c>
      <c r="BB76">
        <f t="shared" si="4"/>
        <v>1.9252109115506271E-2</v>
      </c>
      <c r="BC76">
        <f t="shared" si="4"/>
        <v>0</v>
      </c>
      <c r="BD76">
        <f t="shared" si="4"/>
        <v>0</v>
      </c>
      <c r="BE76">
        <f t="shared" si="4"/>
        <v>3.9534101427014662E-2</v>
      </c>
      <c r="BF76">
        <f t="shared" si="4"/>
        <v>8.180119599994262E-4</v>
      </c>
      <c r="BG76">
        <f t="shared" si="4"/>
        <v>5.931620281396066E-5</v>
      </c>
      <c r="BH76">
        <f t="shared" si="4"/>
        <v>0</v>
      </c>
      <c r="BI76">
        <f t="shared" si="4"/>
        <v>3.389566802249339E-4</v>
      </c>
      <c r="BJ76">
        <f t="shared" si="4"/>
        <v>0</v>
      </c>
      <c r="BK76">
        <f t="shared" si="4"/>
        <v>1.3234115392913218E-4</v>
      </c>
      <c r="BL76">
        <f t="shared" si="4"/>
        <v>0</v>
      </c>
      <c r="BM76">
        <f t="shared" si="4"/>
        <v>0</v>
      </c>
      <c r="BN76">
        <f t="shared" si="4"/>
        <v>1.5556718404846409E-3</v>
      </c>
      <c r="BO76">
        <f t="shared" si="4"/>
        <v>2.0143207393207946E-4</v>
      </c>
      <c r="BP76">
        <f t="shared" si="4"/>
        <v>2.3360376850681025E-3</v>
      </c>
      <c r="BQ76">
        <f t="shared" si="4"/>
        <v>4.6156576015920933E-4</v>
      </c>
      <c r="BR76">
        <f t="shared" si="4"/>
        <v>6.9960821939713761E-5</v>
      </c>
      <c r="BS76">
        <f t="shared" si="4"/>
        <v>6.2101001068137231E-5</v>
      </c>
      <c r="BT76">
        <f t="shared" si="4"/>
        <v>0</v>
      </c>
      <c r="BU76">
        <f t="shared" si="4"/>
        <v>0</v>
      </c>
      <c r="BV76">
        <f t="shared" si="4"/>
        <v>0</v>
      </c>
      <c r="BW76">
        <f t="shared" si="4"/>
        <v>1.3103022312415115E-4</v>
      </c>
      <c r="BX76">
        <f t="shared" si="4"/>
        <v>2.5499618367912109E-3</v>
      </c>
      <c r="BY76">
        <f t="shared" ref="BY76:CB76" si="5">AVERAGE(BY2:BY73)</f>
        <v>6.8674787229439907E-5</v>
      </c>
      <c r="BZ76">
        <f t="shared" si="5"/>
        <v>7.7801331145061804E-3</v>
      </c>
      <c r="CA76">
        <f t="shared" si="5"/>
        <v>0.21489877569008453</v>
      </c>
      <c r="CB76">
        <f t="shared" si="5"/>
        <v>8.5065777149591641E-4</v>
      </c>
    </row>
    <row r="77" spans="1:80">
      <c r="J77" t="s">
        <v>182</v>
      </c>
    </row>
    <row r="78" spans="1:80">
      <c r="J78" t="s">
        <v>116</v>
      </c>
      <c r="L78">
        <f>(COUNTIF(L2:L25, "&gt;0"))/24</f>
        <v>0.29166666666666669</v>
      </c>
      <c r="M78">
        <f t="shared" ref="M78:BX78" si="6">(COUNTIF(M2:M25, "&gt;0"))/24</f>
        <v>0.95833333333333337</v>
      </c>
      <c r="N78">
        <f t="shared" si="6"/>
        <v>0.95833333333333337</v>
      </c>
      <c r="O78">
        <f t="shared" si="6"/>
        <v>0.41666666666666669</v>
      </c>
      <c r="P78">
        <f t="shared" si="6"/>
        <v>0</v>
      </c>
      <c r="Q78">
        <f t="shared" si="6"/>
        <v>0.625</v>
      </c>
      <c r="R78">
        <f t="shared" si="6"/>
        <v>0</v>
      </c>
      <c r="S78">
        <f t="shared" si="6"/>
        <v>0</v>
      </c>
      <c r="T78">
        <f t="shared" si="6"/>
        <v>0</v>
      </c>
      <c r="U78">
        <f t="shared" si="6"/>
        <v>0</v>
      </c>
      <c r="V78">
        <f t="shared" si="6"/>
        <v>0</v>
      </c>
      <c r="W78">
        <f t="shared" si="6"/>
        <v>0</v>
      </c>
      <c r="X78">
        <f t="shared" si="6"/>
        <v>8.3333333333333329E-2</v>
      </c>
      <c r="Y78">
        <f t="shared" si="6"/>
        <v>0.25</v>
      </c>
      <c r="Z78">
        <f t="shared" si="6"/>
        <v>0.875</v>
      </c>
      <c r="AA78">
        <f t="shared" si="6"/>
        <v>0</v>
      </c>
      <c r="AB78">
        <f t="shared" si="6"/>
        <v>0</v>
      </c>
      <c r="AC78">
        <f t="shared" si="6"/>
        <v>8.3333333333333329E-2</v>
      </c>
      <c r="AD78">
        <f t="shared" si="6"/>
        <v>0</v>
      </c>
      <c r="AE78">
        <f t="shared" si="6"/>
        <v>0.66666666666666663</v>
      </c>
      <c r="AF78">
        <f t="shared" si="6"/>
        <v>0</v>
      </c>
      <c r="AG78">
        <f t="shared" si="6"/>
        <v>0.125</v>
      </c>
      <c r="AH78">
        <f t="shared" si="6"/>
        <v>0.91666666666666663</v>
      </c>
      <c r="AI78">
        <f t="shared" si="6"/>
        <v>1</v>
      </c>
      <c r="AJ78">
        <f t="shared" si="6"/>
        <v>0.29166666666666669</v>
      </c>
      <c r="AK78">
        <f t="shared" si="6"/>
        <v>0</v>
      </c>
      <c r="AL78">
        <f t="shared" si="6"/>
        <v>0.58333333333333337</v>
      </c>
      <c r="AM78">
        <f t="shared" si="6"/>
        <v>4.1666666666666664E-2</v>
      </c>
      <c r="AN78">
        <f t="shared" si="6"/>
        <v>0.79166666666666663</v>
      </c>
      <c r="AO78">
        <f t="shared" si="6"/>
        <v>0</v>
      </c>
      <c r="AP78">
        <f t="shared" si="6"/>
        <v>0</v>
      </c>
      <c r="AQ78">
        <f t="shared" si="6"/>
        <v>0</v>
      </c>
      <c r="AR78">
        <f t="shared" si="6"/>
        <v>0</v>
      </c>
      <c r="AS78">
        <f t="shared" si="6"/>
        <v>0.875</v>
      </c>
      <c r="AT78">
        <f t="shared" si="6"/>
        <v>0.875</v>
      </c>
      <c r="AU78">
        <f t="shared" si="6"/>
        <v>0.66666666666666663</v>
      </c>
      <c r="AV78">
        <f t="shared" si="6"/>
        <v>0.58333333333333337</v>
      </c>
      <c r="AW78">
        <f t="shared" si="6"/>
        <v>0.20833333333333334</v>
      </c>
      <c r="AX78">
        <f t="shared" si="6"/>
        <v>0.29166666666666669</v>
      </c>
      <c r="AY78">
        <f t="shared" si="6"/>
        <v>0</v>
      </c>
      <c r="AZ78">
        <f t="shared" si="6"/>
        <v>4.1666666666666664E-2</v>
      </c>
      <c r="BA78">
        <f t="shared" si="6"/>
        <v>0.5</v>
      </c>
      <c r="BB78">
        <f t="shared" si="6"/>
        <v>0</v>
      </c>
      <c r="BC78">
        <f t="shared" si="6"/>
        <v>0</v>
      </c>
      <c r="BD78">
        <f t="shared" si="6"/>
        <v>0</v>
      </c>
      <c r="BE78">
        <f t="shared" si="6"/>
        <v>0</v>
      </c>
      <c r="BF78">
        <f t="shared" si="6"/>
        <v>0</v>
      </c>
      <c r="BG78">
        <f t="shared" si="6"/>
        <v>0</v>
      </c>
      <c r="BH78">
        <f t="shared" si="6"/>
        <v>0</v>
      </c>
      <c r="BI78">
        <f t="shared" si="6"/>
        <v>0</v>
      </c>
      <c r="BJ78">
        <f t="shared" si="6"/>
        <v>0</v>
      </c>
      <c r="BK78">
        <f t="shared" si="6"/>
        <v>0</v>
      </c>
      <c r="BL78">
        <f t="shared" si="6"/>
        <v>0</v>
      </c>
      <c r="BM78">
        <f t="shared" si="6"/>
        <v>0</v>
      </c>
      <c r="BN78">
        <f t="shared" si="6"/>
        <v>8.3333333333333329E-2</v>
      </c>
      <c r="BO78">
        <f t="shared" si="6"/>
        <v>4.1666666666666664E-2</v>
      </c>
      <c r="BP78">
        <f t="shared" si="6"/>
        <v>4.1666666666666664E-2</v>
      </c>
      <c r="BQ78">
        <f t="shared" si="6"/>
        <v>4.1666666666666664E-2</v>
      </c>
      <c r="BR78">
        <f t="shared" si="6"/>
        <v>0</v>
      </c>
      <c r="BS78">
        <f t="shared" si="6"/>
        <v>0</v>
      </c>
      <c r="BT78">
        <f t="shared" si="6"/>
        <v>0</v>
      </c>
      <c r="BU78">
        <f t="shared" si="6"/>
        <v>0</v>
      </c>
      <c r="BV78">
        <f t="shared" si="6"/>
        <v>0</v>
      </c>
      <c r="BW78">
        <f t="shared" si="6"/>
        <v>4.1666666666666664E-2</v>
      </c>
      <c r="BX78">
        <f t="shared" si="6"/>
        <v>8.3333333333333329E-2</v>
      </c>
      <c r="BY78">
        <f t="shared" ref="BY78:CB78" si="7">(COUNTIF(BY2:BY25, "&gt;0"))/24</f>
        <v>0</v>
      </c>
      <c r="BZ78">
        <f t="shared" si="7"/>
        <v>0.75</v>
      </c>
      <c r="CA78">
        <f t="shared" si="7"/>
        <v>1</v>
      </c>
      <c r="CB78">
        <f t="shared" si="7"/>
        <v>8.3333333333333329E-2</v>
      </c>
    </row>
    <row r="79" spans="1:80">
      <c r="J79" t="s">
        <v>117</v>
      </c>
      <c r="L79">
        <f>(COUNTIF(L26:L49, "&gt;0"))/24</f>
        <v>0.75</v>
      </c>
      <c r="M79">
        <f t="shared" ref="M79:BX79" si="8">(COUNTIF(M26:M49, "&gt;0"))/24</f>
        <v>1</v>
      </c>
      <c r="N79">
        <f t="shared" si="8"/>
        <v>1</v>
      </c>
      <c r="O79">
        <f t="shared" si="8"/>
        <v>0.375</v>
      </c>
      <c r="P79">
        <f t="shared" si="8"/>
        <v>0</v>
      </c>
      <c r="Q79">
        <f t="shared" si="8"/>
        <v>1</v>
      </c>
      <c r="R79">
        <f t="shared" si="8"/>
        <v>0.33333333333333331</v>
      </c>
      <c r="S79">
        <f t="shared" si="8"/>
        <v>0</v>
      </c>
      <c r="T79">
        <f t="shared" si="8"/>
        <v>0.29166666666666669</v>
      </c>
      <c r="U79">
        <f t="shared" si="8"/>
        <v>0</v>
      </c>
      <c r="V79">
        <f t="shared" si="8"/>
        <v>0</v>
      </c>
      <c r="W79">
        <f t="shared" si="8"/>
        <v>0</v>
      </c>
      <c r="X79">
        <f t="shared" si="8"/>
        <v>0.33333333333333331</v>
      </c>
      <c r="Y79">
        <f t="shared" si="8"/>
        <v>0.20833333333333334</v>
      </c>
      <c r="Z79">
        <f t="shared" si="8"/>
        <v>8.3333333333333329E-2</v>
      </c>
      <c r="AA79">
        <f t="shared" si="8"/>
        <v>8.3333333333333329E-2</v>
      </c>
      <c r="AB79">
        <f t="shared" si="8"/>
        <v>0</v>
      </c>
      <c r="AC79">
        <f t="shared" si="8"/>
        <v>0</v>
      </c>
      <c r="AD79">
        <f t="shared" si="8"/>
        <v>4.1666666666666664E-2</v>
      </c>
      <c r="AE79">
        <f t="shared" si="8"/>
        <v>0.83333333333333337</v>
      </c>
      <c r="AF79">
        <f t="shared" si="8"/>
        <v>0</v>
      </c>
      <c r="AG79">
        <f t="shared" si="8"/>
        <v>0</v>
      </c>
      <c r="AH79">
        <f t="shared" si="8"/>
        <v>0.29166666666666669</v>
      </c>
      <c r="AI79">
        <f t="shared" si="8"/>
        <v>0.875</v>
      </c>
      <c r="AJ79">
        <f t="shared" si="8"/>
        <v>0.70833333333333337</v>
      </c>
      <c r="AK79">
        <f t="shared" si="8"/>
        <v>8.3333333333333329E-2</v>
      </c>
      <c r="AL79">
        <f t="shared" si="8"/>
        <v>0.70833333333333337</v>
      </c>
      <c r="AM79">
        <f t="shared" si="8"/>
        <v>0</v>
      </c>
      <c r="AN79">
        <f t="shared" si="8"/>
        <v>0.83333333333333337</v>
      </c>
      <c r="AO79">
        <f t="shared" si="8"/>
        <v>0</v>
      </c>
      <c r="AP79">
        <f t="shared" si="8"/>
        <v>0</v>
      </c>
      <c r="AQ79">
        <f t="shared" si="8"/>
        <v>0.41666666666666669</v>
      </c>
      <c r="AR79">
        <f t="shared" si="8"/>
        <v>0</v>
      </c>
      <c r="AS79">
        <f t="shared" si="8"/>
        <v>0.66666666666666663</v>
      </c>
      <c r="AT79">
        <f t="shared" si="8"/>
        <v>0.625</v>
      </c>
      <c r="AU79">
        <f t="shared" si="8"/>
        <v>8.3333333333333329E-2</v>
      </c>
      <c r="AV79">
        <f t="shared" si="8"/>
        <v>0.25</v>
      </c>
      <c r="AW79">
        <f t="shared" si="8"/>
        <v>0.20833333333333334</v>
      </c>
      <c r="AX79">
        <f t="shared" si="8"/>
        <v>0.66666666666666663</v>
      </c>
      <c r="AY79">
        <f t="shared" si="8"/>
        <v>0</v>
      </c>
      <c r="AZ79">
        <f t="shared" si="8"/>
        <v>0</v>
      </c>
      <c r="BA79">
        <f t="shared" si="8"/>
        <v>0.375</v>
      </c>
      <c r="BB79">
        <f t="shared" si="8"/>
        <v>4.1666666666666664E-2</v>
      </c>
      <c r="BC79">
        <f t="shared" si="8"/>
        <v>0</v>
      </c>
      <c r="BD79">
        <f t="shared" si="8"/>
        <v>0</v>
      </c>
      <c r="BE79">
        <f t="shared" si="8"/>
        <v>0.25</v>
      </c>
      <c r="BF79">
        <f t="shared" si="8"/>
        <v>0.33333333333333331</v>
      </c>
      <c r="BG79">
        <f t="shared" si="8"/>
        <v>0</v>
      </c>
      <c r="BH79">
        <f t="shared" si="8"/>
        <v>0</v>
      </c>
      <c r="BI79">
        <f t="shared" si="8"/>
        <v>0</v>
      </c>
      <c r="BJ79">
        <f t="shared" si="8"/>
        <v>0</v>
      </c>
      <c r="BK79">
        <f t="shared" si="8"/>
        <v>0</v>
      </c>
      <c r="BL79">
        <f t="shared" si="8"/>
        <v>0</v>
      </c>
      <c r="BM79">
        <f t="shared" si="8"/>
        <v>0</v>
      </c>
      <c r="BN79">
        <f t="shared" si="8"/>
        <v>4.1666666666666664E-2</v>
      </c>
      <c r="BO79">
        <f t="shared" si="8"/>
        <v>8.3333333333333329E-2</v>
      </c>
      <c r="BP79">
        <f t="shared" si="8"/>
        <v>4.1666666666666664E-2</v>
      </c>
      <c r="BQ79">
        <f t="shared" si="8"/>
        <v>8.3333333333333329E-2</v>
      </c>
      <c r="BR79">
        <f t="shared" si="8"/>
        <v>4.1666666666666664E-2</v>
      </c>
      <c r="BS79">
        <f t="shared" si="8"/>
        <v>0</v>
      </c>
      <c r="BT79">
        <f t="shared" si="8"/>
        <v>0</v>
      </c>
      <c r="BU79">
        <f t="shared" si="8"/>
        <v>0</v>
      </c>
      <c r="BV79">
        <f t="shared" si="8"/>
        <v>0</v>
      </c>
      <c r="BW79">
        <f t="shared" si="8"/>
        <v>0</v>
      </c>
      <c r="BX79">
        <f t="shared" si="8"/>
        <v>0.20833333333333334</v>
      </c>
      <c r="BY79">
        <f t="shared" ref="BY79:CB79" si="9">(COUNTIF(BY26:BY49, "&gt;0"))/24</f>
        <v>8.3333333333333329E-2</v>
      </c>
      <c r="BZ79">
        <f t="shared" si="9"/>
        <v>0.375</v>
      </c>
      <c r="CA79">
        <f t="shared" si="9"/>
        <v>1</v>
      </c>
      <c r="CB79">
        <f t="shared" si="9"/>
        <v>8.3333333333333329E-2</v>
      </c>
    </row>
    <row r="80" spans="1:80">
      <c r="J80" t="s">
        <v>118</v>
      </c>
      <c r="L80">
        <f>(COUNTIF(L50:L73, "&gt;0"))/24</f>
        <v>0.66666666666666663</v>
      </c>
      <c r="M80">
        <f t="shared" ref="M80:BX80" si="10">(COUNTIF(M50:M73, "&gt;0"))/24</f>
        <v>1</v>
      </c>
      <c r="N80">
        <f t="shared" si="10"/>
        <v>1</v>
      </c>
      <c r="O80">
        <f t="shared" si="10"/>
        <v>4.1666666666666664E-2</v>
      </c>
      <c r="P80">
        <f t="shared" si="10"/>
        <v>0</v>
      </c>
      <c r="Q80">
        <f t="shared" si="10"/>
        <v>0.79166666666666663</v>
      </c>
      <c r="R80">
        <f t="shared" si="10"/>
        <v>0.29166666666666669</v>
      </c>
      <c r="S80">
        <f t="shared" si="10"/>
        <v>0</v>
      </c>
      <c r="T80">
        <f t="shared" si="10"/>
        <v>0.5</v>
      </c>
      <c r="U80">
        <f t="shared" si="10"/>
        <v>0</v>
      </c>
      <c r="V80">
        <f t="shared" si="10"/>
        <v>0</v>
      </c>
      <c r="W80">
        <f t="shared" si="10"/>
        <v>8.3333333333333329E-2</v>
      </c>
      <c r="X80">
        <f t="shared" si="10"/>
        <v>0.33333333333333331</v>
      </c>
      <c r="Y80">
        <f t="shared" si="10"/>
        <v>0.33333333333333331</v>
      </c>
      <c r="Z80">
        <f t="shared" si="10"/>
        <v>0.16666666666666666</v>
      </c>
      <c r="AA80">
        <f t="shared" si="10"/>
        <v>0</v>
      </c>
      <c r="AB80">
        <f t="shared" si="10"/>
        <v>0</v>
      </c>
      <c r="AC80">
        <f t="shared" si="10"/>
        <v>4.1666666666666664E-2</v>
      </c>
      <c r="AD80">
        <f t="shared" si="10"/>
        <v>8.3333333333333329E-2</v>
      </c>
      <c r="AE80">
        <f t="shared" si="10"/>
        <v>0.75</v>
      </c>
      <c r="AF80">
        <f t="shared" si="10"/>
        <v>0</v>
      </c>
      <c r="AG80">
        <f t="shared" si="10"/>
        <v>0.16666666666666666</v>
      </c>
      <c r="AH80">
        <f t="shared" si="10"/>
        <v>0.5</v>
      </c>
      <c r="AI80">
        <f t="shared" si="10"/>
        <v>1</v>
      </c>
      <c r="AJ80">
        <f t="shared" si="10"/>
        <v>0.375</v>
      </c>
      <c r="AK80">
        <f t="shared" si="10"/>
        <v>0</v>
      </c>
      <c r="AL80">
        <f t="shared" si="10"/>
        <v>0.25</v>
      </c>
      <c r="AM80">
        <f t="shared" si="10"/>
        <v>0.125</v>
      </c>
      <c r="AN80">
        <f t="shared" si="10"/>
        <v>0.70833333333333337</v>
      </c>
      <c r="AO80">
        <f t="shared" si="10"/>
        <v>0.16666666666666666</v>
      </c>
      <c r="AP80">
        <f t="shared" si="10"/>
        <v>4.1666666666666664E-2</v>
      </c>
      <c r="AQ80">
        <f t="shared" si="10"/>
        <v>0.20833333333333334</v>
      </c>
      <c r="AR80">
        <f t="shared" si="10"/>
        <v>0</v>
      </c>
      <c r="AS80">
        <f t="shared" si="10"/>
        <v>0.875</v>
      </c>
      <c r="AT80">
        <f t="shared" si="10"/>
        <v>0.70833333333333337</v>
      </c>
      <c r="AU80">
        <f t="shared" si="10"/>
        <v>0.25</v>
      </c>
      <c r="AV80">
        <f t="shared" si="10"/>
        <v>0.125</v>
      </c>
      <c r="AW80">
        <f t="shared" si="10"/>
        <v>0.33333333333333331</v>
      </c>
      <c r="AX80">
        <f t="shared" si="10"/>
        <v>0.75</v>
      </c>
      <c r="AY80">
        <f t="shared" si="10"/>
        <v>0</v>
      </c>
      <c r="AZ80">
        <f t="shared" si="10"/>
        <v>8.3333333333333329E-2</v>
      </c>
      <c r="BA80">
        <f t="shared" si="10"/>
        <v>0.58333333333333337</v>
      </c>
      <c r="BB80">
        <f t="shared" si="10"/>
        <v>0.45833333333333331</v>
      </c>
      <c r="BC80">
        <f t="shared" si="10"/>
        <v>0</v>
      </c>
      <c r="BD80">
        <f t="shared" si="10"/>
        <v>0</v>
      </c>
      <c r="BE80">
        <f t="shared" si="10"/>
        <v>0.875</v>
      </c>
      <c r="BF80">
        <f t="shared" si="10"/>
        <v>0.375</v>
      </c>
      <c r="BG80">
        <f t="shared" si="10"/>
        <v>4.1666666666666664E-2</v>
      </c>
      <c r="BH80">
        <f t="shared" si="10"/>
        <v>0</v>
      </c>
      <c r="BI80">
        <f t="shared" si="10"/>
        <v>4.1666666666666664E-2</v>
      </c>
      <c r="BJ80">
        <f t="shared" si="10"/>
        <v>0</v>
      </c>
      <c r="BK80">
        <f t="shared" si="10"/>
        <v>8.3333333333333329E-2</v>
      </c>
      <c r="BL80">
        <f t="shared" si="10"/>
        <v>0</v>
      </c>
      <c r="BM80">
        <f t="shared" si="10"/>
        <v>0</v>
      </c>
      <c r="BN80">
        <f t="shared" si="10"/>
        <v>0.375</v>
      </c>
      <c r="BO80">
        <f t="shared" si="10"/>
        <v>4.1666666666666664E-2</v>
      </c>
      <c r="BP80">
        <f t="shared" si="10"/>
        <v>0.41666666666666669</v>
      </c>
      <c r="BQ80">
        <f t="shared" si="10"/>
        <v>0.16666666666666666</v>
      </c>
      <c r="BR80">
        <f t="shared" si="10"/>
        <v>0</v>
      </c>
      <c r="BS80">
        <f t="shared" si="10"/>
        <v>4.1666666666666664E-2</v>
      </c>
      <c r="BT80">
        <f t="shared" si="10"/>
        <v>0</v>
      </c>
      <c r="BU80">
        <f t="shared" si="10"/>
        <v>0</v>
      </c>
      <c r="BV80">
        <f t="shared" si="10"/>
        <v>0</v>
      </c>
      <c r="BW80">
        <f t="shared" si="10"/>
        <v>8.3333333333333329E-2</v>
      </c>
      <c r="BX80">
        <f t="shared" si="10"/>
        <v>0.45833333333333331</v>
      </c>
      <c r="BY80">
        <f t="shared" ref="BY80:CB80" si="11">(COUNTIF(BY50:BY73, "&gt;0"))/24</f>
        <v>0</v>
      </c>
      <c r="BZ80">
        <f t="shared" si="11"/>
        <v>0.25</v>
      </c>
      <c r="CA80">
        <f t="shared" si="11"/>
        <v>1</v>
      </c>
      <c r="CB80">
        <f t="shared" si="11"/>
        <v>8.3333333333333329E-2</v>
      </c>
    </row>
    <row r="81" spans="10:80">
      <c r="J81" t="s">
        <v>183</v>
      </c>
      <c r="L81">
        <f>AVERAGE(L78:L80)</f>
        <v>0.56944444444444453</v>
      </c>
      <c r="M81">
        <f t="shared" ref="M81:BX81" si="12">AVERAGE(M78:M80)</f>
        <v>0.98611111111111116</v>
      </c>
      <c r="N81">
        <f t="shared" si="12"/>
        <v>0.98611111111111116</v>
      </c>
      <c r="O81">
        <f t="shared" si="12"/>
        <v>0.27777777777777779</v>
      </c>
      <c r="P81">
        <f t="shared" si="12"/>
        <v>0</v>
      </c>
      <c r="Q81">
        <f t="shared" si="12"/>
        <v>0.80555555555555547</v>
      </c>
      <c r="R81">
        <f t="shared" si="12"/>
        <v>0.20833333333333334</v>
      </c>
      <c r="S81">
        <f t="shared" si="12"/>
        <v>0</v>
      </c>
      <c r="T81">
        <f t="shared" si="12"/>
        <v>0.2638888888888889</v>
      </c>
      <c r="U81">
        <f t="shared" si="12"/>
        <v>0</v>
      </c>
      <c r="V81">
        <f t="shared" si="12"/>
        <v>0</v>
      </c>
      <c r="W81">
        <f t="shared" si="12"/>
        <v>2.7777777777777776E-2</v>
      </c>
      <c r="X81">
        <f t="shared" si="12"/>
        <v>0.25</v>
      </c>
      <c r="Y81">
        <f t="shared" si="12"/>
        <v>0.2638888888888889</v>
      </c>
      <c r="Z81">
        <f t="shared" si="12"/>
        <v>0.375</v>
      </c>
      <c r="AA81">
        <f t="shared" si="12"/>
        <v>2.7777777777777776E-2</v>
      </c>
      <c r="AB81">
        <f t="shared" si="12"/>
        <v>0</v>
      </c>
      <c r="AC81">
        <f t="shared" si="12"/>
        <v>4.1666666666666664E-2</v>
      </c>
      <c r="AD81">
        <f t="shared" si="12"/>
        <v>4.1666666666666664E-2</v>
      </c>
      <c r="AE81">
        <f t="shared" si="12"/>
        <v>0.75</v>
      </c>
      <c r="AF81">
        <f t="shared" si="12"/>
        <v>0</v>
      </c>
      <c r="AG81">
        <f t="shared" si="12"/>
        <v>9.722222222222221E-2</v>
      </c>
      <c r="AH81">
        <f t="shared" si="12"/>
        <v>0.56944444444444442</v>
      </c>
      <c r="AI81">
        <f t="shared" si="12"/>
        <v>0.95833333333333337</v>
      </c>
      <c r="AJ81">
        <f t="shared" si="12"/>
        <v>0.45833333333333331</v>
      </c>
      <c r="AK81">
        <f t="shared" si="12"/>
        <v>2.7777777777777776E-2</v>
      </c>
      <c r="AL81">
        <f t="shared" si="12"/>
        <v>0.51388888888888895</v>
      </c>
      <c r="AM81">
        <f t="shared" si="12"/>
        <v>5.5555555555555552E-2</v>
      </c>
      <c r="AN81">
        <f t="shared" si="12"/>
        <v>0.77777777777777779</v>
      </c>
      <c r="AO81">
        <f t="shared" si="12"/>
        <v>5.5555555555555552E-2</v>
      </c>
      <c r="AP81">
        <f t="shared" si="12"/>
        <v>1.3888888888888888E-2</v>
      </c>
      <c r="AQ81">
        <f t="shared" si="12"/>
        <v>0.20833333333333334</v>
      </c>
      <c r="AR81">
        <f t="shared" si="12"/>
        <v>0</v>
      </c>
      <c r="AS81">
        <f t="shared" si="12"/>
        <v>0.80555555555555547</v>
      </c>
      <c r="AT81">
        <f t="shared" si="12"/>
        <v>0.73611111111111116</v>
      </c>
      <c r="AU81">
        <f t="shared" si="12"/>
        <v>0.33333333333333331</v>
      </c>
      <c r="AV81">
        <f t="shared" si="12"/>
        <v>0.31944444444444448</v>
      </c>
      <c r="AW81">
        <f t="shared" si="12"/>
        <v>0.25</v>
      </c>
      <c r="AX81">
        <f t="shared" si="12"/>
        <v>0.56944444444444442</v>
      </c>
      <c r="AY81">
        <f t="shared" si="12"/>
        <v>0</v>
      </c>
      <c r="AZ81">
        <f t="shared" si="12"/>
        <v>4.1666666666666664E-2</v>
      </c>
      <c r="BA81">
        <f t="shared" si="12"/>
        <v>0.48611111111111116</v>
      </c>
      <c r="BB81">
        <f t="shared" si="12"/>
        <v>0.16666666666666666</v>
      </c>
      <c r="BC81">
        <f t="shared" si="12"/>
        <v>0</v>
      </c>
      <c r="BD81">
        <f t="shared" si="12"/>
        <v>0</v>
      </c>
      <c r="BE81">
        <f t="shared" si="12"/>
        <v>0.375</v>
      </c>
      <c r="BF81">
        <f t="shared" si="12"/>
        <v>0.23611111111111108</v>
      </c>
      <c r="BG81">
        <f t="shared" si="12"/>
        <v>1.3888888888888888E-2</v>
      </c>
      <c r="BH81">
        <f t="shared" si="12"/>
        <v>0</v>
      </c>
      <c r="BI81">
        <f t="shared" si="12"/>
        <v>1.3888888888888888E-2</v>
      </c>
      <c r="BJ81">
        <f t="shared" si="12"/>
        <v>0</v>
      </c>
      <c r="BK81">
        <f t="shared" si="12"/>
        <v>2.7777777777777776E-2</v>
      </c>
      <c r="BL81">
        <f t="shared" si="12"/>
        <v>0</v>
      </c>
      <c r="BM81">
        <f t="shared" si="12"/>
        <v>0</v>
      </c>
      <c r="BN81">
        <f t="shared" si="12"/>
        <v>0.16666666666666666</v>
      </c>
      <c r="BO81">
        <f t="shared" si="12"/>
        <v>5.5555555555555552E-2</v>
      </c>
      <c r="BP81">
        <f t="shared" si="12"/>
        <v>0.16666666666666666</v>
      </c>
      <c r="BQ81">
        <f t="shared" si="12"/>
        <v>9.722222222222221E-2</v>
      </c>
      <c r="BR81">
        <f t="shared" si="12"/>
        <v>1.3888888888888888E-2</v>
      </c>
      <c r="BS81">
        <f t="shared" si="12"/>
        <v>1.3888888888888888E-2</v>
      </c>
      <c r="BT81">
        <f t="shared" si="12"/>
        <v>0</v>
      </c>
      <c r="BU81">
        <f t="shared" si="12"/>
        <v>0</v>
      </c>
      <c r="BV81">
        <f t="shared" si="12"/>
        <v>0</v>
      </c>
      <c r="BW81">
        <f t="shared" si="12"/>
        <v>4.1666666666666664E-2</v>
      </c>
      <c r="BX81">
        <f t="shared" si="12"/>
        <v>0.25</v>
      </c>
      <c r="BY81">
        <f t="shared" ref="BY81:CB81" si="13">AVERAGE(BY78:BY80)</f>
        <v>2.7777777777777776E-2</v>
      </c>
      <c r="BZ81">
        <f t="shared" si="13"/>
        <v>0.45833333333333331</v>
      </c>
      <c r="CA81">
        <f t="shared" si="13"/>
        <v>1</v>
      </c>
      <c r="CB81">
        <f t="shared" si="13"/>
        <v>8.3333333333333329E-2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>
      <selection activeCell="K25" sqref="K25"/>
    </sheetView>
  </sheetViews>
  <sheetFormatPr baseColWidth="10" defaultRowHeight="15" x14ac:dyDescent="0"/>
  <sheetData>
    <row r="1" spans="1:4">
      <c r="A1" t="s">
        <v>179</v>
      </c>
      <c r="B1" t="s">
        <v>180</v>
      </c>
      <c r="C1" t="s">
        <v>181</v>
      </c>
      <c r="D1" t="s">
        <v>184</v>
      </c>
    </row>
    <row r="2" spans="1:4" ht="16" thickBot="1">
      <c r="A2" s="33" t="s">
        <v>133</v>
      </c>
      <c r="B2">
        <v>41</v>
      </c>
      <c r="C2">
        <v>8.5733958906077327E-3</v>
      </c>
      <c r="D2">
        <v>0.56944444444444453</v>
      </c>
    </row>
    <row r="3" spans="1:4" ht="16" thickBot="1">
      <c r="A3" s="33" t="s">
        <v>134</v>
      </c>
      <c r="B3">
        <v>71</v>
      </c>
      <c r="C3">
        <v>0.10702154938681023</v>
      </c>
      <c r="D3">
        <v>0.98611111111111116</v>
      </c>
    </row>
    <row r="4" spans="1:4">
      <c r="A4" s="34" t="s">
        <v>135</v>
      </c>
      <c r="B4">
        <v>71</v>
      </c>
      <c r="C4">
        <v>0.18006978079602828</v>
      </c>
      <c r="D4">
        <v>0.98611111111111116</v>
      </c>
    </row>
    <row r="5" spans="1:4" ht="16" thickBot="1">
      <c r="A5" s="35" t="s">
        <v>124</v>
      </c>
      <c r="B5">
        <v>20</v>
      </c>
      <c r="C5">
        <v>5.6349355383833143E-3</v>
      </c>
      <c r="D5">
        <v>0.27777777777777779</v>
      </c>
    </row>
    <row r="6" spans="1:4" ht="16" thickBot="1">
      <c r="A6" s="35" t="s">
        <v>126</v>
      </c>
      <c r="B6">
        <v>0</v>
      </c>
      <c r="C6">
        <v>0</v>
      </c>
      <c r="D6">
        <v>0</v>
      </c>
    </row>
    <row r="7" spans="1:4" ht="16" thickBot="1">
      <c r="A7" s="35" t="s">
        <v>125</v>
      </c>
      <c r="B7">
        <v>58</v>
      </c>
      <c r="C7">
        <v>3.6798781789410942E-2</v>
      </c>
      <c r="D7">
        <v>0.80555555555555547</v>
      </c>
    </row>
    <row r="8" spans="1:4" ht="16" thickBot="1">
      <c r="A8" s="36" t="s">
        <v>127</v>
      </c>
      <c r="B8">
        <v>15</v>
      </c>
      <c r="C8">
        <v>1.6989773671088081E-2</v>
      </c>
      <c r="D8">
        <v>0.20833333333333334</v>
      </c>
    </row>
    <row r="9" spans="1:4" ht="16" thickBot="1">
      <c r="A9" s="37" t="s">
        <v>128</v>
      </c>
      <c r="B9">
        <v>0</v>
      </c>
      <c r="C9">
        <v>0</v>
      </c>
      <c r="D9">
        <v>0</v>
      </c>
    </row>
    <row r="10" spans="1:4" ht="16" thickBot="1">
      <c r="A10" s="38" t="s">
        <v>129</v>
      </c>
      <c r="B10">
        <v>19</v>
      </c>
      <c r="C10">
        <v>6.553834541989741E-3</v>
      </c>
      <c r="D10">
        <v>0.2638888888888889</v>
      </c>
    </row>
    <row r="11" spans="1:4" ht="16" thickBot="1">
      <c r="A11" s="38" t="s">
        <v>31</v>
      </c>
      <c r="B11">
        <v>0</v>
      </c>
      <c r="C11">
        <v>0</v>
      </c>
      <c r="D11">
        <v>0</v>
      </c>
    </row>
    <row r="12" spans="1:4" ht="16" thickBot="1">
      <c r="A12" s="38" t="s">
        <v>32</v>
      </c>
      <c r="B12">
        <v>0</v>
      </c>
      <c r="C12">
        <v>0</v>
      </c>
      <c r="D12">
        <v>0</v>
      </c>
    </row>
    <row r="13" spans="1:4" ht="16" thickBot="1">
      <c r="A13" s="38" t="s">
        <v>33</v>
      </c>
      <c r="B13">
        <v>2</v>
      </c>
      <c r="C13">
        <v>1.3826527750386826E-4</v>
      </c>
      <c r="D13">
        <v>2.7777777777777776E-2</v>
      </c>
    </row>
    <row r="14" spans="1:4" ht="16" thickBot="1">
      <c r="A14" s="38" t="s">
        <v>17</v>
      </c>
      <c r="B14">
        <v>18</v>
      </c>
      <c r="C14">
        <v>1.746367184022082E-3</v>
      </c>
      <c r="D14">
        <v>0.25</v>
      </c>
    </row>
    <row r="15" spans="1:4" ht="16" thickBot="1">
      <c r="A15" s="39" t="s">
        <v>136</v>
      </c>
      <c r="B15">
        <v>19</v>
      </c>
      <c r="C15">
        <v>1.8119857567823385E-2</v>
      </c>
      <c r="D15">
        <v>0.2638888888888889</v>
      </c>
    </row>
    <row r="16" spans="1:4" ht="16" thickBot="1">
      <c r="A16" s="40" t="s">
        <v>137</v>
      </c>
      <c r="B16">
        <v>27</v>
      </c>
      <c r="C16">
        <v>3.3637879218230624E-2</v>
      </c>
      <c r="D16">
        <v>0.375</v>
      </c>
    </row>
    <row r="17" spans="1:4" ht="16" thickBot="1">
      <c r="A17" s="40" t="s">
        <v>138</v>
      </c>
      <c r="B17">
        <v>2</v>
      </c>
      <c r="C17">
        <v>6.4909339087557198E-5</v>
      </c>
      <c r="D17">
        <v>2.7777777777777776E-2</v>
      </c>
    </row>
    <row r="18" spans="1:4" ht="16" thickBot="1">
      <c r="A18" s="40" t="s">
        <v>139</v>
      </c>
      <c r="B18">
        <v>0</v>
      </c>
      <c r="C18">
        <v>0</v>
      </c>
      <c r="D18">
        <v>0</v>
      </c>
    </row>
    <row r="19" spans="1:4">
      <c r="A19" s="41" t="s">
        <v>140</v>
      </c>
      <c r="B19">
        <v>3</v>
      </c>
      <c r="C19">
        <v>1.5630508312835549E-3</v>
      </c>
      <c r="D19">
        <v>4.1666666666666664E-2</v>
      </c>
    </row>
    <row r="20" spans="1:4" ht="16" thickBot="1">
      <c r="A20" s="40" t="s">
        <v>14</v>
      </c>
      <c r="B20">
        <v>3</v>
      </c>
      <c r="C20">
        <v>5.0469051887184959E-4</v>
      </c>
      <c r="D20">
        <v>4.1666666666666664E-2</v>
      </c>
    </row>
    <row r="21" spans="1:4" ht="16" thickBot="1">
      <c r="A21" s="40" t="s">
        <v>142</v>
      </c>
      <c r="B21">
        <v>54</v>
      </c>
      <c r="C21">
        <v>8.3608519937545984E-3</v>
      </c>
      <c r="D21">
        <v>0.75</v>
      </c>
    </row>
    <row r="22" spans="1:4" ht="16" thickBot="1">
      <c r="A22" s="40" t="s">
        <v>27</v>
      </c>
      <c r="B22">
        <v>0</v>
      </c>
      <c r="C22">
        <v>0</v>
      </c>
      <c r="D22">
        <v>0</v>
      </c>
    </row>
    <row r="23" spans="1:4" ht="16" thickBot="1">
      <c r="A23" s="42" t="s">
        <v>141</v>
      </c>
      <c r="B23">
        <v>7</v>
      </c>
      <c r="C23">
        <v>1.264815247755479E-3</v>
      </c>
      <c r="D23">
        <v>9.722222222222221E-2</v>
      </c>
    </row>
    <row r="24" spans="1:4" ht="16" thickBot="1">
      <c r="A24" s="43" t="s">
        <v>143</v>
      </c>
      <c r="B24">
        <v>41</v>
      </c>
      <c r="C24">
        <v>1.400712804045498E-2</v>
      </c>
      <c r="D24">
        <v>0.56944444444444442</v>
      </c>
    </row>
    <row r="25" spans="1:4" ht="16" thickBot="1">
      <c r="A25" s="43" t="s">
        <v>144</v>
      </c>
      <c r="B25">
        <v>69</v>
      </c>
      <c r="C25">
        <v>3.3537306131320284E-2</v>
      </c>
      <c r="D25">
        <v>0.95833333333333337</v>
      </c>
    </row>
    <row r="26" spans="1:4" ht="16" thickBot="1">
      <c r="A26" s="43" t="s">
        <v>145</v>
      </c>
      <c r="B26">
        <v>33</v>
      </c>
      <c r="C26">
        <v>4.7789560695182989E-2</v>
      </c>
      <c r="D26">
        <v>0.45833333333333331</v>
      </c>
    </row>
    <row r="27" spans="1:4" ht="16" thickBot="1">
      <c r="A27" s="43" t="s">
        <v>16</v>
      </c>
      <c r="B27">
        <v>2</v>
      </c>
      <c r="C27">
        <v>5.6416087800708671E-4</v>
      </c>
      <c r="D27">
        <v>2.7777777777777776E-2</v>
      </c>
    </row>
    <row r="28" spans="1:4">
      <c r="A28" s="44" t="s">
        <v>130</v>
      </c>
      <c r="B28">
        <v>37</v>
      </c>
      <c r="C28">
        <v>4.7298155170220173E-2</v>
      </c>
      <c r="D28">
        <v>0.51388888888888895</v>
      </c>
    </row>
    <row r="29" spans="1:4" ht="16" thickBot="1">
      <c r="A29" s="45" t="s">
        <v>152</v>
      </c>
      <c r="B29">
        <v>4</v>
      </c>
      <c r="C29">
        <v>6.997529031541553E-3</v>
      </c>
      <c r="D29">
        <v>5.5555555555555552E-2</v>
      </c>
    </row>
    <row r="30" spans="1:4" ht="16" thickBot="1">
      <c r="A30" s="46" t="s">
        <v>153</v>
      </c>
      <c r="B30">
        <v>56</v>
      </c>
      <c r="C30">
        <v>1.1384711696500328E-2</v>
      </c>
      <c r="D30">
        <v>0.77777777777777779</v>
      </c>
    </row>
    <row r="31" spans="1:4">
      <c r="A31" s="44" t="s">
        <v>123</v>
      </c>
      <c r="B31">
        <v>4</v>
      </c>
      <c r="C31">
        <v>6.8991022741771669E-3</v>
      </c>
      <c r="D31">
        <v>5.5555555555555552E-2</v>
      </c>
    </row>
    <row r="32" spans="1:4" ht="16" thickBot="1">
      <c r="A32" s="45" t="s">
        <v>15</v>
      </c>
      <c r="B32">
        <v>1</v>
      </c>
      <c r="C32">
        <v>4.1327913279132786E-4</v>
      </c>
      <c r="D32">
        <v>1.3888888888888888E-2</v>
      </c>
    </row>
    <row r="33" spans="1:4" ht="16" thickBot="1">
      <c r="A33" s="47" t="s">
        <v>150</v>
      </c>
      <c r="B33">
        <v>15</v>
      </c>
      <c r="C33">
        <v>5.1405426367549236E-3</v>
      </c>
      <c r="D33">
        <v>0.20833333333333334</v>
      </c>
    </row>
    <row r="34" spans="1:4" ht="16" thickBot="1">
      <c r="A34" s="47" t="s">
        <v>151</v>
      </c>
      <c r="B34">
        <v>0</v>
      </c>
      <c r="C34">
        <v>0</v>
      </c>
      <c r="D34">
        <v>0</v>
      </c>
    </row>
    <row r="35" spans="1:4" ht="16" thickBot="1">
      <c r="A35" s="47" t="s">
        <v>154</v>
      </c>
      <c r="B35">
        <v>58</v>
      </c>
      <c r="C35">
        <v>9.980322237378908E-3</v>
      </c>
      <c r="D35">
        <v>0.80555555555555547</v>
      </c>
    </row>
    <row r="36" spans="1:4" ht="16" thickBot="1">
      <c r="A36" s="47" t="s">
        <v>155</v>
      </c>
      <c r="B36">
        <v>53</v>
      </c>
      <c r="C36">
        <v>4.077963638938995E-3</v>
      </c>
      <c r="D36">
        <v>0.73611111111111116</v>
      </c>
    </row>
    <row r="37" spans="1:4" ht="16" thickBot="1">
      <c r="A37" s="47" t="s">
        <v>156</v>
      </c>
      <c r="B37">
        <v>24</v>
      </c>
      <c r="C37">
        <v>6.3133716780410069E-3</v>
      </c>
      <c r="D37">
        <v>0.33333333333333331</v>
      </c>
    </row>
    <row r="38" spans="1:4" ht="16" thickBot="1">
      <c r="A38" s="47" t="s">
        <v>0</v>
      </c>
      <c r="B38">
        <v>23</v>
      </c>
      <c r="C38">
        <v>1.2810114978860651E-2</v>
      </c>
      <c r="D38">
        <v>0.31944444444444448</v>
      </c>
    </row>
    <row r="39" spans="1:4" ht="16" thickBot="1">
      <c r="A39" s="47" t="s">
        <v>1</v>
      </c>
      <c r="B39">
        <v>18</v>
      </c>
      <c r="C39">
        <v>2.3251541940537091E-3</v>
      </c>
      <c r="D39">
        <v>0.25</v>
      </c>
    </row>
    <row r="40" spans="1:4" ht="16" thickBot="1">
      <c r="A40" s="47" t="s">
        <v>2</v>
      </c>
      <c r="B40">
        <v>41</v>
      </c>
      <c r="C40">
        <v>4.1124705900599306E-3</v>
      </c>
      <c r="D40">
        <v>0.56944444444444442</v>
      </c>
    </row>
    <row r="41" spans="1:4" ht="16" thickBot="1">
      <c r="A41" s="47" t="s">
        <v>12</v>
      </c>
      <c r="B41">
        <v>0</v>
      </c>
      <c r="C41">
        <v>0</v>
      </c>
      <c r="D41">
        <v>0</v>
      </c>
    </row>
    <row r="42" spans="1:4" ht="16" thickBot="1">
      <c r="A42" s="47" t="s">
        <v>13</v>
      </c>
      <c r="B42">
        <v>3</v>
      </c>
      <c r="C42">
        <v>3.0312651537109364E-4</v>
      </c>
      <c r="D42">
        <v>4.1666666666666664E-2</v>
      </c>
    </row>
    <row r="43" spans="1:4" ht="16" thickBot="1">
      <c r="A43" s="48" t="s">
        <v>146</v>
      </c>
      <c r="B43">
        <v>35</v>
      </c>
      <c r="C43">
        <v>6.3249748318679078E-2</v>
      </c>
      <c r="D43">
        <v>0.48611111111111116</v>
      </c>
    </row>
    <row r="44" spans="1:4" ht="16" thickBot="1">
      <c r="A44" s="48" t="s">
        <v>148</v>
      </c>
      <c r="B44">
        <v>12</v>
      </c>
      <c r="C44">
        <v>1.9252109115506271E-2</v>
      </c>
      <c r="D44">
        <v>0.16666666666666666</v>
      </c>
    </row>
    <row r="45" spans="1:4" ht="16" thickBot="1">
      <c r="A45" s="48" t="s">
        <v>21</v>
      </c>
      <c r="B45">
        <v>0</v>
      </c>
      <c r="C45">
        <v>0</v>
      </c>
      <c r="D45">
        <v>0</v>
      </c>
    </row>
    <row r="46" spans="1:4" ht="16" thickBot="1">
      <c r="A46" s="48" t="s">
        <v>22</v>
      </c>
      <c r="B46">
        <v>0</v>
      </c>
      <c r="C46">
        <v>0</v>
      </c>
      <c r="D46">
        <v>0</v>
      </c>
    </row>
    <row r="47" spans="1:4" ht="16" thickBot="1">
      <c r="A47" s="49" t="s">
        <v>147</v>
      </c>
      <c r="B47">
        <v>27</v>
      </c>
      <c r="C47">
        <v>3.9534101427014662E-2</v>
      </c>
      <c r="D47">
        <v>0.375</v>
      </c>
    </row>
    <row r="48" spans="1:4" ht="16" thickBot="1">
      <c r="A48" s="49" t="s">
        <v>149</v>
      </c>
      <c r="B48">
        <v>17</v>
      </c>
      <c r="C48">
        <v>8.180119599994262E-4</v>
      </c>
      <c r="D48">
        <v>0.23611111111111108</v>
      </c>
    </row>
    <row r="49" spans="1:4" ht="16" thickBot="1">
      <c r="A49" s="49" t="s">
        <v>18</v>
      </c>
      <c r="B49">
        <v>1</v>
      </c>
      <c r="C49">
        <v>5.931620281396066E-5</v>
      </c>
      <c r="D49">
        <v>1.3888888888888888E-2</v>
      </c>
    </row>
    <row r="50" spans="1:4" ht="16" thickBot="1">
      <c r="A50" s="49" t="s">
        <v>19</v>
      </c>
      <c r="B50">
        <v>0</v>
      </c>
      <c r="C50">
        <v>0</v>
      </c>
      <c r="D50">
        <v>0</v>
      </c>
    </row>
    <row r="51" spans="1:4" ht="16" thickBot="1">
      <c r="A51" s="49" t="s">
        <v>20</v>
      </c>
      <c r="B51">
        <v>1</v>
      </c>
      <c r="C51">
        <v>3.389566802249339E-4</v>
      </c>
      <c r="D51">
        <v>1.3888888888888888E-2</v>
      </c>
    </row>
    <row r="52" spans="1:4" ht="16" thickBot="1">
      <c r="A52" s="49" t="s">
        <v>23</v>
      </c>
      <c r="B52">
        <v>0</v>
      </c>
      <c r="C52">
        <v>0</v>
      </c>
      <c r="D52">
        <v>0</v>
      </c>
    </row>
    <row r="53" spans="1:4" ht="16" thickBot="1">
      <c r="A53" s="49" t="s">
        <v>24</v>
      </c>
      <c r="B53">
        <v>2</v>
      </c>
      <c r="C53">
        <v>1.3234115392913218E-4</v>
      </c>
      <c r="D53">
        <v>2.7777777777777776E-2</v>
      </c>
    </row>
    <row r="54" spans="1:4" ht="16" thickBot="1">
      <c r="A54" s="49" t="s">
        <v>25</v>
      </c>
      <c r="B54">
        <v>0</v>
      </c>
      <c r="C54">
        <v>0</v>
      </c>
      <c r="D54">
        <v>0</v>
      </c>
    </row>
    <row r="55" spans="1:4" ht="16" thickBot="1">
      <c r="A55" s="49" t="s">
        <v>26</v>
      </c>
      <c r="B55">
        <v>0</v>
      </c>
      <c r="C55">
        <v>0</v>
      </c>
      <c r="D55">
        <v>0</v>
      </c>
    </row>
    <row r="56" spans="1:4" ht="16" thickBot="1">
      <c r="A56" s="48" t="s">
        <v>34</v>
      </c>
      <c r="B56">
        <v>12</v>
      </c>
      <c r="C56">
        <v>1.5556718404846409E-3</v>
      </c>
      <c r="D56">
        <v>0.16666666666666666</v>
      </c>
    </row>
    <row r="57" spans="1:4" ht="16" thickBot="1">
      <c r="A57" s="48" t="s">
        <v>3</v>
      </c>
      <c r="B57">
        <v>4</v>
      </c>
      <c r="C57">
        <v>2.0143207393207946E-4</v>
      </c>
      <c r="D57">
        <v>5.5555555555555552E-2</v>
      </c>
    </row>
    <row r="58" spans="1:4" ht="16" thickBot="1">
      <c r="A58" s="48" t="s">
        <v>4</v>
      </c>
      <c r="B58">
        <v>12</v>
      </c>
      <c r="C58">
        <v>2.3360376850681025E-3</v>
      </c>
      <c r="D58">
        <v>0.16666666666666666</v>
      </c>
    </row>
    <row r="59" spans="1:4" ht="16" thickBot="1">
      <c r="A59" s="48" t="s">
        <v>5</v>
      </c>
      <c r="B59">
        <v>7</v>
      </c>
      <c r="C59">
        <v>4.6156576015920933E-4</v>
      </c>
      <c r="D59">
        <v>9.722222222222221E-2</v>
      </c>
    </row>
    <row r="60" spans="1:4" ht="16" thickBot="1">
      <c r="A60" s="48" t="s">
        <v>6</v>
      </c>
      <c r="B60">
        <v>1</v>
      </c>
      <c r="C60">
        <v>6.9960821939713761E-5</v>
      </c>
      <c r="D60">
        <v>1.3888888888888888E-2</v>
      </c>
    </row>
    <row r="61" spans="1:4" ht="16" thickBot="1">
      <c r="A61" s="48" t="s">
        <v>7</v>
      </c>
      <c r="B61">
        <v>1</v>
      </c>
      <c r="C61">
        <v>6.2101001068137231E-5</v>
      </c>
      <c r="D61">
        <v>1.3888888888888888E-2</v>
      </c>
    </row>
    <row r="62" spans="1:4" ht="16" thickBot="1">
      <c r="A62" s="48" t="s">
        <v>8</v>
      </c>
      <c r="B62">
        <v>0</v>
      </c>
      <c r="C62">
        <v>0</v>
      </c>
      <c r="D62">
        <v>0</v>
      </c>
    </row>
    <row r="63" spans="1:4" ht="16" thickBot="1">
      <c r="A63" s="48" t="s">
        <v>9</v>
      </c>
      <c r="B63">
        <v>0</v>
      </c>
      <c r="C63">
        <v>0</v>
      </c>
      <c r="D63">
        <v>0</v>
      </c>
    </row>
    <row r="64" spans="1:4" ht="16" thickBot="1">
      <c r="A64" s="48" t="s">
        <v>10</v>
      </c>
      <c r="B64">
        <v>0</v>
      </c>
      <c r="C64">
        <v>0</v>
      </c>
      <c r="D64">
        <v>0</v>
      </c>
    </row>
    <row r="65" spans="1:4" ht="16" thickBot="1">
      <c r="A65" s="48" t="s">
        <v>11</v>
      </c>
      <c r="B65">
        <v>3</v>
      </c>
      <c r="C65">
        <v>1.3103022312415115E-4</v>
      </c>
      <c r="D65">
        <v>4.1666666666666664E-2</v>
      </c>
    </row>
    <row r="66" spans="1:4" ht="16" thickBot="1">
      <c r="A66" s="50" t="s">
        <v>28</v>
      </c>
      <c r="B66">
        <v>18</v>
      </c>
      <c r="C66">
        <v>2.5499618367912109E-3</v>
      </c>
      <c r="D66">
        <v>0.25</v>
      </c>
    </row>
    <row r="67" spans="1:4">
      <c r="A67" s="51" t="s">
        <v>29</v>
      </c>
      <c r="B67">
        <v>2</v>
      </c>
      <c r="C67">
        <v>6.8674787229439907E-5</v>
      </c>
      <c r="D67">
        <v>2.7777777777777776E-2</v>
      </c>
    </row>
    <row r="68" spans="1:4" ht="16" thickBot="1">
      <c r="A68" s="52" t="s">
        <v>131</v>
      </c>
      <c r="B68">
        <v>33</v>
      </c>
      <c r="C68">
        <v>7.7801331145061804E-3</v>
      </c>
      <c r="D68">
        <v>0.45833333333333331</v>
      </c>
    </row>
    <row r="69" spans="1:4" ht="16" thickBot="1">
      <c r="A69" s="52" t="s">
        <v>132</v>
      </c>
      <c r="B69">
        <v>72</v>
      </c>
      <c r="C69">
        <v>0.21489877569008453</v>
      </c>
      <c r="D69">
        <v>1</v>
      </c>
    </row>
    <row r="70" spans="1:4" ht="16" thickBot="1">
      <c r="A70" s="53" t="s">
        <v>30</v>
      </c>
      <c r="B70">
        <v>6</v>
      </c>
      <c r="C70">
        <v>8.5065777149591641E-4</v>
      </c>
      <c r="D70">
        <v>8.3333333333333329E-2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raw3edit_mds_120118</vt:lpstr>
      <vt:lpstr>occ vs abund_1009</vt:lpstr>
      <vt:lpstr>occ v abund graph</vt:lpstr>
    </vt:vector>
  </TitlesOfParts>
  <Company>University of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 Elahi</dc:creator>
  <cp:lastModifiedBy>Robin Elahi</cp:lastModifiedBy>
  <dcterms:created xsi:type="dcterms:W3CDTF">2011-04-20T04:33:30Z</dcterms:created>
  <dcterms:modified xsi:type="dcterms:W3CDTF">2013-06-12T22:44:26Z</dcterms:modified>
</cp:coreProperties>
</file>