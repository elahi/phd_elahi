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905"/>
  <workbookPr showInkAnnotation="0" autoCompressPictures="0"/>
  <bookViews>
    <workbookView xWindow="0" yWindow="0" windowWidth="31940" windowHeight="11980" tabRatio="500" activeTab="1"/>
  </bookViews>
  <sheets>
    <sheet name="site.info" sheetId="2" r:id="rId1"/>
    <sheet name="site.corr R" sheetId="1" r:id="rId2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" i="1"/>
  <c r="AD20" i="2"/>
  <c r="AA20" i="2"/>
  <c r="X20" i="2"/>
  <c r="U20" i="2"/>
  <c r="R20" i="2"/>
  <c r="Q20" i="2"/>
  <c r="P20" i="2"/>
  <c r="O20" i="2"/>
  <c r="AA19" i="2"/>
  <c r="X19" i="2"/>
  <c r="U19" i="2"/>
  <c r="R19" i="2"/>
  <c r="Q19" i="2"/>
  <c r="P19" i="2"/>
  <c r="O19" i="2"/>
  <c r="AD18" i="2"/>
  <c r="AA18" i="2"/>
  <c r="X18" i="2"/>
  <c r="U18" i="2"/>
  <c r="R18" i="2"/>
  <c r="Q18" i="2"/>
  <c r="P18" i="2"/>
  <c r="O18" i="2"/>
  <c r="AA17" i="2"/>
  <c r="X17" i="2"/>
  <c r="U17" i="2"/>
  <c r="R17" i="2"/>
  <c r="Q17" i="2"/>
  <c r="P17" i="2"/>
  <c r="O17" i="2"/>
  <c r="AA16" i="2"/>
  <c r="X16" i="2"/>
  <c r="U16" i="2"/>
  <c r="R16" i="2"/>
  <c r="Q16" i="2"/>
  <c r="P16" i="2"/>
  <c r="O16" i="2"/>
  <c r="AD15" i="2"/>
  <c r="AA15" i="2"/>
  <c r="X15" i="2"/>
  <c r="U15" i="2"/>
  <c r="R15" i="2"/>
  <c r="Q15" i="2"/>
  <c r="P15" i="2"/>
  <c r="O15" i="2"/>
  <c r="AD14" i="2"/>
  <c r="AA14" i="2"/>
  <c r="X14" i="2"/>
  <c r="U14" i="2"/>
  <c r="R14" i="2"/>
  <c r="Q14" i="2"/>
  <c r="P14" i="2"/>
  <c r="O14" i="2"/>
  <c r="AA13" i="2"/>
  <c r="X13" i="2"/>
  <c r="U13" i="2"/>
  <c r="R13" i="2"/>
  <c r="Q13" i="2"/>
  <c r="P13" i="2"/>
  <c r="O13" i="2"/>
  <c r="AA12" i="2"/>
  <c r="X12" i="2"/>
  <c r="U12" i="2"/>
  <c r="R12" i="2"/>
  <c r="Q12" i="2"/>
  <c r="P12" i="2"/>
  <c r="O12" i="2"/>
  <c r="AD11" i="2"/>
  <c r="AA11" i="2"/>
  <c r="X11" i="2"/>
  <c r="U11" i="2"/>
  <c r="R11" i="2"/>
  <c r="Q11" i="2"/>
  <c r="P11" i="2"/>
  <c r="O11" i="2"/>
  <c r="AD10" i="2"/>
  <c r="AA10" i="2"/>
  <c r="X10" i="2"/>
  <c r="U10" i="2"/>
  <c r="R10" i="2"/>
  <c r="Q10" i="2"/>
  <c r="P10" i="2"/>
  <c r="O10" i="2"/>
  <c r="AA9" i="2"/>
  <c r="X9" i="2"/>
  <c r="U9" i="2"/>
  <c r="R9" i="2"/>
  <c r="Q9" i="2"/>
  <c r="P9" i="2"/>
  <c r="O9" i="2"/>
  <c r="AA8" i="2"/>
  <c r="X8" i="2"/>
  <c r="U8" i="2"/>
  <c r="R8" i="2"/>
  <c r="Q8" i="2"/>
  <c r="P8" i="2"/>
  <c r="O8" i="2"/>
  <c r="AA7" i="2"/>
  <c r="X7" i="2"/>
  <c r="U7" i="2"/>
  <c r="R7" i="2"/>
  <c r="Q7" i="2"/>
  <c r="P7" i="2"/>
  <c r="O7" i="2"/>
  <c r="AA6" i="2"/>
  <c r="X6" i="2"/>
  <c r="U6" i="2"/>
  <c r="R6" i="2"/>
  <c r="Q6" i="2"/>
  <c r="P6" i="2"/>
  <c r="O6" i="2"/>
  <c r="AA5" i="2"/>
  <c r="X5" i="2"/>
  <c r="U5" i="2"/>
  <c r="R5" i="2"/>
  <c r="Q5" i="2"/>
  <c r="P5" i="2"/>
  <c r="O5" i="2"/>
  <c r="AD4" i="2"/>
  <c r="AA4" i="2"/>
  <c r="X4" i="2"/>
  <c r="U4" i="2"/>
  <c r="R4" i="2"/>
  <c r="Q4" i="2"/>
  <c r="P4" i="2"/>
  <c r="O4" i="2"/>
  <c r="AD3" i="2"/>
  <c r="AA3" i="2"/>
  <c r="X3" i="2"/>
  <c r="U3" i="2"/>
  <c r="R3" i="2"/>
  <c r="Q3" i="2"/>
  <c r="P3" i="2"/>
  <c r="O3" i="2"/>
</calcChain>
</file>

<file path=xl/sharedStrings.xml><?xml version="1.0" encoding="utf-8"?>
<sst xmlns="http://schemas.openxmlformats.org/spreadsheetml/2006/main" count="283" uniqueCount="192">
  <si>
    <t>sedim.mean</t>
  </si>
  <si>
    <t>Average</t>
  </si>
  <si>
    <t>depth.m</t>
  </si>
  <si>
    <t>sfr.m</t>
  </si>
  <si>
    <t>diss.day.cm.mean</t>
  </si>
  <si>
    <t>NA</t>
  </si>
  <si>
    <t>orig.order</t>
  </si>
  <si>
    <t>site.no</t>
  </si>
  <si>
    <t>site.name</t>
  </si>
  <si>
    <r>
      <t>S</t>
    </r>
    <r>
      <rPr>
        <vertAlign val="subscript"/>
        <sz val="12"/>
        <color theme="1"/>
        <rFont val="Calibri"/>
        <scheme val="minor"/>
      </rPr>
      <t>obs</t>
    </r>
  </si>
  <si>
    <r>
      <t>S</t>
    </r>
    <r>
      <rPr>
        <vertAlign val="subscript"/>
        <sz val="12"/>
        <color theme="1"/>
        <rFont val="Calibri"/>
        <scheme val="minor"/>
      </rPr>
      <t>Chao</t>
    </r>
  </si>
  <si>
    <t>chao.se</t>
  </si>
  <si>
    <t>Species</t>
  </si>
  <si>
    <t>chao</t>
  </si>
  <si>
    <t>n</t>
  </si>
  <si>
    <t>sess.q.mean</t>
  </si>
  <si>
    <t>sess.q.sd</t>
  </si>
  <si>
    <t>mob.q.mean</t>
  </si>
  <si>
    <t>mob.q.sd</t>
  </si>
  <si>
    <t>mean + se</t>
  </si>
  <si>
    <t>mean + sd</t>
  </si>
  <si>
    <t>sedim.sd</t>
  </si>
  <si>
    <t>SD</t>
  </si>
  <si>
    <t>depth</t>
  </si>
  <si>
    <t>sfr.m2</t>
  </si>
  <si>
    <t>diss.day.cm.sd</t>
  </si>
  <si>
    <t>diss.day</t>
  </si>
  <si>
    <t>FI</t>
  </si>
  <si>
    <t>HH</t>
  </si>
  <si>
    <t>KB</t>
  </si>
  <si>
    <t>LB</t>
  </si>
  <si>
    <t>LI</t>
  </si>
  <si>
    <t>LK</t>
  </si>
  <si>
    <t>LP</t>
  </si>
  <si>
    <t>ON</t>
  </si>
  <si>
    <t>PG</t>
  </si>
  <si>
    <t>PP</t>
  </si>
  <si>
    <t>PW</t>
  </si>
  <si>
    <t>RW</t>
  </si>
  <si>
    <t>SC</t>
  </si>
  <si>
    <t>SI</t>
  </si>
  <si>
    <t>SR</t>
  </si>
  <si>
    <t>TI</t>
  </si>
  <si>
    <t>TP</t>
  </si>
  <si>
    <t>WI</t>
  </si>
  <si>
    <t>Sessile</t>
  </si>
  <si>
    <t>Mobile</t>
  </si>
  <si>
    <t>sessile</t>
  </si>
  <si>
    <t>mobile</t>
  </si>
  <si>
    <t>sedim</t>
  </si>
  <si>
    <t>SFR</t>
  </si>
  <si>
    <t>sess.Sobs</t>
  </si>
  <si>
    <t>sess.Schao</t>
  </si>
  <si>
    <t>sfr.mean</t>
  </si>
  <si>
    <t>ann.curr.mean</t>
  </si>
  <si>
    <t>HYSP</t>
  </si>
  <si>
    <t>Abie</t>
  </si>
  <si>
    <t>Lafo</t>
  </si>
  <si>
    <t>Agla</t>
  </si>
  <si>
    <t>EPSC</t>
  </si>
  <si>
    <t>BAEL</t>
  </si>
  <si>
    <t>Metr</t>
  </si>
  <si>
    <t>POMA</t>
  </si>
  <si>
    <t>BACR</t>
  </si>
  <si>
    <t>PSCH</t>
  </si>
  <si>
    <t>ENCA</t>
  </si>
  <si>
    <t>ENNA</t>
  </si>
  <si>
    <t>Rfil</t>
  </si>
  <si>
    <t>Rfol</t>
  </si>
  <si>
    <t>BOPS</t>
  </si>
  <si>
    <t>OPCA</t>
  </si>
  <si>
    <t>AGFI</t>
  </si>
  <si>
    <t>Hal1</t>
  </si>
  <si>
    <t>ANLA</t>
  </si>
  <si>
    <t>Hal2</t>
  </si>
  <si>
    <t>SYSP</t>
  </si>
  <si>
    <t>SYAM</t>
  </si>
  <si>
    <t>CLCE</t>
  </si>
  <si>
    <t>XEHI</t>
  </si>
  <si>
    <t>MYLA</t>
  </si>
  <si>
    <t>SPOT</t>
  </si>
  <si>
    <t>POPA</t>
  </si>
  <si>
    <t>LEUC</t>
  </si>
  <si>
    <t>CRFE</t>
  </si>
  <si>
    <t>Urti</t>
  </si>
  <si>
    <t>EPLI</t>
  </si>
  <si>
    <t>GERU</t>
  </si>
  <si>
    <t>Alcy</t>
  </si>
  <si>
    <t>DOCO</t>
  </si>
  <si>
    <t>DOFE</t>
  </si>
  <si>
    <t>TUCA</t>
  </si>
  <si>
    <t>TUOT</t>
  </si>
  <si>
    <t>PSOC</t>
  </si>
  <si>
    <t>PISP</t>
  </si>
  <si>
    <t>PHCL</t>
  </si>
  <si>
    <t>VECO</t>
  </si>
  <si>
    <t>BANU</t>
  </si>
  <si>
    <t>TETR</t>
  </si>
  <si>
    <t>META</t>
  </si>
  <si>
    <t>DICA</t>
  </si>
  <si>
    <t>DIOC</t>
  </si>
  <si>
    <t>PYST</t>
  </si>
  <si>
    <t>PEAN</t>
  </si>
  <si>
    <t>CLHU</t>
  </si>
  <si>
    <t>APCA</t>
  </si>
  <si>
    <t>APSO</t>
  </si>
  <si>
    <t>TCOT</t>
  </si>
  <si>
    <t>Trid</t>
  </si>
  <si>
    <t>Chel</t>
  </si>
  <si>
    <t>Core</t>
  </si>
  <si>
    <t>CNFI</t>
  </si>
  <si>
    <t>HAIG</t>
  </si>
  <si>
    <t>Stye</t>
  </si>
  <si>
    <t>ASPA</t>
  </si>
  <si>
    <t>TSOT</t>
  </si>
  <si>
    <t>PYHA</t>
  </si>
  <si>
    <t>BOVI</t>
  </si>
  <si>
    <t>SCUN</t>
  </si>
  <si>
    <t>EUBI</t>
  </si>
  <si>
    <t>BREN</t>
  </si>
  <si>
    <t>DELI</t>
  </si>
  <si>
    <t>DICL</t>
  </si>
  <si>
    <t>Cris</t>
  </si>
  <si>
    <t>CEDI</t>
  </si>
  <si>
    <t>HEPA</t>
  </si>
  <si>
    <t>PHPA</t>
  </si>
  <si>
    <t>DEMU</t>
  </si>
  <si>
    <t>BRER</t>
  </si>
  <si>
    <t>SDR</t>
  </si>
  <si>
    <t>Hen</t>
  </si>
  <si>
    <t>PHE</t>
  </si>
  <si>
    <t>SST</t>
  </si>
  <si>
    <t>ETR</t>
  </si>
  <si>
    <t>PTE</t>
  </si>
  <si>
    <t>Oph</t>
  </si>
  <si>
    <t>PCA</t>
  </si>
  <si>
    <t>EQU</t>
  </si>
  <si>
    <t>CPI</t>
  </si>
  <si>
    <t>PLU</t>
  </si>
  <si>
    <t>CUWH</t>
  </si>
  <si>
    <t>CST</t>
  </si>
  <si>
    <t>Ton</t>
  </si>
  <si>
    <t>Mop</t>
  </si>
  <si>
    <t>LME</t>
  </si>
  <si>
    <t>Chi</t>
  </si>
  <si>
    <t>Lot</t>
  </si>
  <si>
    <t>AMI</t>
  </si>
  <si>
    <t>CCU</t>
  </si>
  <si>
    <t>Lim</t>
  </si>
  <si>
    <t>CLI</t>
  </si>
  <si>
    <t>CAN</t>
  </si>
  <si>
    <t>CAL</t>
  </si>
  <si>
    <t>Tro</t>
  </si>
  <si>
    <t>Amp</t>
  </si>
  <si>
    <t>GA1</t>
  </si>
  <si>
    <t>OLU</t>
  </si>
  <si>
    <t>TCAn</t>
  </si>
  <si>
    <t>CFO</t>
  </si>
  <si>
    <t>FOR</t>
  </si>
  <si>
    <t>NUC</t>
  </si>
  <si>
    <t>BMU</t>
  </si>
  <si>
    <t>GAS</t>
  </si>
  <si>
    <t>ACO</t>
  </si>
  <si>
    <t>GHE</t>
  </si>
  <si>
    <t>DSA</t>
  </si>
  <si>
    <t>CMO</t>
  </si>
  <si>
    <t>LCO</t>
  </si>
  <si>
    <t>CLU</t>
  </si>
  <si>
    <t>ANA</t>
  </si>
  <si>
    <t>Dorid</t>
  </si>
  <si>
    <t>TFE</t>
  </si>
  <si>
    <t>JFU</t>
  </si>
  <si>
    <t>DAL</t>
  </si>
  <si>
    <t>HCR</t>
  </si>
  <si>
    <t>DDI</t>
  </si>
  <si>
    <t>Fla</t>
  </si>
  <si>
    <t>Aeo</t>
  </si>
  <si>
    <t>SAC</t>
  </si>
  <si>
    <t>COR</t>
  </si>
  <si>
    <t>LMA</t>
  </si>
  <si>
    <t>MQU</t>
  </si>
  <si>
    <t>Her</t>
  </si>
  <si>
    <t>Shr</t>
  </si>
  <si>
    <t>JZO</t>
  </si>
  <si>
    <t>AHA</t>
  </si>
  <si>
    <t>Gunnel</t>
  </si>
  <si>
    <t>mob.Sobs</t>
  </si>
  <si>
    <t>mob.Schao</t>
  </si>
  <si>
    <t>ann.curr.max</t>
  </si>
  <si>
    <t>aug.mean</t>
  </si>
  <si>
    <t>aug.max</t>
  </si>
  <si>
    <t>diss.day.cm.mean.orig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</si>
</sst>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vertAlign val="subscript"/>
      <sz val="12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Times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rgb="FFEBF1DE"/>
      </top>
      <bottom style="thin">
        <color rgb="FFEBF1DE"/>
      </bottom>
      <diagonal/>
    </border>
  </borders>
  <cellStyleXfs count="4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0" fillId="0" borderId="1" xfId="0" applyNumberFormat="1" applyFont="1" applyBorder="1"/>
    <xf numFmtId="0" fontId="0" fillId="0" borderId="1" xfId="0" applyFont="1" applyBorder="1" applyAlignment="1">
      <alignment horizontal="left"/>
    </xf>
    <xf numFmtId="0" fontId="5" fillId="0" borderId="2" xfId="0" applyFont="1" applyBorder="1"/>
    <xf numFmtId="0" fontId="0" fillId="0" borderId="0" xfId="0" applyAlignment="1">
      <alignment horizontal="center"/>
    </xf>
  </cellXfs>
  <cellStyles count="41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6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20"/>
  <sheetViews>
    <sheetView zoomScale="125" zoomScaleNormal="125" zoomScalePageLayoutView="125" workbookViewId="0">
      <pane xSplit="3" ySplit="2" topLeftCell="D3" activePane="bottomRight" state="frozen"/>
      <selection pane="topRight" activeCell="D1" sqref="D1"/>
      <selection pane="bottomLeft" activeCell="A3" sqref="A3"/>
      <selection pane="bottomRight" sqref="A1:XFD20"/>
    </sheetView>
  </sheetViews>
  <sheetFormatPr baseColWidth="10" defaultRowHeight="15" x14ac:dyDescent="0"/>
  <cols>
    <col min="1" max="1" width="9.33203125" bestFit="1" customWidth="1"/>
    <col min="2" max="2" width="6.6640625" bestFit="1" customWidth="1"/>
    <col min="3" max="3" width="9.1640625" bestFit="1" customWidth="1"/>
    <col min="4" max="4" width="3.83203125" bestFit="1" customWidth="1"/>
    <col min="5" max="6" width="12.1640625" bestFit="1" customWidth="1"/>
    <col min="7" max="7" width="8.5" bestFit="1" customWidth="1"/>
    <col min="8" max="9" width="12.1640625" bestFit="1" customWidth="1"/>
    <col min="10" max="10" width="3.1640625" bestFit="1" customWidth="1"/>
    <col min="11" max="11" width="13.1640625" bestFit="1" customWidth="1"/>
    <col min="12" max="12" width="12.1640625" bestFit="1" customWidth="1"/>
    <col min="13" max="13" width="13.1640625" bestFit="1" customWidth="1"/>
    <col min="14" max="14" width="12.1640625" bestFit="1" customWidth="1"/>
    <col min="15" max="15" width="13.1640625" bestFit="1" customWidth="1"/>
    <col min="16" max="16" width="13.83203125" bestFit="1" customWidth="1"/>
    <col min="17" max="17" width="11.83203125" bestFit="1" customWidth="1"/>
    <col min="18" max="18" width="11.33203125" bestFit="1" customWidth="1"/>
    <col min="19" max="19" width="12.6640625" bestFit="1" customWidth="1"/>
    <col min="20" max="20" width="12.1640625" bestFit="1" customWidth="1"/>
    <col min="21" max="21" width="13.1640625" bestFit="1" customWidth="1"/>
    <col min="22" max="22" width="9.1640625" bestFit="1" customWidth="1"/>
    <col min="23" max="23" width="12.1640625" bestFit="1" customWidth="1"/>
    <col min="24" max="24" width="11.83203125" bestFit="1" customWidth="1"/>
    <col min="25" max="26" width="12.1640625" bestFit="1" customWidth="1"/>
    <col min="27" max="27" width="13.1640625" bestFit="1" customWidth="1"/>
    <col min="28" max="28" width="14.83203125" bestFit="1" customWidth="1"/>
    <col min="29" max="29" width="12.1640625" bestFit="1" customWidth="1"/>
    <col min="30" max="30" width="13.1640625" bestFit="1" customWidth="1"/>
  </cols>
  <sheetData>
    <row r="1" spans="1:30">
      <c r="D1" s="8" t="s">
        <v>45</v>
      </c>
      <c r="E1" s="8"/>
      <c r="F1" s="8"/>
      <c r="G1" s="8" t="s">
        <v>46</v>
      </c>
      <c r="H1" s="8"/>
      <c r="I1" s="8"/>
      <c r="O1" t="s">
        <v>47</v>
      </c>
      <c r="P1" t="s">
        <v>48</v>
      </c>
      <c r="Q1" t="s">
        <v>47</v>
      </c>
      <c r="R1" t="s">
        <v>48</v>
      </c>
      <c r="S1" t="s">
        <v>49</v>
      </c>
      <c r="V1" t="s">
        <v>23</v>
      </c>
      <c r="Y1" t="s">
        <v>50</v>
      </c>
    </row>
    <row r="2" spans="1:30" s="1" customFormat="1" ht="17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11</v>
      </c>
      <c r="J2" s="1" t="s">
        <v>14</v>
      </c>
      <c r="K2" s="1" t="s">
        <v>15</v>
      </c>
      <c r="L2" s="1" t="s">
        <v>16</v>
      </c>
      <c r="M2" s="1" t="s">
        <v>17</v>
      </c>
      <c r="N2" s="1" t="s">
        <v>18</v>
      </c>
      <c r="O2" t="s">
        <v>19</v>
      </c>
      <c r="P2" t="s">
        <v>19</v>
      </c>
      <c r="Q2" t="s">
        <v>20</v>
      </c>
      <c r="R2" t="s">
        <v>20</v>
      </c>
      <c r="S2" s="1" t="s">
        <v>0</v>
      </c>
      <c r="T2" s="1" t="s">
        <v>21</v>
      </c>
      <c r="U2" s="1" t="s">
        <v>21</v>
      </c>
      <c r="V2" t="s">
        <v>1</v>
      </c>
      <c r="W2" t="s">
        <v>22</v>
      </c>
      <c r="X2" s="1" t="s">
        <v>23</v>
      </c>
      <c r="Y2" t="s">
        <v>1</v>
      </c>
      <c r="Z2" t="s">
        <v>22</v>
      </c>
      <c r="AA2" s="1" t="s">
        <v>24</v>
      </c>
      <c r="AB2" t="s">
        <v>4</v>
      </c>
      <c r="AC2" t="s">
        <v>25</v>
      </c>
      <c r="AD2" s="1" t="s">
        <v>26</v>
      </c>
    </row>
    <row r="3" spans="1:30">
      <c r="A3" s="2">
        <v>1</v>
      </c>
      <c r="B3" s="1">
        <v>11</v>
      </c>
      <c r="C3" t="s">
        <v>27</v>
      </c>
      <c r="D3">
        <v>32</v>
      </c>
      <c r="E3">
        <v>35.125</v>
      </c>
      <c r="F3">
        <v>3.6577187220998799</v>
      </c>
      <c r="G3">
        <v>21</v>
      </c>
      <c r="H3">
        <v>25.1666666666667</v>
      </c>
      <c r="I3">
        <v>4.8828877309019303</v>
      </c>
      <c r="J3">
        <v>16</v>
      </c>
      <c r="K3">
        <v>6.5</v>
      </c>
      <c r="L3">
        <v>1.93218356615859</v>
      </c>
      <c r="M3">
        <v>1.3125</v>
      </c>
      <c r="N3">
        <v>1.0144785195688799</v>
      </c>
      <c r="O3" s="1" t="str">
        <f>CONCATENATE(ROUND(E3, 1)," ± ",ROUND(F3,1))</f>
        <v>35.1 ± 3.7</v>
      </c>
      <c r="P3" s="1" t="str">
        <f t="shared" ref="P3:P20" si="0">CONCATENATE(ROUND(H3, 1)," ± ",ROUND(I3,1))</f>
        <v>25.2 ± 4.9</v>
      </c>
      <c r="Q3" s="1" t="str">
        <f t="shared" ref="Q3:Q20" si="1">CONCATENATE(ROUND(K3, 1)," ± ",ROUND(L3,1))</f>
        <v>6.5 ± 1.9</v>
      </c>
      <c r="R3" s="1" t="str">
        <f t="shared" ref="R3:R20" si="2">CONCATENATE(ROUND(M3, 1)," ± ",ROUND(N3,1))</f>
        <v>1.3 ± 1</v>
      </c>
      <c r="S3">
        <v>37.502499999999998</v>
      </c>
      <c r="T3">
        <v>18.509097042625601</v>
      </c>
      <c r="U3" s="1" t="str">
        <f t="shared" ref="U3:U20" si="3">CONCATENATE(ROUND(S3, 1)," ± ",ROUND(T3,1))</f>
        <v>37.5 ± 18.5</v>
      </c>
      <c r="V3">
        <v>14.6304</v>
      </c>
      <c r="W3">
        <v>1.79461380803782</v>
      </c>
      <c r="X3" s="1" t="str">
        <f t="shared" ref="X3:X20" si="4">CONCATENATE(ROUND(V3, 1)," ± ",ROUND(W3,1))</f>
        <v>14.6 ± 1.8</v>
      </c>
      <c r="Y3">
        <v>0</v>
      </c>
      <c r="Z3">
        <v>0</v>
      </c>
      <c r="AA3" s="1" t="str">
        <f>CONCATENATE(ROUND(Y3/5, 2)," ± ",ROUND(Z3/5,2))</f>
        <v>0 ± 0</v>
      </c>
      <c r="AB3">
        <v>0.92329033333333299</v>
      </c>
      <c r="AC3">
        <v>7.3027844287869695E-2</v>
      </c>
      <c r="AD3" s="1" t="str">
        <f>CONCATENATE(ROUND(AB3, 2)," ± ",ROUND(AC3,2))</f>
        <v>0.92 ± 0.07</v>
      </c>
    </row>
    <row r="4" spans="1:30">
      <c r="A4" s="2">
        <v>2</v>
      </c>
      <c r="B4" s="1">
        <v>10</v>
      </c>
      <c r="C4" t="s">
        <v>28</v>
      </c>
      <c r="D4">
        <v>22</v>
      </c>
      <c r="E4">
        <v>23.5</v>
      </c>
      <c r="F4">
        <v>2.2912878474779199</v>
      </c>
      <c r="G4">
        <v>17</v>
      </c>
      <c r="H4">
        <v>23.25</v>
      </c>
      <c r="I4">
        <v>7.5519037334966104</v>
      </c>
      <c r="J4">
        <v>16</v>
      </c>
      <c r="K4">
        <v>4.4375</v>
      </c>
      <c r="L4">
        <v>1.86077940659284</v>
      </c>
      <c r="M4">
        <v>0.75</v>
      </c>
      <c r="N4">
        <v>0.68313005106397295</v>
      </c>
      <c r="O4" s="1" t="str">
        <f t="shared" ref="O4:O20" si="5">CONCATENATE(ROUND(E4, 1)," ± ",ROUND(F4,1))</f>
        <v>23.5 ± 2.3</v>
      </c>
      <c r="P4" s="1" t="str">
        <f t="shared" si="0"/>
        <v>23.3 ± 7.6</v>
      </c>
      <c r="Q4" s="1" t="str">
        <f t="shared" si="1"/>
        <v>4.4 ± 1.9</v>
      </c>
      <c r="R4" s="1" t="str">
        <f t="shared" si="2"/>
        <v>0.8 ± 0.7</v>
      </c>
      <c r="S4">
        <v>59.104374999999997</v>
      </c>
      <c r="T4">
        <v>28.496827652389701</v>
      </c>
      <c r="U4" s="1" t="str">
        <f t="shared" si="3"/>
        <v>59.1 ± 28.5</v>
      </c>
      <c r="V4">
        <v>15.0114</v>
      </c>
      <c r="W4">
        <v>2.2724129554286598</v>
      </c>
      <c r="X4" s="1" t="str">
        <f t="shared" si="4"/>
        <v>15 ± 2.3</v>
      </c>
      <c r="Y4">
        <v>0</v>
      </c>
      <c r="Z4">
        <v>0</v>
      </c>
      <c r="AA4" s="1" t="str">
        <f t="shared" ref="AA4:AA20" si="6">CONCATENATE(ROUND(Y4/5, 2)," ± ",ROUND(Z4/5,2))</f>
        <v>0 ± 0</v>
      </c>
      <c r="AB4">
        <v>0.72485666666666704</v>
      </c>
      <c r="AC4">
        <v>2.0984710299008998E-2</v>
      </c>
      <c r="AD4" s="1" t="str">
        <f>CONCATENATE(ROUND(AB4, 2)," ± ",ROUND(AC4,2))</f>
        <v>0.72 ± 0.02</v>
      </c>
    </row>
    <row r="5" spans="1:30">
      <c r="A5" s="2">
        <v>3</v>
      </c>
      <c r="B5" s="1">
        <v>2</v>
      </c>
      <c r="C5" t="s">
        <v>29</v>
      </c>
      <c r="D5">
        <v>59</v>
      </c>
      <c r="E5">
        <v>69.6666666666667</v>
      </c>
      <c r="F5">
        <v>10.270417785147901</v>
      </c>
      <c r="G5">
        <v>34</v>
      </c>
      <c r="H5">
        <v>52</v>
      </c>
      <c r="I5">
        <v>14.3874945699382</v>
      </c>
      <c r="J5">
        <v>24</v>
      </c>
      <c r="K5">
        <v>16.7916666666667</v>
      </c>
      <c r="L5">
        <v>3.0642279212916201</v>
      </c>
      <c r="M5">
        <v>2.875</v>
      </c>
      <c r="N5">
        <v>2.1931216584347601</v>
      </c>
      <c r="O5" s="1" t="str">
        <f t="shared" si="5"/>
        <v>69.7 ± 10.3</v>
      </c>
      <c r="P5" s="1" t="str">
        <f t="shared" si="0"/>
        <v>52 ± 14.4</v>
      </c>
      <c r="Q5" s="1" t="str">
        <f t="shared" si="1"/>
        <v>16.8 ± 3.1</v>
      </c>
      <c r="R5" s="1" t="str">
        <f t="shared" si="2"/>
        <v>2.9 ± 2.2</v>
      </c>
      <c r="S5">
        <v>0</v>
      </c>
      <c r="T5">
        <v>0</v>
      </c>
      <c r="U5" s="1" t="str">
        <f t="shared" si="3"/>
        <v>0 ± 0</v>
      </c>
      <c r="V5">
        <v>14.427199999999999</v>
      </c>
      <c r="W5">
        <v>1.3168865099164799</v>
      </c>
      <c r="X5" s="1" t="str">
        <f t="shared" si="4"/>
        <v>14.4 ± 1.3</v>
      </c>
      <c r="Y5">
        <v>4.3333333333333304</v>
      </c>
      <c r="Z5">
        <v>4.9665548085837798</v>
      </c>
      <c r="AA5" s="1" t="str">
        <f t="shared" si="6"/>
        <v>0.87 ± 0.99</v>
      </c>
      <c r="AB5" t="s">
        <v>5</v>
      </c>
      <c r="AC5" t="s">
        <v>5</v>
      </c>
      <c r="AD5" t="s">
        <v>5</v>
      </c>
    </row>
    <row r="6" spans="1:30">
      <c r="A6" s="2">
        <v>4</v>
      </c>
      <c r="B6" s="1">
        <v>13</v>
      </c>
      <c r="C6" t="s">
        <v>30</v>
      </c>
      <c r="D6">
        <v>41</v>
      </c>
      <c r="E6">
        <v>65.5</v>
      </c>
      <c r="F6">
        <v>31.108680460604599</v>
      </c>
      <c r="G6">
        <v>27</v>
      </c>
      <c r="H6">
        <v>30.125</v>
      </c>
      <c r="I6">
        <v>3.6577187220998799</v>
      </c>
      <c r="J6">
        <v>24</v>
      </c>
      <c r="K6">
        <v>10.125</v>
      </c>
      <c r="L6">
        <v>2.4726767752341998</v>
      </c>
      <c r="M6">
        <v>2.6666666666666701</v>
      </c>
      <c r="N6">
        <v>1.37260991217989</v>
      </c>
      <c r="O6" s="1" t="str">
        <f t="shared" si="5"/>
        <v>65.5 ± 31.1</v>
      </c>
      <c r="P6" s="1" t="str">
        <f t="shared" si="0"/>
        <v>30.1 ± 3.7</v>
      </c>
      <c r="Q6" s="1" t="str">
        <f t="shared" si="1"/>
        <v>10.1 ± 2.5</v>
      </c>
      <c r="R6" s="1" t="str">
        <f t="shared" si="2"/>
        <v>2.7 ± 1.4</v>
      </c>
      <c r="S6">
        <v>2.55375</v>
      </c>
      <c r="T6">
        <v>2.49994228194242</v>
      </c>
      <c r="U6" s="1" t="str">
        <f t="shared" si="3"/>
        <v>2.6 ± 2.5</v>
      </c>
      <c r="V6">
        <v>16.662400000000002</v>
      </c>
      <c r="W6">
        <v>1.7420771050674</v>
      </c>
      <c r="X6" s="1" t="str">
        <f t="shared" si="4"/>
        <v>16.7 ± 1.7</v>
      </c>
      <c r="Y6">
        <v>0.5</v>
      </c>
      <c r="Z6">
        <v>0.83666002653407601</v>
      </c>
      <c r="AA6" s="1" t="str">
        <f t="shared" si="6"/>
        <v>0.1 ± 0.17</v>
      </c>
      <c r="AB6" t="s">
        <v>5</v>
      </c>
      <c r="AC6" t="s">
        <v>5</v>
      </c>
      <c r="AD6" t="s">
        <v>5</v>
      </c>
    </row>
    <row r="7" spans="1:30">
      <c r="A7" s="2">
        <v>5</v>
      </c>
      <c r="B7" s="1">
        <v>4</v>
      </c>
      <c r="C7" t="s">
        <v>31</v>
      </c>
      <c r="D7">
        <v>57</v>
      </c>
      <c r="E7">
        <v>71.400000000000006</v>
      </c>
      <c r="F7">
        <v>11.179982110898001</v>
      </c>
      <c r="G7">
        <v>31</v>
      </c>
      <c r="H7">
        <v>35.1666666666667</v>
      </c>
      <c r="I7">
        <v>4.8828877309019303</v>
      </c>
      <c r="J7">
        <v>24</v>
      </c>
      <c r="K7">
        <v>11.3333333333333</v>
      </c>
      <c r="L7">
        <v>4.1143087185922296</v>
      </c>
      <c r="M7">
        <v>3.875</v>
      </c>
      <c r="N7">
        <v>2.4550303283347601</v>
      </c>
      <c r="O7" s="1" t="str">
        <f t="shared" si="5"/>
        <v>71.4 ± 11.2</v>
      </c>
      <c r="P7" s="1" t="str">
        <f t="shared" si="0"/>
        <v>35.2 ± 4.9</v>
      </c>
      <c r="Q7" s="1" t="str">
        <f t="shared" si="1"/>
        <v>11.3 ± 4.1</v>
      </c>
      <c r="R7" s="1" t="str">
        <f t="shared" si="2"/>
        <v>3.9 ± 2.5</v>
      </c>
      <c r="S7">
        <v>0</v>
      </c>
      <c r="T7">
        <v>0</v>
      </c>
      <c r="U7" s="1" t="str">
        <f t="shared" si="3"/>
        <v>0 ± 0</v>
      </c>
      <c r="V7">
        <v>15.6464</v>
      </c>
      <c r="W7">
        <v>1.67686175458802</v>
      </c>
      <c r="X7" s="1" t="str">
        <f t="shared" si="4"/>
        <v>15.6 ± 1.7</v>
      </c>
      <c r="Y7">
        <v>1.3333333333333299</v>
      </c>
      <c r="Z7">
        <v>2.33809038890002</v>
      </c>
      <c r="AA7" s="1" t="str">
        <f t="shared" si="6"/>
        <v>0.27 ± 0.47</v>
      </c>
      <c r="AB7" t="s">
        <v>5</v>
      </c>
      <c r="AC7" t="s">
        <v>5</v>
      </c>
      <c r="AD7" t="s">
        <v>5</v>
      </c>
    </row>
    <row r="8" spans="1:30">
      <c r="A8" s="2">
        <v>6</v>
      </c>
      <c r="B8" s="1">
        <v>3</v>
      </c>
      <c r="C8" t="s">
        <v>32</v>
      </c>
      <c r="D8">
        <v>51</v>
      </c>
      <c r="E8">
        <v>54</v>
      </c>
      <c r="F8">
        <v>3.2403703492039302</v>
      </c>
      <c r="G8">
        <v>36</v>
      </c>
      <c r="H8">
        <v>164</v>
      </c>
      <c r="I8">
        <v>143.55486755941101</v>
      </c>
      <c r="J8">
        <v>24</v>
      </c>
      <c r="K8">
        <v>10.9166666666667</v>
      </c>
      <c r="L8">
        <v>2.37590562443711</v>
      </c>
      <c r="M8">
        <v>3.625</v>
      </c>
      <c r="N8">
        <v>1.63687135294346</v>
      </c>
      <c r="O8" s="1" t="str">
        <f t="shared" si="5"/>
        <v>54 ± 3.2</v>
      </c>
      <c r="P8" s="1" t="str">
        <f t="shared" si="0"/>
        <v>164 ± 143.6</v>
      </c>
      <c r="Q8" s="1" t="str">
        <f t="shared" si="1"/>
        <v>10.9 ± 2.4</v>
      </c>
      <c r="R8" s="1" t="str">
        <f t="shared" si="2"/>
        <v>3.6 ± 1.6</v>
      </c>
      <c r="S8">
        <v>0</v>
      </c>
      <c r="T8">
        <v>0</v>
      </c>
      <c r="U8" s="1" t="str">
        <f t="shared" si="3"/>
        <v>0 ± 0</v>
      </c>
      <c r="V8">
        <v>15.138400000000001</v>
      </c>
      <c r="W8">
        <v>1.9627479186079899</v>
      </c>
      <c r="X8" s="1" t="str">
        <f t="shared" si="4"/>
        <v>15.1 ± 2</v>
      </c>
      <c r="Y8">
        <v>1.1666666666666701</v>
      </c>
      <c r="Z8">
        <v>1.9407902170679501</v>
      </c>
      <c r="AA8" s="1" t="str">
        <f t="shared" si="6"/>
        <v>0.23 ± 0.39</v>
      </c>
      <c r="AB8" t="s">
        <v>5</v>
      </c>
      <c r="AC8" t="s">
        <v>5</v>
      </c>
      <c r="AD8" t="s">
        <v>5</v>
      </c>
    </row>
    <row r="9" spans="1:30">
      <c r="A9" s="2">
        <v>7</v>
      </c>
      <c r="B9" s="1">
        <v>14</v>
      </c>
      <c r="C9" t="s">
        <v>33</v>
      </c>
      <c r="D9">
        <v>48</v>
      </c>
      <c r="E9">
        <v>52.9</v>
      </c>
      <c r="F9">
        <v>4.8396280848842101</v>
      </c>
      <c r="G9">
        <v>35</v>
      </c>
      <c r="H9">
        <v>47.1</v>
      </c>
      <c r="I9">
        <v>9.7273840265510305</v>
      </c>
      <c r="J9">
        <v>24</v>
      </c>
      <c r="K9">
        <v>13.375</v>
      </c>
      <c r="L9">
        <v>1.63687135294346</v>
      </c>
      <c r="M9">
        <v>3.3333333333333299</v>
      </c>
      <c r="N9">
        <v>1.4939491483886</v>
      </c>
      <c r="O9" s="1" t="str">
        <f t="shared" si="5"/>
        <v>52.9 ± 4.8</v>
      </c>
      <c r="P9" s="1" t="str">
        <f t="shared" si="0"/>
        <v>47.1 ± 9.7</v>
      </c>
      <c r="Q9" s="1" t="str">
        <f t="shared" si="1"/>
        <v>13.4 ± 1.6</v>
      </c>
      <c r="R9" s="1" t="str">
        <f t="shared" si="2"/>
        <v>3.3 ± 1.5</v>
      </c>
      <c r="S9">
        <v>3.2304166666666698</v>
      </c>
      <c r="T9">
        <v>5.4271447206464396</v>
      </c>
      <c r="U9" s="1" t="str">
        <f t="shared" si="3"/>
        <v>3.2 ± 5.4</v>
      </c>
      <c r="V9">
        <v>14.6304</v>
      </c>
      <c r="W9">
        <v>1.73495201547478</v>
      </c>
      <c r="X9" s="1" t="str">
        <f t="shared" si="4"/>
        <v>14.6 ± 1.7</v>
      </c>
      <c r="Y9">
        <v>0.33333333333333298</v>
      </c>
      <c r="Z9">
        <v>0.51639777949432197</v>
      </c>
      <c r="AA9" s="1" t="str">
        <f t="shared" si="6"/>
        <v>0.07 ± 0.1</v>
      </c>
      <c r="AB9" t="s">
        <v>5</v>
      </c>
      <c r="AC9" t="s">
        <v>5</v>
      </c>
      <c r="AD9" t="s">
        <v>5</v>
      </c>
    </row>
    <row r="10" spans="1:30">
      <c r="A10" s="2">
        <v>8</v>
      </c>
      <c r="B10" s="1">
        <v>5</v>
      </c>
      <c r="C10" t="s">
        <v>34</v>
      </c>
      <c r="D10">
        <v>45</v>
      </c>
      <c r="E10">
        <v>53.1</v>
      </c>
      <c r="F10">
        <v>7.09802789512693</v>
      </c>
      <c r="G10">
        <v>28</v>
      </c>
      <c r="H10">
        <v>44</v>
      </c>
      <c r="I10">
        <v>16.4924225024706</v>
      </c>
      <c r="J10">
        <v>24</v>
      </c>
      <c r="K10">
        <v>10.1666666666667</v>
      </c>
      <c r="L10">
        <v>2.16024689946929</v>
      </c>
      <c r="M10">
        <v>2.125</v>
      </c>
      <c r="N10">
        <v>1.801267669557</v>
      </c>
      <c r="O10" s="1" t="str">
        <f t="shared" si="5"/>
        <v>53.1 ± 7.1</v>
      </c>
      <c r="P10" s="1" t="str">
        <f t="shared" si="0"/>
        <v>44 ± 16.5</v>
      </c>
      <c r="Q10" s="1" t="str">
        <f t="shared" si="1"/>
        <v>10.2 ± 2.2</v>
      </c>
      <c r="R10" s="1" t="str">
        <f t="shared" si="2"/>
        <v>2.1 ± 1.8</v>
      </c>
      <c r="S10">
        <v>2.5004166666666698</v>
      </c>
      <c r="T10">
        <v>3.7733694770251298</v>
      </c>
      <c r="U10" s="1" t="str">
        <f t="shared" si="3"/>
        <v>2.5 ± 3.8</v>
      </c>
      <c r="V10">
        <v>15.03172</v>
      </c>
      <c r="W10">
        <v>1.4903649941138599</v>
      </c>
      <c r="X10" s="1" t="str">
        <f t="shared" si="4"/>
        <v>15 ± 1.5</v>
      </c>
      <c r="Y10">
        <v>3.8333333333333299</v>
      </c>
      <c r="Z10">
        <v>3.7638632635453999</v>
      </c>
      <c r="AA10" s="1" t="str">
        <f t="shared" si="6"/>
        <v>0.77 ± 0.75</v>
      </c>
      <c r="AB10">
        <v>0.90836399999999995</v>
      </c>
      <c r="AC10">
        <v>9.7541140263993201E-2</v>
      </c>
      <c r="AD10" s="1" t="str">
        <f t="shared" ref="AD10:AD11" si="7">CONCATENATE(ROUND(AB10, 2)," ± ",ROUND(AC10,2))</f>
        <v>0.91 ± 0.1</v>
      </c>
    </row>
    <row r="11" spans="1:30">
      <c r="A11" s="2">
        <v>9</v>
      </c>
      <c r="B11" s="1">
        <v>7</v>
      </c>
      <c r="C11" t="s">
        <v>35</v>
      </c>
      <c r="D11">
        <v>41</v>
      </c>
      <c r="E11">
        <v>73</v>
      </c>
      <c r="F11">
        <v>39.597979746446697</v>
      </c>
      <c r="G11">
        <v>28</v>
      </c>
      <c r="H11">
        <v>44</v>
      </c>
      <c r="I11">
        <v>16.4924225024706</v>
      </c>
      <c r="J11">
        <v>24</v>
      </c>
      <c r="K11">
        <v>9.1666666666666696</v>
      </c>
      <c r="L11">
        <v>2.9142329390747799</v>
      </c>
      <c r="M11">
        <v>3.5</v>
      </c>
      <c r="N11">
        <v>1.86500961648063</v>
      </c>
      <c r="O11" s="1" t="str">
        <f t="shared" si="5"/>
        <v>73 ± 39.6</v>
      </c>
      <c r="P11" s="1" t="str">
        <f t="shared" si="0"/>
        <v>44 ± 16.5</v>
      </c>
      <c r="Q11" s="1" t="str">
        <f t="shared" si="1"/>
        <v>9.2 ± 2.9</v>
      </c>
      <c r="R11" s="1" t="str">
        <f t="shared" si="2"/>
        <v>3.5 ± 1.9</v>
      </c>
      <c r="S11">
        <v>0</v>
      </c>
      <c r="T11">
        <v>0</v>
      </c>
      <c r="U11" s="1" t="str">
        <f t="shared" si="3"/>
        <v>0 ± 0</v>
      </c>
      <c r="V11">
        <v>15.0114</v>
      </c>
      <c r="W11">
        <v>0.735193774946442</v>
      </c>
      <c r="X11" s="1" t="str">
        <f t="shared" si="4"/>
        <v>15 ± 0.7</v>
      </c>
      <c r="Y11">
        <v>2</v>
      </c>
      <c r="Z11">
        <v>1.26491106406735</v>
      </c>
      <c r="AA11" s="1" t="str">
        <f t="shared" si="6"/>
        <v>0.4 ± 0.25</v>
      </c>
      <c r="AB11">
        <v>1.6430336666666701</v>
      </c>
      <c r="AC11">
        <v>0.41708327310062798</v>
      </c>
      <c r="AD11" s="1" t="str">
        <f t="shared" si="7"/>
        <v>1.64 ± 0.42</v>
      </c>
    </row>
    <row r="12" spans="1:30">
      <c r="A12" s="2">
        <v>10</v>
      </c>
      <c r="B12" s="1">
        <v>16</v>
      </c>
      <c r="C12" t="s">
        <v>36</v>
      </c>
      <c r="D12">
        <v>29</v>
      </c>
      <c r="E12">
        <v>31.25</v>
      </c>
      <c r="F12">
        <v>3.3957694268015302</v>
      </c>
      <c r="G12">
        <v>21</v>
      </c>
      <c r="H12">
        <v>25.1666666666667</v>
      </c>
      <c r="I12">
        <v>4.8828877309019303</v>
      </c>
      <c r="J12">
        <v>24</v>
      </c>
      <c r="K12">
        <v>6.625</v>
      </c>
      <c r="L12">
        <v>1.8132963018384101</v>
      </c>
      <c r="M12">
        <v>0.70833333333333304</v>
      </c>
      <c r="N12">
        <v>0.80645044413192501</v>
      </c>
      <c r="O12" s="1" t="str">
        <f t="shared" si="5"/>
        <v>31.3 ± 3.4</v>
      </c>
      <c r="P12" s="1" t="str">
        <f t="shared" si="0"/>
        <v>25.2 ± 4.9</v>
      </c>
      <c r="Q12" s="1" t="str">
        <f t="shared" si="1"/>
        <v>6.6 ± 1.8</v>
      </c>
      <c r="R12" s="1" t="str">
        <f t="shared" si="2"/>
        <v>0.7 ± 0.8</v>
      </c>
      <c r="S12">
        <v>24.454999999999998</v>
      </c>
      <c r="T12">
        <v>20.697438404830201</v>
      </c>
      <c r="U12" s="1" t="str">
        <f t="shared" si="3"/>
        <v>24.5 ± 20.7</v>
      </c>
      <c r="V12">
        <v>14.427199999999999</v>
      </c>
      <c r="W12">
        <v>1.25918434551896</v>
      </c>
      <c r="X12" s="1" t="str">
        <f t="shared" si="4"/>
        <v>14.4 ± 1.3</v>
      </c>
      <c r="Y12">
        <v>0</v>
      </c>
      <c r="Z12">
        <v>0</v>
      </c>
      <c r="AA12" s="1" t="str">
        <f t="shared" si="6"/>
        <v>0 ± 0</v>
      </c>
      <c r="AB12" t="s">
        <v>5</v>
      </c>
      <c r="AC12" t="s">
        <v>5</v>
      </c>
      <c r="AD12" t="s">
        <v>5</v>
      </c>
    </row>
    <row r="13" spans="1:30">
      <c r="A13" s="2">
        <v>11</v>
      </c>
      <c r="B13" s="1">
        <v>17</v>
      </c>
      <c r="C13" t="s">
        <v>37</v>
      </c>
      <c r="D13">
        <v>28</v>
      </c>
      <c r="E13">
        <v>31</v>
      </c>
      <c r="F13">
        <v>3.2403703492039302</v>
      </c>
      <c r="G13">
        <v>15</v>
      </c>
      <c r="H13">
        <v>16</v>
      </c>
      <c r="I13">
        <v>1.87082869338697</v>
      </c>
      <c r="J13">
        <v>16</v>
      </c>
      <c r="K13">
        <v>3.1875</v>
      </c>
      <c r="L13">
        <v>1.47054411698527</v>
      </c>
      <c r="M13">
        <v>0.5625</v>
      </c>
      <c r="N13">
        <v>0.629152869605896</v>
      </c>
      <c r="O13" s="1" t="str">
        <f t="shared" si="5"/>
        <v>31 ± 3.2</v>
      </c>
      <c r="P13" s="1" t="str">
        <f t="shared" si="0"/>
        <v>16 ± 1.9</v>
      </c>
      <c r="Q13" s="1" t="str">
        <f t="shared" si="1"/>
        <v>3.2 ± 1.5</v>
      </c>
      <c r="R13" s="1" t="str">
        <f t="shared" si="2"/>
        <v>0.6 ± 0.6</v>
      </c>
      <c r="S13">
        <v>61.330624999999998</v>
      </c>
      <c r="T13">
        <v>23.6097207293239</v>
      </c>
      <c r="U13" s="1" t="str">
        <f t="shared" si="3"/>
        <v>61.3 ± 23.6</v>
      </c>
      <c r="V13">
        <v>15.0114</v>
      </c>
      <c r="W13">
        <v>2.5788193577682001</v>
      </c>
      <c r="X13" s="1" t="str">
        <f t="shared" si="4"/>
        <v>15 ± 2.6</v>
      </c>
      <c r="Y13">
        <v>0</v>
      </c>
      <c r="Z13">
        <v>0</v>
      </c>
      <c r="AA13" s="1" t="str">
        <f t="shared" si="6"/>
        <v>0 ± 0</v>
      </c>
      <c r="AB13" t="s">
        <v>5</v>
      </c>
      <c r="AC13" t="s">
        <v>5</v>
      </c>
      <c r="AD13" t="s">
        <v>5</v>
      </c>
    </row>
    <row r="14" spans="1:30">
      <c r="A14" s="2">
        <v>12</v>
      </c>
      <c r="B14" s="1">
        <v>9</v>
      </c>
      <c r="C14" t="s">
        <v>38</v>
      </c>
      <c r="D14">
        <v>29</v>
      </c>
      <c r="E14">
        <v>35.25</v>
      </c>
      <c r="F14">
        <v>7.5519037334966104</v>
      </c>
      <c r="G14">
        <v>20</v>
      </c>
      <c r="H14">
        <v>20.399999999999999</v>
      </c>
      <c r="I14">
        <v>0.86717933554715199</v>
      </c>
      <c r="J14">
        <v>24</v>
      </c>
      <c r="K14">
        <v>6.4166666666666696</v>
      </c>
      <c r="L14">
        <v>1.95418540054677</v>
      </c>
      <c r="M14">
        <v>1.2083333333333299</v>
      </c>
      <c r="N14">
        <v>1.1412870944175499</v>
      </c>
      <c r="O14" s="1" t="str">
        <f t="shared" si="5"/>
        <v>35.3 ± 7.6</v>
      </c>
      <c r="P14" s="1" t="str">
        <f t="shared" si="0"/>
        <v>20.4 ± 0.9</v>
      </c>
      <c r="Q14" s="1" t="str">
        <f t="shared" si="1"/>
        <v>6.4 ± 2</v>
      </c>
      <c r="R14" s="1" t="str">
        <f t="shared" si="2"/>
        <v>1.2 ± 1.1</v>
      </c>
      <c r="S14">
        <v>37.372916666666697</v>
      </c>
      <c r="T14">
        <v>23.874755537863699</v>
      </c>
      <c r="U14" s="1" t="str">
        <f t="shared" si="3"/>
        <v>37.4 ± 23.9</v>
      </c>
      <c r="V14">
        <v>13.6652</v>
      </c>
      <c r="W14">
        <v>1.38228284225769</v>
      </c>
      <c r="X14" s="1" t="str">
        <f t="shared" si="4"/>
        <v>13.7 ± 1.4</v>
      </c>
      <c r="Y14">
        <v>0</v>
      </c>
      <c r="Z14">
        <v>0</v>
      </c>
      <c r="AA14" s="1" t="str">
        <f t="shared" si="6"/>
        <v>0 ± 0</v>
      </c>
      <c r="AB14">
        <v>0.62075666666666696</v>
      </c>
      <c r="AC14">
        <v>4.65511554135161E-2</v>
      </c>
      <c r="AD14" s="1" t="str">
        <f t="shared" ref="AD14:AD15" si="8">CONCATENATE(ROUND(AB14, 2)," ± ",ROUND(AC14,2))</f>
        <v>0.62 ± 0.05</v>
      </c>
    </row>
    <row r="15" spans="1:30">
      <c r="A15" s="2">
        <v>13</v>
      </c>
      <c r="B15" s="1">
        <v>6</v>
      </c>
      <c r="C15" t="s">
        <v>39</v>
      </c>
      <c r="D15">
        <v>56</v>
      </c>
      <c r="E15">
        <v>58.25</v>
      </c>
      <c r="F15">
        <v>2.5015620120236899</v>
      </c>
      <c r="G15">
        <v>27</v>
      </c>
      <c r="H15">
        <v>39.25</v>
      </c>
      <c r="I15">
        <v>13.1541343310763</v>
      </c>
      <c r="J15">
        <v>24</v>
      </c>
      <c r="K15">
        <v>12.4166666666667</v>
      </c>
      <c r="L15">
        <v>3.2291695885914802</v>
      </c>
      <c r="M15">
        <v>2.1666666666666701</v>
      </c>
      <c r="N15">
        <v>1.3077250963165901</v>
      </c>
      <c r="O15" s="1" t="str">
        <f t="shared" si="5"/>
        <v>58.3 ± 2.5</v>
      </c>
      <c r="P15" s="1" t="str">
        <f t="shared" si="0"/>
        <v>39.3 ± 13.2</v>
      </c>
      <c r="Q15" s="1" t="str">
        <f t="shared" si="1"/>
        <v>12.4 ± 3.2</v>
      </c>
      <c r="R15" s="1" t="str">
        <f t="shared" si="2"/>
        <v>2.2 ± 1.3</v>
      </c>
      <c r="S15">
        <v>0</v>
      </c>
      <c r="T15">
        <v>0</v>
      </c>
      <c r="U15" s="1" t="str">
        <f t="shared" si="3"/>
        <v>0 ± 0</v>
      </c>
      <c r="V15">
        <v>13.741400000000001</v>
      </c>
      <c r="W15">
        <v>1.2014946403875499</v>
      </c>
      <c r="X15" s="1" t="str">
        <f t="shared" si="4"/>
        <v>13.7 ± 1.2</v>
      </c>
      <c r="Y15">
        <v>0</v>
      </c>
      <c r="Z15">
        <v>0</v>
      </c>
      <c r="AA15" s="1" t="str">
        <f t="shared" si="6"/>
        <v>0 ± 0</v>
      </c>
      <c r="AB15">
        <v>1.11718133333333</v>
      </c>
      <c r="AC15">
        <v>0.13636620306121799</v>
      </c>
      <c r="AD15" s="1" t="str">
        <f t="shared" si="8"/>
        <v>1.12 ± 0.14</v>
      </c>
    </row>
    <row r="16" spans="1:30">
      <c r="A16" s="2">
        <v>14</v>
      </c>
      <c r="B16" s="1">
        <v>15</v>
      </c>
      <c r="C16" t="s">
        <v>40</v>
      </c>
      <c r="D16">
        <v>45</v>
      </c>
      <c r="E16">
        <v>55</v>
      </c>
      <c r="F16">
        <v>8.3666002653407592</v>
      </c>
      <c r="G16">
        <v>30</v>
      </c>
      <c r="H16">
        <v>42.5</v>
      </c>
      <c r="I16">
        <v>10.680004681646899</v>
      </c>
      <c r="J16">
        <v>20</v>
      </c>
      <c r="K16">
        <v>10.199999999999999</v>
      </c>
      <c r="L16">
        <v>2.64773985047426</v>
      </c>
      <c r="M16">
        <v>2.5499999999999998</v>
      </c>
      <c r="N16">
        <v>1.4317821063276399</v>
      </c>
      <c r="O16" s="1" t="str">
        <f t="shared" si="5"/>
        <v>55 ± 8.4</v>
      </c>
      <c r="P16" s="1" t="str">
        <f t="shared" si="0"/>
        <v>42.5 ± 10.7</v>
      </c>
      <c r="Q16" s="1" t="str">
        <f t="shared" si="1"/>
        <v>10.2 ± 2.6</v>
      </c>
      <c r="R16" s="1" t="str">
        <f t="shared" si="2"/>
        <v>2.6 ± 1.4</v>
      </c>
      <c r="S16">
        <v>5.2195</v>
      </c>
      <c r="T16">
        <v>6.3040383673358198</v>
      </c>
      <c r="U16" s="1" t="str">
        <f t="shared" si="3"/>
        <v>5.2 ± 6.3</v>
      </c>
      <c r="V16">
        <v>15.30096</v>
      </c>
      <c r="W16">
        <v>1.63288617117054</v>
      </c>
      <c r="X16" s="1" t="str">
        <f t="shared" si="4"/>
        <v>15.3 ± 1.6</v>
      </c>
      <c r="Y16">
        <v>0.2</v>
      </c>
      <c r="Z16">
        <v>0.44721359549995798</v>
      </c>
      <c r="AA16" s="1" t="str">
        <f t="shared" si="6"/>
        <v>0.04 ± 0.09</v>
      </c>
      <c r="AB16" t="s">
        <v>5</v>
      </c>
      <c r="AC16" t="s">
        <v>5</v>
      </c>
      <c r="AD16" t="s">
        <v>5</v>
      </c>
    </row>
    <row r="17" spans="1:30">
      <c r="A17" s="2">
        <v>15</v>
      </c>
      <c r="B17" s="1">
        <v>18</v>
      </c>
      <c r="C17" t="s">
        <v>41</v>
      </c>
      <c r="D17">
        <v>25</v>
      </c>
      <c r="E17">
        <v>31.4</v>
      </c>
      <c r="F17">
        <v>5.9221617674629599</v>
      </c>
      <c r="G17">
        <v>12</v>
      </c>
      <c r="H17">
        <v>12</v>
      </c>
      <c r="I17">
        <v>0</v>
      </c>
      <c r="J17">
        <v>20</v>
      </c>
      <c r="K17">
        <v>2.6</v>
      </c>
      <c r="L17">
        <v>1.2732056517228301</v>
      </c>
      <c r="M17">
        <v>0.3</v>
      </c>
      <c r="N17">
        <v>0.57124057057747901</v>
      </c>
      <c r="O17" s="1" t="str">
        <f t="shared" si="5"/>
        <v>31.4 ± 5.9</v>
      </c>
      <c r="P17" s="1" t="str">
        <f t="shared" si="0"/>
        <v>12 ± 0</v>
      </c>
      <c r="Q17" s="1" t="str">
        <f t="shared" si="1"/>
        <v>2.6 ± 1.3</v>
      </c>
      <c r="R17" s="1" t="str">
        <f t="shared" si="2"/>
        <v>0.3 ± 0.6</v>
      </c>
      <c r="S17">
        <v>99.313999999999993</v>
      </c>
      <c r="T17">
        <v>1.16290199614223</v>
      </c>
      <c r="U17" s="1" t="str">
        <f t="shared" si="3"/>
        <v>99.3 ± 1.2</v>
      </c>
      <c r="V17">
        <v>15.66672</v>
      </c>
      <c r="W17">
        <v>2.5555985036777602</v>
      </c>
      <c r="X17" s="1" t="str">
        <f t="shared" si="4"/>
        <v>15.7 ± 2.6</v>
      </c>
      <c r="Y17">
        <v>0</v>
      </c>
      <c r="Z17">
        <v>0</v>
      </c>
      <c r="AA17" s="1" t="str">
        <f t="shared" si="6"/>
        <v>0 ± 0</v>
      </c>
      <c r="AB17" t="s">
        <v>5</v>
      </c>
      <c r="AC17" t="s">
        <v>5</v>
      </c>
      <c r="AD17" t="s">
        <v>5</v>
      </c>
    </row>
    <row r="18" spans="1:30">
      <c r="A18" s="2">
        <v>16</v>
      </c>
      <c r="B18" s="1">
        <v>8</v>
      </c>
      <c r="C18" t="s">
        <v>42</v>
      </c>
      <c r="D18">
        <v>59</v>
      </c>
      <c r="E18">
        <v>63</v>
      </c>
      <c r="F18">
        <v>3.74165738677394</v>
      </c>
      <c r="G18">
        <v>28</v>
      </c>
      <c r="H18">
        <v>48.25</v>
      </c>
      <c r="I18">
        <v>20.1874032505422</v>
      </c>
      <c r="J18">
        <v>24</v>
      </c>
      <c r="K18">
        <v>15.2916666666667</v>
      </c>
      <c r="L18">
        <v>3.18254979354696</v>
      </c>
      <c r="M18">
        <v>2.25</v>
      </c>
      <c r="N18">
        <v>1.5108304655560001</v>
      </c>
      <c r="O18" s="1" t="str">
        <f t="shared" si="5"/>
        <v>63 ± 3.7</v>
      </c>
      <c r="P18" s="1" t="str">
        <f t="shared" si="0"/>
        <v>48.3 ± 20.2</v>
      </c>
      <c r="Q18" s="1" t="str">
        <f t="shared" si="1"/>
        <v>15.3 ± 3.2</v>
      </c>
      <c r="R18" s="1" t="str">
        <f t="shared" si="2"/>
        <v>2.3 ± 1.5</v>
      </c>
      <c r="S18">
        <v>0</v>
      </c>
      <c r="T18">
        <v>0</v>
      </c>
      <c r="U18" s="1" t="str">
        <f t="shared" si="3"/>
        <v>0 ± 0</v>
      </c>
      <c r="V18">
        <v>14.6304</v>
      </c>
      <c r="W18">
        <v>1.69157134995837</v>
      </c>
      <c r="X18" s="1" t="str">
        <f t="shared" si="4"/>
        <v>14.6 ± 1.7</v>
      </c>
      <c r="Y18">
        <v>1.5</v>
      </c>
      <c r="Z18">
        <v>2.8106938645110402</v>
      </c>
      <c r="AA18" s="1" t="str">
        <f t="shared" si="6"/>
        <v>0.3 ± 0.56</v>
      </c>
      <c r="AB18">
        <v>1.16486466666667</v>
      </c>
      <c r="AC18">
        <v>0.104184543005828</v>
      </c>
      <c r="AD18" s="1" t="str">
        <f>CONCATENATE(ROUND(AB18, 2)," ± ",ROUND(AC18,2))</f>
        <v>1.16 ± 0.1</v>
      </c>
    </row>
    <row r="19" spans="1:30">
      <c r="A19" s="2">
        <v>17</v>
      </c>
      <c r="B19" s="1">
        <v>1</v>
      </c>
      <c r="C19" t="s">
        <v>43</v>
      </c>
      <c r="D19">
        <v>61</v>
      </c>
      <c r="E19">
        <v>98.5</v>
      </c>
      <c r="F19">
        <v>29.685855217594799</v>
      </c>
      <c r="G19">
        <v>27</v>
      </c>
      <c r="H19">
        <v>52</v>
      </c>
      <c r="I19">
        <v>24.238399287081599</v>
      </c>
      <c r="J19">
        <v>24</v>
      </c>
      <c r="K19">
        <v>12.6666666666667</v>
      </c>
      <c r="L19">
        <v>3.8523472987446099</v>
      </c>
      <c r="M19">
        <v>1.5833333333333299</v>
      </c>
      <c r="N19">
        <v>1.5012072436561801</v>
      </c>
      <c r="O19" s="1" t="str">
        <f t="shared" si="5"/>
        <v>98.5 ± 29.7</v>
      </c>
      <c r="P19" s="1" t="str">
        <f t="shared" si="0"/>
        <v>52 ± 24.2</v>
      </c>
      <c r="Q19" s="1" t="str">
        <f t="shared" si="1"/>
        <v>12.7 ± 3.9</v>
      </c>
      <c r="R19" s="1" t="str">
        <f t="shared" si="2"/>
        <v>1.6 ± 1.5</v>
      </c>
      <c r="S19">
        <v>0</v>
      </c>
      <c r="T19">
        <v>0</v>
      </c>
      <c r="U19" s="1" t="str">
        <f t="shared" si="3"/>
        <v>0 ± 0</v>
      </c>
      <c r="V19">
        <v>15.5448</v>
      </c>
      <c r="W19">
        <v>2.6059954382154999</v>
      </c>
      <c r="X19" s="1" t="str">
        <f t="shared" si="4"/>
        <v>15.5 ± 2.6</v>
      </c>
      <c r="Y19">
        <v>0.16666666666666699</v>
      </c>
      <c r="Z19">
        <v>0.40824829046386302</v>
      </c>
      <c r="AA19" s="1" t="str">
        <f t="shared" si="6"/>
        <v>0.03 ± 0.08</v>
      </c>
      <c r="AB19" t="s">
        <v>5</v>
      </c>
      <c r="AC19" t="s">
        <v>5</v>
      </c>
      <c r="AD19" t="s">
        <v>5</v>
      </c>
    </row>
    <row r="20" spans="1:30">
      <c r="A20" s="2">
        <v>18</v>
      </c>
      <c r="B20" s="1">
        <v>12</v>
      </c>
      <c r="C20" t="s">
        <v>44</v>
      </c>
      <c r="D20">
        <v>41</v>
      </c>
      <c r="E20">
        <v>45.9</v>
      </c>
      <c r="F20">
        <v>4.8396280848842101</v>
      </c>
      <c r="G20">
        <v>30</v>
      </c>
      <c r="H20">
        <v>30</v>
      </c>
      <c r="I20">
        <v>0</v>
      </c>
      <c r="J20">
        <v>24</v>
      </c>
      <c r="K20">
        <v>8.7916666666666696</v>
      </c>
      <c r="L20">
        <v>2.1463653132612399</v>
      </c>
      <c r="M20">
        <v>2.375</v>
      </c>
      <c r="N20">
        <v>1.4981873105160499</v>
      </c>
      <c r="O20" s="1" t="str">
        <f t="shared" si="5"/>
        <v>45.9 ± 4.8</v>
      </c>
      <c r="P20" s="1" t="str">
        <f t="shared" si="0"/>
        <v>30 ± 0</v>
      </c>
      <c r="Q20" s="1" t="str">
        <f t="shared" si="1"/>
        <v>8.8 ± 2.1</v>
      </c>
      <c r="R20" s="1" t="str">
        <f t="shared" si="2"/>
        <v>2.4 ± 1.5</v>
      </c>
      <c r="S20">
        <v>23.31</v>
      </c>
      <c r="T20">
        <v>14.7461134157298</v>
      </c>
      <c r="U20" s="1" t="str">
        <f t="shared" si="3"/>
        <v>23.3 ± 14.7</v>
      </c>
      <c r="V20">
        <v>15.3924</v>
      </c>
      <c r="W20">
        <v>1.7954763958348201</v>
      </c>
      <c r="X20" s="1" t="str">
        <f t="shared" si="4"/>
        <v>15.4 ± 1.8</v>
      </c>
      <c r="Y20">
        <v>0</v>
      </c>
      <c r="Z20">
        <v>0</v>
      </c>
      <c r="AA20" s="1" t="str">
        <f t="shared" si="6"/>
        <v>0 ± 0</v>
      </c>
      <c r="AB20">
        <v>0.77137366666666696</v>
      </c>
      <c r="AC20">
        <v>6.4135211891232793E-2</v>
      </c>
      <c r="AD20" s="1" t="str">
        <f>CONCATENATE(ROUND(AB20, 2)," ± ",ROUND(AC20,2))</f>
        <v>0.77 ± 0.06</v>
      </c>
    </row>
  </sheetData>
  <mergeCells count="2">
    <mergeCell ref="D1:F1"/>
    <mergeCell ref="G1:I1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V36"/>
  <sheetViews>
    <sheetView tabSelected="1" workbookViewId="0">
      <selection activeCell="P11" sqref="P11"/>
    </sheetView>
  </sheetViews>
  <sheetFormatPr baseColWidth="10" defaultRowHeight="15" x14ac:dyDescent="0"/>
  <cols>
    <col min="1" max="1" width="9.33203125" bestFit="1" customWidth="1"/>
    <col min="2" max="2" width="6.83203125" bestFit="1" customWidth="1"/>
    <col min="3" max="3" width="9.1640625" bestFit="1" customWidth="1"/>
    <col min="4" max="4" width="3.1640625" bestFit="1" customWidth="1"/>
    <col min="5" max="5" width="9" bestFit="1" customWidth="1"/>
    <col min="6" max="13" width="12.1640625" bestFit="1" customWidth="1"/>
    <col min="14" max="14" width="13.1640625" bestFit="1" customWidth="1"/>
    <col min="15" max="15" width="13.1640625" customWidth="1"/>
    <col min="16" max="16" width="15.33203125" bestFit="1" customWidth="1"/>
    <col min="17" max="17" width="13.1640625" bestFit="1" customWidth="1"/>
  </cols>
  <sheetData>
    <row r="1" spans="1:152" s="1" customFormat="1">
      <c r="A1" s="3" t="s">
        <v>6</v>
      </c>
      <c r="B1" s="3" t="s">
        <v>7</v>
      </c>
      <c r="C1" s="3" t="s">
        <v>8</v>
      </c>
      <c r="D1" s="3" t="s">
        <v>14</v>
      </c>
      <c r="E1" s="3" t="s">
        <v>51</v>
      </c>
      <c r="F1" s="3" t="s">
        <v>52</v>
      </c>
      <c r="G1" s="3" t="s">
        <v>186</v>
      </c>
      <c r="H1" s="3" t="s">
        <v>187</v>
      </c>
      <c r="I1" s="3" t="s">
        <v>15</v>
      </c>
      <c r="J1" s="3" t="s">
        <v>17</v>
      </c>
      <c r="K1" s="3" t="s">
        <v>0</v>
      </c>
      <c r="L1" s="4" t="s">
        <v>2</v>
      </c>
      <c r="M1" s="4" t="s">
        <v>53</v>
      </c>
      <c r="N1" s="4" t="s">
        <v>3</v>
      </c>
      <c r="O1" s="4" t="s">
        <v>191</v>
      </c>
      <c r="P1" s="4" t="s">
        <v>4</v>
      </c>
      <c r="Q1" s="3" t="s">
        <v>54</v>
      </c>
      <c r="R1" s="3" t="s">
        <v>188</v>
      </c>
      <c r="S1" s="3" t="s">
        <v>189</v>
      </c>
      <c r="T1" s="3" t="s">
        <v>190</v>
      </c>
      <c r="U1" t="s">
        <v>65</v>
      </c>
      <c r="V1" t="s">
        <v>66</v>
      </c>
      <c r="W1" t="s">
        <v>67</v>
      </c>
      <c r="X1" t="s">
        <v>68</v>
      </c>
      <c r="Y1" t="s">
        <v>69</v>
      </c>
      <c r="Z1" t="s">
        <v>70</v>
      </c>
      <c r="AA1" t="s">
        <v>71</v>
      </c>
      <c r="AB1" t="s">
        <v>55</v>
      </c>
      <c r="AC1" t="s">
        <v>56</v>
      </c>
      <c r="AD1" t="s">
        <v>57</v>
      </c>
      <c r="AE1" t="s">
        <v>58</v>
      </c>
      <c r="AF1" t="s">
        <v>72</v>
      </c>
      <c r="AG1" t="s">
        <v>73</v>
      </c>
      <c r="AH1" t="s">
        <v>74</v>
      </c>
      <c r="AI1" t="s">
        <v>75</v>
      </c>
      <c r="AJ1" t="s">
        <v>76</v>
      </c>
      <c r="AK1" t="s">
        <v>77</v>
      </c>
      <c r="AL1" t="s">
        <v>78</v>
      </c>
      <c r="AM1" t="s">
        <v>79</v>
      </c>
      <c r="AN1" t="s">
        <v>80</v>
      </c>
      <c r="AO1" t="s">
        <v>81</v>
      </c>
      <c r="AP1" t="s">
        <v>82</v>
      </c>
      <c r="AQ1" t="s">
        <v>59</v>
      </c>
      <c r="AR1" t="s">
        <v>60</v>
      </c>
      <c r="AS1" t="s">
        <v>61</v>
      </c>
      <c r="AT1" t="s">
        <v>83</v>
      </c>
      <c r="AU1" t="s">
        <v>84</v>
      </c>
      <c r="AV1" t="s">
        <v>85</v>
      </c>
      <c r="AW1" t="s">
        <v>86</v>
      </c>
      <c r="AX1" t="s">
        <v>87</v>
      </c>
      <c r="AY1" t="s">
        <v>88</v>
      </c>
      <c r="AZ1" t="s">
        <v>89</v>
      </c>
      <c r="BA1" t="s">
        <v>90</v>
      </c>
      <c r="BB1" t="s">
        <v>91</v>
      </c>
      <c r="BC1" t="s">
        <v>92</v>
      </c>
      <c r="BD1" t="s">
        <v>93</v>
      </c>
      <c r="BE1" t="s">
        <v>94</v>
      </c>
      <c r="BF1" t="s">
        <v>95</v>
      </c>
      <c r="BG1" t="s">
        <v>62</v>
      </c>
      <c r="BH1" t="s">
        <v>63</v>
      </c>
      <c r="BI1" t="s">
        <v>96</v>
      </c>
      <c r="BJ1" t="s">
        <v>64</v>
      </c>
      <c r="BK1" t="s">
        <v>97</v>
      </c>
      <c r="BL1" t="s">
        <v>98</v>
      </c>
      <c r="BM1" t="s">
        <v>99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  <c r="BX1" t="s">
        <v>110</v>
      </c>
      <c r="BY1" t="s">
        <v>111</v>
      </c>
      <c r="BZ1" t="s">
        <v>112</v>
      </c>
      <c r="CA1" t="s">
        <v>113</v>
      </c>
      <c r="CB1" t="s">
        <v>114</v>
      </c>
      <c r="CC1" t="s">
        <v>115</v>
      </c>
      <c r="CD1" t="s">
        <v>116</v>
      </c>
      <c r="CE1" t="s">
        <v>117</v>
      </c>
      <c r="CF1" t="s">
        <v>118</v>
      </c>
      <c r="CG1" t="s">
        <v>119</v>
      </c>
      <c r="CH1" t="s">
        <v>120</v>
      </c>
      <c r="CI1" t="s">
        <v>121</v>
      </c>
      <c r="CJ1" t="s">
        <v>122</v>
      </c>
      <c r="CK1" t="s">
        <v>123</v>
      </c>
      <c r="CL1" t="s">
        <v>124</v>
      </c>
      <c r="CM1" t="s">
        <v>125</v>
      </c>
      <c r="CN1" t="s">
        <v>126</v>
      </c>
      <c r="CO1" t="s">
        <v>127</v>
      </c>
      <c r="CP1" t="s">
        <v>50</v>
      </c>
      <c r="CQ1" t="s">
        <v>128</v>
      </c>
      <c r="CR1" t="s">
        <v>129</v>
      </c>
      <c r="CS1" t="s">
        <v>130</v>
      </c>
      <c r="CT1" t="s">
        <v>131</v>
      </c>
      <c r="CU1" t="s">
        <v>132</v>
      </c>
      <c r="CV1" t="s">
        <v>133</v>
      </c>
      <c r="CW1" t="s">
        <v>134</v>
      </c>
      <c r="CX1" t="s">
        <v>135</v>
      </c>
      <c r="CY1" t="s">
        <v>136</v>
      </c>
      <c r="CZ1" t="s">
        <v>137</v>
      </c>
      <c r="DA1" t="s">
        <v>138</v>
      </c>
      <c r="DB1" t="s">
        <v>139</v>
      </c>
      <c r="DC1" t="s">
        <v>140</v>
      </c>
      <c r="DD1" t="s">
        <v>141</v>
      </c>
      <c r="DE1" t="s">
        <v>142</v>
      </c>
      <c r="DF1" t="s">
        <v>143</v>
      </c>
      <c r="DG1" t="s">
        <v>144</v>
      </c>
      <c r="DH1" t="s">
        <v>145</v>
      </c>
      <c r="DI1" t="s">
        <v>146</v>
      </c>
      <c r="DJ1" t="s">
        <v>147</v>
      </c>
      <c r="DK1" t="s">
        <v>148</v>
      </c>
      <c r="DL1" t="s">
        <v>149</v>
      </c>
      <c r="DM1" t="s">
        <v>150</v>
      </c>
      <c r="DN1" t="s">
        <v>151</v>
      </c>
      <c r="DO1" t="s">
        <v>152</v>
      </c>
      <c r="DP1" t="s">
        <v>153</v>
      </c>
      <c r="DQ1" t="s">
        <v>154</v>
      </c>
      <c r="DR1" t="s">
        <v>155</v>
      </c>
      <c r="DS1" t="s">
        <v>156</v>
      </c>
      <c r="DT1" t="s">
        <v>157</v>
      </c>
      <c r="DU1" t="s">
        <v>158</v>
      </c>
      <c r="DV1" t="s">
        <v>159</v>
      </c>
      <c r="DW1" t="s">
        <v>160</v>
      </c>
      <c r="DX1" t="s">
        <v>161</v>
      </c>
      <c r="DY1" t="s">
        <v>162</v>
      </c>
      <c r="DZ1" t="s">
        <v>163</v>
      </c>
      <c r="EA1" t="s">
        <v>164</v>
      </c>
      <c r="EB1" t="s">
        <v>165</v>
      </c>
      <c r="EC1" t="s">
        <v>166</v>
      </c>
      <c r="ED1" t="s">
        <v>167</v>
      </c>
      <c r="EE1" t="s">
        <v>168</v>
      </c>
      <c r="EF1" t="s">
        <v>169</v>
      </c>
      <c r="EG1" t="s">
        <v>170</v>
      </c>
      <c r="EH1" t="s">
        <v>171</v>
      </c>
      <c r="EI1" t="s">
        <v>172</v>
      </c>
      <c r="EJ1" t="s">
        <v>173</v>
      </c>
      <c r="EK1" t="s">
        <v>174</v>
      </c>
      <c r="EL1" t="s">
        <v>175</v>
      </c>
      <c r="EM1" t="s">
        <v>176</v>
      </c>
      <c r="EN1" t="s">
        <v>177</v>
      </c>
      <c r="EO1" t="s">
        <v>178</v>
      </c>
      <c r="EP1" t="s">
        <v>179</v>
      </c>
      <c r="EQ1" t="s">
        <v>180</v>
      </c>
      <c r="ER1" t="s">
        <v>181</v>
      </c>
      <c r="ES1" t="s">
        <v>182</v>
      </c>
      <c r="ET1" t="s">
        <v>183</v>
      </c>
      <c r="EU1" t="s">
        <v>184</v>
      </c>
      <c r="EV1" t="s">
        <v>185</v>
      </c>
    </row>
    <row r="2" spans="1:152">
      <c r="A2" s="3">
        <v>1</v>
      </c>
      <c r="B2" s="3">
        <v>11</v>
      </c>
      <c r="C2" s="4" t="s">
        <v>27</v>
      </c>
      <c r="D2" s="4">
        <v>16</v>
      </c>
      <c r="E2" s="4">
        <v>32</v>
      </c>
      <c r="F2" s="4">
        <v>35.125</v>
      </c>
      <c r="G2" s="4">
        <v>21</v>
      </c>
      <c r="H2" s="4">
        <v>25.1666666666667</v>
      </c>
      <c r="I2" s="4">
        <v>6.5</v>
      </c>
      <c r="J2" s="4">
        <v>1.3125</v>
      </c>
      <c r="K2" s="4">
        <v>37.502499999999998</v>
      </c>
      <c r="L2" s="4">
        <v>14.6304</v>
      </c>
      <c r="M2" s="4">
        <v>0</v>
      </c>
      <c r="N2" s="4">
        <f>M2/5</f>
        <v>0</v>
      </c>
      <c r="O2" s="4">
        <v>0.92329033333333299</v>
      </c>
      <c r="P2" s="4">
        <v>0.92329033333333299</v>
      </c>
      <c r="Q2" s="4">
        <v>0.35980000000000001</v>
      </c>
      <c r="R2" s="4">
        <v>0.41120000000000001</v>
      </c>
      <c r="S2" s="5">
        <v>0.72419354838709671</v>
      </c>
      <c r="T2" s="5">
        <v>1.0354838709677425</v>
      </c>
      <c r="U2">
        <v>0.6875</v>
      </c>
      <c r="V2">
        <v>0.8125</v>
      </c>
      <c r="W2">
        <v>0.125</v>
      </c>
      <c r="X2">
        <v>0.3125</v>
      </c>
      <c r="Y2">
        <v>0</v>
      </c>
      <c r="Z2">
        <v>0</v>
      </c>
      <c r="AA2">
        <v>0</v>
      </c>
      <c r="AB2">
        <v>0.625</v>
      </c>
      <c r="AC2">
        <v>0</v>
      </c>
      <c r="AD2">
        <v>6.25E-2</v>
      </c>
      <c r="AE2">
        <v>0</v>
      </c>
      <c r="AF2">
        <v>0</v>
      </c>
      <c r="AG2">
        <v>0</v>
      </c>
      <c r="AH2">
        <v>0</v>
      </c>
      <c r="AI2">
        <v>0.1875</v>
      </c>
      <c r="AJ2">
        <v>0</v>
      </c>
      <c r="AK2">
        <v>0</v>
      </c>
      <c r="AL2">
        <v>0</v>
      </c>
      <c r="AM2">
        <v>0.8125</v>
      </c>
      <c r="AN2">
        <v>6.25E-2</v>
      </c>
      <c r="AO2">
        <v>0</v>
      </c>
      <c r="AP2">
        <v>0</v>
      </c>
      <c r="AQ2">
        <v>0</v>
      </c>
      <c r="AR2">
        <v>0.3125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0.3125</v>
      </c>
      <c r="BB2">
        <v>0</v>
      </c>
      <c r="BC2">
        <v>0.8125</v>
      </c>
      <c r="BD2">
        <v>0</v>
      </c>
      <c r="BE2">
        <v>0</v>
      </c>
      <c r="BF2">
        <v>0</v>
      </c>
      <c r="BG2">
        <v>0.3125</v>
      </c>
      <c r="BH2">
        <v>0.375</v>
      </c>
      <c r="BI2">
        <v>0</v>
      </c>
      <c r="BJ2">
        <v>0</v>
      </c>
      <c r="BK2">
        <v>0.125</v>
      </c>
      <c r="BL2">
        <v>0.9375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0.125</v>
      </c>
      <c r="BW2">
        <v>0</v>
      </c>
      <c r="BX2">
        <v>6.25E-2</v>
      </c>
      <c r="BY2">
        <v>6.25E-2</v>
      </c>
      <c r="BZ2">
        <v>0.125</v>
      </c>
      <c r="CA2">
        <v>0</v>
      </c>
      <c r="CB2">
        <v>0</v>
      </c>
      <c r="CC2">
        <v>0</v>
      </c>
      <c r="CD2">
        <v>6.25E-2</v>
      </c>
      <c r="CE2">
        <v>0</v>
      </c>
      <c r="CF2">
        <v>0</v>
      </c>
      <c r="CG2">
        <v>0.25</v>
      </c>
      <c r="CH2">
        <v>0</v>
      </c>
      <c r="CI2">
        <v>0.1875</v>
      </c>
      <c r="CJ2">
        <v>0.1875</v>
      </c>
      <c r="CK2">
        <v>0</v>
      </c>
      <c r="CL2">
        <v>0</v>
      </c>
      <c r="CM2">
        <v>0.1875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6.25E-2</v>
      </c>
      <c r="CY2">
        <v>0</v>
      </c>
      <c r="CZ2">
        <v>0</v>
      </c>
      <c r="DA2">
        <v>0</v>
      </c>
      <c r="DB2">
        <v>0</v>
      </c>
      <c r="DC2">
        <v>0</v>
      </c>
      <c r="DD2">
        <v>0.125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0.625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0.1875</v>
      </c>
      <c r="DW2">
        <v>0</v>
      </c>
      <c r="DX2">
        <v>6.25E-2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6.25E-2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6.25E-2</v>
      </c>
      <c r="EO2">
        <v>0</v>
      </c>
      <c r="EP2">
        <v>0</v>
      </c>
      <c r="EQ2">
        <v>0</v>
      </c>
      <c r="ER2">
        <v>0</v>
      </c>
      <c r="ES2">
        <v>0.5</v>
      </c>
      <c r="ET2">
        <v>0.125</v>
      </c>
      <c r="EU2">
        <v>0</v>
      </c>
      <c r="EV2">
        <v>0</v>
      </c>
    </row>
    <row r="3" spans="1:152">
      <c r="A3" s="3">
        <v>2</v>
      </c>
      <c r="B3" s="3">
        <v>10</v>
      </c>
      <c r="C3" s="4" t="s">
        <v>28</v>
      </c>
      <c r="D3" s="4">
        <v>16</v>
      </c>
      <c r="E3" s="4">
        <v>22</v>
      </c>
      <c r="F3" s="4">
        <v>23.5</v>
      </c>
      <c r="G3" s="4">
        <v>17</v>
      </c>
      <c r="H3" s="4">
        <v>23.25</v>
      </c>
      <c r="I3" s="4">
        <v>4.4375</v>
      </c>
      <c r="J3" s="4">
        <v>0.75</v>
      </c>
      <c r="K3" s="4">
        <v>59.104374999999997</v>
      </c>
      <c r="L3" s="4">
        <v>15.0114</v>
      </c>
      <c r="M3" s="4">
        <v>0</v>
      </c>
      <c r="N3" s="4">
        <f t="shared" ref="N3:N19" si="0">M3/5</f>
        <v>0</v>
      </c>
      <c r="O3" s="4">
        <v>0.72485666666666704</v>
      </c>
      <c r="P3" s="4">
        <v>0.72485666666666704</v>
      </c>
      <c r="Q3" s="4">
        <v>0.33409999999999995</v>
      </c>
      <c r="R3" s="4">
        <v>0.35980000000000001</v>
      </c>
      <c r="S3" s="5">
        <v>0.6567204301075269</v>
      </c>
      <c r="T3" s="5">
        <v>0.90645161290322573</v>
      </c>
      <c r="U3">
        <v>0.5</v>
      </c>
      <c r="V3">
        <v>0.25</v>
      </c>
      <c r="W3">
        <v>0</v>
      </c>
      <c r="X3">
        <v>0</v>
      </c>
      <c r="Y3">
        <v>0</v>
      </c>
      <c r="Z3">
        <v>0</v>
      </c>
      <c r="AA3">
        <v>0</v>
      </c>
      <c r="AB3">
        <v>0.8125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0.625</v>
      </c>
      <c r="AJ3">
        <v>0</v>
      </c>
      <c r="AK3">
        <v>0</v>
      </c>
      <c r="AL3">
        <v>0</v>
      </c>
      <c r="AM3">
        <v>0</v>
      </c>
      <c r="AN3">
        <v>0.125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0.25</v>
      </c>
      <c r="BB3">
        <v>0</v>
      </c>
      <c r="BC3">
        <v>0.125</v>
      </c>
      <c r="BD3">
        <v>0</v>
      </c>
      <c r="BE3">
        <v>0</v>
      </c>
      <c r="BF3">
        <v>0</v>
      </c>
      <c r="BG3">
        <v>0.125</v>
      </c>
      <c r="BH3">
        <v>0.25</v>
      </c>
      <c r="BI3">
        <v>0</v>
      </c>
      <c r="BJ3">
        <v>6.25E-2</v>
      </c>
      <c r="BK3">
        <v>0</v>
      </c>
      <c r="BL3">
        <v>0.75</v>
      </c>
      <c r="BM3">
        <v>6.25E-2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6.25E-2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0.875</v>
      </c>
      <c r="CK3">
        <v>0</v>
      </c>
      <c r="CL3">
        <v>0</v>
      </c>
      <c r="CM3">
        <v>0.25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6.25E-2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>
        <v>0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6.25E-2</v>
      </c>
      <c r="EJ3">
        <v>0</v>
      </c>
      <c r="EK3">
        <v>6.25E-2</v>
      </c>
      <c r="EL3">
        <v>0</v>
      </c>
      <c r="EM3">
        <v>0.125</v>
      </c>
      <c r="EN3">
        <v>0</v>
      </c>
      <c r="EO3">
        <v>0</v>
      </c>
      <c r="EP3">
        <v>0</v>
      </c>
      <c r="EQ3">
        <v>0</v>
      </c>
      <c r="ER3">
        <v>0</v>
      </c>
      <c r="ES3">
        <v>0.5</v>
      </c>
      <c r="ET3">
        <v>6.25E-2</v>
      </c>
      <c r="EU3">
        <v>0</v>
      </c>
      <c r="EV3">
        <v>0</v>
      </c>
    </row>
    <row r="4" spans="1:152">
      <c r="A4" s="3">
        <v>3</v>
      </c>
      <c r="B4" s="3">
        <v>2</v>
      </c>
      <c r="C4" s="4" t="s">
        <v>29</v>
      </c>
      <c r="D4" s="4">
        <v>24</v>
      </c>
      <c r="E4" s="4">
        <v>59</v>
      </c>
      <c r="F4" s="4">
        <v>69.6666666666667</v>
      </c>
      <c r="G4" s="4">
        <v>34</v>
      </c>
      <c r="H4" s="4">
        <v>52</v>
      </c>
      <c r="I4" s="4">
        <v>16.7916666666667</v>
      </c>
      <c r="J4" s="4">
        <v>2.875</v>
      </c>
      <c r="K4" s="4">
        <v>0</v>
      </c>
      <c r="L4" s="4">
        <v>14.427199999999999</v>
      </c>
      <c r="M4" s="4">
        <v>4.3333333333333304</v>
      </c>
      <c r="N4" s="4">
        <f t="shared" si="0"/>
        <v>0.86666666666666603</v>
      </c>
      <c r="O4" s="4" t="s">
        <v>5</v>
      </c>
      <c r="P4" s="4" t="s">
        <v>5</v>
      </c>
      <c r="Q4" s="4">
        <v>0.95090000000000008</v>
      </c>
      <c r="R4" s="4">
        <v>1.0794000000000001</v>
      </c>
      <c r="S4" s="5">
        <v>1.8497311827956988</v>
      </c>
      <c r="T4" s="5">
        <v>2.4806451612903224</v>
      </c>
      <c r="U4">
        <v>1</v>
      </c>
      <c r="V4">
        <v>0.79166666699999999</v>
      </c>
      <c r="W4">
        <v>0.625</v>
      </c>
      <c r="X4">
        <v>0.95833333300000001</v>
      </c>
      <c r="Y4">
        <v>0</v>
      </c>
      <c r="Z4">
        <v>0</v>
      </c>
      <c r="AA4">
        <v>0.20833333300000001</v>
      </c>
      <c r="AB4">
        <v>0.54166666699999999</v>
      </c>
      <c r="AC4">
        <v>0.33333333300000001</v>
      </c>
      <c r="AD4">
        <v>4.1666666999999998E-2</v>
      </c>
      <c r="AE4">
        <v>0.875</v>
      </c>
      <c r="AF4">
        <v>0.45833333300000001</v>
      </c>
      <c r="AG4">
        <v>0.41666666699999999</v>
      </c>
      <c r="AH4">
        <v>0.70833333300000001</v>
      </c>
      <c r="AI4">
        <v>0.16666666699999999</v>
      </c>
      <c r="AJ4">
        <v>0</v>
      </c>
      <c r="AK4">
        <v>0</v>
      </c>
      <c r="AL4">
        <v>8.3333332999999996E-2</v>
      </c>
      <c r="AM4">
        <v>0</v>
      </c>
      <c r="AN4">
        <v>0.79166666699999999</v>
      </c>
      <c r="AO4">
        <v>0</v>
      </c>
      <c r="AP4">
        <v>0.125</v>
      </c>
      <c r="AQ4">
        <v>0</v>
      </c>
      <c r="AR4">
        <v>0.54166666699999999</v>
      </c>
      <c r="AS4">
        <v>0.625</v>
      </c>
      <c r="AT4">
        <v>0</v>
      </c>
      <c r="AU4">
        <v>0</v>
      </c>
      <c r="AV4">
        <v>0</v>
      </c>
      <c r="AW4">
        <v>4.1666666999999998E-2</v>
      </c>
      <c r="AX4">
        <v>0.29166666699999999</v>
      </c>
      <c r="AY4">
        <v>8.3333332999999996E-2</v>
      </c>
      <c r="AZ4">
        <v>0</v>
      </c>
      <c r="BA4">
        <v>0.375</v>
      </c>
      <c r="BB4">
        <v>0</v>
      </c>
      <c r="BC4">
        <v>0.41666666699999999</v>
      </c>
      <c r="BD4">
        <v>0.5</v>
      </c>
      <c r="BE4">
        <v>0</v>
      </c>
      <c r="BF4">
        <v>0</v>
      </c>
      <c r="BG4">
        <v>0.125</v>
      </c>
      <c r="BH4">
        <v>4.1666666999999998E-2</v>
      </c>
      <c r="BI4">
        <v>0</v>
      </c>
      <c r="BJ4">
        <v>0.45833333300000001</v>
      </c>
      <c r="BK4">
        <v>0.375</v>
      </c>
      <c r="BL4">
        <v>0.83333333300000001</v>
      </c>
      <c r="BM4">
        <v>0.66666666699999999</v>
      </c>
      <c r="BN4">
        <v>0.29166666699999999</v>
      </c>
      <c r="BO4">
        <v>0.79166666699999999</v>
      </c>
      <c r="BP4">
        <v>0.16666666699999999</v>
      </c>
      <c r="BQ4">
        <v>0</v>
      </c>
      <c r="BR4">
        <v>0.5</v>
      </c>
      <c r="BS4">
        <v>0.5</v>
      </c>
      <c r="BT4">
        <v>4.1666666999999998E-2</v>
      </c>
      <c r="BU4">
        <v>0</v>
      </c>
      <c r="BV4">
        <v>0.16666666699999999</v>
      </c>
      <c r="BW4">
        <v>0.33333333300000001</v>
      </c>
      <c r="BX4">
        <v>0</v>
      </c>
      <c r="BY4">
        <v>0</v>
      </c>
      <c r="BZ4">
        <v>0</v>
      </c>
      <c r="CA4">
        <v>0</v>
      </c>
      <c r="CB4">
        <v>4.1666666999999998E-2</v>
      </c>
      <c r="CC4">
        <v>8.3333332999999996E-2</v>
      </c>
      <c r="CD4">
        <v>0.20833333300000001</v>
      </c>
      <c r="CE4">
        <v>0.25</v>
      </c>
      <c r="CF4">
        <v>0</v>
      </c>
      <c r="CG4">
        <v>0.75</v>
      </c>
      <c r="CH4">
        <v>0</v>
      </c>
      <c r="CI4">
        <v>0.5</v>
      </c>
      <c r="CJ4">
        <v>0.875</v>
      </c>
      <c r="CK4">
        <v>0</v>
      </c>
      <c r="CL4">
        <v>0</v>
      </c>
      <c r="CM4">
        <v>0</v>
      </c>
      <c r="CN4">
        <v>0</v>
      </c>
      <c r="CO4">
        <v>4.1666666999999998E-2</v>
      </c>
      <c r="CP4">
        <v>0.125</v>
      </c>
      <c r="CQ4">
        <v>0</v>
      </c>
      <c r="CR4">
        <v>8.3333332999999996E-2</v>
      </c>
      <c r="CS4">
        <v>0</v>
      </c>
      <c r="CT4">
        <v>0</v>
      </c>
      <c r="CU4">
        <v>0</v>
      </c>
      <c r="CV4">
        <v>0</v>
      </c>
      <c r="CW4">
        <v>0.33333333300000001</v>
      </c>
      <c r="CX4">
        <v>0</v>
      </c>
      <c r="CY4">
        <v>4.1666666999999998E-2</v>
      </c>
      <c r="CZ4">
        <v>4.1666666999999998E-2</v>
      </c>
      <c r="DA4">
        <v>0</v>
      </c>
      <c r="DB4">
        <v>4.1666666999999998E-2</v>
      </c>
      <c r="DC4">
        <v>0</v>
      </c>
      <c r="DD4">
        <v>0.83333333300000001</v>
      </c>
      <c r="DE4">
        <v>0.16666666699999999</v>
      </c>
      <c r="DF4">
        <v>0.125</v>
      </c>
      <c r="DG4">
        <v>0</v>
      </c>
      <c r="DH4">
        <v>0</v>
      </c>
      <c r="DI4">
        <v>0</v>
      </c>
      <c r="DJ4">
        <v>0</v>
      </c>
      <c r="DK4">
        <v>0</v>
      </c>
      <c r="DL4">
        <v>0.41666666699999999</v>
      </c>
      <c r="DM4">
        <v>0</v>
      </c>
      <c r="DN4">
        <v>4.1666666999999998E-2</v>
      </c>
      <c r="DO4">
        <v>0.5</v>
      </c>
      <c r="DP4">
        <v>0.5</v>
      </c>
      <c r="DQ4">
        <v>8.3333332999999996E-2</v>
      </c>
      <c r="DR4">
        <v>4.1666666999999998E-2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4.1666666999999998E-2</v>
      </c>
      <c r="EG4">
        <v>4.1666666999999998E-2</v>
      </c>
      <c r="EH4">
        <v>4.1666666999999998E-2</v>
      </c>
      <c r="EI4">
        <v>0</v>
      </c>
      <c r="EJ4">
        <v>0</v>
      </c>
      <c r="EK4">
        <v>0</v>
      </c>
      <c r="EL4">
        <v>0.33333333300000001</v>
      </c>
      <c r="EM4">
        <v>0</v>
      </c>
      <c r="EN4">
        <v>0.33333333300000001</v>
      </c>
      <c r="EO4">
        <v>0</v>
      </c>
      <c r="EP4">
        <v>0</v>
      </c>
      <c r="EQ4">
        <v>0</v>
      </c>
      <c r="ER4">
        <v>8.3333332999999996E-2</v>
      </c>
      <c r="ES4">
        <v>4.1666666999999998E-2</v>
      </c>
      <c r="ET4">
        <v>0.125</v>
      </c>
      <c r="EU4">
        <v>0</v>
      </c>
      <c r="EV4">
        <v>4.1666666999999998E-2</v>
      </c>
    </row>
    <row r="5" spans="1:152">
      <c r="A5" s="3">
        <v>4</v>
      </c>
      <c r="B5" s="3">
        <v>13</v>
      </c>
      <c r="C5" s="4" t="s">
        <v>30</v>
      </c>
      <c r="D5" s="4">
        <v>24</v>
      </c>
      <c r="E5" s="4">
        <v>41</v>
      </c>
      <c r="F5" s="4">
        <v>65.5</v>
      </c>
      <c r="G5" s="4">
        <v>27</v>
      </c>
      <c r="H5" s="4">
        <v>30.125</v>
      </c>
      <c r="I5" s="4">
        <v>10.125</v>
      </c>
      <c r="J5" s="4">
        <v>2.6666666666666701</v>
      </c>
      <c r="K5" s="4">
        <v>2.55375</v>
      </c>
      <c r="L5" s="4">
        <v>16.662400000000002</v>
      </c>
      <c r="M5" s="4">
        <v>0.5</v>
      </c>
      <c r="N5" s="4">
        <f t="shared" si="0"/>
        <v>0.1</v>
      </c>
      <c r="O5" s="4" t="s">
        <v>5</v>
      </c>
      <c r="P5" s="4" t="s">
        <v>5</v>
      </c>
      <c r="Q5" s="4">
        <v>0.56540000000000001</v>
      </c>
      <c r="R5" s="4">
        <v>0.71960000000000002</v>
      </c>
      <c r="S5" s="5">
        <v>1.1053763440860218</v>
      </c>
      <c r="T5" s="5">
        <v>1.7193548387096773</v>
      </c>
      <c r="U5">
        <v>0.79166666699999999</v>
      </c>
      <c r="V5">
        <v>0.70833333300000001</v>
      </c>
      <c r="W5">
        <v>0.125</v>
      </c>
      <c r="X5">
        <v>0</v>
      </c>
      <c r="Y5">
        <v>0</v>
      </c>
      <c r="Z5">
        <v>0</v>
      </c>
      <c r="AA5">
        <v>0</v>
      </c>
      <c r="AB5">
        <v>0.25</v>
      </c>
      <c r="AC5">
        <v>0</v>
      </c>
      <c r="AD5">
        <v>0</v>
      </c>
      <c r="AE5">
        <v>0</v>
      </c>
      <c r="AF5">
        <v>0.5</v>
      </c>
      <c r="AG5">
        <v>0.41666666699999999</v>
      </c>
      <c r="AH5">
        <v>0</v>
      </c>
      <c r="AI5">
        <v>0</v>
      </c>
      <c r="AJ5">
        <v>0</v>
      </c>
      <c r="AK5">
        <v>4.1666666999999998E-2</v>
      </c>
      <c r="AL5">
        <v>8.3333332999999996E-2</v>
      </c>
      <c r="AM5">
        <v>0</v>
      </c>
      <c r="AN5">
        <v>0.79166666699999999</v>
      </c>
      <c r="AO5">
        <v>0</v>
      </c>
      <c r="AP5">
        <v>0</v>
      </c>
      <c r="AQ5">
        <v>0</v>
      </c>
      <c r="AR5">
        <v>0.45833333300000001</v>
      </c>
      <c r="AS5">
        <v>0.5</v>
      </c>
      <c r="AT5">
        <v>0</v>
      </c>
      <c r="AU5">
        <v>4.1666666999999998E-2</v>
      </c>
      <c r="AV5">
        <v>0</v>
      </c>
      <c r="AW5">
        <v>0</v>
      </c>
      <c r="AX5">
        <v>0</v>
      </c>
      <c r="AY5">
        <v>0.20833333300000001</v>
      </c>
      <c r="AZ5">
        <v>1</v>
      </c>
      <c r="BA5">
        <v>0.58333333300000001</v>
      </c>
      <c r="BB5">
        <v>0</v>
      </c>
      <c r="BC5">
        <v>0.25</v>
      </c>
      <c r="BD5">
        <v>0.25</v>
      </c>
      <c r="BE5">
        <v>0</v>
      </c>
      <c r="BF5">
        <v>0</v>
      </c>
      <c r="BG5">
        <v>4.1666666999999998E-2</v>
      </c>
      <c r="BH5">
        <v>0</v>
      </c>
      <c r="BI5">
        <v>0</v>
      </c>
      <c r="BJ5">
        <v>0.375</v>
      </c>
      <c r="BK5">
        <v>0.625</v>
      </c>
      <c r="BL5">
        <v>0.125</v>
      </c>
      <c r="BM5">
        <v>4.1666666999999998E-2</v>
      </c>
      <c r="BN5">
        <v>0.16666666699999999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0.20833333300000001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0.125</v>
      </c>
      <c r="CE5">
        <v>0.16666666699999999</v>
      </c>
      <c r="CF5">
        <v>0.625</v>
      </c>
      <c r="CG5">
        <v>0.83333333300000001</v>
      </c>
      <c r="CH5">
        <v>0</v>
      </c>
      <c r="CI5">
        <v>0.75</v>
      </c>
      <c r="CJ5">
        <v>4.1666666999999998E-2</v>
      </c>
      <c r="CK5">
        <v>0</v>
      </c>
      <c r="CL5">
        <v>4.1666666999999998E-2</v>
      </c>
      <c r="CM5">
        <v>0</v>
      </c>
      <c r="CN5">
        <v>4.1666666999999998E-2</v>
      </c>
      <c r="CO5">
        <v>0</v>
      </c>
      <c r="CP5">
        <v>0</v>
      </c>
      <c r="CQ5">
        <v>0</v>
      </c>
      <c r="CR5">
        <v>0.25</v>
      </c>
      <c r="CS5">
        <v>0</v>
      </c>
      <c r="CT5">
        <v>0</v>
      </c>
      <c r="CU5">
        <v>0</v>
      </c>
      <c r="CV5">
        <v>0</v>
      </c>
      <c r="CW5">
        <v>4.1666666999999998E-2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8.3333332999999996E-2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0.66666666699999999</v>
      </c>
      <c r="DM5">
        <v>0</v>
      </c>
      <c r="DN5">
        <v>0</v>
      </c>
      <c r="DO5">
        <v>0.16666666699999999</v>
      </c>
      <c r="DP5">
        <v>1.375</v>
      </c>
      <c r="DQ5">
        <v>8.3333332999999996E-2</v>
      </c>
      <c r="DR5">
        <v>0.125</v>
      </c>
      <c r="DS5">
        <v>0.33333333300000001</v>
      </c>
      <c r="DT5">
        <v>4.1666666999999998E-2</v>
      </c>
      <c r="DU5">
        <v>0</v>
      </c>
      <c r="DV5">
        <v>0</v>
      </c>
      <c r="DW5">
        <v>0</v>
      </c>
      <c r="DX5">
        <v>0.20833333300000001</v>
      </c>
      <c r="DY5">
        <v>4.1666666999999998E-2</v>
      </c>
      <c r="DZ5">
        <v>0</v>
      </c>
      <c r="EA5">
        <v>0</v>
      </c>
      <c r="EB5">
        <v>0</v>
      </c>
      <c r="EC5">
        <v>0</v>
      </c>
      <c r="ED5">
        <v>8.3333332999999996E-2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0.16666666699999999</v>
      </c>
      <c r="EO5">
        <v>0</v>
      </c>
      <c r="EP5">
        <v>0</v>
      </c>
      <c r="EQ5">
        <v>0</v>
      </c>
      <c r="ER5">
        <v>0.16666666699999999</v>
      </c>
      <c r="ES5">
        <v>0</v>
      </c>
      <c r="ET5">
        <v>4.1666666999999998E-2</v>
      </c>
      <c r="EU5">
        <v>4.1666666999999998E-2</v>
      </c>
      <c r="EV5">
        <v>0</v>
      </c>
    </row>
    <row r="6" spans="1:152">
      <c r="A6" s="3">
        <v>5</v>
      </c>
      <c r="B6" s="3">
        <v>4</v>
      </c>
      <c r="C6" s="4" t="s">
        <v>31</v>
      </c>
      <c r="D6" s="4">
        <v>24</v>
      </c>
      <c r="E6" s="4">
        <v>57</v>
      </c>
      <c r="F6" s="4">
        <v>71.400000000000006</v>
      </c>
      <c r="G6" s="4">
        <v>31</v>
      </c>
      <c r="H6" s="4">
        <v>35.1666666666667</v>
      </c>
      <c r="I6" s="4">
        <v>11.3333333333333</v>
      </c>
      <c r="J6" s="4">
        <v>3.875</v>
      </c>
      <c r="K6" s="4">
        <v>0</v>
      </c>
      <c r="L6" s="4">
        <v>15.6464</v>
      </c>
      <c r="M6" s="4">
        <v>1.3333333333333299</v>
      </c>
      <c r="N6" s="4">
        <f t="shared" si="0"/>
        <v>0.266666666666666</v>
      </c>
      <c r="O6" s="4" t="s">
        <v>5</v>
      </c>
      <c r="P6" s="4" t="s">
        <v>5</v>
      </c>
      <c r="Q6" s="4">
        <v>0.82240000000000002</v>
      </c>
      <c r="R6" s="4">
        <v>1.2336</v>
      </c>
      <c r="S6" s="5">
        <v>1.5822580645161293</v>
      </c>
      <c r="T6" s="5">
        <v>2.7258064516129026</v>
      </c>
      <c r="U6">
        <v>0.91666666699999999</v>
      </c>
      <c r="V6">
        <v>1</v>
      </c>
      <c r="W6">
        <v>0.58333333300000001</v>
      </c>
      <c r="X6">
        <v>0.875</v>
      </c>
      <c r="Y6">
        <v>0</v>
      </c>
      <c r="Z6">
        <v>0</v>
      </c>
      <c r="AA6">
        <v>4.1666666999999998E-2</v>
      </c>
      <c r="AB6">
        <v>0.45833333300000001</v>
      </c>
      <c r="AC6">
        <v>0.54166666699999999</v>
      </c>
      <c r="AD6">
        <v>0</v>
      </c>
      <c r="AE6">
        <v>8.3333332999999996E-2</v>
      </c>
      <c r="AF6">
        <v>4.1666666999999998E-2</v>
      </c>
      <c r="AG6">
        <v>0.41666666699999999</v>
      </c>
      <c r="AH6">
        <v>0.33333333300000001</v>
      </c>
      <c r="AI6">
        <v>4.1666666999999998E-2</v>
      </c>
      <c r="AJ6">
        <v>0</v>
      </c>
      <c r="AK6">
        <v>0</v>
      </c>
      <c r="AL6">
        <v>4.1666666999999998E-2</v>
      </c>
      <c r="AM6">
        <v>4.1666666999999998E-2</v>
      </c>
      <c r="AN6">
        <v>0.95833333300000001</v>
      </c>
      <c r="AO6">
        <v>0</v>
      </c>
      <c r="AP6">
        <v>4.1666666999999998E-2</v>
      </c>
      <c r="AQ6">
        <v>0</v>
      </c>
      <c r="AR6">
        <v>0.45833333300000001</v>
      </c>
      <c r="AS6">
        <v>0.83333333300000001</v>
      </c>
      <c r="AT6">
        <v>0</v>
      </c>
      <c r="AU6">
        <v>4.1666666999999998E-2</v>
      </c>
      <c r="AV6">
        <v>0.375</v>
      </c>
      <c r="AW6">
        <v>0</v>
      </c>
      <c r="AX6">
        <v>0</v>
      </c>
      <c r="AY6">
        <v>0</v>
      </c>
      <c r="AZ6">
        <v>0</v>
      </c>
      <c r="BA6">
        <v>0.16666666699999999</v>
      </c>
      <c r="BB6">
        <v>0</v>
      </c>
      <c r="BC6">
        <v>0.16666666699999999</v>
      </c>
      <c r="BD6">
        <v>8.3333332999999996E-2</v>
      </c>
      <c r="BE6">
        <v>0</v>
      </c>
      <c r="BF6">
        <v>0</v>
      </c>
      <c r="BG6">
        <v>0</v>
      </c>
      <c r="BH6">
        <v>4.1666666999999998E-2</v>
      </c>
      <c r="BI6">
        <v>0.125</v>
      </c>
      <c r="BJ6">
        <v>0.41666666699999999</v>
      </c>
      <c r="BK6">
        <v>0.41666666699999999</v>
      </c>
      <c r="BL6">
        <v>0.20833333300000001</v>
      </c>
      <c r="BM6">
        <v>0.33333333300000001</v>
      </c>
      <c r="BN6">
        <v>0.29166666699999999</v>
      </c>
      <c r="BO6">
        <v>4.1666666999999998E-2</v>
      </c>
      <c r="BP6">
        <v>0</v>
      </c>
      <c r="BQ6">
        <v>0</v>
      </c>
      <c r="BR6">
        <v>0</v>
      </c>
      <c r="BS6">
        <v>0.25</v>
      </c>
      <c r="BT6">
        <v>0.20833333300000001</v>
      </c>
      <c r="BU6">
        <v>0.20833333300000001</v>
      </c>
      <c r="BV6">
        <v>8.3333332999999996E-2</v>
      </c>
      <c r="BW6">
        <v>4.1666666999999998E-2</v>
      </c>
      <c r="BX6">
        <v>0.125</v>
      </c>
      <c r="BY6">
        <v>0</v>
      </c>
      <c r="BZ6">
        <v>0</v>
      </c>
      <c r="CA6">
        <v>0</v>
      </c>
      <c r="CB6">
        <v>0</v>
      </c>
      <c r="CC6">
        <v>8.3333332999999996E-2</v>
      </c>
      <c r="CD6">
        <v>0.125</v>
      </c>
      <c r="CE6">
        <v>0.41666666699999999</v>
      </c>
      <c r="CF6">
        <v>4.1666666999999998E-2</v>
      </c>
      <c r="CG6">
        <v>0.54166666699999999</v>
      </c>
      <c r="CH6">
        <v>0</v>
      </c>
      <c r="CI6">
        <v>0.125</v>
      </c>
      <c r="CJ6">
        <v>0.29166666699999999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0.125</v>
      </c>
      <c r="CS6">
        <v>0</v>
      </c>
      <c r="CT6">
        <v>0</v>
      </c>
      <c r="CU6">
        <v>0</v>
      </c>
      <c r="CV6">
        <v>8.3333332999999996E-2</v>
      </c>
      <c r="CW6">
        <v>0.125</v>
      </c>
      <c r="CX6">
        <v>0</v>
      </c>
      <c r="CY6">
        <v>0.5</v>
      </c>
      <c r="CZ6">
        <v>0</v>
      </c>
      <c r="DA6">
        <v>9.25</v>
      </c>
      <c r="DB6">
        <v>0</v>
      </c>
      <c r="DC6">
        <v>0</v>
      </c>
      <c r="DD6">
        <v>0.5</v>
      </c>
      <c r="DE6">
        <v>0.20833333300000001</v>
      </c>
      <c r="DF6">
        <v>0.20833333300000001</v>
      </c>
      <c r="DG6">
        <v>0.125</v>
      </c>
      <c r="DH6">
        <v>4.1666666999999998E-2</v>
      </c>
      <c r="DI6">
        <v>0</v>
      </c>
      <c r="DJ6">
        <v>0</v>
      </c>
      <c r="DK6">
        <v>0</v>
      </c>
      <c r="DL6">
        <v>1.9166666670000001</v>
      </c>
      <c r="DM6">
        <v>0</v>
      </c>
      <c r="DN6">
        <v>0</v>
      </c>
      <c r="DO6">
        <v>0.5</v>
      </c>
      <c r="DP6">
        <v>0.5</v>
      </c>
      <c r="DQ6">
        <v>0</v>
      </c>
      <c r="DR6">
        <v>0.16666666699999999</v>
      </c>
      <c r="DS6">
        <v>0</v>
      </c>
      <c r="DT6">
        <v>0</v>
      </c>
      <c r="DU6">
        <v>0</v>
      </c>
      <c r="DV6">
        <v>4.1666666999999998E-2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4.1666666999999998E-2</v>
      </c>
      <c r="EG6">
        <v>0</v>
      </c>
      <c r="EH6">
        <v>0</v>
      </c>
      <c r="EI6">
        <v>0</v>
      </c>
      <c r="EJ6">
        <v>0</v>
      </c>
      <c r="EK6">
        <v>0</v>
      </c>
      <c r="EL6">
        <v>0.25</v>
      </c>
      <c r="EM6">
        <v>0</v>
      </c>
      <c r="EN6">
        <v>8.3333332999999996E-2</v>
      </c>
      <c r="EO6">
        <v>0</v>
      </c>
      <c r="EP6">
        <v>4.1666666999999998E-2</v>
      </c>
      <c r="EQ6">
        <v>0</v>
      </c>
      <c r="ER6">
        <v>0.16666666699999999</v>
      </c>
      <c r="ES6">
        <v>0</v>
      </c>
      <c r="ET6">
        <v>0</v>
      </c>
      <c r="EU6">
        <v>0.16666666699999999</v>
      </c>
      <c r="EV6">
        <v>0</v>
      </c>
    </row>
    <row r="7" spans="1:152">
      <c r="A7" s="3">
        <v>6</v>
      </c>
      <c r="B7" s="3">
        <v>3</v>
      </c>
      <c r="C7" s="4" t="s">
        <v>32</v>
      </c>
      <c r="D7" s="4">
        <v>24</v>
      </c>
      <c r="E7" s="4">
        <v>51</v>
      </c>
      <c r="F7" s="4">
        <v>54</v>
      </c>
      <c r="G7" s="4">
        <v>36</v>
      </c>
      <c r="H7" s="4">
        <v>164</v>
      </c>
      <c r="I7" s="4">
        <v>10.9166666666667</v>
      </c>
      <c r="J7" s="4">
        <v>3.625</v>
      </c>
      <c r="K7" s="4">
        <v>0</v>
      </c>
      <c r="L7" s="4">
        <v>15.138400000000001</v>
      </c>
      <c r="M7" s="4">
        <v>1.1666666666666701</v>
      </c>
      <c r="N7" s="4">
        <f t="shared" si="0"/>
        <v>0.233333333333334</v>
      </c>
      <c r="O7" s="4" t="s">
        <v>5</v>
      </c>
      <c r="P7" s="4" t="s">
        <v>5</v>
      </c>
      <c r="Q7" s="4">
        <v>0.74530000000000007</v>
      </c>
      <c r="R7" s="4">
        <v>0.82240000000000002</v>
      </c>
      <c r="S7" s="5">
        <v>1.428494623655914</v>
      </c>
      <c r="T7" s="5">
        <v>1.9064516129032261</v>
      </c>
      <c r="U7">
        <v>0.95833333300000001</v>
      </c>
      <c r="V7">
        <v>1</v>
      </c>
      <c r="W7">
        <v>0.70833333300000001</v>
      </c>
      <c r="X7">
        <v>0.83333333300000001</v>
      </c>
      <c r="Y7">
        <v>0</v>
      </c>
      <c r="Z7">
        <v>0</v>
      </c>
      <c r="AA7">
        <v>0.70833333300000001</v>
      </c>
      <c r="AB7">
        <v>0.625</v>
      </c>
      <c r="AC7">
        <v>0.16666666699999999</v>
      </c>
      <c r="AD7">
        <v>0.16666666699999999</v>
      </c>
      <c r="AE7">
        <v>0.375</v>
      </c>
      <c r="AF7">
        <v>0</v>
      </c>
      <c r="AG7">
        <v>0.33333333300000001</v>
      </c>
      <c r="AH7">
        <v>0.16666666699999999</v>
      </c>
      <c r="AI7">
        <v>0</v>
      </c>
      <c r="AJ7">
        <v>0</v>
      </c>
      <c r="AK7">
        <v>0</v>
      </c>
      <c r="AL7">
        <v>4.1666666999999998E-2</v>
      </c>
      <c r="AM7">
        <v>0</v>
      </c>
      <c r="AN7">
        <v>0.25</v>
      </c>
      <c r="AO7">
        <v>0</v>
      </c>
      <c r="AP7">
        <v>8.3333332999999996E-2</v>
      </c>
      <c r="AQ7">
        <v>0</v>
      </c>
      <c r="AR7">
        <v>0.33333333300000001</v>
      </c>
      <c r="AS7">
        <v>0.20833333300000001</v>
      </c>
      <c r="AT7">
        <v>0</v>
      </c>
      <c r="AU7">
        <v>0</v>
      </c>
      <c r="AV7">
        <v>0</v>
      </c>
      <c r="AW7">
        <v>8.3333332999999996E-2</v>
      </c>
      <c r="AX7">
        <v>8.3333332999999996E-2</v>
      </c>
      <c r="AY7">
        <v>8.3333332999999996E-2</v>
      </c>
      <c r="AZ7">
        <v>0</v>
      </c>
      <c r="BA7">
        <v>0.33333333300000001</v>
      </c>
      <c r="BB7">
        <v>0</v>
      </c>
      <c r="BC7">
        <v>0.83333333300000001</v>
      </c>
      <c r="BD7">
        <v>0.33333333300000001</v>
      </c>
      <c r="BE7">
        <v>0</v>
      </c>
      <c r="BF7">
        <v>0</v>
      </c>
      <c r="BG7">
        <v>0.20833333300000001</v>
      </c>
      <c r="BH7">
        <v>0.20833333300000001</v>
      </c>
      <c r="BI7">
        <v>0</v>
      </c>
      <c r="BJ7">
        <v>0.20833333300000001</v>
      </c>
      <c r="BK7">
        <v>0.54166666699999999</v>
      </c>
      <c r="BL7">
        <v>0.375</v>
      </c>
      <c r="BM7">
        <v>4.1666666999999998E-2</v>
      </c>
      <c r="BN7">
        <v>0</v>
      </c>
      <c r="BO7">
        <v>4.1666666999999998E-2</v>
      </c>
      <c r="BP7">
        <v>0</v>
      </c>
      <c r="BQ7">
        <v>0</v>
      </c>
      <c r="BR7">
        <v>4.1666666999999998E-2</v>
      </c>
      <c r="BS7">
        <v>0</v>
      </c>
      <c r="BT7">
        <v>0</v>
      </c>
      <c r="BU7">
        <v>0</v>
      </c>
      <c r="BV7">
        <v>0.125</v>
      </c>
      <c r="BW7">
        <v>0.20833333300000001</v>
      </c>
      <c r="BX7">
        <v>0</v>
      </c>
      <c r="BY7">
        <v>0</v>
      </c>
      <c r="BZ7">
        <v>0</v>
      </c>
      <c r="CA7">
        <v>0</v>
      </c>
      <c r="CB7">
        <v>0</v>
      </c>
      <c r="CC7">
        <v>8.3333332999999996E-2</v>
      </c>
      <c r="CD7">
        <v>0.20833333300000001</v>
      </c>
      <c r="CE7">
        <v>0.41666666699999999</v>
      </c>
      <c r="CF7">
        <v>4.1666666999999998E-2</v>
      </c>
      <c r="CG7">
        <v>1</v>
      </c>
      <c r="CH7">
        <v>4.1666666999999998E-2</v>
      </c>
      <c r="CI7">
        <v>0.41666666699999999</v>
      </c>
      <c r="CJ7">
        <v>0.58333333300000001</v>
      </c>
      <c r="CK7">
        <v>0</v>
      </c>
      <c r="CL7">
        <v>0</v>
      </c>
      <c r="CM7">
        <v>0</v>
      </c>
      <c r="CN7">
        <v>0.20833333300000001</v>
      </c>
      <c r="CO7">
        <v>8.3333332999999996E-2</v>
      </c>
      <c r="CP7">
        <v>0</v>
      </c>
      <c r="CQ7">
        <v>0</v>
      </c>
      <c r="CR7">
        <v>4.1666666999999998E-2</v>
      </c>
      <c r="CS7">
        <v>0</v>
      </c>
      <c r="CT7">
        <v>4.1666666999999998E-2</v>
      </c>
      <c r="CU7">
        <v>0</v>
      </c>
      <c r="CV7">
        <v>0</v>
      </c>
      <c r="CW7">
        <v>0.20833333300000001</v>
      </c>
      <c r="CX7">
        <v>0</v>
      </c>
      <c r="CY7">
        <v>4.1666666999999998E-2</v>
      </c>
      <c r="CZ7">
        <v>0</v>
      </c>
      <c r="DA7">
        <v>0</v>
      </c>
      <c r="DB7">
        <v>0</v>
      </c>
      <c r="DC7">
        <v>0</v>
      </c>
      <c r="DD7">
        <v>0.75</v>
      </c>
      <c r="DE7">
        <v>0.16666666699999999</v>
      </c>
      <c r="DF7">
        <v>0.5</v>
      </c>
      <c r="DG7">
        <v>0</v>
      </c>
      <c r="DH7">
        <v>4.1666666999999998E-2</v>
      </c>
      <c r="DI7">
        <v>4.1666666999999998E-2</v>
      </c>
      <c r="DJ7">
        <v>0</v>
      </c>
      <c r="DK7">
        <v>0.16666666699999999</v>
      </c>
      <c r="DL7">
        <v>0.54166666699999999</v>
      </c>
      <c r="DM7">
        <v>8.3333332999999996E-2</v>
      </c>
      <c r="DN7">
        <v>0</v>
      </c>
      <c r="DO7">
        <v>0.41666666699999999</v>
      </c>
      <c r="DP7">
        <v>1.4583333329999999</v>
      </c>
      <c r="DQ7">
        <v>4.1666666999999998E-2</v>
      </c>
      <c r="DR7">
        <v>0</v>
      </c>
      <c r="DS7">
        <v>4.1666666999999998E-2</v>
      </c>
      <c r="DT7">
        <v>0</v>
      </c>
      <c r="DU7">
        <v>0</v>
      </c>
      <c r="DV7">
        <v>0</v>
      </c>
      <c r="DW7">
        <v>0</v>
      </c>
      <c r="DX7">
        <v>0.16666666699999999</v>
      </c>
      <c r="DY7">
        <v>0</v>
      </c>
      <c r="DZ7">
        <v>0</v>
      </c>
      <c r="EA7">
        <v>0</v>
      </c>
      <c r="EB7">
        <v>0</v>
      </c>
      <c r="EC7">
        <v>4.1666666999999998E-2</v>
      </c>
      <c r="ED7">
        <v>0</v>
      </c>
      <c r="EE7">
        <v>0</v>
      </c>
      <c r="EF7">
        <v>4.1666666999999998E-2</v>
      </c>
      <c r="EG7">
        <v>0</v>
      </c>
      <c r="EH7">
        <v>0</v>
      </c>
      <c r="EI7">
        <v>4.1666666999999998E-2</v>
      </c>
      <c r="EJ7">
        <v>0</v>
      </c>
      <c r="EK7">
        <v>4.1666666999999998E-2</v>
      </c>
      <c r="EL7">
        <v>4.1666666999999998E-2</v>
      </c>
      <c r="EM7">
        <v>0</v>
      </c>
      <c r="EN7">
        <v>0</v>
      </c>
      <c r="EO7">
        <v>0</v>
      </c>
      <c r="EP7">
        <v>0</v>
      </c>
      <c r="EQ7">
        <v>0</v>
      </c>
      <c r="ER7">
        <v>0.41666666699999999</v>
      </c>
      <c r="ES7">
        <v>4.1666666999999998E-2</v>
      </c>
      <c r="ET7">
        <v>8.3333332999999996E-2</v>
      </c>
      <c r="EU7">
        <v>0</v>
      </c>
      <c r="EV7">
        <v>0</v>
      </c>
    </row>
    <row r="8" spans="1:152">
      <c r="A8" s="3">
        <v>7</v>
      </c>
      <c r="B8" s="3">
        <v>14</v>
      </c>
      <c r="C8" s="4" t="s">
        <v>33</v>
      </c>
      <c r="D8" s="4">
        <v>24</v>
      </c>
      <c r="E8" s="4">
        <v>48</v>
      </c>
      <c r="F8" s="4">
        <v>52.9</v>
      </c>
      <c r="G8" s="4">
        <v>35</v>
      </c>
      <c r="H8" s="4">
        <v>47.1</v>
      </c>
      <c r="I8" s="4">
        <v>13.375</v>
      </c>
      <c r="J8" s="4">
        <v>3.3333333333333299</v>
      </c>
      <c r="K8" s="4">
        <v>3.2304166666666698</v>
      </c>
      <c r="L8" s="4">
        <v>14.6304</v>
      </c>
      <c r="M8" s="4">
        <v>0.33333333333333298</v>
      </c>
      <c r="N8" s="4">
        <f t="shared" si="0"/>
        <v>6.6666666666666596E-2</v>
      </c>
      <c r="O8" s="4" t="s">
        <v>5</v>
      </c>
      <c r="P8" s="4" t="s">
        <v>5</v>
      </c>
      <c r="Q8" s="4">
        <v>0.71960000000000002</v>
      </c>
      <c r="R8" s="4">
        <v>0.71960000000000002</v>
      </c>
      <c r="S8" s="5">
        <v>1.4620967741935484</v>
      </c>
      <c r="T8" s="5">
        <v>2.0967741935483875</v>
      </c>
      <c r="U8">
        <v>1</v>
      </c>
      <c r="V8">
        <v>0.875</v>
      </c>
      <c r="W8">
        <v>4.1666666999999998E-2</v>
      </c>
      <c r="X8">
        <v>0.125</v>
      </c>
      <c r="Y8">
        <v>0</v>
      </c>
      <c r="Z8">
        <v>0</v>
      </c>
      <c r="AA8">
        <v>4.1666666999999998E-2</v>
      </c>
      <c r="AB8">
        <v>0.5</v>
      </c>
      <c r="AC8">
        <v>0.45833333300000001</v>
      </c>
      <c r="AD8">
        <v>0.16666666699999999</v>
      </c>
      <c r="AE8">
        <v>0.16666666699999999</v>
      </c>
      <c r="AF8">
        <v>0.25</v>
      </c>
      <c r="AG8">
        <v>8.3333332999999996E-2</v>
      </c>
      <c r="AH8">
        <v>0.33333333300000001</v>
      </c>
      <c r="AI8">
        <v>0</v>
      </c>
      <c r="AJ8">
        <v>0</v>
      </c>
      <c r="AK8">
        <v>8.3333332999999996E-2</v>
      </c>
      <c r="AL8">
        <v>4.1666666999999998E-2</v>
      </c>
      <c r="AM8">
        <v>0</v>
      </c>
      <c r="AN8">
        <v>0.58333333300000001</v>
      </c>
      <c r="AO8">
        <v>0</v>
      </c>
      <c r="AP8">
        <v>0</v>
      </c>
      <c r="AQ8">
        <v>0</v>
      </c>
      <c r="AR8">
        <v>0.875</v>
      </c>
      <c r="AS8">
        <v>0.41666666699999999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0.70833333300000001</v>
      </c>
      <c r="BA8">
        <v>0.625</v>
      </c>
      <c r="BB8">
        <v>8.3333332999999996E-2</v>
      </c>
      <c r="BC8">
        <v>0.79166666699999999</v>
      </c>
      <c r="BD8">
        <v>0.375</v>
      </c>
      <c r="BE8">
        <v>0</v>
      </c>
      <c r="BF8">
        <v>0</v>
      </c>
      <c r="BG8">
        <v>8.3333332999999996E-2</v>
      </c>
      <c r="BH8">
        <v>0</v>
      </c>
      <c r="BI8">
        <v>0</v>
      </c>
      <c r="BJ8">
        <v>0.75</v>
      </c>
      <c r="BK8">
        <v>0.83333333300000001</v>
      </c>
      <c r="BL8">
        <v>0.625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0.125</v>
      </c>
      <c r="BX8">
        <v>0</v>
      </c>
      <c r="BY8">
        <v>0</v>
      </c>
      <c r="BZ8">
        <v>8.3333332999999996E-2</v>
      </c>
      <c r="CA8">
        <v>0</v>
      </c>
      <c r="CB8">
        <v>0</v>
      </c>
      <c r="CC8">
        <v>0</v>
      </c>
      <c r="CD8">
        <v>4.1666666999999998E-2</v>
      </c>
      <c r="CE8">
        <v>0.25</v>
      </c>
      <c r="CF8">
        <v>0.33333333300000001</v>
      </c>
      <c r="CG8">
        <v>0.875</v>
      </c>
      <c r="CH8">
        <v>0.16666666699999999</v>
      </c>
      <c r="CI8">
        <v>0.66666666699999999</v>
      </c>
      <c r="CJ8">
        <v>0.95833333300000001</v>
      </c>
      <c r="CK8">
        <v>0</v>
      </c>
      <c r="CL8">
        <v>0</v>
      </c>
      <c r="CM8">
        <v>4.1666666999999998E-2</v>
      </c>
      <c r="CN8">
        <v>0.20833333300000001</v>
      </c>
      <c r="CO8">
        <v>4.1666666999999998E-2</v>
      </c>
      <c r="CP8">
        <v>0</v>
      </c>
      <c r="CQ8">
        <v>4.1666666999999998E-2</v>
      </c>
      <c r="CR8">
        <v>4.1666666999999998E-2</v>
      </c>
      <c r="CS8">
        <v>0</v>
      </c>
      <c r="CT8">
        <v>0</v>
      </c>
      <c r="CU8">
        <v>0</v>
      </c>
      <c r="CV8">
        <v>0</v>
      </c>
      <c r="CW8">
        <v>0.33333333300000001</v>
      </c>
      <c r="CX8">
        <v>0</v>
      </c>
      <c r="CY8">
        <v>0</v>
      </c>
      <c r="CZ8">
        <v>4.1666666999999998E-2</v>
      </c>
      <c r="DA8">
        <v>0</v>
      </c>
      <c r="DB8">
        <v>0</v>
      </c>
      <c r="DC8">
        <v>0</v>
      </c>
      <c r="DD8">
        <v>0.375</v>
      </c>
      <c r="DE8">
        <v>4.1666666999999998E-2</v>
      </c>
      <c r="DF8">
        <v>8.3333332999999996E-2</v>
      </c>
      <c r="DG8">
        <v>0</v>
      </c>
      <c r="DH8">
        <v>0</v>
      </c>
      <c r="DI8">
        <v>0</v>
      </c>
      <c r="DJ8">
        <v>0</v>
      </c>
      <c r="DK8">
        <v>4.1666666999999998E-2</v>
      </c>
      <c r="DL8">
        <v>1</v>
      </c>
      <c r="DM8">
        <v>0</v>
      </c>
      <c r="DN8">
        <v>0</v>
      </c>
      <c r="DO8">
        <v>0.375</v>
      </c>
      <c r="DP8">
        <v>0.95833333300000001</v>
      </c>
      <c r="DQ8">
        <v>0</v>
      </c>
      <c r="DR8">
        <v>8.3333332999999996E-2</v>
      </c>
      <c r="DS8">
        <v>0.58333333300000001</v>
      </c>
      <c r="DT8">
        <v>0</v>
      </c>
      <c r="DU8">
        <v>0</v>
      </c>
      <c r="DV8">
        <v>0</v>
      </c>
      <c r="DW8">
        <v>0</v>
      </c>
      <c r="DX8">
        <v>0.16666666699999999</v>
      </c>
      <c r="DY8">
        <v>0</v>
      </c>
      <c r="DZ8">
        <v>0</v>
      </c>
      <c r="EA8">
        <v>0</v>
      </c>
      <c r="EB8">
        <v>0</v>
      </c>
      <c r="EC8">
        <v>4.1666666999999998E-2</v>
      </c>
      <c r="ED8">
        <v>8.3333332999999996E-2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0.16666666699999999</v>
      </c>
      <c r="EL8">
        <v>0.29166666699999999</v>
      </c>
      <c r="EM8">
        <v>0</v>
      </c>
      <c r="EN8">
        <v>4.1666666999999998E-2</v>
      </c>
      <c r="EO8">
        <v>8.3333332999999996E-2</v>
      </c>
      <c r="EP8">
        <v>0</v>
      </c>
      <c r="EQ8">
        <v>0</v>
      </c>
      <c r="ER8">
        <v>0.20833333300000001</v>
      </c>
      <c r="ES8">
        <v>4.1666666999999998E-2</v>
      </c>
      <c r="ET8">
        <v>4.1666666999999998E-2</v>
      </c>
      <c r="EU8">
        <v>4.1666666999999998E-2</v>
      </c>
      <c r="EV8">
        <v>0</v>
      </c>
    </row>
    <row r="9" spans="1:152">
      <c r="A9" s="3">
        <v>8</v>
      </c>
      <c r="B9" s="3">
        <v>5</v>
      </c>
      <c r="C9" s="4" t="s">
        <v>34</v>
      </c>
      <c r="D9" s="4">
        <v>24</v>
      </c>
      <c r="E9" s="4">
        <v>45</v>
      </c>
      <c r="F9" s="4">
        <v>53.1</v>
      </c>
      <c r="G9" s="4">
        <v>28</v>
      </c>
      <c r="H9" s="4">
        <v>44</v>
      </c>
      <c r="I9" s="4">
        <v>10.1666666666667</v>
      </c>
      <c r="J9" s="4">
        <v>2.125</v>
      </c>
      <c r="K9" s="4">
        <v>2.5004166666666698</v>
      </c>
      <c r="L9" s="4">
        <v>15.03172</v>
      </c>
      <c r="M9" s="4">
        <v>3.8333333333333299</v>
      </c>
      <c r="N9" s="4">
        <f t="shared" si="0"/>
        <v>0.76666666666666594</v>
      </c>
      <c r="O9" s="4">
        <v>0.90836399999999995</v>
      </c>
      <c r="P9" s="4">
        <v>0.90836399999999995</v>
      </c>
      <c r="Q9" s="4">
        <v>0.48830000000000001</v>
      </c>
      <c r="R9" s="4">
        <v>0.51400000000000001</v>
      </c>
      <c r="S9" s="5">
        <v>1.0459677419354838</v>
      </c>
      <c r="T9" s="5">
        <v>1.3483870967741935</v>
      </c>
      <c r="U9">
        <v>0.95833333300000001</v>
      </c>
      <c r="V9">
        <v>1</v>
      </c>
      <c r="W9">
        <v>0.54166666699999999</v>
      </c>
      <c r="X9">
        <v>0.33333333300000001</v>
      </c>
      <c r="Y9">
        <v>0</v>
      </c>
      <c r="Z9">
        <v>4.1666666999999998E-2</v>
      </c>
      <c r="AA9">
        <v>0</v>
      </c>
      <c r="AB9">
        <v>0.625</v>
      </c>
      <c r="AC9">
        <v>0.20833333300000001</v>
      </c>
      <c r="AD9">
        <v>0.125</v>
      </c>
      <c r="AE9">
        <v>4.1666666999999998E-2</v>
      </c>
      <c r="AF9">
        <v>0.83333333300000001</v>
      </c>
      <c r="AG9">
        <v>0.16666666699999999</v>
      </c>
      <c r="AH9">
        <v>0</v>
      </c>
      <c r="AI9">
        <v>0.16666666699999999</v>
      </c>
      <c r="AJ9">
        <v>0</v>
      </c>
      <c r="AK9">
        <v>0</v>
      </c>
      <c r="AL9">
        <v>0</v>
      </c>
      <c r="AM9">
        <v>0</v>
      </c>
      <c r="AN9">
        <v>0.54166666699999999</v>
      </c>
      <c r="AO9">
        <v>0</v>
      </c>
      <c r="AP9">
        <v>0</v>
      </c>
      <c r="AQ9">
        <v>4.1666666999999998E-2</v>
      </c>
      <c r="AR9">
        <v>0.79166666699999999</v>
      </c>
      <c r="AS9">
        <v>8.3333332999999996E-2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0.875</v>
      </c>
      <c r="BB9">
        <v>0</v>
      </c>
      <c r="BC9">
        <v>0.70833333300000001</v>
      </c>
      <c r="BD9">
        <v>0.16666666699999999</v>
      </c>
      <c r="BE9">
        <v>0</v>
      </c>
      <c r="BF9">
        <v>0.45833333300000001</v>
      </c>
      <c r="BG9">
        <v>0</v>
      </c>
      <c r="BH9">
        <v>0.33333333300000001</v>
      </c>
      <c r="BI9">
        <v>0</v>
      </c>
      <c r="BJ9">
        <v>4.1666666999999998E-2</v>
      </c>
      <c r="BK9">
        <v>0.25</v>
      </c>
      <c r="BL9">
        <v>0.41666666699999999</v>
      </c>
      <c r="BM9">
        <v>0</v>
      </c>
      <c r="BN9">
        <v>4.1666666999999998E-2</v>
      </c>
      <c r="BO9">
        <v>4.1666666999999998E-2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0.125</v>
      </c>
      <c r="BW9">
        <v>4.1666666999999998E-2</v>
      </c>
      <c r="BX9">
        <v>0</v>
      </c>
      <c r="BY9">
        <v>0</v>
      </c>
      <c r="BZ9">
        <v>0</v>
      </c>
      <c r="CA9">
        <v>0</v>
      </c>
      <c r="CB9">
        <v>0</v>
      </c>
      <c r="CC9">
        <v>8.3333332999999996E-2</v>
      </c>
      <c r="CD9">
        <v>8.3333332999999996E-2</v>
      </c>
      <c r="CE9">
        <v>0.70833333300000001</v>
      </c>
      <c r="CF9">
        <v>0.16666666699999999</v>
      </c>
      <c r="CG9">
        <v>1</v>
      </c>
      <c r="CH9">
        <v>8.3333332999999996E-2</v>
      </c>
      <c r="CI9">
        <v>0</v>
      </c>
      <c r="CJ9">
        <v>0</v>
      </c>
      <c r="CK9">
        <v>0</v>
      </c>
      <c r="CL9">
        <v>0</v>
      </c>
      <c r="CM9">
        <v>4.1666666999999998E-2</v>
      </c>
      <c r="CN9">
        <v>0</v>
      </c>
      <c r="CO9">
        <v>4.1666666999999998E-2</v>
      </c>
      <c r="CP9">
        <v>4.1666666999999998E-2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4.1666666999999998E-2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0.20833333300000001</v>
      </c>
      <c r="DE9">
        <v>4.1666666999999998E-2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0.20833333300000001</v>
      </c>
      <c r="DM9">
        <v>0</v>
      </c>
      <c r="DN9">
        <v>0</v>
      </c>
      <c r="DO9">
        <v>0.125</v>
      </c>
      <c r="DP9">
        <v>0.16666666699999999</v>
      </c>
      <c r="DQ9">
        <v>0</v>
      </c>
      <c r="DR9">
        <v>0</v>
      </c>
      <c r="DS9">
        <v>0.33333333300000001</v>
      </c>
      <c r="DT9">
        <v>4.1666666999999998E-2</v>
      </c>
      <c r="DU9">
        <v>4.1666666999999998E-2</v>
      </c>
      <c r="DV9">
        <v>0</v>
      </c>
      <c r="DW9">
        <v>0</v>
      </c>
      <c r="DX9">
        <v>0.16666666699999999</v>
      </c>
      <c r="DY9">
        <v>0</v>
      </c>
      <c r="DZ9">
        <v>0</v>
      </c>
      <c r="EA9">
        <v>0</v>
      </c>
      <c r="EB9">
        <v>0.125</v>
      </c>
      <c r="EC9">
        <v>0</v>
      </c>
      <c r="ED9">
        <v>0</v>
      </c>
      <c r="EE9">
        <v>4.1666666999999998E-2</v>
      </c>
      <c r="EF9">
        <v>4.1666666999999998E-2</v>
      </c>
      <c r="EG9">
        <v>0</v>
      </c>
      <c r="EH9">
        <v>0</v>
      </c>
      <c r="EI9">
        <v>0</v>
      </c>
      <c r="EJ9">
        <v>0</v>
      </c>
      <c r="EK9">
        <v>0</v>
      </c>
      <c r="EL9">
        <v>0.16666666699999999</v>
      </c>
      <c r="EM9">
        <v>0</v>
      </c>
      <c r="EN9">
        <v>8.3333332999999996E-2</v>
      </c>
      <c r="EO9">
        <v>0</v>
      </c>
      <c r="EP9">
        <v>0</v>
      </c>
      <c r="EQ9">
        <v>0</v>
      </c>
      <c r="ER9">
        <v>0.70833333300000001</v>
      </c>
      <c r="ES9">
        <v>0.25</v>
      </c>
      <c r="ET9">
        <v>0.125</v>
      </c>
      <c r="EU9">
        <v>0</v>
      </c>
      <c r="EV9">
        <v>0</v>
      </c>
    </row>
    <row r="10" spans="1:152">
      <c r="A10" s="3">
        <v>9</v>
      </c>
      <c r="B10" s="3">
        <v>7</v>
      </c>
      <c r="C10" s="4" t="s">
        <v>35</v>
      </c>
      <c r="D10" s="4">
        <v>24</v>
      </c>
      <c r="E10" s="4">
        <v>41</v>
      </c>
      <c r="F10" s="4">
        <v>73</v>
      </c>
      <c r="G10" s="4">
        <v>28</v>
      </c>
      <c r="H10" s="4">
        <v>44</v>
      </c>
      <c r="I10" s="4">
        <v>9.1666666666666696</v>
      </c>
      <c r="J10" s="4">
        <v>3.5</v>
      </c>
      <c r="K10" s="4">
        <v>0</v>
      </c>
      <c r="L10" s="4">
        <v>15.0114</v>
      </c>
      <c r="M10" s="4">
        <v>2</v>
      </c>
      <c r="N10" s="4">
        <f t="shared" si="0"/>
        <v>0.4</v>
      </c>
      <c r="O10" s="4">
        <v>1.6430336666666701</v>
      </c>
      <c r="P10" s="4">
        <v>1.4039254999999999</v>
      </c>
      <c r="Q10" s="4">
        <v>0.56540000000000001</v>
      </c>
      <c r="R10" s="4">
        <v>0.66820000000000002</v>
      </c>
      <c r="S10" s="5">
        <v>1.1706989247311828</v>
      </c>
      <c r="T10" s="5">
        <v>1.5129032258064523</v>
      </c>
      <c r="U10">
        <v>0.95833333300000001</v>
      </c>
      <c r="V10">
        <v>0.95833333300000001</v>
      </c>
      <c r="W10">
        <v>0.70833333300000001</v>
      </c>
      <c r="X10">
        <v>0.54166666699999999</v>
      </c>
      <c r="Y10">
        <v>0</v>
      </c>
      <c r="Z10">
        <v>4.1666666999999998E-2</v>
      </c>
      <c r="AA10">
        <v>0.125</v>
      </c>
      <c r="AB10">
        <v>0.58333333300000001</v>
      </c>
      <c r="AC10">
        <v>0.5</v>
      </c>
      <c r="AD10">
        <v>8.3333332999999996E-2</v>
      </c>
      <c r="AE10">
        <v>0</v>
      </c>
      <c r="AF10">
        <v>0</v>
      </c>
      <c r="AG10">
        <v>4.1666666999999998E-2</v>
      </c>
      <c r="AH10">
        <v>0.125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0.29166666699999999</v>
      </c>
      <c r="AO10">
        <v>0</v>
      </c>
      <c r="AP10">
        <v>4.1666666999999998E-2</v>
      </c>
      <c r="AQ10">
        <v>0</v>
      </c>
      <c r="AR10">
        <v>0.79166666699999999</v>
      </c>
      <c r="AS10">
        <v>4.1666666999999998E-2</v>
      </c>
      <c r="AT10">
        <v>0</v>
      </c>
      <c r="AU10">
        <v>0</v>
      </c>
      <c r="AV10">
        <v>0</v>
      </c>
      <c r="AW10">
        <v>0</v>
      </c>
      <c r="AX10">
        <v>4.1666666999999998E-2</v>
      </c>
      <c r="AY10">
        <v>0.20833333300000001</v>
      </c>
      <c r="AZ10">
        <v>0</v>
      </c>
      <c r="BA10">
        <v>0.375</v>
      </c>
      <c r="BB10">
        <v>0</v>
      </c>
      <c r="BC10">
        <v>0.58333333300000001</v>
      </c>
      <c r="BD10">
        <v>4.1666666999999998E-2</v>
      </c>
      <c r="BE10">
        <v>0</v>
      </c>
      <c r="BF10">
        <v>0</v>
      </c>
      <c r="BG10">
        <v>0</v>
      </c>
      <c r="BH10">
        <v>4.1666666999999998E-2</v>
      </c>
      <c r="BI10">
        <v>0</v>
      </c>
      <c r="BJ10">
        <v>0.25</v>
      </c>
      <c r="BK10">
        <v>0.5</v>
      </c>
      <c r="BL10">
        <v>0.41666666699999999</v>
      </c>
      <c r="BM10">
        <v>0.20833333300000001</v>
      </c>
      <c r="BN10">
        <v>0.20833333300000001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4.1666666999999998E-2</v>
      </c>
      <c r="BX10">
        <v>0.125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0.29166666699999999</v>
      </c>
      <c r="CF10">
        <v>0.70833333300000001</v>
      </c>
      <c r="CG10">
        <v>0.75</v>
      </c>
      <c r="CH10">
        <v>0.20833333300000001</v>
      </c>
      <c r="CI10">
        <v>0.33333333300000001</v>
      </c>
      <c r="CJ10">
        <v>0.41666666699999999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4.1666666999999998E-2</v>
      </c>
      <c r="DD10">
        <v>2.2916666669999999</v>
      </c>
      <c r="DE10">
        <v>0.125</v>
      </c>
      <c r="DF10">
        <v>0.125</v>
      </c>
      <c r="DG10">
        <v>0</v>
      </c>
      <c r="DH10">
        <v>4.1666666999999998E-2</v>
      </c>
      <c r="DI10">
        <v>0</v>
      </c>
      <c r="DJ10">
        <v>0</v>
      </c>
      <c r="DK10">
        <v>0</v>
      </c>
      <c r="DL10">
        <v>1.5833333329999999</v>
      </c>
      <c r="DM10">
        <v>0</v>
      </c>
      <c r="DN10">
        <v>0</v>
      </c>
      <c r="DO10">
        <v>4.5416666670000003</v>
      </c>
      <c r="DP10">
        <v>0.29166666699999999</v>
      </c>
      <c r="DQ10">
        <v>0</v>
      </c>
      <c r="DR10">
        <v>0</v>
      </c>
      <c r="DS10">
        <v>0.29166666699999999</v>
      </c>
      <c r="DT10">
        <v>0</v>
      </c>
      <c r="DU10">
        <v>0</v>
      </c>
      <c r="DV10">
        <v>0</v>
      </c>
      <c r="DW10">
        <v>0</v>
      </c>
      <c r="DX10">
        <v>4.1666666999999998E-2</v>
      </c>
      <c r="DY10">
        <v>4.1666666999999998E-2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4.1666666999999998E-2</v>
      </c>
      <c r="EM10">
        <v>0</v>
      </c>
      <c r="EN10">
        <v>4.1666666999999998E-2</v>
      </c>
      <c r="EO10">
        <v>0</v>
      </c>
      <c r="EP10">
        <v>8.3333332999999996E-2</v>
      </c>
      <c r="EQ10">
        <v>0</v>
      </c>
      <c r="ER10">
        <v>0.45833333300000001</v>
      </c>
      <c r="ES10">
        <v>0</v>
      </c>
      <c r="ET10">
        <v>4.1666666999999998E-2</v>
      </c>
      <c r="EU10">
        <v>4.1666666999999998E-2</v>
      </c>
      <c r="EV10">
        <v>0</v>
      </c>
    </row>
    <row r="11" spans="1:152">
      <c r="A11" s="3">
        <v>10</v>
      </c>
      <c r="B11" s="3">
        <v>16</v>
      </c>
      <c r="C11" s="4" t="s">
        <v>36</v>
      </c>
      <c r="D11" s="4">
        <v>24</v>
      </c>
      <c r="E11" s="4">
        <v>29</v>
      </c>
      <c r="F11" s="4">
        <v>31.25</v>
      </c>
      <c r="G11" s="4">
        <v>21</v>
      </c>
      <c r="H11" s="4">
        <v>25.1666666666667</v>
      </c>
      <c r="I11" s="4">
        <v>6.625</v>
      </c>
      <c r="J11" s="4">
        <v>0.70833333333333304</v>
      </c>
      <c r="K11" s="4">
        <v>24.454999999999998</v>
      </c>
      <c r="L11" s="4">
        <v>14.427199999999999</v>
      </c>
      <c r="M11" s="4">
        <v>0</v>
      </c>
      <c r="N11" s="4">
        <f t="shared" si="0"/>
        <v>0</v>
      </c>
      <c r="O11" s="4" t="s">
        <v>5</v>
      </c>
      <c r="P11" s="4" t="s">
        <v>5</v>
      </c>
      <c r="Q11" t="s">
        <v>5</v>
      </c>
      <c r="R11" t="s">
        <v>5</v>
      </c>
      <c r="S11" s="5">
        <v>0.60543010752688176</v>
      </c>
      <c r="T11" s="5">
        <v>0.86774193548387069</v>
      </c>
      <c r="U11">
        <v>1</v>
      </c>
      <c r="V11">
        <v>1</v>
      </c>
      <c r="W11">
        <v>0</v>
      </c>
      <c r="X11">
        <v>0.41666666699999999</v>
      </c>
      <c r="Y11">
        <v>0.375</v>
      </c>
      <c r="Z11">
        <v>0</v>
      </c>
      <c r="AA11">
        <v>0</v>
      </c>
      <c r="AB11">
        <v>4.1666666999999998E-2</v>
      </c>
      <c r="AC11">
        <v>0</v>
      </c>
      <c r="AD11">
        <v>4.1666666999999998E-2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0.16666666699999999</v>
      </c>
      <c r="AK11">
        <v>0.83333333300000001</v>
      </c>
      <c r="AL11">
        <v>0</v>
      </c>
      <c r="AM11">
        <v>0</v>
      </c>
      <c r="AN11">
        <v>0.33333333300000001</v>
      </c>
      <c r="AO11">
        <v>0.29166666699999999</v>
      </c>
      <c r="AP11">
        <v>0</v>
      </c>
      <c r="AQ11">
        <v>4.1666666999999998E-2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0.95833333300000001</v>
      </c>
      <c r="BB11">
        <v>0</v>
      </c>
      <c r="BC11">
        <v>0.75</v>
      </c>
      <c r="BD11">
        <v>0</v>
      </c>
      <c r="BE11">
        <v>8.3333332999999996E-2</v>
      </c>
      <c r="BF11">
        <v>0</v>
      </c>
      <c r="BG11">
        <v>0.625</v>
      </c>
      <c r="BH11">
        <v>0.25</v>
      </c>
      <c r="BI11">
        <v>0</v>
      </c>
      <c r="BJ11">
        <v>8.3333332999999996E-2</v>
      </c>
      <c r="BK11">
        <v>0.125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0.375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0.125</v>
      </c>
      <c r="CH11">
        <v>0</v>
      </c>
      <c r="CI11">
        <v>0</v>
      </c>
      <c r="CJ11">
        <v>0.70833333300000001</v>
      </c>
      <c r="CK11">
        <v>0</v>
      </c>
      <c r="CL11">
        <v>0</v>
      </c>
      <c r="CM11">
        <v>0</v>
      </c>
      <c r="CN11">
        <v>0</v>
      </c>
      <c r="CO11">
        <v>0.29166666699999999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4.1666666999999998E-2</v>
      </c>
      <c r="CV11">
        <v>0</v>
      </c>
      <c r="CW11">
        <v>0</v>
      </c>
      <c r="CX11">
        <v>8.3333332999999996E-2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8.3333332999999996E-2</v>
      </c>
      <c r="DE11">
        <v>0</v>
      </c>
      <c r="DF11">
        <v>0.125</v>
      </c>
      <c r="DG11">
        <v>0.125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4.1666666999999998E-2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  <c r="EO11">
        <v>0</v>
      </c>
      <c r="EP11">
        <v>0</v>
      </c>
      <c r="EQ11">
        <v>0.20833333300000001</v>
      </c>
      <c r="ER11">
        <v>0</v>
      </c>
      <c r="ES11">
        <v>8.3333332999999996E-2</v>
      </c>
      <c r="ET11">
        <v>4.1666666999999998E-2</v>
      </c>
      <c r="EU11">
        <v>0</v>
      </c>
      <c r="EV11">
        <v>0</v>
      </c>
    </row>
    <row r="12" spans="1:152">
      <c r="A12" s="3">
        <v>11</v>
      </c>
      <c r="B12" s="3">
        <v>17</v>
      </c>
      <c r="C12" s="4" t="s">
        <v>37</v>
      </c>
      <c r="D12" s="4">
        <v>16</v>
      </c>
      <c r="E12" s="4">
        <v>28</v>
      </c>
      <c r="F12" s="4">
        <v>31</v>
      </c>
      <c r="G12" s="4">
        <v>15</v>
      </c>
      <c r="H12" s="4">
        <v>16</v>
      </c>
      <c r="I12" s="4">
        <v>3.1875</v>
      </c>
      <c r="J12" s="4">
        <v>0.5625</v>
      </c>
      <c r="K12" s="4">
        <v>61.330624999999998</v>
      </c>
      <c r="L12" s="4">
        <v>15.0114</v>
      </c>
      <c r="M12" s="4">
        <v>0</v>
      </c>
      <c r="N12" s="4">
        <f t="shared" si="0"/>
        <v>0</v>
      </c>
      <c r="O12" s="4" t="s">
        <v>5</v>
      </c>
      <c r="P12" s="4" t="s">
        <v>5</v>
      </c>
      <c r="Q12" s="4" t="s">
        <v>5</v>
      </c>
      <c r="R12" s="4" t="s">
        <v>5</v>
      </c>
      <c r="S12" s="7">
        <v>0.60543010799999997</v>
      </c>
      <c r="T12" s="7">
        <v>0.86774193499999996</v>
      </c>
      <c r="U12">
        <v>6.25E-2</v>
      </c>
      <c r="V12">
        <v>0.875</v>
      </c>
      <c r="W12">
        <v>0.1875</v>
      </c>
      <c r="X12">
        <v>0.5625</v>
      </c>
      <c r="Y12">
        <v>0.125</v>
      </c>
      <c r="Z12">
        <v>0</v>
      </c>
      <c r="AA12">
        <v>6.25E-2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0.25</v>
      </c>
      <c r="AK12">
        <v>6.25E-2</v>
      </c>
      <c r="AL12">
        <v>0</v>
      </c>
      <c r="AM12">
        <v>0</v>
      </c>
      <c r="AN12">
        <v>0.4375</v>
      </c>
      <c r="AO12">
        <v>0</v>
      </c>
      <c r="AP12">
        <v>0</v>
      </c>
      <c r="AQ12">
        <v>6.25E-2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0.125</v>
      </c>
      <c r="BC12">
        <v>0.125</v>
      </c>
      <c r="BD12">
        <v>0</v>
      </c>
      <c r="BE12">
        <v>0.1875</v>
      </c>
      <c r="BF12">
        <v>0</v>
      </c>
      <c r="BG12">
        <v>0.125</v>
      </c>
      <c r="BH12">
        <v>0</v>
      </c>
      <c r="BI12">
        <v>0</v>
      </c>
      <c r="BJ12">
        <v>0.1875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0.125</v>
      </c>
      <c r="BY12">
        <v>0</v>
      </c>
      <c r="BZ12">
        <v>0</v>
      </c>
      <c r="CA12">
        <v>0</v>
      </c>
      <c r="CB12">
        <v>6.25E-2</v>
      </c>
      <c r="CC12">
        <v>0</v>
      </c>
      <c r="CD12">
        <v>6.25E-2</v>
      </c>
      <c r="CE12">
        <v>0</v>
      </c>
      <c r="CF12">
        <v>0</v>
      </c>
      <c r="CG12">
        <v>0.125</v>
      </c>
      <c r="CH12">
        <v>0</v>
      </c>
      <c r="CI12">
        <v>0</v>
      </c>
      <c r="CJ12">
        <v>0.3125</v>
      </c>
      <c r="CK12">
        <v>0.3125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0.125</v>
      </c>
      <c r="DE12">
        <v>0</v>
      </c>
      <c r="DF12">
        <v>0</v>
      </c>
      <c r="DG12">
        <v>0.125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6.25E-2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0.25</v>
      </c>
      <c r="ET12">
        <v>0</v>
      </c>
      <c r="EU12">
        <v>0</v>
      </c>
      <c r="EV12">
        <v>0</v>
      </c>
    </row>
    <row r="13" spans="1:152">
      <c r="A13" s="3">
        <v>12</v>
      </c>
      <c r="B13" s="3">
        <v>9</v>
      </c>
      <c r="C13" s="4" t="s">
        <v>38</v>
      </c>
      <c r="D13" s="4">
        <v>24</v>
      </c>
      <c r="E13" s="4">
        <v>29</v>
      </c>
      <c r="F13" s="4">
        <v>35.25</v>
      </c>
      <c r="G13" s="4">
        <v>20</v>
      </c>
      <c r="H13" s="4">
        <v>20.399999999999999</v>
      </c>
      <c r="I13" s="4">
        <v>6.4166666666666696</v>
      </c>
      <c r="J13" s="4">
        <v>1.2083333333333299</v>
      </c>
      <c r="K13" s="4">
        <v>37.372916666666697</v>
      </c>
      <c r="L13" s="4">
        <v>13.6652</v>
      </c>
      <c r="M13" s="4">
        <v>0</v>
      </c>
      <c r="N13" s="4">
        <f t="shared" si="0"/>
        <v>0</v>
      </c>
      <c r="O13" s="4">
        <v>0.62075666666666696</v>
      </c>
      <c r="P13" s="4">
        <v>0.62075666666666696</v>
      </c>
      <c r="Q13" s="4">
        <v>0.33409999999999995</v>
      </c>
      <c r="R13" s="4">
        <v>0.35980000000000001</v>
      </c>
      <c r="S13" s="5">
        <v>0.6567204301075269</v>
      </c>
      <c r="T13" s="5">
        <v>0.90645161290322573</v>
      </c>
      <c r="U13">
        <v>0.95833333300000001</v>
      </c>
      <c r="V13">
        <v>1</v>
      </c>
      <c r="W13">
        <v>0.625</v>
      </c>
      <c r="X13">
        <v>0.5</v>
      </c>
      <c r="Y13">
        <v>0.16666666699999999</v>
      </c>
      <c r="Z13">
        <v>0</v>
      </c>
      <c r="AA13">
        <v>4.1666666999999998E-2</v>
      </c>
      <c r="AB13">
        <v>0.29166666699999999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8.3333332999999996E-2</v>
      </c>
      <c r="AI13">
        <v>0</v>
      </c>
      <c r="AJ13">
        <v>0</v>
      </c>
      <c r="AK13">
        <v>0</v>
      </c>
      <c r="AL13">
        <v>0</v>
      </c>
      <c r="AM13">
        <v>4.1666666999999998E-2</v>
      </c>
      <c r="AN13">
        <v>0.79166666699999999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0.5</v>
      </c>
      <c r="BB13">
        <v>0</v>
      </c>
      <c r="BC13">
        <v>0.91666666699999999</v>
      </c>
      <c r="BD13">
        <v>0.20833333300000001</v>
      </c>
      <c r="BE13">
        <v>0</v>
      </c>
      <c r="BF13">
        <v>0</v>
      </c>
      <c r="BG13">
        <v>0.875</v>
      </c>
      <c r="BH13">
        <v>0.29166666699999999</v>
      </c>
      <c r="BI13">
        <v>0</v>
      </c>
      <c r="BJ13">
        <v>4.1666666999999998E-2</v>
      </c>
      <c r="BK13">
        <v>4.1666666999999998E-2</v>
      </c>
      <c r="BL13">
        <v>0.66666666699999999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0.5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0.16666666699999999</v>
      </c>
      <c r="CH13">
        <v>0</v>
      </c>
      <c r="CI13">
        <v>0</v>
      </c>
      <c r="CJ13">
        <v>8.3333332999999996E-2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8.3333332999999996E-2</v>
      </c>
      <c r="DE13">
        <v>0</v>
      </c>
      <c r="DF13">
        <v>8.3333332999999996E-2</v>
      </c>
      <c r="DG13">
        <v>8.3333332999999996E-2</v>
      </c>
      <c r="DH13">
        <v>0</v>
      </c>
      <c r="DI13">
        <v>0</v>
      </c>
      <c r="DJ13">
        <v>0</v>
      </c>
      <c r="DK13">
        <v>0</v>
      </c>
      <c r="DL13">
        <v>8.3333332999999996E-2</v>
      </c>
      <c r="DM13">
        <v>0</v>
      </c>
      <c r="DN13">
        <v>0.54166666699999999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0.16666666699999999</v>
      </c>
      <c r="DY13">
        <v>0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8.3333332999999996E-2</v>
      </c>
      <c r="EJ13">
        <v>0</v>
      </c>
      <c r="EK13">
        <v>0</v>
      </c>
      <c r="EL13">
        <v>0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0.375</v>
      </c>
      <c r="ET13">
        <v>0</v>
      </c>
      <c r="EU13">
        <v>4.1666666999999998E-2</v>
      </c>
      <c r="EV13">
        <v>0</v>
      </c>
    </row>
    <row r="14" spans="1:152">
      <c r="A14" s="3">
        <v>13</v>
      </c>
      <c r="B14" s="3">
        <v>6</v>
      </c>
      <c r="C14" s="4" t="s">
        <v>39</v>
      </c>
      <c r="D14" s="4">
        <v>24</v>
      </c>
      <c r="E14" s="4">
        <v>56</v>
      </c>
      <c r="F14" s="4">
        <v>58.25</v>
      </c>
      <c r="G14" s="4">
        <v>27</v>
      </c>
      <c r="H14" s="4">
        <v>39.25</v>
      </c>
      <c r="I14" s="4">
        <v>12.4166666666667</v>
      </c>
      <c r="J14" s="4">
        <v>2.1666666666666701</v>
      </c>
      <c r="K14" s="4">
        <v>0</v>
      </c>
      <c r="L14" s="4">
        <v>13.741400000000001</v>
      </c>
      <c r="M14" s="4">
        <v>0</v>
      </c>
      <c r="N14" s="4">
        <f t="shared" si="0"/>
        <v>0</v>
      </c>
      <c r="O14" s="4">
        <v>1.11718133333333</v>
      </c>
      <c r="P14" s="4">
        <v>1.11718133333333</v>
      </c>
      <c r="Q14" s="4">
        <v>0.56540000000000001</v>
      </c>
      <c r="R14" s="4">
        <v>0.66820000000000002</v>
      </c>
      <c r="S14" s="5">
        <v>1.1706989247311828</v>
      </c>
      <c r="T14" s="5">
        <v>1.5129032258064523</v>
      </c>
      <c r="U14">
        <v>0.875</v>
      </c>
      <c r="V14">
        <v>0.875</v>
      </c>
      <c r="W14">
        <v>0.25</v>
      </c>
      <c r="X14">
        <v>0.375</v>
      </c>
      <c r="Y14">
        <v>0</v>
      </c>
      <c r="Z14">
        <v>4.1666666999999998E-2</v>
      </c>
      <c r="AA14">
        <v>0.25</v>
      </c>
      <c r="AB14">
        <v>0.29166666699999999</v>
      </c>
      <c r="AC14">
        <v>0.20833333300000001</v>
      </c>
      <c r="AD14">
        <v>0.125</v>
      </c>
      <c r="AE14">
        <v>0</v>
      </c>
      <c r="AF14">
        <v>0.16666666699999999</v>
      </c>
      <c r="AG14">
        <v>8.3333332999999996E-2</v>
      </c>
      <c r="AH14">
        <v>0.16666666699999999</v>
      </c>
      <c r="AI14">
        <v>8.3333332999999996E-2</v>
      </c>
      <c r="AJ14">
        <v>0</v>
      </c>
      <c r="AK14">
        <v>0</v>
      </c>
      <c r="AL14">
        <v>0</v>
      </c>
      <c r="AM14">
        <v>0</v>
      </c>
      <c r="AN14">
        <v>0.16666666699999999</v>
      </c>
      <c r="AO14">
        <v>0</v>
      </c>
      <c r="AP14">
        <v>0.125</v>
      </c>
      <c r="AQ14">
        <v>0.125</v>
      </c>
      <c r="AR14">
        <v>0.70833333300000001</v>
      </c>
      <c r="AS14">
        <v>0.54166666699999999</v>
      </c>
      <c r="AT14">
        <v>0</v>
      </c>
      <c r="AU14">
        <v>0</v>
      </c>
      <c r="AV14">
        <v>0</v>
      </c>
      <c r="AW14">
        <v>4.1666666999999998E-2</v>
      </c>
      <c r="AX14">
        <v>0.16666666699999999</v>
      </c>
      <c r="AY14">
        <v>0.16666666699999999</v>
      </c>
      <c r="AZ14">
        <v>0</v>
      </c>
      <c r="BA14">
        <v>0.625</v>
      </c>
      <c r="BB14">
        <v>0</v>
      </c>
      <c r="BC14">
        <v>0.625</v>
      </c>
      <c r="BD14">
        <v>0.16666666699999999</v>
      </c>
      <c r="BE14">
        <v>0</v>
      </c>
      <c r="BF14">
        <v>0</v>
      </c>
      <c r="BG14">
        <v>0</v>
      </c>
      <c r="BH14">
        <v>8.3333332999999996E-2</v>
      </c>
      <c r="BI14">
        <v>0</v>
      </c>
      <c r="BJ14">
        <v>0.29166666699999999</v>
      </c>
      <c r="BK14">
        <v>0.58333333300000001</v>
      </c>
      <c r="BL14">
        <v>0.58333333300000001</v>
      </c>
      <c r="BM14">
        <v>0.75</v>
      </c>
      <c r="BN14">
        <v>0.33333333300000001</v>
      </c>
      <c r="BO14">
        <v>0.45833333300000001</v>
      </c>
      <c r="BP14">
        <v>0</v>
      </c>
      <c r="BQ14">
        <v>0</v>
      </c>
      <c r="BR14">
        <v>0</v>
      </c>
      <c r="BS14">
        <v>0</v>
      </c>
      <c r="BT14">
        <v>8.3333332999999996E-2</v>
      </c>
      <c r="BU14">
        <v>0.16666666699999999</v>
      </c>
      <c r="BV14">
        <v>8.3333332999999996E-2</v>
      </c>
      <c r="BW14">
        <v>0.45833333300000001</v>
      </c>
      <c r="BX14">
        <v>0.29166666699999999</v>
      </c>
      <c r="BY14">
        <v>0</v>
      </c>
      <c r="BZ14">
        <v>4.1666666999999998E-2</v>
      </c>
      <c r="CA14">
        <v>0</v>
      </c>
      <c r="CB14">
        <v>0</v>
      </c>
      <c r="CC14">
        <v>4.1666666999999998E-2</v>
      </c>
      <c r="CD14">
        <v>0.33333333300000001</v>
      </c>
      <c r="CE14">
        <v>0.54166666699999999</v>
      </c>
      <c r="CF14">
        <v>0.25</v>
      </c>
      <c r="CG14">
        <v>0.75</v>
      </c>
      <c r="CH14">
        <v>8.3333332999999996E-2</v>
      </c>
      <c r="CI14">
        <v>0.45833333300000001</v>
      </c>
      <c r="CJ14">
        <v>0.29166666699999999</v>
      </c>
      <c r="CK14">
        <v>0</v>
      </c>
      <c r="CL14">
        <v>0</v>
      </c>
      <c r="CM14">
        <v>8.3333332999999996E-2</v>
      </c>
      <c r="CN14">
        <v>4.1666666999999998E-2</v>
      </c>
      <c r="CO14">
        <v>4.1666666999999998E-2</v>
      </c>
      <c r="CP14">
        <v>0</v>
      </c>
      <c r="CQ14">
        <v>0</v>
      </c>
      <c r="CR14">
        <v>0.125</v>
      </c>
      <c r="CS14">
        <v>0</v>
      </c>
      <c r="CT14">
        <v>0</v>
      </c>
      <c r="CU14">
        <v>0</v>
      </c>
      <c r="CV14">
        <v>0</v>
      </c>
      <c r="CW14">
        <v>8.3333332999999996E-2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0.125</v>
      </c>
      <c r="DE14">
        <v>0.29166666699999999</v>
      </c>
      <c r="DF14">
        <v>8.3333332999999996E-2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0.66666666699999999</v>
      </c>
      <c r="DM14">
        <v>0</v>
      </c>
      <c r="DN14">
        <v>0</v>
      </c>
      <c r="DO14">
        <v>0.33333333300000001</v>
      </c>
      <c r="DP14">
        <v>0.58333333300000001</v>
      </c>
      <c r="DQ14">
        <v>0</v>
      </c>
      <c r="DR14">
        <v>0</v>
      </c>
      <c r="DS14">
        <v>0.125</v>
      </c>
      <c r="DT14">
        <v>0</v>
      </c>
      <c r="DU14">
        <v>0</v>
      </c>
      <c r="DV14">
        <v>0</v>
      </c>
      <c r="DW14">
        <v>4.1666666999999998E-2</v>
      </c>
      <c r="DX14">
        <v>0</v>
      </c>
      <c r="DY14">
        <v>0</v>
      </c>
      <c r="DZ14">
        <v>0.125</v>
      </c>
      <c r="EA14">
        <v>0</v>
      </c>
      <c r="EB14">
        <v>8.3333332999999996E-2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4.1666666999999998E-2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4.1666666999999998E-2</v>
      </c>
      <c r="EO14">
        <v>0</v>
      </c>
      <c r="EP14">
        <v>0</v>
      </c>
      <c r="EQ14">
        <v>0</v>
      </c>
      <c r="ER14">
        <v>0.125</v>
      </c>
      <c r="ES14">
        <v>4.1666666999999998E-2</v>
      </c>
      <c r="ET14">
        <v>4.1666666999999998E-2</v>
      </c>
      <c r="EU14">
        <v>0</v>
      </c>
      <c r="EV14">
        <v>0</v>
      </c>
    </row>
    <row r="15" spans="1:152">
      <c r="A15" s="3">
        <v>14</v>
      </c>
      <c r="B15" s="3">
        <v>15</v>
      </c>
      <c r="C15" s="4" t="s">
        <v>40</v>
      </c>
      <c r="D15" s="4">
        <v>20</v>
      </c>
      <c r="E15" s="4">
        <v>45</v>
      </c>
      <c r="F15" s="4">
        <v>55</v>
      </c>
      <c r="G15" s="4">
        <v>30</v>
      </c>
      <c r="H15" s="4">
        <v>42.5</v>
      </c>
      <c r="I15" s="4">
        <v>10.199999999999999</v>
      </c>
      <c r="J15" s="4">
        <v>2.5499999999999998</v>
      </c>
      <c r="K15" s="4">
        <v>5.2195</v>
      </c>
      <c r="L15" s="4">
        <v>15.30096</v>
      </c>
      <c r="M15" s="4">
        <v>0.2</v>
      </c>
      <c r="N15" s="4">
        <f t="shared" si="0"/>
        <v>0.04</v>
      </c>
      <c r="O15" s="4" t="s">
        <v>5</v>
      </c>
      <c r="P15" s="4" t="s">
        <v>5</v>
      </c>
      <c r="Q15" s="4">
        <v>1.0536999999999999</v>
      </c>
      <c r="R15" s="4">
        <v>1.3364</v>
      </c>
      <c r="S15" s="5">
        <v>2.1497311827956995</v>
      </c>
      <c r="T15" s="5">
        <v>3.3935483870967738</v>
      </c>
      <c r="U15">
        <v>0.8</v>
      </c>
      <c r="V15">
        <v>1</v>
      </c>
      <c r="W15">
        <v>0.2</v>
      </c>
      <c r="X15">
        <v>0.4</v>
      </c>
      <c r="Y15">
        <v>0</v>
      </c>
      <c r="Z15">
        <v>0</v>
      </c>
      <c r="AA15">
        <v>0.05</v>
      </c>
      <c r="AB15">
        <v>0.25</v>
      </c>
      <c r="AC15">
        <v>0.4</v>
      </c>
      <c r="AD15">
        <v>0</v>
      </c>
      <c r="AE15">
        <v>0</v>
      </c>
      <c r="AF15">
        <v>0.1</v>
      </c>
      <c r="AG15">
        <v>0.1</v>
      </c>
      <c r="AH15">
        <v>0.05</v>
      </c>
      <c r="AI15">
        <v>0</v>
      </c>
      <c r="AJ15">
        <v>0.05</v>
      </c>
      <c r="AK15">
        <v>0</v>
      </c>
      <c r="AL15">
        <v>0</v>
      </c>
      <c r="AM15">
        <v>0.05</v>
      </c>
      <c r="AN15">
        <v>0.6</v>
      </c>
      <c r="AO15">
        <v>0</v>
      </c>
      <c r="AP15">
        <v>0.05</v>
      </c>
      <c r="AQ15">
        <v>0</v>
      </c>
      <c r="AR15">
        <v>0.75</v>
      </c>
      <c r="AS15">
        <v>0.3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0.35</v>
      </c>
      <c r="BA15">
        <v>0.3</v>
      </c>
      <c r="BB15">
        <v>0</v>
      </c>
      <c r="BC15">
        <v>0.85</v>
      </c>
      <c r="BD15">
        <v>0.15</v>
      </c>
      <c r="BE15">
        <v>0</v>
      </c>
      <c r="BF15">
        <v>0</v>
      </c>
      <c r="BG15">
        <v>0.2</v>
      </c>
      <c r="BH15">
        <v>0.1</v>
      </c>
      <c r="BI15">
        <v>0</v>
      </c>
      <c r="BJ15">
        <v>0.9</v>
      </c>
      <c r="BK15">
        <v>0.8</v>
      </c>
      <c r="BL15">
        <v>0.1</v>
      </c>
      <c r="BM15">
        <v>0</v>
      </c>
      <c r="BN15">
        <v>0</v>
      </c>
      <c r="BO15">
        <v>0</v>
      </c>
      <c r="BP15">
        <v>0.05</v>
      </c>
      <c r="BQ15">
        <v>0</v>
      </c>
      <c r="BR15">
        <v>0</v>
      </c>
      <c r="BS15">
        <v>0</v>
      </c>
      <c r="BT15">
        <v>0.05</v>
      </c>
      <c r="BU15">
        <v>0</v>
      </c>
      <c r="BV15">
        <v>0</v>
      </c>
      <c r="BW15">
        <v>0.1</v>
      </c>
      <c r="BX15">
        <v>0.05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0.6</v>
      </c>
      <c r="CF15">
        <v>0.15</v>
      </c>
      <c r="CG15">
        <v>0.85</v>
      </c>
      <c r="CH15">
        <v>0</v>
      </c>
      <c r="CI15">
        <v>0.6</v>
      </c>
      <c r="CJ15">
        <v>0.25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0.05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0.05</v>
      </c>
      <c r="CX15">
        <v>0.05</v>
      </c>
      <c r="CY15">
        <v>0</v>
      </c>
      <c r="CZ15">
        <v>0.1</v>
      </c>
      <c r="DA15">
        <v>0</v>
      </c>
      <c r="DB15">
        <v>0</v>
      </c>
      <c r="DC15">
        <v>0</v>
      </c>
      <c r="DD15">
        <v>0.2</v>
      </c>
      <c r="DE15">
        <v>0</v>
      </c>
      <c r="DF15">
        <v>0.05</v>
      </c>
      <c r="DG15">
        <v>0</v>
      </c>
      <c r="DH15">
        <v>0.1</v>
      </c>
      <c r="DI15">
        <v>0</v>
      </c>
      <c r="DJ15">
        <v>0</v>
      </c>
      <c r="DK15">
        <v>0.05</v>
      </c>
      <c r="DL15">
        <v>0.8</v>
      </c>
      <c r="DM15">
        <v>0</v>
      </c>
      <c r="DN15">
        <v>0</v>
      </c>
      <c r="DO15">
        <v>0.4</v>
      </c>
      <c r="DP15">
        <v>0.25</v>
      </c>
      <c r="DQ15">
        <v>0</v>
      </c>
      <c r="DR15">
        <v>0.05</v>
      </c>
      <c r="DS15">
        <v>0.4</v>
      </c>
      <c r="DT15">
        <v>0</v>
      </c>
      <c r="DU15">
        <v>0</v>
      </c>
      <c r="DV15">
        <v>0</v>
      </c>
      <c r="DW15">
        <v>0</v>
      </c>
      <c r="DX15">
        <v>0.15</v>
      </c>
      <c r="DY15">
        <v>0</v>
      </c>
      <c r="DZ15">
        <v>0</v>
      </c>
      <c r="EA15">
        <v>0</v>
      </c>
      <c r="EB15">
        <v>0.1</v>
      </c>
      <c r="EC15">
        <v>0</v>
      </c>
      <c r="ED15">
        <v>0.05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0.05</v>
      </c>
      <c r="EL15">
        <v>0</v>
      </c>
      <c r="EM15">
        <v>0</v>
      </c>
      <c r="EN15">
        <v>0.05</v>
      </c>
      <c r="EO15">
        <v>0</v>
      </c>
      <c r="EP15">
        <v>0</v>
      </c>
      <c r="EQ15">
        <v>0</v>
      </c>
      <c r="ER15">
        <v>0.1</v>
      </c>
      <c r="ES15">
        <v>0.1</v>
      </c>
      <c r="ET15">
        <v>0</v>
      </c>
      <c r="EU15">
        <v>0</v>
      </c>
      <c r="EV15">
        <v>0</v>
      </c>
    </row>
    <row r="16" spans="1:152">
      <c r="A16" s="3">
        <v>15</v>
      </c>
      <c r="B16" s="3">
        <v>18</v>
      </c>
      <c r="C16" s="4" t="s">
        <v>41</v>
      </c>
      <c r="D16" s="4">
        <v>20</v>
      </c>
      <c r="E16" s="4">
        <v>25</v>
      </c>
      <c r="F16" s="4">
        <v>31.4</v>
      </c>
      <c r="G16" s="4">
        <v>12</v>
      </c>
      <c r="H16" s="4">
        <v>12</v>
      </c>
      <c r="I16" s="4">
        <v>2.6</v>
      </c>
      <c r="J16" s="4">
        <v>0.3</v>
      </c>
      <c r="K16" s="4">
        <v>99.313999999999993</v>
      </c>
      <c r="L16" s="4">
        <v>15.66672</v>
      </c>
      <c r="M16" s="4">
        <v>0</v>
      </c>
      <c r="N16" s="4">
        <f t="shared" si="0"/>
        <v>0</v>
      </c>
      <c r="O16" s="4" t="s">
        <v>5</v>
      </c>
      <c r="P16" s="4" t="s">
        <v>5</v>
      </c>
      <c r="Q16" s="4" t="s">
        <v>5</v>
      </c>
      <c r="R16" s="4" t="s">
        <v>5</v>
      </c>
      <c r="S16" s="5">
        <v>0.48295698924731184</v>
      </c>
      <c r="T16" s="5">
        <v>0.67096774193548403</v>
      </c>
      <c r="U16">
        <v>0</v>
      </c>
      <c r="V16">
        <v>0</v>
      </c>
      <c r="W16">
        <v>0.05</v>
      </c>
      <c r="X16">
        <v>0.7</v>
      </c>
      <c r="Y16">
        <v>0.4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0.3</v>
      </c>
      <c r="AK16">
        <v>0</v>
      </c>
      <c r="AL16">
        <v>0</v>
      </c>
      <c r="AM16">
        <v>0</v>
      </c>
      <c r="AN16">
        <v>0.1</v>
      </c>
      <c r="AO16">
        <v>0.1</v>
      </c>
      <c r="AP16">
        <v>0</v>
      </c>
      <c r="AQ16">
        <v>0</v>
      </c>
      <c r="AR16">
        <v>0</v>
      </c>
      <c r="AS16">
        <v>0.05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0.1</v>
      </c>
      <c r="BC16">
        <v>0</v>
      </c>
      <c r="BD16">
        <v>0</v>
      </c>
      <c r="BE16">
        <v>0.3</v>
      </c>
      <c r="BF16">
        <v>0</v>
      </c>
      <c r="BG16">
        <v>0.05</v>
      </c>
      <c r="BH16">
        <v>0</v>
      </c>
      <c r="BI16">
        <v>0</v>
      </c>
      <c r="BJ16">
        <v>0.05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0.05</v>
      </c>
      <c r="BW16">
        <v>0</v>
      </c>
      <c r="BX16">
        <v>0</v>
      </c>
      <c r="BY16">
        <v>0</v>
      </c>
      <c r="BZ16">
        <v>0.1</v>
      </c>
      <c r="CA16">
        <v>0</v>
      </c>
      <c r="CB16">
        <v>0.05</v>
      </c>
      <c r="CC16">
        <v>0</v>
      </c>
      <c r="CD16">
        <v>0.05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0.1</v>
      </c>
      <c r="CK16">
        <v>0.4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0.2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0.1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</row>
    <row r="17" spans="1:152">
      <c r="A17" s="3">
        <v>16</v>
      </c>
      <c r="B17" s="3">
        <v>8</v>
      </c>
      <c r="C17" s="4" t="s">
        <v>42</v>
      </c>
      <c r="D17" s="4">
        <v>24</v>
      </c>
      <c r="E17" s="4">
        <v>59</v>
      </c>
      <c r="F17" s="4">
        <v>63</v>
      </c>
      <c r="G17" s="4">
        <v>28</v>
      </c>
      <c r="H17" s="4">
        <v>48.25</v>
      </c>
      <c r="I17" s="4">
        <v>15.2916666666667</v>
      </c>
      <c r="J17" s="4">
        <v>2.25</v>
      </c>
      <c r="K17" s="4">
        <v>0</v>
      </c>
      <c r="L17" s="4">
        <v>14.6304</v>
      </c>
      <c r="M17" s="4">
        <v>1.5</v>
      </c>
      <c r="N17" s="4">
        <f t="shared" si="0"/>
        <v>0.3</v>
      </c>
      <c r="O17" s="4">
        <v>1.16486466666667</v>
      </c>
      <c r="P17" s="4">
        <v>1.16486466666667</v>
      </c>
      <c r="Q17" s="4">
        <v>0.61680000000000001</v>
      </c>
      <c r="R17" s="4">
        <v>0.71960000000000002</v>
      </c>
      <c r="S17" s="5">
        <v>1.1739247311827956</v>
      </c>
      <c r="T17" s="5">
        <v>1.5225806451612909</v>
      </c>
      <c r="U17">
        <v>0.95833333300000001</v>
      </c>
      <c r="V17">
        <v>0.875</v>
      </c>
      <c r="W17">
        <v>0.29166666699999999</v>
      </c>
      <c r="X17">
        <v>0.66666666699999999</v>
      </c>
      <c r="Y17">
        <v>0</v>
      </c>
      <c r="Z17">
        <v>0</v>
      </c>
      <c r="AA17">
        <v>8.3333332999999996E-2</v>
      </c>
      <c r="AB17">
        <v>0.45833333300000001</v>
      </c>
      <c r="AC17">
        <v>0.41666666699999999</v>
      </c>
      <c r="AD17">
        <v>0.16666666699999999</v>
      </c>
      <c r="AE17">
        <v>0.58333333300000001</v>
      </c>
      <c r="AF17">
        <v>0.5</v>
      </c>
      <c r="AG17">
        <v>0.29166666699999999</v>
      </c>
      <c r="AH17">
        <v>0.45833333300000001</v>
      </c>
      <c r="AI17">
        <v>4.1666666999999998E-2</v>
      </c>
      <c r="AJ17">
        <v>0</v>
      </c>
      <c r="AK17">
        <v>0</v>
      </c>
      <c r="AL17">
        <v>0.33333333300000001</v>
      </c>
      <c r="AM17">
        <v>0</v>
      </c>
      <c r="AN17">
        <v>0.58333333300000001</v>
      </c>
      <c r="AO17">
        <v>0</v>
      </c>
      <c r="AP17">
        <v>0</v>
      </c>
      <c r="AQ17">
        <v>0</v>
      </c>
      <c r="AR17">
        <v>0.41666666699999999</v>
      </c>
      <c r="AS17">
        <v>0.5</v>
      </c>
      <c r="AT17">
        <v>0</v>
      </c>
      <c r="AU17">
        <v>0</v>
      </c>
      <c r="AV17">
        <v>0</v>
      </c>
      <c r="AW17">
        <v>8.3333332999999996E-2</v>
      </c>
      <c r="AX17">
        <v>0.29166666699999999</v>
      </c>
      <c r="AY17">
        <v>0</v>
      </c>
      <c r="AZ17">
        <v>0</v>
      </c>
      <c r="BA17">
        <v>0.41666666699999999</v>
      </c>
      <c r="BB17">
        <v>0</v>
      </c>
      <c r="BC17">
        <v>0.58333333300000001</v>
      </c>
      <c r="BD17">
        <v>0.375</v>
      </c>
      <c r="BE17">
        <v>0</v>
      </c>
      <c r="BF17">
        <v>4.1666666999999998E-2</v>
      </c>
      <c r="BG17">
        <v>0</v>
      </c>
      <c r="BH17">
        <v>4.1666666999999998E-2</v>
      </c>
      <c r="BI17">
        <v>8.3333332999999996E-2</v>
      </c>
      <c r="BJ17">
        <v>0.75</v>
      </c>
      <c r="BK17">
        <v>0.5</v>
      </c>
      <c r="BL17">
        <v>0.66666666699999999</v>
      </c>
      <c r="BM17">
        <v>0.66666666699999999</v>
      </c>
      <c r="BN17">
        <v>0.25</v>
      </c>
      <c r="BO17">
        <v>0.41666666699999999</v>
      </c>
      <c r="BP17">
        <v>0</v>
      </c>
      <c r="BQ17">
        <v>0</v>
      </c>
      <c r="BR17">
        <v>0.20833333300000001</v>
      </c>
      <c r="BS17">
        <v>0.125</v>
      </c>
      <c r="BT17">
        <v>0</v>
      </c>
      <c r="BU17">
        <v>4.1666666999999998E-2</v>
      </c>
      <c r="BV17">
        <v>4.1666666999999998E-2</v>
      </c>
      <c r="BW17">
        <v>0.16666666699999999</v>
      </c>
      <c r="BX17">
        <v>4.1666666999999998E-2</v>
      </c>
      <c r="BY17">
        <v>8.3333332999999996E-2</v>
      </c>
      <c r="BZ17">
        <v>0</v>
      </c>
      <c r="CA17">
        <v>4.1666666999999998E-2</v>
      </c>
      <c r="CB17">
        <v>0</v>
      </c>
      <c r="CC17">
        <v>0</v>
      </c>
      <c r="CD17">
        <v>0.25</v>
      </c>
      <c r="CE17">
        <v>0.41666666699999999</v>
      </c>
      <c r="CF17">
        <v>8.3333332999999996E-2</v>
      </c>
      <c r="CG17">
        <v>0.54166666699999999</v>
      </c>
      <c r="CH17">
        <v>0.20833333300000001</v>
      </c>
      <c r="CI17">
        <v>0.625</v>
      </c>
      <c r="CJ17">
        <v>0.33333333300000001</v>
      </c>
      <c r="CK17">
        <v>0</v>
      </c>
      <c r="CL17">
        <v>0</v>
      </c>
      <c r="CM17">
        <v>0</v>
      </c>
      <c r="CN17">
        <v>0</v>
      </c>
      <c r="CO17">
        <v>0.25</v>
      </c>
      <c r="CP17">
        <v>8.3333332999999996E-2</v>
      </c>
      <c r="CQ17">
        <v>0</v>
      </c>
      <c r="CR17">
        <v>4.1666666999999998E-2</v>
      </c>
      <c r="CS17">
        <v>0</v>
      </c>
      <c r="CT17">
        <v>0</v>
      </c>
      <c r="CU17">
        <v>0</v>
      </c>
      <c r="CV17">
        <v>0</v>
      </c>
      <c r="CW17">
        <v>0.33333333300000001</v>
      </c>
      <c r="CX17">
        <v>4.1666666999999998E-2</v>
      </c>
      <c r="CY17">
        <v>4.1666666999999998E-2</v>
      </c>
      <c r="CZ17">
        <v>4.1666666999999998E-2</v>
      </c>
      <c r="DA17">
        <v>0</v>
      </c>
      <c r="DB17">
        <v>0</v>
      </c>
      <c r="DC17">
        <v>0</v>
      </c>
      <c r="DD17">
        <v>0.25</v>
      </c>
      <c r="DE17">
        <v>0.20833333300000001</v>
      </c>
      <c r="DF17">
        <v>0.125</v>
      </c>
      <c r="DG17">
        <v>0</v>
      </c>
      <c r="DH17">
        <v>0</v>
      </c>
      <c r="DI17">
        <v>0</v>
      </c>
      <c r="DJ17">
        <v>0</v>
      </c>
      <c r="DK17">
        <v>4.1666666999999998E-2</v>
      </c>
      <c r="DL17">
        <v>0.54166666699999999</v>
      </c>
      <c r="DM17">
        <v>0</v>
      </c>
      <c r="DN17">
        <v>0</v>
      </c>
      <c r="DO17">
        <v>0.375</v>
      </c>
      <c r="DP17">
        <v>0.125</v>
      </c>
      <c r="DQ17">
        <v>8.3333332999999996E-2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4.1666666999999998E-2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4.1666666999999998E-2</v>
      </c>
      <c r="EL17">
        <v>0.25</v>
      </c>
      <c r="EM17">
        <v>0</v>
      </c>
      <c r="EN17">
        <v>0</v>
      </c>
      <c r="EO17">
        <v>0</v>
      </c>
      <c r="EP17">
        <v>0</v>
      </c>
      <c r="EQ17">
        <v>0</v>
      </c>
      <c r="ER17">
        <v>4.1666666999999998E-2</v>
      </c>
      <c r="ES17">
        <v>4.1666666999999998E-2</v>
      </c>
      <c r="ET17">
        <v>0</v>
      </c>
      <c r="EU17">
        <v>0</v>
      </c>
      <c r="EV17">
        <v>0</v>
      </c>
    </row>
    <row r="18" spans="1:152">
      <c r="A18" s="3">
        <v>17</v>
      </c>
      <c r="B18" s="3">
        <v>1</v>
      </c>
      <c r="C18" s="4" t="s">
        <v>43</v>
      </c>
      <c r="D18" s="4">
        <v>24</v>
      </c>
      <c r="E18" s="4">
        <v>61</v>
      </c>
      <c r="F18" s="4">
        <v>98.5</v>
      </c>
      <c r="G18" s="4">
        <v>27</v>
      </c>
      <c r="H18" s="4">
        <v>52</v>
      </c>
      <c r="I18" s="4">
        <v>12.6666666666667</v>
      </c>
      <c r="J18" s="4">
        <v>1.5833333333333299</v>
      </c>
      <c r="K18" s="4">
        <v>0</v>
      </c>
      <c r="L18" s="4">
        <v>15.5448</v>
      </c>
      <c r="M18" s="4">
        <v>0.16666666666666699</v>
      </c>
      <c r="N18" s="4">
        <f t="shared" si="0"/>
        <v>3.3333333333333395E-2</v>
      </c>
      <c r="O18" s="4" t="s">
        <v>5</v>
      </c>
      <c r="P18" s="4" t="s">
        <v>5</v>
      </c>
      <c r="Q18" s="4">
        <v>0.59109999999999996</v>
      </c>
      <c r="R18" s="4">
        <v>0.82240000000000002</v>
      </c>
      <c r="S18" s="5">
        <v>1.1072580645161292</v>
      </c>
      <c r="T18" s="5">
        <v>1.854838709677419</v>
      </c>
      <c r="U18">
        <v>0.75</v>
      </c>
      <c r="V18">
        <v>1</v>
      </c>
      <c r="W18">
        <v>0.16666666699999999</v>
      </c>
      <c r="X18">
        <v>0.25</v>
      </c>
      <c r="Y18">
        <v>0</v>
      </c>
      <c r="Z18">
        <v>0</v>
      </c>
      <c r="AA18">
        <v>0</v>
      </c>
      <c r="AB18">
        <v>0.25</v>
      </c>
      <c r="AC18">
        <v>4.1666666999999998E-2</v>
      </c>
      <c r="AD18">
        <v>0</v>
      </c>
      <c r="AE18">
        <v>4.1666666999999998E-2</v>
      </c>
      <c r="AF18">
        <v>0.375</v>
      </c>
      <c r="AG18">
        <v>0.20833333300000001</v>
      </c>
      <c r="AH18">
        <v>0.33333333300000001</v>
      </c>
      <c r="AI18">
        <v>0.125</v>
      </c>
      <c r="AJ18">
        <v>0</v>
      </c>
      <c r="AK18">
        <v>0</v>
      </c>
      <c r="AL18">
        <v>0</v>
      </c>
      <c r="AM18">
        <v>4.1666666999999998E-2</v>
      </c>
      <c r="AN18">
        <v>1</v>
      </c>
      <c r="AO18">
        <v>0</v>
      </c>
      <c r="AP18">
        <v>4.1666666999999998E-2</v>
      </c>
      <c r="AQ18">
        <v>0</v>
      </c>
      <c r="AR18">
        <v>0.375</v>
      </c>
      <c r="AS18">
        <v>0.66666666699999999</v>
      </c>
      <c r="AT18">
        <v>8.3333332999999996E-2</v>
      </c>
      <c r="AU18">
        <v>0</v>
      </c>
      <c r="AV18">
        <v>0</v>
      </c>
      <c r="AW18">
        <v>0</v>
      </c>
      <c r="AX18">
        <v>8.3333332999999996E-2</v>
      </c>
      <c r="AY18">
        <v>0.16666666699999999</v>
      </c>
      <c r="AZ18">
        <v>0</v>
      </c>
      <c r="BA18">
        <v>0.79166666699999999</v>
      </c>
      <c r="BB18">
        <v>0</v>
      </c>
      <c r="BC18">
        <v>0.66666666699999999</v>
      </c>
      <c r="BD18">
        <v>0.16666666699999999</v>
      </c>
      <c r="BE18">
        <v>0</v>
      </c>
      <c r="BF18">
        <v>0</v>
      </c>
      <c r="BG18">
        <v>0.16666666699999999</v>
      </c>
      <c r="BH18">
        <v>0.20833333300000001</v>
      </c>
      <c r="BI18">
        <v>0</v>
      </c>
      <c r="BJ18">
        <v>0.5</v>
      </c>
      <c r="BK18">
        <v>0.375</v>
      </c>
      <c r="BL18">
        <v>0.29166666699999999</v>
      </c>
      <c r="BM18">
        <v>0.70833333300000001</v>
      </c>
      <c r="BN18">
        <v>0.83333333300000001</v>
      </c>
      <c r="BO18">
        <v>0.33333333300000001</v>
      </c>
      <c r="BP18">
        <v>0</v>
      </c>
      <c r="BQ18">
        <v>0.125</v>
      </c>
      <c r="BR18">
        <v>0.20833333300000001</v>
      </c>
      <c r="BS18">
        <v>0.25</v>
      </c>
      <c r="BT18">
        <v>4.1666666999999998E-2</v>
      </c>
      <c r="BU18">
        <v>0.25</v>
      </c>
      <c r="BV18">
        <v>0</v>
      </c>
      <c r="BW18">
        <v>4.1666666999999998E-2</v>
      </c>
      <c r="BX18">
        <v>8.3333332999999996E-2</v>
      </c>
      <c r="BY18">
        <v>4.1666666999999998E-2</v>
      </c>
      <c r="BZ18">
        <v>0</v>
      </c>
      <c r="CA18">
        <v>0</v>
      </c>
      <c r="CB18">
        <v>0</v>
      </c>
      <c r="CC18">
        <v>0.125</v>
      </c>
      <c r="CD18">
        <v>0.29166666699999999</v>
      </c>
      <c r="CE18">
        <v>0.375</v>
      </c>
      <c r="CF18">
        <v>4.1666666999999998E-2</v>
      </c>
      <c r="CG18">
        <v>0.70833333300000001</v>
      </c>
      <c r="CH18">
        <v>8.3333332999999996E-2</v>
      </c>
      <c r="CI18">
        <v>0.125</v>
      </c>
      <c r="CJ18">
        <v>4.1666666999999998E-2</v>
      </c>
      <c r="CK18">
        <v>0</v>
      </c>
      <c r="CL18">
        <v>0</v>
      </c>
      <c r="CM18">
        <v>4.1666666999999998E-2</v>
      </c>
      <c r="CN18">
        <v>0</v>
      </c>
      <c r="CO18">
        <v>4.1666666999999998E-2</v>
      </c>
      <c r="CP18">
        <v>0</v>
      </c>
      <c r="CQ18">
        <v>0</v>
      </c>
      <c r="CR18">
        <v>4.1666666999999998E-2</v>
      </c>
      <c r="CS18">
        <v>4.1666666999999998E-2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4.1666666999999998E-2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0.16666666699999999</v>
      </c>
      <c r="DF18">
        <v>4.1666666999999998E-2</v>
      </c>
      <c r="DG18">
        <v>0</v>
      </c>
      <c r="DH18">
        <v>0</v>
      </c>
      <c r="DI18">
        <v>0</v>
      </c>
      <c r="DJ18">
        <v>4.1666666999999998E-2</v>
      </c>
      <c r="DK18">
        <v>4.1666666999999998E-2</v>
      </c>
      <c r="DL18">
        <v>0.95833333300000001</v>
      </c>
      <c r="DM18">
        <v>0</v>
      </c>
      <c r="DN18">
        <v>0</v>
      </c>
      <c r="DO18">
        <v>0.29166666699999999</v>
      </c>
      <c r="DP18">
        <v>0.125</v>
      </c>
      <c r="DQ18">
        <v>0.125</v>
      </c>
      <c r="DR18">
        <v>4.1666666999999998E-2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4.1666666999999998E-2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0.125</v>
      </c>
      <c r="EO18">
        <v>0</v>
      </c>
      <c r="EP18">
        <v>0</v>
      </c>
      <c r="EQ18">
        <v>0</v>
      </c>
      <c r="ER18">
        <v>8.3333332999999996E-2</v>
      </c>
      <c r="ES18">
        <v>8.3333332999999996E-2</v>
      </c>
      <c r="ET18">
        <v>0.16666666699999999</v>
      </c>
      <c r="EU18">
        <v>0</v>
      </c>
      <c r="EV18">
        <v>0</v>
      </c>
    </row>
    <row r="19" spans="1:152">
      <c r="A19" s="3">
        <v>18</v>
      </c>
      <c r="B19" s="3">
        <v>12</v>
      </c>
      <c r="C19" s="4" t="s">
        <v>44</v>
      </c>
      <c r="D19" s="4">
        <v>24</v>
      </c>
      <c r="E19" s="4">
        <v>41</v>
      </c>
      <c r="F19" s="4">
        <v>45.9</v>
      </c>
      <c r="G19" s="4">
        <v>30</v>
      </c>
      <c r="H19" s="4">
        <v>30</v>
      </c>
      <c r="I19" s="4">
        <v>8.7916666666666696</v>
      </c>
      <c r="J19" s="4">
        <v>2.375</v>
      </c>
      <c r="K19" s="4">
        <v>23.31</v>
      </c>
      <c r="L19" s="4">
        <v>15.3924</v>
      </c>
      <c r="M19" s="4">
        <v>0</v>
      </c>
      <c r="N19" s="4">
        <f t="shared" si="0"/>
        <v>0</v>
      </c>
      <c r="O19" s="4">
        <v>0.77137366666666696</v>
      </c>
      <c r="P19" s="4">
        <v>0.77137366666666696</v>
      </c>
      <c r="Q19" s="4">
        <v>0.35980000000000001</v>
      </c>
      <c r="R19" s="4">
        <v>0.41120000000000001</v>
      </c>
      <c r="S19" s="5">
        <v>0.72419354838709671</v>
      </c>
      <c r="T19" s="5">
        <v>1.0354838709677425</v>
      </c>
      <c r="U19">
        <v>0.83333333300000001</v>
      </c>
      <c r="V19">
        <v>0.95833333300000001</v>
      </c>
      <c r="W19">
        <v>0</v>
      </c>
      <c r="X19">
        <v>0.125</v>
      </c>
      <c r="Y19">
        <v>0</v>
      </c>
      <c r="Z19">
        <v>0</v>
      </c>
      <c r="AA19">
        <v>8.3333332999999996E-2</v>
      </c>
      <c r="AB19">
        <v>0.29166666699999999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0.16666666699999999</v>
      </c>
      <c r="AI19">
        <v>8.3333332999999996E-2</v>
      </c>
      <c r="AJ19">
        <v>8.3333332999999996E-2</v>
      </c>
      <c r="AK19">
        <v>0</v>
      </c>
      <c r="AL19">
        <v>0</v>
      </c>
      <c r="AM19">
        <v>8.3333332999999996E-2</v>
      </c>
      <c r="AN19">
        <v>0.125</v>
      </c>
      <c r="AO19">
        <v>4.1666666999999998E-2</v>
      </c>
      <c r="AP19">
        <v>0</v>
      </c>
      <c r="AQ19">
        <v>0</v>
      </c>
      <c r="AR19">
        <v>0.70833333300000001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0.79166666699999999</v>
      </c>
      <c r="BB19">
        <v>0</v>
      </c>
      <c r="BC19">
        <v>0.83333333300000001</v>
      </c>
      <c r="BD19">
        <v>0</v>
      </c>
      <c r="BE19">
        <v>0</v>
      </c>
      <c r="BF19">
        <v>0</v>
      </c>
      <c r="BG19">
        <v>0.70833333300000001</v>
      </c>
      <c r="BH19">
        <v>0.58333333300000001</v>
      </c>
      <c r="BI19">
        <v>0</v>
      </c>
      <c r="BJ19">
        <v>4.1666666999999998E-2</v>
      </c>
      <c r="BK19">
        <v>0.29166666699999999</v>
      </c>
      <c r="BL19">
        <v>0.375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0.33333333300000001</v>
      </c>
      <c r="BW19">
        <v>4.1666666999999998E-2</v>
      </c>
      <c r="BX19">
        <v>0.375</v>
      </c>
      <c r="BY19">
        <v>0</v>
      </c>
      <c r="BZ19">
        <v>0.16666666699999999</v>
      </c>
      <c r="CA19">
        <v>0</v>
      </c>
      <c r="CB19">
        <v>4.1666666999999998E-2</v>
      </c>
      <c r="CC19">
        <v>8.3333332999999996E-2</v>
      </c>
      <c r="CD19">
        <v>0.125</v>
      </c>
      <c r="CE19">
        <v>4.1666666999999998E-2</v>
      </c>
      <c r="CF19">
        <v>0.125</v>
      </c>
      <c r="CG19">
        <v>0.875</v>
      </c>
      <c r="CH19">
        <v>0</v>
      </c>
      <c r="CI19">
        <v>0.625</v>
      </c>
      <c r="CJ19">
        <v>0.20833333300000001</v>
      </c>
      <c r="CK19">
        <v>0</v>
      </c>
      <c r="CL19">
        <v>4.1666666999999998E-2</v>
      </c>
      <c r="CM19">
        <v>0.25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4.1666666999999998E-2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0.125</v>
      </c>
      <c r="DE19">
        <v>0.20833333300000001</v>
      </c>
      <c r="DF19">
        <v>4.1666666999999998E-2</v>
      </c>
      <c r="DG19">
        <v>4.1666666999999998E-2</v>
      </c>
      <c r="DH19">
        <v>0</v>
      </c>
      <c r="DI19">
        <v>0</v>
      </c>
      <c r="DJ19">
        <v>0</v>
      </c>
      <c r="DK19">
        <v>0</v>
      </c>
      <c r="DL19">
        <v>0.16666666699999999</v>
      </c>
      <c r="DM19">
        <v>4.1666666999999998E-2</v>
      </c>
      <c r="DN19">
        <v>0.375</v>
      </c>
      <c r="DO19">
        <v>4.1666666999999998E-2</v>
      </c>
      <c r="DP19">
        <v>0.16666666699999999</v>
      </c>
      <c r="DQ19">
        <v>0</v>
      </c>
      <c r="DR19">
        <v>0.20833333300000001</v>
      </c>
      <c r="DS19">
        <v>0</v>
      </c>
      <c r="DT19">
        <v>0</v>
      </c>
      <c r="DU19">
        <v>0</v>
      </c>
      <c r="DV19">
        <v>0.41666666699999999</v>
      </c>
      <c r="DW19">
        <v>4.1666666999999998E-2</v>
      </c>
      <c r="DX19">
        <v>0.20833333300000001</v>
      </c>
      <c r="DY19">
        <v>0</v>
      </c>
      <c r="DZ19">
        <v>0</v>
      </c>
      <c r="EA19">
        <v>4.1666666999999998E-2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4.1666666999999998E-2</v>
      </c>
      <c r="EO19">
        <v>0</v>
      </c>
      <c r="EP19">
        <v>4.1666666999999998E-2</v>
      </c>
      <c r="EQ19">
        <v>0</v>
      </c>
      <c r="ER19">
        <v>0.16666666699999999</v>
      </c>
      <c r="ES19">
        <v>0.25</v>
      </c>
      <c r="ET19">
        <v>0.29166666699999999</v>
      </c>
      <c r="EU19">
        <v>0</v>
      </c>
      <c r="EV19">
        <v>0</v>
      </c>
    </row>
    <row r="22" spans="1:152">
      <c r="R22" s="6"/>
      <c r="S22" s="5"/>
      <c r="T22" s="5"/>
    </row>
    <row r="23" spans="1:152">
      <c r="R23" s="6"/>
      <c r="S23" s="5"/>
      <c r="T23" s="5"/>
    </row>
    <row r="24" spans="1:152">
      <c r="R24" s="6"/>
    </row>
    <row r="25" spans="1:152">
      <c r="R25" s="6"/>
    </row>
    <row r="26" spans="1:152">
      <c r="R26" s="6"/>
    </row>
    <row r="27" spans="1:152">
      <c r="R27" s="6"/>
    </row>
    <row r="28" spans="1:152">
      <c r="R28" s="6"/>
    </row>
    <row r="29" spans="1:152">
      <c r="R29" s="6"/>
    </row>
    <row r="30" spans="1:152">
      <c r="R30" s="6"/>
    </row>
    <row r="31" spans="1:152">
      <c r="R31" s="6"/>
    </row>
    <row r="32" spans="1:152">
      <c r="R32" s="6"/>
    </row>
    <row r="33" spans="18:20">
      <c r="R33" s="6"/>
    </row>
    <row r="34" spans="18:20">
      <c r="R34" s="6"/>
    </row>
    <row r="35" spans="18:20">
      <c r="R35" s="6"/>
    </row>
    <row r="36" spans="18:20">
      <c r="R36" s="6"/>
      <c r="S36" s="5"/>
      <c r="T36" s="5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site.info</vt:lpstr>
      <vt:lpstr>site.corr R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Elahi</dc:creator>
  <cp:lastModifiedBy>Robin Elahi</cp:lastModifiedBy>
  <dcterms:created xsi:type="dcterms:W3CDTF">2013-06-10T17:50:59Z</dcterms:created>
  <dcterms:modified xsi:type="dcterms:W3CDTF">2013-06-11T01:27:33Z</dcterms:modified>
</cp:coreProperties>
</file>