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12660" yWindow="1100" windowWidth="18400" windowHeight="14800" tabRatio="869" activeTab="10"/>
  </bookViews>
  <sheets>
    <sheet name="raw" sheetId="1" r:id="rId1"/>
    <sheet name="dissolution.R" sheetId="3" r:id="rId2"/>
    <sheet name="field notes" sheetId="2" r:id="rId3"/>
    <sheet name="tidal flux" sheetId="4" r:id="rId4"/>
    <sheet name="tidal data_raw" sheetId="5" r:id="rId5"/>
    <sheet name="tidal data_edit" sheetId="6" r:id="rId6"/>
    <sheet name="noaa raw_aug 2012" sheetId="7" r:id="rId7"/>
    <sheet name="noaa.R" sheetId="8" r:id="rId8"/>
    <sheet name="noaa.R (2)" sheetId="9" r:id="rId9"/>
    <sheet name="noaa.R (3)" sheetId="11" r:id="rId10"/>
    <sheet name="noaa PT" sheetId="12" r:id="rId11"/>
    <sheet name="station table" sheetId="10" r:id="rId12"/>
  </sheets>
  <calcPr calcId="140000" concurrentCalc="0"/>
  <pivotCaches>
    <pivotCache cacheId="4" r:id="rId13"/>
    <pivotCache cacheId="5" r:id="rId14"/>
    <pivotCache cacheId="6" r:id="rId15"/>
    <pivotCache cacheId="7" r:id="rId16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3" i="10" l="1"/>
  <c r="S3" i="10"/>
  <c r="R11" i="10"/>
  <c r="R6" i="10"/>
  <c r="R3" i="10"/>
  <c r="R4" i="10"/>
  <c r="R5" i="10"/>
  <c r="R7" i="10"/>
  <c r="R8" i="10"/>
  <c r="R9" i="10"/>
  <c r="R10" i="10"/>
  <c r="R12" i="10"/>
  <c r="R13" i="10"/>
  <c r="R14" i="10"/>
  <c r="T4" i="10"/>
  <c r="T5" i="10"/>
  <c r="T6" i="10"/>
  <c r="T7" i="10"/>
  <c r="T8" i="10"/>
  <c r="T9" i="10"/>
  <c r="T10" i="10"/>
  <c r="T11" i="10"/>
  <c r="T12" i="10"/>
  <c r="T13" i="10"/>
  <c r="T14" i="10"/>
  <c r="Q3" i="10"/>
  <c r="S4" i="10"/>
  <c r="S5" i="10"/>
  <c r="S6" i="10"/>
  <c r="S7" i="10"/>
  <c r="S8" i="10"/>
  <c r="S9" i="10"/>
  <c r="S10" i="10"/>
  <c r="S11" i="10"/>
  <c r="S12" i="10"/>
  <c r="S13" i="10"/>
  <c r="S14" i="10"/>
  <c r="H436" i="11"/>
  <c r="I436" i="11"/>
  <c r="H437" i="11"/>
  <c r="I437" i="11"/>
  <c r="H438" i="11"/>
  <c r="I438" i="11"/>
  <c r="H439" i="11"/>
  <c r="I439" i="11"/>
  <c r="H440" i="11"/>
  <c r="I440" i="11"/>
  <c r="H441" i="11"/>
  <c r="I441" i="11"/>
  <c r="H442" i="11"/>
  <c r="I442" i="11"/>
  <c r="H443" i="11"/>
  <c r="I443" i="11"/>
  <c r="H444" i="11"/>
  <c r="I444" i="11"/>
  <c r="H445" i="11"/>
  <c r="I445" i="11"/>
  <c r="H446" i="11"/>
  <c r="I446" i="11"/>
  <c r="H447" i="11"/>
  <c r="I447" i="11"/>
  <c r="H448" i="11"/>
  <c r="I448" i="11"/>
  <c r="H449" i="11"/>
  <c r="I449" i="11"/>
  <c r="H450" i="11"/>
  <c r="I450" i="11"/>
  <c r="H451" i="11"/>
  <c r="I451" i="11"/>
  <c r="H452" i="11"/>
  <c r="I452" i="11"/>
  <c r="H453" i="11"/>
  <c r="I453" i="11"/>
  <c r="H454" i="11"/>
  <c r="I454" i="11"/>
  <c r="H455" i="11"/>
  <c r="I455" i="11"/>
  <c r="H456" i="11"/>
  <c r="I456" i="11"/>
  <c r="H457" i="11"/>
  <c r="I457" i="11"/>
  <c r="H458" i="11"/>
  <c r="I458" i="11"/>
  <c r="H459" i="11"/>
  <c r="I459" i="11"/>
  <c r="H460" i="11"/>
  <c r="I460" i="11"/>
  <c r="H461" i="11"/>
  <c r="I461" i="11"/>
  <c r="H462" i="11"/>
  <c r="I462" i="11"/>
  <c r="H463" i="11"/>
  <c r="I463" i="11"/>
  <c r="H464" i="11"/>
  <c r="I464" i="11"/>
  <c r="H465" i="11"/>
  <c r="I465" i="11"/>
  <c r="H466" i="11"/>
  <c r="I466" i="11"/>
  <c r="AA560" i="7"/>
  <c r="AB560" i="7"/>
  <c r="AA561" i="7"/>
  <c r="AB561" i="7"/>
  <c r="AA562" i="7"/>
  <c r="AB562" i="7"/>
  <c r="AA563" i="7"/>
  <c r="AB563" i="7"/>
  <c r="AA564" i="7"/>
  <c r="AB564" i="7"/>
  <c r="AA565" i="7"/>
  <c r="AB565" i="7"/>
  <c r="AA566" i="7"/>
  <c r="AB566" i="7"/>
  <c r="AA567" i="7"/>
  <c r="AB567" i="7"/>
  <c r="AA568" i="7"/>
  <c r="AB568" i="7"/>
  <c r="AA569" i="7"/>
  <c r="AB569" i="7"/>
  <c r="AA570" i="7"/>
  <c r="AB570" i="7"/>
  <c r="AA571" i="7"/>
  <c r="AB571" i="7"/>
  <c r="AA572" i="7"/>
  <c r="AB572" i="7"/>
  <c r="AA573" i="7"/>
  <c r="AB573" i="7"/>
  <c r="AA574" i="7"/>
  <c r="AB574" i="7"/>
  <c r="AA575" i="7"/>
  <c r="AB575" i="7"/>
  <c r="AA576" i="7"/>
  <c r="AB576" i="7"/>
  <c r="AA577" i="7"/>
  <c r="AB577" i="7"/>
  <c r="AA578" i="7"/>
  <c r="AB578" i="7"/>
  <c r="AA579" i="7"/>
  <c r="AB579" i="7"/>
  <c r="AA580" i="7"/>
  <c r="AB580" i="7"/>
  <c r="AA581" i="7"/>
  <c r="AB581" i="7"/>
  <c r="AA582" i="7"/>
  <c r="AB582" i="7"/>
  <c r="AA583" i="7"/>
  <c r="AB583" i="7"/>
  <c r="AA584" i="7"/>
  <c r="AB584" i="7"/>
  <c r="AA585" i="7"/>
  <c r="AB585" i="7"/>
  <c r="AA586" i="7"/>
  <c r="AB586" i="7"/>
  <c r="AA587" i="7"/>
  <c r="AB587" i="7"/>
  <c r="AA588" i="7"/>
  <c r="AB588" i="7"/>
  <c r="AA589" i="7"/>
  <c r="AB589" i="7"/>
  <c r="AA590" i="7"/>
  <c r="AB590" i="7"/>
  <c r="U560" i="7"/>
  <c r="V560" i="7"/>
  <c r="W560" i="7"/>
  <c r="X560" i="7"/>
  <c r="U561" i="7"/>
  <c r="V561" i="7"/>
  <c r="W561" i="7"/>
  <c r="X561" i="7"/>
  <c r="U562" i="7"/>
  <c r="V562" i="7"/>
  <c r="W562" i="7"/>
  <c r="X562" i="7"/>
  <c r="U563" i="7"/>
  <c r="V563" i="7"/>
  <c r="W563" i="7"/>
  <c r="X563" i="7"/>
  <c r="U564" i="7"/>
  <c r="V564" i="7"/>
  <c r="W564" i="7"/>
  <c r="X564" i="7"/>
  <c r="U565" i="7"/>
  <c r="V565" i="7"/>
  <c r="W565" i="7"/>
  <c r="U566" i="7"/>
  <c r="V566" i="7"/>
  <c r="W566" i="7"/>
  <c r="X566" i="7"/>
  <c r="U567" i="7"/>
  <c r="V567" i="7"/>
  <c r="W567" i="7"/>
  <c r="X567" i="7"/>
  <c r="U568" i="7"/>
  <c r="V568" i="7"/>
  <c r="W568" i="7"/>
  <c r="X568" i="7"/>
  <c r="U569" i="7"/>
  <c r="V569" i="7"/>
  <c r="W569" i="7"/>
  <c r="X569" i="7"/>
  <c r="U570" i="7"/>
  <c r="V570" i="7"/>
  <c r="W570" i="7"/>
  <c r="X570" i="7"/>
  <c r="U571" i="7"/>
  <c r="V571" i="7"/>
  <c r="W571" i="7"/>
  <c r="X571" i="7"/>
  <c r="U572" i="7"/>
  <c r="V572" i="7"/>
  <c r="W572" i="7"/>
  <c r="X572" i="7"/>
  <c r="U573" i="7"/>
  <c r="V573" i="7"/>
  <c r="W573" i="7"/>
  <c r="U574" i="7"/>
  <c r="V574" i="7"/>
  <c r="W574" i="7"/>
  <c r="X574" i="7"/>
  <c r="U575" i="7"/>
  <c r="V575" i="7"/>
  <c r="W575" i="7"/>
  <c r="X575" i="7"/>
  <c r="U576" i="7"/>
  <c r="V576" i="7"/>
  <c r="W576" i="7"/>
  <c r="X576" i="7"/>
  <c r="U577" i="7"/>
  <c r="V577" i="7"/>
  <c r="W577" i="7"/>
  <c r="X577" i="7"/>
  <c r="U578" i="7"/>
  <c r="V578" i="7"/>
  <c r="W578" i="7"/>
  <c r="X578" i="7"/>
  <c r="U579" i="7"/>
  <c r="V579" i="7"/>
  <c r="W579" i="7"/>
  <c r="X579" i="7"/>
  <c r="U580" i="7"/>
  <c r="V580" i="7"/>
  <c r="W580" i="7"/>
  <c r="U581" i="7"/>
  <c r="V581" i="7"/>
  <c r="W581" i="7"/>
  <c r="X581" i="7"/>
  <c r="U582" i="7"/>
  <c r="V582" i="7"/>
  <c r="W582" i="7"/>
  <c r="X582" i="7"/>
  <c r="U583" i="7"/>
  <c r="V583" i="7"/>
  <c r="W583" i="7"/>
  <c r="X583" i="7"/>
  <c r="U584" i="7"/>
  <c r="V584" i="7"/>
  <c r="W584" i="7"/>
  <c r="X584" i="7"/>
  <c r="U585" i="7"/>
  <c r="V585" i="7"/>
  <c r="W585" i="7"/>
  <c r="X585" i="7"/>
  <c r="U586" i="7"/>
  <c r="V586" i="7"/>
  <c r="W586" i="7"/>
  <c r="X586" i="7"/>
  <c r="U587" i="7"/>
  <c r="V587" i="7"/>
  <c r="W587" i="7"/>
  <c r="U588" i="7"/>
  <c r="V588" i="7"/>
  <c r="W588" i="7"/>
  <c r="X588" i="7"/>
  <c r="U589" i="7"/>
  <c r="V589" i="7"/>
  <c r="W589" i="7"/>
  <c r="X589" i="7"/>
  <c r="U590" i="7"/>
  <c r="V590" i="7"/>
  <c r="W590" i="7"/>
  <c r="X590" i="7"/>
  <c r="I435" i="11"/>
  <c r="H435" i="11"/>
  <c r="I434" i="11"/>
  <c r="H434" i="11"/>
  <c r="I433" i="11"/>
  <c r="H433" i="11"/>
  <c r="I432" i="11"/>
  <c r="H432" i="11"/>
  <c r="I431" i="11"/>
  <c r="H431" i="11"/>
  <c r="I430" i="11"/>
  <c r="H430" i="11"/>
  <c r="I429" i="11"/>
  <c r="H429" i="11"/>
  <c r="I428" i="11"/>
  <c r="H428" i="11"/>
  <c r="I427" i="11"/>
  <c r="H427" i="11"/>
  <c r="I426" i="11"/>
  <c r="H426" i="11"/>
  <c r="I425" i="11"/>
  <c r="H425" i="11"/>
  <c r="I424" i="11"/>
  <c r="H424" i="11"/>
  <c r="I423" i="11"/>
  <c r="H423" i="11"/>
  <c r="I422" i="11"/>
  <c r="H422" i="11"/>
  <c r="I421" i="11"/>
  <c r="H421" i="11"/>
  <c r="I420" i="11"/>
  <c r="H420" i="11"/>
  <c r="I419" i="11"/>
  <c r="H419" i="11"/>
  <c r="I418" i="11"/>
  <c r="H418" i="11"/>
  <c r="I417" i="11"/>
  <c r="H417" i="11"/>
  <c r="I416" i="11"/>
  <c r="H416" i="11"/>
  <c r="I415" i="11"/>
  <c r="H415" i="11"/>
  <c r="I414" i="11"/>
  <c r="H414" i="11"/>
  <c r="I413" i="11"/>
  <c r="H413" i="11"/>
  <c r="I412" i="11"/>
  <c r="H412" i="11"/>
  <c r="I411" i="11"/>
  <c r="H411" i="11"/>
  <c r="I410" i="11"/>
  <c r="H410" i="11"/>
  <c r="I409" i="11"/>
  <c r="H409" i="11"/>
  <c r="I408" i="11"/>
  <c r="H408" i="11"/>
  <c r="I407" i="11"/>
  <c r="H407" i="11"/>
  <c r="I406" i="11"/>
  <c r="H406" i="11"/>
  <c r="I405" i="11"/>
  <c r="H405" i="11"/>
  <c r="I404" i="11"/>
  <c r="H404" i="11"/>
  <c r="I403" i="11"/>
  <c r="H403" i="11"/>
  <c r="I402" i="11"/>
  <c r="H402" i="11"/>
  <c r="I401" i="11"/>
  <c r="H401" i="11"/>
  <c r="I400" i="11"/>
  <c r="H400" i="11"/>
  <c r="I399" i="11"/>
  <c r="H399" i="11"/>
  <c r="I398" i="11"/>
  <c r="H398" i="11"/>
  <c r="I397" i="11"/>
  <c r="H397" i="11"/>
  <c r="I396" i="11"/>
  <c r="H396" i="11"/>
  <c r="I395" i="11"/>
  <c r="H395" i="11"/>
  <c r="I394" i="11"/>
  <c r="H394" i="11"/>
  <c r="I393" i="11"/>
  <c r="H393" i="11"/>
  <c r="I392" i="11"/>
  <c r="H392" i="11"/>
  <c r="I391" i="11"/>
  <c r="H391" i="11"/>
  <c r="I390" i="11"/>
  <c r="H390" i="11"/>
  <c r="I389" i="11"/>
  <c r="H389" i="11"/>
  <c r="I388" i="11"/>
  <c r="H388" i="11"/>
  <c r="I387" i="11"/>
  <c r="H387" i="11"/>
  <c r="I386" i="11"/>
  <c r="H386" i="11"/>
  <c r="I385" i="11"/>
  <c r="H385" i="11"/>
  <c r="I384" i="11"/>
  <c r="H384" i="11"/>
  <c r="I383" i="11"/>
  <c r="H383" i="11"/>
  <c r="I382" i="11"/>
  <c r="H382" i="11"/>
  <c r="I381" i="11"/>
  <c r="H381" i="11"/>
  <c r="I380" i="11"/>
  <c r="H380" i="11"/>
  <c r="I379" i="11"/>
  <c r="H379" i="11"/>
  <c r="I378" i="11"/>
  <c r="H378" i="11"/>
  <c r="I377" i="11"/>
  <c r="H377" i="11"/>
  <c r="I376" i="11"/>
  <c r="H376" i="11"/>
  <c r="I375" i="11"/>
  <c r="H375" i="11"/>
  <c r="I374" i="11"/>
  <c r="H374" i="11"/>
  <c r="I311" i="11"/>
  <c r="H311" i="11"/>
  <c r="I310" i="11"/>
  <c r="H310" i="11"/>
  <c r="I309" i="11"/>
  <c r="H309" i="11"/>
  <c r="I308" i="11"/>
  <c r="H308" i="11"/>
  <c r="I307" i="11"/>
  <c r="H307" i="11"/>
  <c r="I306" i="11"/>
  <c r="H306" i="11"/>
  <c r="I305" i="11"/>
  <c r="H305" i="11"/>
  <c r="I304" i="11"/>
  <c r="H304" i="11"/>
  <c r="I303" i="11"/>
  <c r="H303" i="11"/>
  <c r="I302" i="11"/>
  <c r="H302" i="11"/>
  <c r="I301" i="11"/>
  <c r="H301" i="11"/>
  <c r="I300" i="11"/>
  <c r="H300" i="11"/>
  <c r="I299" i="11"/>
  <c r="H299" i="11"/>
  <c r="I298" i="11"/>
  <c r="H298" i="11"/>
  <c r="I297" i="11"/>
  <c r="H297" i="11"/>
  <c r="I296" i="11"/>
  <c r="H296" i="11"/>
  <c r="I295" i="11"/>
  <c r="H295" i="11"/>
  <c r="I294" i="11"/>
  <c r="H294" i="11"/>
  <c r="I293" i="11"/>
  <c r="H293" i="11"/>
  <c r="I292" i="11"/>
  <c r="H292" i="11"/>
  <c r="I291" i="11"/>
  <c r="H291" i="11"/>
  <c r="I290" i="11"/>
  <c r="H290" i="11"/>
  <c r="I289" i="11"/>
  <c r="H289" i="11"/>
  <c r="I288" i="11"/>
  <c r="H288" i="11"/>
  <c r="I287" i="11"/>
  <c r="H287" i="11"/>
  <c r="I286" i="11"/>
  <c r="H286" i="11"/>
  <c r="I285" i="11"/>
  <c r="H285" i="11"/>
  <c r="I284" i="11"/>
  <c r="H284" i="11"/>
  <c r="I283" i="11"/>
  <c r="H283" i="11"/>
  <c r="I282" i="11"/>
  <c r="H282" i="11"/>
  <c r="I281" i="11"/>
  <c r="H281" i="11"/>
  <c r="I280" i="11"/>
  <c r="H280" i="11"/>
  <c r="I279" i="11"/>
  <c r="H279" i="11"/>
  <c r="I278" i="11"/>
  <c r="H278" i="11"/>
  <c r="I277" i="11"/>
  <c r="H277" i="11"/>
  <c r="I276" i="11"/>
  <c r="H276" i="11"/>
  <c r="I275" i="11"/>
  <c r="H275" i="11"/>
  <c r="I274" i="11"/>
  <c r="H274" i="11"/>
  <c r="I273" i="11"/>
  <c r="H273" i="11"/>
  <c r="I272" i="11"/>
  <c r="H272" i="11"/>
  <c r="I271" i="11"/>
  <c r="H271" i="11"/>
  <c r="I270" i="11"/>
  <c r="H270" i="11"/>
  <c r="I269" i="11"/>
  <c r="H269" i="11"/>
  <c r="I268" i="11"/>
  <c r="H268" i="11"/>
  <c r="I267" i="11"/>
  <c r="H267" i="11"/>
  <c r="I266" i="11"/>
  <c r="H266" i="11"/>
  <c r="I265" i="11"/>
  <c r="H265" i="11"/>
  <c r="I264" i="11"/>
  <c r="H264" i="11"/>
  <c r="I263" i="11"/>
  <c r="H263" i="11"/>
  <c r="I262" i="11"/>
  <c r="H262" i="11"/>
  <c r="I261" i="11"/>
  <c r="H261" i="11"/>
  <c r="I260" i="11"/>
  <c r="H260" i="11"/>
  <c r="I259" i="11"/>
  <c r="H259" i="11"/>
  <c r="I258" i="11"/>
  <c r="H258" i="11"/>
  <c r="I257" i="11"/>
  <c r="H257" i="11"/>
  <c r="I256" i="11"/>
  <c r="H256" i="11"/>
  <c r="I255" i="11"/>
  <c r="H255" i="11"/>
  <c r="I254" i="11"/>
  <c r="H254" i="11"/>
  <c r="I253" i="11"/>
  <c r="H253" i="11"/>
  <c r="I252" i="11"/>
  <c r="H252" i="11"/>
  <c r="I251" i="11"/>
  <c r="H251" i="11"/>
  <c r="I250" i="11"/>
  <c r="H250" i="11"/>
  <c r="I249" i="11"/>
  <c r="H249" i="11"/>
  <c r="I248" i="11"/>
  <c r="H248" i="11"/>
  <c r="I247" i="11"/>
  <c r="H247" i="11"/>
  <c r="I246" i="11"/>
  <c r="H246" i="11"/>
  <c r="I245" i="11"/>
  <c r="H245" i="11"/>
  <c r="I244" i="11"/>
  <c r="H244" i="11"/>
  <c r="I243" i="11"/>
  <c r="H243" i="11"/>
  <c r="I242" i="11"/>
  <c r="H242" i="11"/>
  <c r="I241" i="11"/>
  <c r="H241" i="11"/>
  <c r="I240" i="11"/>
  <c r="H240" i="11"/>
  <c r="I239" i="11"/>
  <c r="H239" i="11"/>
  <c r="I238" i="11"/>
  <c r="H238" i="11"/>
  <c r="I237" i="11"/>
  <c r="H237" i="11"/>
  <c r="I236" i="11"/>
  <c r="H236" i="11"/>
  <c r="I235" i="11"/>
  <c r="H235" i="11"/>
  <c r="I234" i="11"/>
  <c r="H234" i="11"/>
  <c r="I233" i="11"/>
  <c r="H233" i="11"/>
  <c r="I232" i="11"/>
  <c r="H232" i="11"/>
  <c r="I231" i="11"/>
  <c r="H231" i="11"/>
  <c r="I230" i="11"/>
  <c r="H230" i="11"/>
  <c r="I229" i="11"/>
  <c r="H229" i="11"/>
  <c r="I228" i="11"/>
  <c r="H228" i="11"/>
  <c r="I227" i="11"/>
  <c r="H227" i="11"/>
  <c r="I226" i="11"/>
  <c r="H226" i="11"/>
  <c r="I225" i="11"/>
  <c r="H225" i="11"/>
  <c r="I224" i="11"/>
  <c r="H224" i="11"/>
  <c r="I223" i="11"/>
  <c r="H223" i="11"/>
  <c r="I222" i="11"/>
  <c r="H222" i="11"/>
  <c r="I221" i="11"/>
  <c r="H221" i="11"/>
  <c r="I220" i="11"/>
  <c r="H220" i="11"/>
  <c r="I219" i="11"/>
  <c r="H219" i="11"/>
  <c r="I373" i="11"/>
  <c r="H373" i="11"/>
  <c r="I372" i="11"/>
  <c r="H372" i="11"/>
  <c r="I371" i="11"/>
  <c r="H371" i="11"/>
  <c r="I370" i="11"/>
  <c r="H370" i="11"/>
  <c r="I369" i="11"/>
  <c r="H369" i="11"/>
  <c r="I368" i="11"/>
  <c r="H368" i="11"/>
  <c r="I367" i="11"/>
  <c r="H367" i="11"/>
  <c r="I366" i="11"/>
  <c r="H366" i="11"/>
  <c r="I365" i="11"/>
  <c r="H365" i="11"/>
  <c r="I364" i="11"/>
  <c r="H364" i="11"/>
  <c r="I363" i="11"/>
  <c r="H363" i="11"/>
  <c r="I362" i="11"/>
  <c r="H362" i="11"/>
  <c r="I361" i="11"/>
  <c r="H361" i="11"/>
  <c r="I360" i="11"/>
  <c r="H360" i="11"/>
  <c r="I359" i="11"/>
  <c r="H359" i="11"/>
  <c r="I358" i="11"/>
  <c r="H358" i="11"/>
  <c r="I357" i="11"/>
  <c r="H357" i="11"/>
  <c r="I356" i="11"/>
  <c r="H356" i="11"/>
  <c r="I355" i="11"/>
  <c r="H355" i="11"/>
  <c r="I354" i="11"/>
  <c r="H354" i="11"/>
  <c r="I353" i="11"/>
  <c r="H353" i="11"/>
  <c r="I352" i="11"/>
  <c r="H352" i="11"/>
  <c r="I351" i="11"/>
  <c r="H351" i="11"/>
  <c r="I350" i="11"/>
  <c r="H350" i="11"/>
  <c r="I349" i="11"/>
  <c r="H349" i="11"/>
  <c r="I348" i="11"/>
  <c r="H348" i="11"/>
  <c r="I347" i="11"/>
  <c r="H347" i="11"/>
  <c r="I346" i="11"/>
  <c r="H346" i="11"/>
  <c r="I345" i="11"/>
  <c r="H345" i="11"/>
  <c r="I344" i="11"/>
  <c r="H344" i="11"/>
  <c r="I343" i="11"/>
  <c r="H343" i="11"/>
  <c r="I342" i="11"/>
  <c r="H342" i="11"/>
  <c r="I341" i="11"/>
  <c r="H341" i="11"/>
  <c r="I340" i="11"/>
  <c r="H340" i="11"/>
  <c r="I339" i="11"/>
  <c r="H339" i="11"/>
  <c r="I338" i="11"/>
  <c r="H338" i="11"/>
  <c r="I337" i="11"/>
  <c r="H337" i="11"/>
  <c r="I336" i="11"/>
  <c r="H336" i="11"/>
  <c r="I335" i="11"/>
  <c r="H335" i="11"/>
  <c r="I334" i="11"/>
  <c r="H334" i="11"/>
  <c r="I333" i="11"/>
  <c r="H333" i="11"/>
  <c r="I332" i="11"/>
  <c r="H332" i="11"/>
  <c r="I331" i="11"/>
  <c r="H331" i="11"/>
  <c r="I330" i="11"/>
  <c r="H330" i="11"/>
  <c r="I329" i="11"/>
  <c r="H329" i="11"/>
  <c r="I328" i="11"/>
  <c r="H328" i="11"/>
  <c r="I327" i="11"/>
  <c r="H327" i="11"/>
  <c r="I326" i="11"/>
  <c r="H326" i="11"/>
  <c r="I325" i="11"/>
  <c r="H325" i="11"/>
  <c r="I324" i="11"/>
  <c r="H324" i="11"/>
  <c r="I323" i="11"/>
  <c r="H323" i="11"/>
  <c r="I322" i="11"/>
  <c r="H322" i="11"/>
  <c r="I321" i="11"/>
  <c r="H321" i="11"/>
  <c r="I320" i="11"/>
  <c r="H320" i="11"/>
  <c r="I319" i="11"/>
  <c r="H319" i="11"/>
  <c r="I318" i="11"/>
  <c r="H318" i="11"/>
  <c r="I317" i="11"/>
  <c r="H317" i="11"/>
  <c r="I316" i="11"/>
  <c r="H316" i="11"/>
  <c r="I315" i="11"/>
  <c r="H315" i="11"/>
  <c r="I314" i="11"/>
  <c r="H314" i="11"/>
  <c r="I313" i="11"/>
  <c r="H313" i="11"/>
  <c r="I312" i="11"/>
  <c r="H312" i="11"/>
  <c r="I218" i="11"/>
  <c r="H218" i="11"/>
  <c r="I217" i="11"/>
  <c r="H217" i="11"/>
  <c r="I216" i="11"/>
  <c r="H216" i="11"/>
  <c r="I215" i="11"/>
  <c r="H215" i="11"/>
  <c r="I214" i="11"/>
  <c r="H214" i="11"/>
  <c r="I213" i="11"/>
  <c r="H213" i="11"/>
  <c r="I212" i="11"/>
  <c r="H212" i="11"/>
  <c r="I211" i="11"/>
  <c r="H211" i="11"/>
  <c r="I210" i="11"/>
  <c r="H210" i="11"/>
  <c r="I209" i="11"/>
  <c r="H209" i="11"/>
  <c r="I208" i="11"/>
  <c r="H208" i="11"/>
  <c r="I207" i="11"/>
  <c r="H207" i="11"/>
  <c r="I206" i="11"/>
  <c r="H206" i="11"/>
  <c r="I205" i="11"/>
  <c r="H205" i="11"/>
  <c r="I204" i="11"/>
  <c r="H204" i="11"/>
  <c r="I203" i="11"/>
  <c r="H203" i="11"/>
  <c r="I202" i="11"/>
  <c r="H202" i="11"/>
  <c r="I201" i="11"/>
  <c r="H201" i="11"/>
  <c r="I200" i="11"/>
  <c r="H200" i="11"/>
  <c r="I199" i="11"/>
  <c r="H199" i="11"/>
  <c r="I198" i="11"/>
  <c r="H198" i="11"/>
  <c r="I197" i="11"/>
  <c r="H197" i="11"/>
  <c r="I196" i="11"/>
  <c r="H196" i="11"/>
  <c r="I195" i="11"/>
  <c r="H195" i="11"/>
  <c r="I194" i="11"/>
  <c r="H194" i="11"/>
  <c r="I193" i="11"/>
  <c r="H193" i="11"/>
  <c r="I192" i="11"/>
  <c r="H192" i="11"/>
  <c r="I191" i="11"/>
  <c r="H191" i="11"/>
  <c r="I190" i="11"/>
  <c r="H190" i="11"/>
  <c r="I189" i="11"/>
  <c r="H189" i="11"/>
  <c r="I188" i="11"/>
  <c r="H188" i="11"/>
  <c r="I187" i="11"/>
  <c r="H187" i="11"/>
  <c r="I186" i="11"/>
  <c r="H186" i="11"/>
  <c r="I185" i="11"/>
  <c r="H185" i="11"/>
  <c r="I184" i="11"/>
  <c r="H184" i="11"/>
  <c r="I183" i="11"/>
  <c r="H183" i="11"/>
  <c r="I182" i="11"/>
  <c r="H182" i="11"/>
  <c r="I181" i="11"/>
  <c r="H181" i="11"/>
  <c r="I180" i="11"/>
  <c r="H180" i="11"/>
  <c r="I179" i="11"/>
  <c r="H179" i="11"/>
  <c r="I178" i="11"/>
  <c r="H178" i="11"/>
  <c r="I177" i="11"/>
  <c r="H177" i="11"/>
  <c r="I176" i="11"/>
  <c r="H176" i="11"/>
  <c r="I175" i="11"/>
  <c r="H175" i="11"/>
  <c r="I174" i="11"/>
  <c r="H174" i="11"/>
  <c r="I173" i="11"/>
  <c r="H173" i="11"/>
  <c r="I172" i="11"/>
  <c r="H172" i="11"/>
  <c r="I171" i="11"/>
  <c r="H171" i="11"/>
  <c r="I170" i="11"/>
  <c r="H170" i="11"/>
  <c r="I169" i="11"/>
  <c r="H169" i="11"/>
  <c r="I168" i="11"/>
  <c r="H168" i="11"/>
  <c r="I167" i="11"/>
  <c r="H167" i="11"/>
  <c r="I166" i="11"/>
  <c r="H166" i="11"/>
  <c r="I165" i="11"/>
  <c r="H165" i="11"/>
  <c r="I164" i="11"/>
  <c r="H164" i="11"/>
  <c r="I163" i="11"/>
  <c r="H163" i="11"/>
  <c r="I162" i="11"/>
  <c r="H162" i="11"/>
  <c r="I161" i="11"/>
  <c r="H161" i="11"/>
  <c r="I160" i="11"/>
  <c r="H160" i="11"/>
  <c r="I159" i="11"/>
  <c r="H159" i="11"/>
  <c r="I158" i="11"/>
  <c r="H158" i="11"/>
  <c r="I157" i="11"/>
  <c r="H157" i="11"/>
  <c r="I156" i="11"/>
  <c r="H156" i="11"/>
  <c r="I155" i="11"/>
  <c r="H155" i="11"/>
  <c r="I154" i="11"/>
  <c r="H154" i="11"/>
  <c r="I153" i="11"/>
  <c r="H153" i="11"/>
  <c r="I152" i="11"/>
  <c r="H152" i="11"/>
  <c r="I151" i="11"/>
  <c r="H151" i="11"/>
  <c r="I150" i="11"/>
  <c r="H150" i="11"/>
  <c r="I149" i="11"/>
  <c r="H149" i="11"/>
  <c r="I148" i="11"/>
  <c r="H148" i="11"/>
  <c r="I147" i="11"/>
  <c r="H147" i="11"/>
  <c r="I146" i="11"/>
  <c r="H146" i="11"/>
  <c r="I145" i="11"/>
  <c r="H145" i="11"/>
  <c r="I144" i="11"/>
  <c r="H144" i="11"/>
  <c r="I143" i="11"/>
  <c r="H143" i="11"/>
  <c r="I142" i="11"/>
  <c r="H142" i="11"/>
  <c r="I141" i="11"/>
  <c r="H141" i="11"/>
  <c r="I140" i="11"/>
  <c r="H140" i="11"/>
  <c r="I139" i="11"/>
  <c r="H139" i="11"/>
  <c r="I138" i="11"/>
  <c r="H138" i="11"/>
  <c r="I137" i="11"/>
  <c r="H137" i="11"/>
  <c r="I136" i="11"/>
  <c r="H136" i="11"/>
  <c r="I135" i="11"/>
  <c r="H135" i="11"/>
  <c r="I134" i="11"/>
  <c r="H134" i="11"/>
  <c r="I133" i="11"/>
  <c r="H133" i="11"/>
  <c r="I132" i="11"/>
  <c r="H132" i="11"/>
  <c r="I131" i="11"/>
  <c r="H131" i="11"/>
  <c r="I130" i="11"/>
  <c r="H130" i="11"/>
  <c r="I129" i="11"/>
  <c r="H129" i="11"/>
  <c r="I128" i="11"/>
  <c r="H128" i="11"/>
  <c r="I127" i="11"/>
  <c r="H127" i="11"/>
  <c r="I126" i="11"/>
  <c r="H126" i="11"/>
  <c r="I125" i="11"/>
  <c r="H125" i="11"/>
  <c r="I124" i="11"/>
  <c r="H124" i="11"/>
  <c r="I123" i="11"/>
  <c r="H123" i="11"/>
  <c r="I122" i="11"/>
  <c r="H122" i="11"/>
  <c r="I121" i="11"/>
  <c r="H121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I91" i="11"/>
  <c r="H91" i="11"/>
  <c r="I90" i="11"/>
  <c r="H90" i="11"/>
  <c r="I89" i="11"/>
  <c r="H89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I82" i="11"/>
  <c r="H82" i="11"/>
  <c r="I81" i="11"/>
  <c r="H81" i="11"/>
  <c r="I80" i="11"/>
  <c r="H80" i="11"/>
  <c r="I79" i="11"/>
  <c r="H79" i="11"/>
  <c r="I78" i="11"/>
  <c r="H78" i="11"/>
  <c r="I77" i="11"/>
  <c r="H77" i="11"/>
  <c r="I76" i="11"/>
  <c r="H76" i="11"/>
  <c r="I75" i="11"/>
  <c r="H75" i="11"/>
  <c r="I74" i="11"/>
  <c r="H74" i="11"/>
  <c r="I73" i="11"/>
  <c r="H73" i="11"/>
  <c r="I72" i="11"/>
  <c r="H72" i="11"/>
  <c r="I71" i="11"/>
  <c r="H71" i="11"/>
  <c r="I70" i="11"/>
  <c r="H70" i="11"/>
  <c r="I69" i="11"/>
  <c r="H69" i="11"/>
  <c r="I68" i="11"/>
  <c r="H68" i="11"/>
  <c r="I67" i="11"/>
  <c r="H67" i="11"/>
  <c r="I66" i="11"/>
  <c r="H66" i="11"/>
  <c r="I65" i="11"/>
  <c r="H65" i="11"/>
  <c r="I64" i="11"/>
  <c r="H64" i="11"/>
  <c r="I63" i="11"/>
  <c r="H63" i="11"/>
  <c r="I62" i="11"/>
  <c r="H62" i="11"/>
  <c r="I61" i="11"/>
  <c r="H61" i="11"/>
  <c r="I60" i="11"/>
  <c r="H60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H49" i="11"/>
  <c r="I48" i="11"/>
  <c r="H48" i="11"/>
  <c r="I47" i="11"/>
  <c r="H47" i="11"/>
  <c r="I46" i="11"/>
  <c r="H46" i="11"/>
  <c r="I45" i="11"/>
  <c r="H45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37" i="11"/>
  <c r="H37" i="11"/>
  <c r="I36" i="11"/>
  <c r="H36" i="11"/>
  <c r="I35" i="11"/>
  <c r="H35" i="11"/>
  <c r="I34" i="11"/>
  <c r="H34" i="11"/>
  <c r="I33" i="11"/>
  <c r="H33" i="11"/>
  <c r="I32" i="11"/>
  <c r="H32" i="11"/>
  <c r="I31" i="11"/>
  <c r="H31" i="11"/>
  <c r="I30" i="11"/>
  <c r="H30" i="11"/>
  <c r="I29" i="11"/>
  <c r="H29" i="11"/>
  <c r="I28" i="11"/>
  <c r="H28" i="11"/>
  <c r="I27" i="11"/>
  <c r="H27" i="11"/>
  <c r="I26" i="11"/>
  <c r="H26" i="11"/>
  <c r="I25" i="11"/>
  <c r="H25" i="11"/>
  <c r="I24" i="11"/>
  <c r="H24" i="11"/>
  <c r="I23" i="11"/>
  <c r="H23" i="11"/>
  <c r="I22" i="11"/>
  <c r="H22" i="11"/>
  <c r="I21" i="11"/>
  <c r="H21" i="11"/>
  <c r="I20" i="11"/>
  <c r="H20" i="11"/>
  <c r="I19" i="11"/>
  <c r="H19" i="11"/>
  <c r="I18" i="11"/>
  <c r="H18" i="11"/>
  <c r="I17" i="11"/>
  <c r="H17" i="11"/>
  <c r="I16" i="11"/>
  <c r="H16" i="11"/>
  <c r="I15" i="11"/>
  <c r="H15" i="11"/>
  <c r="I14" i="11"/>
  <c r="H14" i="11"/>
  <c r="I13" i="11"/>
  <c r="H13" i="11"/>
  <c r="I12" i="11"/>
  <c r="H12" i="11"/>
  <c r="I11" i="11"/>
  <c r="H11" i="11"/>
  <c r="I10" i="11"/>
  <c r="H10" i="11"/>
  <c r="I9" i="11"/>
  <c r="H9" i="11"/>
  <c r="I8" i="11"/>
  <c r="H8" i="11"/>
  <c r="I7" i="11"/>
  <c r="H7" i="11"/>
  <c r="I6" i="11"/>
  <c r="H6" i="11"/>
  <c r="I5" i="11"/>
  <c r="H5" i="11"/>
  <c r="I4" i="11"/>
  <c r="H4" i="11"/>
  <c r="I3" i="11"/>
  <c r="H3" i="11"/>
  <c r="I2" i="11"/>
  <c r="H2" i="11"/>
  <c r="H3" i="9"/>
  <c r="I3" i="9"/>
  <c r="H4" i="9"/>
  <c r="I4" i="9"/>
  <c r="H5" i="9"/>
  <c r="I5" i="9"/>
  <c r="H6" i="9"/>
  <c r="I6" i="9"/>
  <c r="H7" i="9"/>
  <c r="I7" i="9"/>
  <c r="H8" i="9"/>
  <c r="I8" i="9"/>
  <c r="H9" i="9"/>
  <c r="I9" i="9"/>
  <c r="H10" i="9"/>
  <c r="I10" i="9"/>
  <c r="H11" i="9"/>
  <c r="I11" i="9"/>
  <c r="H12" i="9"/>
  <c r="I12" i="9"/>
  <c r="H13" i="9"/>
  <c r="I13" i="9"/>
  <c r="H14" i="9"/>
  <c r="I14" i="9"/>
  <c r="H15" i="9"/>
  <c r="I15" i="9"/>
  <c r="H16" i="9"/>
  <c r="I16" i="9"/>
  <c r="H17" i="9"/>
  <c r="I17" i="9"/>
  <c r="H18" i="9"/>
  <c r="I18" i="9"/>
  <c r="H19" i="9"/>
  <c r="I19" i="9"/>
  <c r="H20" i="9"/>
  <c r="I20" i="9"/>
  <c r="H21" i="9"/>
  <c r="I21" i="9"/>
  <c r="H22" i="9"/>
  <c r="I22" i="9"/>
  <c r="H23" i="9"/>
  <c r="I23" i="9"/>
  <c r="H24" i="9"/>
  <c r="I24" i="9"/>
  <c r="H25" i="9"/>
  <c r="I25" i="9"/>
  <c r="H26" i="9"/>
  <c r="I26" i="9"/>
  <c r="H27" i="9"/>
  <c r="I27" i="9"/>
  <c r="H28" i="9"/>
  <c r="I28" i="9"/>
  <c r="H29" i="9"/>
  <c r="I29" i="9"/>
  <c r="H30" i="9"/>
  <c r="I30" i="9"/>
  <c r="H31" i="9"/>
  <c r="I31" i="9"/>
  <c r="H32" i="9"/>
  <c r="I32" i="9"/>
  <c r="H33" i="9"/>
  <c r="I33" i="9"/>
  <c r="H34" i="9"/>
  <c r="I34" i="9"/>
  <c r="H35" i="9"/>
  <c r="I35" i="9"/>
  <c r="H36" i="9"/>
  <c r="I36" i="9"/>
  <c r="H37" i="9"/>
  <c r="I37" i="9"/>
  <c r="H38" i="9"/>
  <c r="I38" i="9"/>
  <c r="H39" i="9"/>
  <c r="I39" i="9"/>
  <c r="H40" i="9"/>
  <c r="I40" i="9"/>
  <c r="H41" i="9"/>
  <c r="I41" i="9"/>
  <c r="H42" i="9"/>
  <c r="I42" i="9"/>
  <c r="H43" i="9"/>
  <c r="I43" i="9"/>
  <c r="H44" i="9"/>
  <c r="I44" i="9"/>
  <c r="H45" i="9"/>
  <c r="I45" i="9"/>
  <c r="H46" i="9"/>
  <c r="I46" i="9"/>
  <c r="H47" i="9"/>
  <c r="I47" i="9"/>
  <c r="H48" i="9"/>
  <c r="I48" i="9"/>
  <c r="H49" i="9"/>
  <c r="I49" i="9"/>
  <c r="H50" i="9"/>
  <c r="I50" i="9"/>
  <c r="H51" i="9"/>
  <c r="I51" i="9"/>
  <c r="H52" i="9"/>
  <c r="I52" i="9"/>
  <c r="H53" i="9"/>
  <c r="I53" i="9"/>
  <c r="H54" i="9"/>
  <c r="I54" i="9"/>
  <c r="H55" i="9"/>
  <c r="I55" i="9"/>
  <c r="H56" i="9"/>
  <c r="I56" i="9"/>
  <c r="H57" i="9"/>
  <c r="I57" i="9"/>
  <c r="H58" i="9"/>
  <c r="I58" i="9"/>
  <c r="H59" i="9"/>
  <c r="I59" i="9"/>
  <c r="H60" i="9"/>
  <c r="I60" i="9"/>
  <c r="H61" i="9"/>
  <c r="I61" i="9"/>
  <c r="H62" i="9"/>
  <c r="I62" i="9"/>
  <c r="H63" i="9"/>
  <c r="I63" i="9"/>
  <c r="H64" i="9"/>
  <c r="I64" i="9"/>
  <c r="H65" i="9"/>
  <c r="I65" i="9"/>
  <c r="H66" i="9"/>
  <c r="I66" i="9"/>
  <c r="H67" i="9"/>
  <c r="I67" i="9"/>
  <c r="H68" i="9"/>
  <c r="I68" i="9"/>
  <c r="H69" i="9"/>
  <c r="I69" i="9"/>
  <c r="H70" i="9"/>
  <c r="I70" i="9"/>
  <c r="H71" i="9"/>
  <c r="I71" i="9"/>
  <c r="H72" i="9"/>
  <c r="I72" i="9"/>
  <c r="H73" i="9"/>
  <c r="I73" i="9"/>
  <c r="H74" i="9"/>
  <c r="I74" i="9"/>
  <c r="H75" i="9"/>
  <c r="I75" i="9"/>
  <c r="H76" i="9"/>
  <c r="I76" i="9"/>
  <c r="H77" i="9"/>
  <c r="I77" i="9"/>
  <c r="H78" i="9"/>
  <c r="I78" i="9"/>
  <c r="H79" i="9"/>
  <c r="I79" i="9"/>
  <c r="H80" i="9"/>
  <c r="I80" i="9"/>
  <c r="H81" i="9"/>
  <c r="I81" i="9"/>
  <c r="H82" i="9"/>
  <c r="I82" i="9"/>
  <c r="H83" i="9"/>
  <c r="I83" i="9"/>
  <c r="H84" i="9"/>
  <c r="I84" i="9"/>
  <c r="H85" i="9"/>
  <c r="I85" i="9"/>
  <c r="H86" i="9"/>
  <c r="I86" i="9"/>
  <c r="H87" i="9"/>
  <c r="I87" i="9"/>
  <c r="H88" i="9"/>
  <c r="I88" i="9"/>
  <c r="H89" i="9"/>
  <c r="I89" i="9"/>
  <c r="H90" i="9"/>
  <c r="I90" i="9"/>
  <c r="H91" i="9"/>
  <c r="I91" i="9"/>
  <c r="H92" i="9"/>
  <c r="I92" i="9"/>
  <c r="H93" i="9"/>
  <c r="I93" i="9"/>
  <c r="H94" i="9"/>
  <c r="I94" i="9"/>
  <c r="H95" i="9"/>
  <c r="I95" i="9"/>
  <c r="H96" i="9"/>
  <c r="I96" i="9"/>
  <c r="H97" i="9"/>
  <c r="I97" i="9"/>
  <c r="H98" i="9"/>
  <c r="I98" i="9"/>
  <c r="H99" i="9"/>
  <c r="I99" i="9"/>
  <c r="H100" i="9"/>
  <c r="I100" i="9"/>
  <c r="H101" i="9"/>
  <c r="I101" i="9"/>
  <c r="H102" i="9"/>
  <c r="I102" i="9"/>
  <c r="H103" i="9"/>
  <c r="I103" i="9"/>
  <c r="H104" i="9"/>
  <c r="I104" i="9"/>
  <c r="H105" i="9"/>
  <c r="I105" i="9"/>
  <c r="H106" i="9"/>
  <c r="I106" i="9"/>
  <c r="H107" i="9"/>
  <c r="I107" i="9"/>
  <c r="H108" i="9"/>
  <c r="I108" i="9"/>
  <c r="H109" i="9"/>
  <c r="I109" i="9"/>
  <c r="H110" i="9"/>
  <c r="I110" i="9"/>
  <c r="H111" i="9"/>
  <c r="I111" i="9"/>
  <c r="H112" i="9"/>
  <c r="I112" i="9"/>
  <c r="H113" i="9"/>
  <c r="I113" i="9"/>
  <c r="H114" i="9"/>
  <c r="I114" i="9"/>
  <c r="H115" i="9"/>
  <c r="I115" i="9"/>
  <c r="H116" i="9"/>
  <c r="I116" i="9"/>
  <c r="H117" i="9"/>
  <c r="I117" i="9"/>
  <c r="H118" i="9"/>
  <c r="I118" i="9"/>
  <c r="H119" i="9"/>
  <c r="I119" i="9"/>
  <c r="H120" i="9"/>
  <c r="I120" i="9"/>
  <c r="H121" i="9"/>
  <c r="I121" i="9"/>
  <c r="H122" i="9"/>
  <c r="I122" i="9"/>
  <c r="H123" i="9"/>
  <c r="I123" i="9"/>
  <c r="H124" i="9"/>
  <c r="I124" i="9"/>
  <c r="H125" i="9"/>
  <c r="I125" i="9"/>
  <c r="H126" i="9"/>
  <c r="I126" i="9"/>
  <c r="H127" i="9"/>
  <c r="I127" i="9"/>
  <c r="H128" i="9"/>
  <c r="I128" i="9"/>
  <c r="H129" i="9"/>
  <c r="I129" i="9"/>
  <c r="H130" i="9"/>
  <c r="I130" i="9"/>
  <c r="H131" i="9"/>
  <c r="I131" i="9"/>
  <c r="H132" i="9"/>
  <c r="I132" i="9"/>
  <c r="H133" i="9"/>
  <c r="I133" i="9"/>
  <c r="H134" i="9"/>
  <c r="I134" i="9"/>
  <c r="H135" i="9"/>
  <c r="I135" i="9"/>
  <c r="H136" i="9"/>
  <c r="I136" i="9"/>
  <c r="H137" i="9"/>
  <c r="I137" i="9"/>
  <c r="H138" i="9"/>
  <c r="I138" i="9"/>
  <c r="H139" i="9"/>
  <c r="I139" i="9"/>
  <c r="H140" i="9"/>
  <c r="I140" i="9"/>
  <c r="H141" i="9"/>
  <c r="I141" i="9"/>
  <c r="H142" i="9"/>
  <c r="I142" i="9"/>
  <c r="H143" i="9"/>
  <c r="I143" i="9"/>
  <c r="H144" i="9"/>
  <c r="I144" i="9"/>
  <c r="H145" i="9"/>
  <c r="I145" i="9"/>
  <c r="H146" i="9"/>
  <c r="I146" i="9"/>
  <c r="H147" i="9"/>
  <c r="I147" i="9"/>
  <c r="H148" i="9"/>
  <c r="I148" i="9"/>
  <c r="H149" i="9"/>
  <c r="I149" i="9"/>
  <c r="H150" i="9"/>
  <c r="I150" i="9"/>
  <c r="H151" i="9"/>
  <c r="I151" i="9"/>
  <c r="H152" i="9"/>
  <c r="I152" i="9"/>
  <c r="H153" i="9"/>
  <c r="I153" i="9"/>
  <c r="H154" i="9"/>
  <c r="I154" i="9"/>
  <c r="H155" i="9"/>
  <c r="I155" i="9"/>
  <c r="H156" i="9"/>
  <c r="I156" i="9"/>
  <c r="H157" i="9"/>
  <c r="I157" i="9"/>
  <c r="H158" i="9"/>
  <c r="I158" i="9"/>
  <c r="H159" i="9"/>
  <c r="I159" i="9"/>
  <c r="H160" i="9"/>
  <c r="I160" i="9"/>
  <c r="H161" i="9"/>
  <c r="I161" i="9"/>
  <c r="H162" i="9"/>
  <c r="I162" i="9"/>
  <c r="H163" i="9"/>
  <c r="I163" i="9"/>
  <c r="H164" i="9"/>
  <c r="I164" i="9"/>
  <c r="H165" i="9"/>
  <c r="I165" i="9"/>
  <c r="H166" i="9"/>
  <c r="I166" i="9"/>
  <c r="H167" i="9"/>
  <c r="I167" i="9"/>
  <c r="H168" i="9"/>
  <c r="I168" i="9"/>
  <c r="H169" i="9"/>
  <c r="I169" i="9"/>
  <c r="H170" i="9"/>
  <c r="I170" i="9"/>
  <c r="H171" i="9"/>
  <c r="I171" i="9"/>
  <c r="H172" i="9"/>
  <c r="I172" i="9"/>
  <c r="H173" i="9"/>
  <c r="I173" i="9"/>
  <c r="H174" i="9"/>
  <c r="I174" i="9"/>
  <c r="H175" i="9"/>
  <c r="I175" i="9"/>
  <c r="H176" i="9"/>
  <c r="I176" i="9"/>
  <c r="H177" i="9"/>
  <c r="I177" i="9"/>
  <c r="H178" i="9"/>
  <c r="I178" i="9"/>
  <c r="H179" i="9"/>
  <c r="I179" i="9"/>
  <c r="H180" i="9"/>
  <c r="I180" i="9"/>
  <c r="H181" i="9"/>
  <c r="I181" i="9"/>
  <c r="H182" i="9"/>
  <c r="I182" i="9"/>
  <c r="H183" i="9"/>
  <c r="I183" i="9"/>
  <c r="H184" i="9"/>
  <c r="I184" i="9"/>
  <c r="H185" i="9"/>
  <c r="I185" i="9"/>
  <c r="H186" i="9"/>
  <c r="I186" i="9"/>
  <c r="H187" i="9"/>
  <c r="I187" i="9"/>
  <c r="H188" i="9"/>
  <c r="I188" i="9"/>
  <c r="H189" i="9"/>
  <c r="I189" i="9"/>
  <c r="H190" i="9"/>
  <c r="I190" i="9"/>
  <c r="H191" i="9"/>
  <c r="I191" i="9"/>
  <c r="H192" i="9"/>
  <c r="I192" i="9"/>
  <c r="H193" i="9"/>
  <c r="I193" i="9"/>
  <c r="H194" i="9"/>
  <c r="I194" i="9"/>
  <c r="H195" i="9"/>
  <c r="I195" i="9"/>
  <c r="H196" i="9"/>
  <c r="I196" i="9"/>
  <c r="H197" i="9"/>
  <c r="I197" i="9"/>
  <c r="H198" i="9"/>
  <c r="I198" i="9"/>
  <c r="H199" i="9"/>
  <c r="I199" i="9"/>
  <c r="H200" i="9"/>
  <c r="I200" i="9"/>
  <c r="H201" i="9"/>
  <c r="I201" i="9"/>
  <c r="H202" i="9"/>
  <c r="I202" i="9"/>
  <c r="H203" i="9"/>
  <c r="I203" i="9"/>
  <c r="H204" i="9"/>
  <c r="I204" i="9"/>
  <c r="H205" i="9"/>
  <c r="I205" i="9"/>
  <c r="H206" i="9"/>
  <c r="I206" i="9"/>
  <c r="H207" i="9"/>
  <c r="I207" i="9"/>
  <c r="H208" i="9"/>
  <c r="I208" i="9"/>
  <c r="H209" i="9"/>
  <c r="I209" i="9"/>
  <c r="H210" i="9"/>
  <c r="I210" i="9"/>
  <c r="H211" i="9"/>
  <c r="I211" i="9"/>
  <c r="H212" i="9"/>
  <c r="I212" i="9"/>
  <c r="H213" i="9"/>
  <c r="I213" i="9"/>
  <c r="H214" i="9"/>
  <c r="I214" i="9"/>
  <c r="H215" i="9"/>
  <c r="I215" i="9"/>
  <c r="H216" i="9"/>
  <c r="I216" i="9"/>
  <c r="H217" i="9"/>
  <c r="I217" i="9"/>
  <c r="H218" i="9"/>
  <c r="I218" i="9"/>
  <c r="H219" i="9"/>
  <c r="I219" i="9"/>
  <c r="H220" i="9"/>
  <c r="I220" i="9"/>
  <c r="H221" i="9"/>
  <c r="I221" i="9"/>
  <c r="H222" i="9"/>
  <c r="I222" i="9"/>
  <c r="H223" i="9"/>
  <c r="I223" i="9"/>
  <c r="H224" i="9"/>
  <c r="I224" i="9"/>
  <c r="H225" i="9"/>
  <c r="I225" i="9"/>
  <c r="H226" i="9"/>
  <c r="I226" i="9"/>
  <c r="H227" i="9"/>
  <c r="I227" i="9"/>
  <c r="H228" i="9"/>
  <c r="I228" i="9"/>
  <c r="H229" i="9"/>
  <c r="I229" i="9"/>
  <c r="H230" i="9"/>
  <c r="I230" i="9"/>
  <c r="H231" i="9"/>
  <c r="I231" i="9"/>
  <c r="H232" i="9"/>
  <c r="I232" i="9"/>
  <c r="H233" i="9"/>
  <c r="I233" i="9"/>
  <c r="H234" i="9"/>
  <c r="I234" i="9"/>
  <c r="H235" i="9"/>
  <c r="I235" i="9"/>
  <c r="H236" i="9"/>
  <c r="I236" i="9"/>
  <c r="H237" i="9"/>
  <c r="I237" i="9"/>
  <c r="H238" i="9"/>
  <c r="I238" i="9"/>
  <c r="H239" i="9"/>
  <c r="I239" i="9"/>
  <c r="H240" i="9"/>
  <c r="I240" i="9"/>
  <c r="H241" i="9"/>
  <c r="I241" i="9"/>
  <c r="H242" i="9"/>
  <c r="I242" i="9"/>
  <c r="H243" i="9"/>
  <c r="I243" i="9"/>
  <c r="H244" i="9"/>
  <c r="I244" i="9"/>
  <c r="H245" i="9"/>
  <c r="I245" i="9"/>
  <c r="H246" i="9"/>
  <c r="I246" i="9"/>
  <c r="H247" i="9"/>
  <c r="I247" i="9"/>
  <c r="H248" i="9"/>
  <c r="I248" i="9"/>
  <c r="H249" i="9"/>
  <c r="I249" i="9"/>
  <c r="H250" i="9"/>
  <c r="I250" i="9"/>
  <c r="H251" i="9"/>
  <c r="I251" i="9"/>
  <c r="H252" i="9"/>
  <c r="I252" i="9"/>
  <c r="H253" i="9"/>
  <c r="I253" i="9"/>
  <c r="H254" i="9"/>
  <c r="I254" i="9"/>
  <c r="H255" i="9"/>
  <c r="I255" i="9"/>
  <c r="H256" i="9"/>
  <c r="I256" i="9"/>
  <c r="H257" i="9"/>
  <c r="I257" i="9"/>
  <c r="H258" i="9"/>
  <c r="I258" i="9"/>
  <c r="H259" i="9"/>
  <c r="I259" i="9"/>
  <c r="H260" i="9"/>
  <c r="I260" i="9"/>
  <c r="H261" i="9"/>
  <c r="I261" i="9"/>
  <c r="H262" i="9"/>
  <c r="I262" i="9"/>
  <c r="H263" i="9"/>
  <c r="I263" i="9"/>
  <c r="H264" i="9"/>
  <c r="I264" i="9"/>
  <c r="H265" i="9"/>
  <c r="I265" i="9"/>
  <c r="H266" i="9"/>
  <c r="I266" i="9"/>
  <c r="H267" i="9"/>
  <c r="I267" i="9"/>
  <c r="H268" i="9"/>
  <c r="I268" i="9"/>
  <c r="H269" i="9"/>
  <c r="I269" i="9"/>
  <c r="H270" i="9"/>
  <c r="I270" i="9"/>
  <c r="H271" i="9"/>
  <c r="I271" i="9"/>
  <c r="H272" i="9"/>
  <c r="I272" i="9"/>
  <c r="H273" i="9"/>
  <c r="I273" i="9"/>
  <c r="H274" i="9"/>
  <c r="I274" i="9"/>
  <c r="H275" i="9"/>
  <c r="I275" i="9"/>
  <c r="H276" i="9"/>
  <c r="I276" i="9"/>
  <c r="H277" i="9"/>
  <c r="I277" i="9"/>
  <c r="H278" i="9"/>
  <c r="I278" i="9"/>
  <c r="H279" i="9"/>
  <c r="I279" i="9"/>
  <c r="H280" i="9"/>
  <c r="I280" i="9"/>
  <c r="H281" i="9"/>
  <c r="I281" i="9"/>
  <c r="H282" i="9"/>
  <c r="I282" i="9"/>
  <c r="H283" i="9"/>
  <c r="I283" i="9"/>
  <c r="H284" i="9"/>
  <c r="I284" i="9"/>
  <c r="H285" i="9"/>
  <c r="I285" i="9"/>
  <c r="H286" i="9"/>
  <c r="I286" i="9"/>
  <c r="H287" i="9"/>
  <c r="I287" i="9"/>
  <c r="H288" i="9"/>
  <c r="I288" i="9"/>
  <c r="H289" i="9"/>
  <c r="I289" i="9"/>
  <c r="H290" i="9"/>
  <c r="I290" i="9"/>
  <c r="H291" i="9"/>
  <c r="I291" i="9"/>
  <c r="H292" i="9"/>
  <c r="I292" i="9"/>
  <c r="H293" i="9"/>
  <c r="I293" i="9"/>
  <c r="H294" i="9"/>
  <c r="I294" i="9"/>
  <c r="H295" i="9"/>
  <c r="I295" i="9"/>
  <c r="H296" i="9"/>
  <c r="I296" i="9"/>
  <c r="H297" i="9"/>
  <c r="I297" i="9"/>
  <c r="H298" i="9"/>
  <c r="I298" i="9"/>
  <c r="H299" i="9"/>
  <c r="I299" i="9"/>
  <c r="H300" i="9"/>
  <c r="I300" i="9"/>
  <c r="H301" i="9"/>
  <c r="I301" i="9"/>
  <c r="H302" i="9"/>
  <c r="I302" i="9"/>
  <c r="H303" i="9"/>
  <c r="I303" i="9"/>
  <c r="H304" i="9"/>
  <c r="I304" i="9"/>
  <c r="H305" i="9"/>
  <c r="I305" i="9"/>
  <c r="H306" i="9"/>
  <c r="I306" i="9"/>
  <c r="H307" i="9"/>
  <c r="I307" i="9"/>
  <c r="H308" i="9"/>
  <c r="I308" i="9"/>
  <c r="H309" i="9"/>
  <c r="I309" i="9"/>
  <c r="H310" i="9"/>
  <c r="I310" i="9"/>
  <c r="H311" i="9"/>
  <c r="I311" i="9"/>
  <c r="H312" i="9"/>
  <c r="I312" i="9"/>
  <c r="H313" i="9"/>
  <c r="I313" i="9"/>
  <c r="H314" i="9"/>
  <c r="I314" i="9"/>
  <c r="H315" i="9"/>
  <c r="I315" i="9"/>
  <c r="H316" i="9"/>
  <c r="I316" i="9"/>
  <c r="H317" i="9"/>
  <c r="I317" i="9"/>
  <c r="H318" i="9"/>
  <c r="I318" i="9"/>
  <c r="H319" i="9"/>
  <c r="I319" i="9"/>
  <c r="H320" i="9"/>
  <c r="I320" i="9"/>
  <c r="H321" i="9"/>
  <c r="I321" i="9"/>
  <c r="H322" i="9"/>
  <c r="I322" i="9"/>
  <c r="H323" i="9"/>
  <c r="I323" i="9"/>
  <c r="H324" i="9"/>
  <c r="I324" i="9"/>
  <c r="H325" i="9"/>
  <c r="I325" i="9"/>
  <c r="H326" i="9"/>
  <c r="I326" i="9"/>
  <c r="H327" i="9"/>
  <c r="I327" i="9"/>
  <c r="H328" i="9"/>
  <c r="I328" i="9"/>
  <c r="H329" i="9"/>
  <c r="I329" i="9"/>
  <c r="H330" i="9"/>
  <c r="I330" i="9"/>
  <c r="H331" i="9"/>
  <c r="I331" i="9"/>
  <c r="H332" i="9"/>
  <c r="I332" i="9"/>
  <c r="H333" i="9"/>
  <c r="I333" i="9"/>
  <c r="H334" i="9"/>
  <c r="I334" i="9"/>
  <c r="H335" i="9"/>
  <c r="I335" i="9"/>
  <c r="H336" i="9"/>
  <c r="I336" i="9"/>
  <c r="H337" i="9"/>
  <c r="I337" i="9"/>
  <c r="H338" i="9"/>
  <c r="I338" i="9"/>
  <c r="H339" i="9"/>
  <c r="I339" i="9"/>
  <c r="H340" i="9"/>
  <c r="I340" i="9"/>
  <c r="H341" i="9"/>
  <c r="I341" i="9"/>
  <c r="H342" i="9"/>
  <c r="I342" i="9"/>
  <c r="H343" i="9"/>
  <c r="I343" i="9"/>
  <c r="H344" i="9"/>
  <c r="I344" i="9"/>
  <c r="H345" i="9"/>
  <c r="I345" i="9"/>
  <c r="H346" i="9"/>
  <c r="I346" i="9"/>
  <c r="H347" i="9"/>
  <c r="I347" i="9"/>
  <c r="H348" i="9"/>
  <c r="I348" i="9"/>
  <c r="H349" i="9"/>
  <c r="I349" i="9"/>
  <c r="H350" i="9"/>
  <c r="I350" i="9"/>
  <c r="H351" i="9"/>
  <c r="I351" i="9"/>
  <c r="H352" i="9"/>
  <c r="I352" i="9"/>
  <c r="H353" i="9"/>
  <c r="I353" i="9"/>
  <c r="H354" i="9"/>
  <c r="I354" i="9"/>
  <c r="H355" i="9"/>
  <c r="I355" i="9"/>
  <c r="H356" i="9"/>
  <c r="I356" i="9"/>
  <c r="H357" i="9"/>
  <c r="I357" i="9"/>
  <c r="H358" i="9"/>
  <c r="I358" i="9"/>
  <c r="H359" i="9"/>
  <c r="I359" i="9"/>
  <c r="H360" i="9"/>
  <c r="I360" i="9"/>
  <c r="H361" i="9"/>
  <c r="I361" i="9"/>
  <c r="H362" i="9"/>
  <c r="I362" i="9"/>
  <c r="H363" i="9"/>
  <c r="I363" i="9"/>
  <c r="H364" i="9"/>
  <c r="I364" i="9"/>
  <c r="H365" i="9"/>
  <c r="I365" i="9"/>
  <c r="H366" i="9"/>
  <c r="I366" i="9"/>
  <c r="H367" i="9"/>
  <c r="I367" i="9"/>
  <c r="H368" i="9"/>
  <c r="I368" i="9"/>
  <c r="H369" i="9"/>
  <c r="I369" i="9"/>
  <c r="H370" i="9"/>
  <c r="I370" i="9"/>
  <c r="H371" i="9"/>
  <c r="I371" i="9"/>
  <c r="H372" i="9"/>
  <c r="I372" i="9"/>
  <c r="H373" i="9"/>
  <c r="I373" i="9"/>
  <c r="H374" i="9"/>
  <c r="I374" i="9"/>
  <c r="H375" i="9"/>
  <c r="I375" i="9"/>
  <c r="H376" i="9"/>
  <c r="I376" i="9"/>
  <c r="H377" i="9"/>
  <c r="I377" i="9"/>
  <c r="H378" i="9"/>
  <c r="I378" i="9"/>
  <c r="H379" i="9"/>
  <c r="I379" i="9"/>
  <c r="H380" i="9"/>
  <c r="I380" i="9"/>
  <c r="H381" i="9"/>
  <c r="I381" i="9"/>
  <c r="H382" i="9"/>
  <c r="I382" i="9"/>
  <c r="H383" i="9"/>
  <c r="I383" i="9"/>
  <c r="H384" i="9"/>
  <c r="I384" i="9"/>
  <c r="H385" i="9"/>
  <c r="I385" i="9"/>
  <c r="H386" i="9"/>
  <c r="I386" i="9"/>
  <c r="H387" i="9"/>
  <c r="I387" i="9"/>
  <c r="H388" i="9"/>
  <c r="I388" i="9"/>
  <c r="H389" i="9"/>
  <c r="I389" i="9"/>
  <c r="H390" i="9"/>
  <c r="I390" i="9"/>
  <c r="H391" i="9"/>
  <c r="I391" i="9"/>
  <c r="H392" i="9"/>
  <c r="I392" i="9"/>
  <c r="H393" i="9"/>
  <c r="I393" i="9"/>
  <c r="H394" i="9"/>
  <c r="I394" i="9"/>
  <c r="H395" i="9"/>
  <c r="I395" i="9"/>
  <c r="H396" i="9"/>
  <c r="I396" i="9"/>
  <c r="H397" i="9"/>
  <c r="I397" i="9"/>
  <c r="H398" i="9"/>
  <c r="I398" i="9"/>
  <c r="H399" i="9"/>
  <c r="I399" i="9"/>
  <c r="H400" i="9"/>
  <c r="I400" i="9"/>
  <c r="H401" i="9"/>
  <c r="I401" i="9"/>
  <c r="H402" i="9"/>
  <c r="I402" i="9"/>
  <c r="H403" i="9"/>
  <c r="I403" i="9"/>
  <c r="H404" i="9"/>
  <c r="I404" i="9"/>
  <c r="H405" i="9"/>
  <c r="I405" i="9"/>
  <c r="H406" i="9"/>
  <c r="I406" i="9"/>
  <c r="H407" i="9"/>
  <c r="I407" i="9"/>
  <c r="H408" i="9"/>
  <c r="I408" i="9"/>
  <c r="H409" i="9"/>
  <c r="I409" i="9"/>
  <c r="H410" i="9"/>
  <c r="I410" i="9"/>
  <c r="H411" i="9"/>
  <c r="I411" i="9"/>
  <c r="H412" i="9"/>
  <c r="I412" i="9"/>
  <c r="H413" i="9"/>
  <c r="I413" i="9"/>
  <c r="H414" i="9"/>
  <c r="I414" i="9"/>
  <c r="H415" i="9"/>
  <c r="I415" i="9"/>
  <c r="H416" i="9"/>
  <c r="I416" i="9"/>
  <c r="H417" i="9"/>
  <c r="I417" i="9"/>
  <c r="H418" i="9"/>
  <c r="I418" i="9"/>
  <c r="H419" i="9"/>
  <c r="I419" i="9"/>
  <c r="H420" i="9"/>
  <c r="I420" i="9"/>
  <c r="H421" i="9"/>
  <c r="I421" i="9"/>
  <c r="H422" i="9"/>
  <c r="I422" i="9"/>
  <c r="H423" i="9"/>
  <c r="I423" i="9"/>
  <c r="H424" i="9"/>
  <c r="I424" i="9"/>
  <c r="H425" i="9"/>
  <c r="I425" i="9"/>
  <c r="H426" i="9"/>
  <c r="I426" i="9"/>
  <c r="H427" i="9"/>
  <c r="I427" i="9"/>
  <c r="H428" i="9"/>
  <c r="I428" i="9"/>
  <c r="H429" i="9"/>
  <c r="I429" i="9"/>
  <c r="H430" i="9"/>
  <c r="I430" i="9"/>
  <c r="H431" i="9"/>
  <c r="I431" i="9"/>
  <c r="H432" i="9"/>
  <c r="I432" i="9"/>
  <c r="H433" i="9"/>
  <c r="I433" i="9"/>
  <c r="H434" i="9"/>
  <c r="I434" i="9"/>
  <c r="H435" i="9"/>
  <c r="I435" i="9"/>
  <c r="I2" i="9"/>
  <c r="H2" i="9"/>
  <c r="AB547" i="7"/>
  <c r="AB559" i="7"/>
  <c r="AA559" i="7"/>
  <c r="AB558" i="7"/>
  <c r="AA558" i="7"/>
  <c r="AB557" i="7"/>
  <c r="AA557" i="7"/>
  <c r="AB556" i="7"/>
  <c r="AA556" i="7"/>
  <c r="AB555" i="7"/>
  <c r="AA555" i="7"/>
  <c r="AB554" i="7"/>
  <c r="AA554" i="7"/>
  <c r="AB553" i="7"/>
  <c r="AA553" i="7"/>
  <c r="AB552" i="7"/>
  <c r="AA552" i="7"/>
  <c r="AB551" i="7"/>
  <c r="AA551" i="7"/>
  <c r="AB550" i="7"/>
  <c r="AA550" i="7"/>
  <c r="AB549" i="7"/>
  <c r="AA549" i="7"/>
  <c r="AB548" i="7"/>
  <c r="AA548" i="7"/>
  <c r="AA547" i="7"/>
  <c r="AB546" i="7"/>
  <c r="AA546" i="7"/>
  <c r="AB545" i="7"/>
  <c r="AA545" i="7"/>
  <c r="AB544" i="7"/>
  <c r="AA544" i="7"/>
  <c r="AB543" i="7"/>
  <c r="AA543" i="7"/>
  <c r="AB542" i="7"/>
  <c r="AA542" i="7"/>
  <c r="AB541" i="7"/>
  <c r="AA541" i="7"/>
  <c r="AB540" i="7"/>
  <c r="AA540" i="7"/>
  <c r="AB539" i="7"/>
  <c r="AA539" i="7"/>
  <c r="AB538" i="7"/>
  <c r="AA538" i="7"/>
  <c r="AB537" i="7"/>
  <c r="AA537" i="7"/>
  <c r="AB536" i="7"/>
  <c r="AA536" i="7"/>
  <c r="AB535" i="7"/>
  <c r="AA535" i="7"/>
  <c r="AB534" i="7"/>
  <c r="AA534" i="7"/>
  <c r="AB533" i="7"/>
  <c r="AA533" i="7"/>
  <c r="AB532" i="7"/>
  <c r="AA532" i="7"/>
  <c r="AB531" i="7"/>
  <c r="AA531" i="7"/>
  <c r="AB530" i="7"/>
  <c r="AA530" i="7"/>
  <c r="AB529" i="7"/>
  <c r="AA529" i="7"/>
  <c r="AB528" i="7"/>
  <c r="AA528" i="7"/>
  <c r="AB527" i="7"/>
  <c r="AA527" i="7"/>
  <c r="AB526" i="7"/>
  <c r="AA526" i="7"/>
  <c r="AB525" i="7"/>
  <c r="AA525" i="7"/>
  <c r="AB524" i="7"/>
  <c r="AA524" i="7"/>
  <c r="AB523" i="7"/>
  <c r="AA523" i="7"/>
  <c r="AB522" i="7"/>
  <c r="AA522" i="7"/>
  <c r="AB521" i="7"/>
  <c r="AA521" i="7"/>
  <c r="AB520" i="7"/>
  <c r="AA520" i="7"/>
  <c r="AB519" i="7"/>
  <c r="AA519" i="7"/>
  <c r="AB518" i="7"/>
  <c r="AA518" i="7"/>
  <c r="AB517" i="7"/>
  <c r="AA517" i="7"/>
  <c r="AB516" i="7"/>
  <c r="AA516" i="7"/>
  <c r="AB515" i="7"/>
  <c r="AA515" i="7"/>
  <c r="AB514" i="7"/>
  <c r="AA514" i="7"/>
  <c r="AB513" i="7"/>
  <c r="AA513" i="7"/>
  <c r="AB512" i="7"/>
  <c r="AA512" i="7"/>
  <c r="AB511" i="7"/>
  <c r="AA511" i="7"/>
  <c r="AB510" i="7"/>
  <c r="AA510" i="7"/>
  <c r="AB509" i="7"/>
  <c r="AA509" i="7"/>
  <c r="AB508" i="7"/>
  <c r="AA508" i="7"/>
  <c r="AB507" i="7"/>
  <c r="AA507" i="7"/>
  <c r="AB506" i="7"/>
  <c r="AA506" i="7"/>
  <c r="AB505" i="7"/>
  <c r="AA505" i="7"/>
  <c r="AB504" i="7"/>
  <c r="AA504" i="7"/>
  <c r="AB503" i="7"/>
  <c r="AA503" i="7"/>
  <c r="AB502" i="7"/>
  <c r="AA502" i="7"/>
  <c r="AB501" i="7"/>
  <c r="AA501" i="7"/>
  <c r="AB500" i="7"/>
  <c r="AA500" i="7"/>
  <c r="AB499" i="7"/>
  <c r="AA499" i="7"/>
  <c r="AB498" i="7"/>
  <c r="AA498" i="7"/>
  <c r="AB497" i="7"/>
  <c r="AA497" i="7"/>
  <c r="AB496" i="7"/>
  <c r="AA496" i="7"/>
  <c r="AB495" i="7"/>
  <c r="AA495" i="7"/>
  <c r="AB494" i="7"/>
  <c r="AA494" i="7"/>
  <c r="AB493" i="7"/>
  <c r="AA493" i="7"/>
  <c r="AB492" i="7"/>
  <c r="AA492" i="7"/>
  <c r="AB491" i="7"/>
  <c r="AA491" i="7"/>
  <c r="AB490" i="7"/>
  <c r="AA490" i="7"/>
  <c r="AB489" i="7"/>
  <c r="AA489" i="7"/>
  <c r="AB488" i="7"/>
  <c r="AA488" i="7"/>
  <c r="AB487" i="7"/>
  <c r="AA487" i="7"/>
  <c r="AB486" i="7"/>
  <c r="AA486" i="7"/>
  <c r="AB485" i="7"/>
  <c r="AA485" i="7"/>
  <c r="AB484" i="7"/>
  <c r="AA484" i="7"/>
  <c r="AB483" i="7"/>
  <c r="AA483" i="7"/>
  <c r="AB482" i="7"/>
  <c r="AA482" i="7"/>
  <c r="AB481" i="7"/>
  <c r="AA481" i="7"/>
  <c r="AB480" i="7"/>
  <c r="AA480" i="7"/>
  <c r="AB479" i="7"/>
  <c r="AA479" i="7"/>
  <c r="AB478" i="7"/>
  <c r="AA478" i="7"/>
  <c r="AB477" i="7"/>
  <c r="AA477" i="7"/>
  <c r="AB476" i="7"/>
  <c r="AA476" i="7"/>
  <c r="AB475" i="7"/>
  <c r="AA475" i="7"/>
  <c r="AB474" i="7"/>
  <c r="AA474" i="7"/>
  <c r="AB473" i="7"/>
  <c r="AA473" i="7"/>
  <c r="AB472" i="7"/>
  <c r="AA472" i="7"/>
  <c r="AB471" i="7"/>
  <c r="AA471" i="7"/>
  <c r="AB470" i="7"/>
  <c r="AA470" i="7"/>
  <c r="AB469" i="7"/>
  <c r="AA469" i="7"/>
  <c r="AB468" i="7"/>
  <c r="AA468" i="7"/>
  <c r="AB467" i="7"/>
  <c r="AA467" i="7"/>
  <c r="AB466" i="7"/>
  <c r="AA466" i="7"/>
  <c r="AB465" i="7"/>
  <c r="AA465" i="7"/>
  <c r="AB464" i="7"/>
  <c r="AA464" i="7"/>
  <c r="AB463" i="7"/>
  <c r="AA463" i="7"/>
  <c r="AB462" i="7"/>
  <c r="AA462" i="7"/>
  <c r="AB461" i="7"/>
  <c r="AA461" i="7"/>
  <c r="AB460" i="7"/>
  <c r="AA460" i="7"/>
  <c r="AB459" i="7"/>
  <c r="AA459" i="7"/>
  <c r="AB458" i="7"/>
  <c r="AA458" i="7"/>
  <c r="AB457" i="7"/>
  <c r="AA457" i="7"/>
  <c r="AB456" i="7"/>
  <c r="AA456" i="7"/>
  <c r="AB455" i="7"/>
  <c r="AA455" i="7"/>
  <c r="AB454" i="7"/>
  <c r="AA454" i="7"/>
  <c r="AB453" i="7"/>
  <c r="AA453" i="7"/>
  <c r="AB452" i="7"/>
  <c r="AA452" i="7"/>
  <c r="AB451" i="7"/>
  <c r="AA451" i="7"/>
  <c r="AB450" i="7"/>
  <c r="AA450" i="7"/>
  <c r="AB449" i="7"/>
  <c r="AA449" i="7"/>
  <c r="AB448" i="7"/>
  <c r="AA448" i="7"/>
  <c r="AB447" i="7"/>
  <c r="AA447" i="7"/>
  <c r="AB446" i="7"/>
  <c r="AA446" i="7"/>
  <c r="AB445" i="7"/>
  <c r="AA445" i="7"/>
  <c r="AB444" i="7"/>
  <c r="AA444" i="7"/>
  <c r="AB443" i="7"/>
  <c r="AA443" i="7"/>
  <c r="AB442" i="7"/>
  <c r="AA442" i="7"/>
  <c r="AB441" i="7"/>
  <c r="AA441" i="7"/>
  <c r="AB440" i="7"/>
  <c r="AA440" i="7"/>
  <c r="AB439" i="7"/>
  <c r="AA439" i="7"/>
  <c r="AB438" i="7"/>
  <c r="AA438" i="7"/>
  <c r="AB437" i="7"/>
  <c r="AA437" i="7"/>
  <c r="AB436" i="7"/>
  <c r="AA436" i="7"/>
  <c r="AB435" i="7"/>
  <c r="AA435" i="7"/>
  <c r="AB434" i="7"/>
  <c r="AA434" i="7"/>
  <c r="AB433" i="7"/>
  <c r="AA433" i="7"/>
  <c r="AB432" i="7"/>
  <c r="AA432" i="7"/>
  <c r="AB431" i="7"/>
  <c r="AA431" i="7"/>
  <c r="AB430" i="7"/>
  <c r="AA430" i="7"/>
  <c r="AB429" i="7"/>
  <c r="AA429" i="7"/>
  <c r="AB428" i="7"/>
  <c r="AA428" i="7"/>
  <c r="AB427" i="7"/>
  <c r="AA427" i="7"/>
  <c r="AB426" i="7"/>
  <c r="AA426" i="7"/>
  <c r="AB425" i="7"/>
  <c r="AA425" i="7"/>
  <c r="AB424" i="7"/>
  <c r="AA424" i="7"/>
  <c r="AB423" i="7"/>
  <c r="AA423" i="7"/>
  <c r="AB422" i="7"/>
  <c r="AA422" i="7"/>
  <c r="AB421" i="7"/>
  <c r="AA421" i="7"/>
  <c r="AB420" i="7"/>
  <c r="AA420" i="7"/>
  <c r="AB419" i="7"/>
  <c r="AA419" i="7"/>
  <c r="AB418" i="7"/>
  <c r="AA418" i="7"/>
  <c r="AB417" i="7"/>
  <c r="AA417" i="7"/>
  <c r="AB416" i="7"/>
  <c r="AA416" i="7"/>
  <c r="AB415" i="7"/>
  <c r="AA415" i="7"/>
  <c r="AB414" i="7"/>
  <c r="AA414" i="7"/>
  <c r="AB413" i="7"/>
  <c r="AA413" i="7"/>
  <c r="AB412" i="7"/>
  <c r="AA412" i="7"/>
  <c r="AB411" i="7"/>
  <c r="AA411" i="7"/>
  <c r="AB410" i="7"/>
  <c r="AA410" i="7"/>
  <c r="AB409" i="7"/>
  <c r="AA409" i="7"/>
  <c r="AB408" i="7"/>
  <c r="AA408" i="7"/>
  <c r="AB407" i="7"/>
  <c r="AA407" i="7"/>
  <c r="AB406" i="7"/>
  <c r="AA406" i="7"/>
  <c r="AB405" i="7"/>
  <c r="AA405" i="7"/>
  <c r="AB404" i="7"/>
  <c r="AA404" i="7"/>
  <c r="AB403" i="7"/>
  <c r="AA403" i="7"/>
  <c r="AB402" i="7"/>
  <c r="AA402" i="7"/>
  <c r="AB401" i="7"/>
  <c r="AA401" i="7"/>
  <c r="AB400" i="7"/>
  <c r="AA400" i="7"/>
  <c r="AB399" i="7"/>
  <c r="AA399" i="7"/>
  <c r="AB398" i="7"/>
  <c r="AA398" i="7"/>
  <c r="AB397" i="7"/>
  <c r="AA397" i="7"/>
  <c r="AB396" i="7"/>
  <c r="AA396" i="7"/>
  <c r="AB395" i="7"/>
  <c r="AA395" i="7"/>
  <c r="AB394" i="7"/>
  <c r="AA394" i="7"/>
  <c r="AB393" i="7"/>
  <c r="AA393" i="7"/>
  <c r="AB392" i="7"/>
  <c r="AA392" i="7"/>
  <c r="AB391" i="7"/>
  <c r="AA391" i="7"/>
  <c r="AB390" i="7"/>
  <c r="AA390" i="7"/>
  <c r="AB389" i="7"/>
  <c r="AA389" i="7"/>
  <c r="AB388" i="7"/>
  <c r="AA388" i="7"/>
  <c r="AB387" i="7"/>
  <c r="AA387" i="7"/>
  <c r="AB386" i="7"/>
  <c r="AA386" i="7"/>
  <c r="AB385" i="7"/>
  <c r="AA385" i="7"/>
  <c r="AB384" i="7"/>
  <c r="AA384" i="7"/>
  <c r="AB383" i="7"/>
  <c r="AA383" i="7"/>
  <c r="AB382" i="7"/>
  <c r="AA382" i="7"/>
  <c r="AB381" i="7"/>
  <c r="AA381" i="7"/>
  <c r="AB380" i="7"/>
  <c r="AA380" i="7"/>
  <c r="AB379" i="7"/>
  <c r="AA379" i="7"/>
  <c r="AB378" i="7"/>
  <c r="AA378" i="7"/>
  <c r="AB377" i="7"/>
  <c r="AA377" i="7"/>
  <c r="AB376" i="7"/>
  <c r="AA376" i="7"/>
  <c r="AB375" i="7"/>
  <c r="AA375" i="7"/>
  <c r="AB374" i="7"/>
  <c r="AA374" i="7"/>
  <c r="AB373" i="7"/>
  <c r="AA373" i="7"/>
  <c r="AB372" i="7"/>
  <c r="AA372" i="7"/>
  <c r="AB371" i="7"/>
  <c r="AA371" i="7"/>
  <c r="AB370" i="7"/>
  <c r="AA370" i="7"/>
  <c r="AB369" i="7"/>
  <c r="AA369" i="7"/>
  <c r="AB368" i="7"/>
  <c r="AA368" i="7"/>
  <c r="AB367" i="7"/>
  <c r="AA367" i="7"/>
  <c r="AB366" i="7"/>
  <c r="AA366" i="7"/>
  <c r="AB365" i="7"/>
  <c r="AA365" i="7"/>
  <c r="AB364" i="7"/>
  <c r="AA364" i="7"/>
  <c r="AB363" i="7"/>
  <c r="AA363" i="7"/>
  <c r="AB362" i="7"/>
  <c r="AA362" i="7"/>
  <c r="AB361" i="7"/>
  <c r="AA361" i="7"/>
  <c r="AB360" i="7"/>
  <c r="AA360" i="7"/>
  <c r="AB359" i="7"/>
  <c r="AA359" i="7"/>
  <c r="AB358" i="7"/>
  <c r="AA358" i="7"/>
  <c r="AB357" i="7"/>
  <c r="AA357" i="7"/>
  <c r="AB356" i="7"/>
  <c r="AA356" i="7"/>
  <c r="AB355" i="7"/>
  <c r="AA355" i="7"/>
  <c r="AB354" i="7"/>
  <c r="AA354" i="7"/>
  <c r="AB353" i="7"/>
  <c r="AA353" i="7"/>
  <c r="AB352" i="7"/>
  <c r="AA352" i="7"/>
  <c r="AB351" i="7"/>
  <c r="AA351" i="7"/>
  <c r="AB350" i="7"/>
  <c r="AA350" i="7"/>
  <c r="AB349" i="7"/>
  <c r="AA349" i="7"/>
  <c r="AB348" i="7"/>
  <c r="AA348" i="7"/>
  <c r="AB347" i="7"/>
  <c r="AA347" i="7"/>
  <c r="AB346" i="7"/>
  <c r="AA346" i="7"/>
  <c r="AB345" i="7"/>
  <c r="AA345" i="7"/>
  <c r="AB344" i="7"/>
  <c r="AA344" i="7"/>
  <c r="AB343" i="7"/>
  <c r="AA343" i="7"/>
  <c r="AB342" i="7"/>
  <c r="AA342" i="7"/>
  <c r="AB341" i="7"/>
  <c r="AA341" i="7"/>
  <c r="AB340" i="7"/>
  <c r="AA340" i="7"/>
  <c r="AB339" i="7"/>
  <c r="AA339" i="7"/>
  <c r="AB338" i="7"/>
  <c r="AA338" i="7"/>
  <c r="AB337" i="7"/>
  <c r="AA337" i="7"/>
  <c r="AB336" i="7"/>
  <c r="AA336" i="7"/>
  <c r="AB335" i="7"/>
  <c r="AA335" i="7"/>
  <c r="AB334" i="7"/>
  <c r="AA334" i="7"/>
  <c r="AB333" i="7"/>
  <c r="AA333" i="7"/>
  <c r="AB332" i="7"/>
  <c r="AA332" i="7"/>
  <c r="AB331" i="7"/>
  <c r="AA331" i="7"/>
  <c r="AB330" i="7"/>
  <c r="AA330" i="7"/>
  <c r="AB329" i="7"/>
  <c r="AA329" i="7"/>
  <c r="AB328" i="7"/>
  <c r="AA328" i="7"/>
  <c r="AB327" i="7"/>
  <c r="AA327" i="7"/>
  <c r="AB326" i="7"/>
  <c r="AA326" i="7"/>
  <c r="AB325" i="7"/>
  <c r="AA325" i="7"/>
  <c r="AB324" i="7"/>
  <c r="AA324" i="7"/>
  <c r="AB323" i="7"/>
  <c r="AA323" i="7"/>
  <c r="AB322" i="7"/>
  <c r="AA322" i="7"/>
  <c r="AB321" i="7"/>
  <c r="AA321" i="7"/>
  <c r="AB320" i="7"/>
  <c r="AA320" i="7"/>
  <c r="AB319" i="7"/>
  <c r="AA319" i="7"/>
  <c r="AB318" i="7"/>
  <c r="AA318" i="7"/>
  <c r="AB317" i="7"/>
  <c r="AA317" i="7"/>
  <c r="AB316" i="7"/>
  <c r="AA316" i="7"/>
  <c r="AB315" i="7"/>
  <c r="AA315" i="7"/>
  <c r="AB314" i="7"/>
  <c r="AA314" i="7"/>
  <c r="AB313" i="7"/>
  <c r="AA313" i="7"/>
  <c r="AB312" i="7"/>
  <c r="AA312" i="7"/>
  <c r="AB311" i="7"/>
  <c r="AA311" i="7"/>
  <c r="AB310" i="7"/>
  <c r="AA310" i="7"/>
  <c r="AB309" i="7"/>
  <c r="AA309" i="7"/>
  <c r="AB308" i="7"/>
  <c r="AA308" i="7"/>
  <c r="AB307" i="7"/>
  <c r="AA307" i="7"/>
  <c r="AB306" i="7"/>
  <c r="AA306" i="7"/>
  <c r="AB305" i="7"/>
  <c r="AA305" i="7"/>
  <c r="AB304" i="7"/>
  <c r="AA304" i="7"/>
  <c r="AB303" i="7"/>
  <c r="AA303" i="7"/>
  <c r="AB302" i="7"/>
  <c r="AA302" i="7"/>
  <c r="AB301" i="7"/>
  <c r="AA301" i="7"/>
  <c r="AB300" i="7"/>
  <c r="AA300" i="7"/>
  <c r="AB299" i="7"/>
  <c r="AA299" i="7"/>
  <c r="AB298" i="7"/>
  <c r="AA298" i="7"/>
  <c r="AB297" i="7"/>
  <c r="AA297" i="7"/>
  <c r="AB296" i="7"/>
  <c r="AA296" i="7"/>
  <c r="AB295" i="7"/>
  <c r="AA295" i="7"/>
  <c r="AB294" i="7"/>
  <c r="AA294" i="7"/>
  <c r="AB293" i="7"/>
  <c r="AA293" i="7"/>
  <c r="AB292" i="7"/>
  <c r="AA292" i="7"/>
  <c r="AB291" i="7"/>
  <c r="AA291" i="7"/>
  <c r="AB290" i="7"/>
  <c r="AA290" i="7"/>
  <c r="AB289" i="7"/>
  <c r="AA289" i="7"/>
  <c r="AB288" i="7"/>
  <c r="AA288" i="7"/>
  <c r="AB287" i="7"/>
  <c r="AA287" i="7"/>
  <c r="AB286" i="7"/>
  <c r="AA286" i="7"/>
  <c r="AB285" i="7"/>
  <c r="AA285" i="7"/>
  <c r="AB284" i="7"/>
  <c r="AA284" i="7"/>
  <c r="AB283" i="7"/>
  <c r="AA283" i="7"/>
  <c r="AB282" i="7"/>
  <c r="AA282" i="7"/>
  <c r="AB281" i="7"/>
  <c r="AA281" i="7"/>
  <c r="AB280" i="7"/>
  <c r="AA280" i="7"/>
  <c r="AB279" i="7"/>
  <c r="AA279" i="7"/>
  <c r="AB278" i="7"/>
  <c r="AA278" i="7"/>
  <c r="AB277" i="7"/>
  <c r="AA277" i="7"/>
  <c r="AB276" i="7"/>
  <c r="AA276" i="7"/>
  <c r="AB275" i="7"/>
  <c r="AA275" i="7"/>
  <c r="AB274" i="7"/>
  <c r="AA274" i="7"/>
  <c r="AB273" i="7"/>
  <c r="AA273" i="7"/>
  <c r="AB272" i="7"/>
  <c r="AA272" i="7"/>
  <c r="AB271" i="7"/>
  <c r="AA271" i="7"/>
  <c r="AB270" i="7"/>
  <c r="AA270" i="7"/>
  <c r="AB269" i="7"/>
  <c r="AA269" i="7"/>
  <c r="AB268" i="7"/>
  <c r="AA268" i="7"/>
  <c r="AB267" i="7"/>
  <c r="AA267" i="7"/>
  <c r="AB266" i="7"/>
  <c r="AA266" i="7"/>
  <c r="AB265" i="7"/>
  <c r="AA265" i="7"/>
  <c r="AB264" i="7"/>
  <c r="AA264" i="7"/>
  <c r="AB263" i="7"/>
  <c r="AA263" i="7"/>
  <c r="AB262" i="7"/>
  <c r="AA262" i="7"/>
  <c r="AB261" i="7"/>
  <c r="AA261" i="7"/>
  <c r="AB260" i="7"/>
  <c r="AA260" i="7"/>
  <c r="AB259" i="7"/>
  <c r="AA259" i="7"/>
  <c r="AB258" i="7"/>
  <c r="AA258" i="7"/>
  <c r="AB257" i="7"/>
  <c r="AA257" i="7"/>
  <c r="AB256" i="7"/>
  <c r="AA256" i="7"/>
  <c r="AB255" i="7"/>
  <c r="AA255" i="7"/>
  <c r="AB254" i="7"/>
  <c r="AA254" i="7"/>
  <c r="AB253" i="7"/>
  <c r="AA253" i="7"/>
  <c r="AB252" i="7"/>
  <c r="AA252" i="7"/>
  <c r="AB251" i="7"/>
  <c r="AA251" i="7"/>
  <c r="AB250" i="7"/>
  <c r="AA250" i="7"/>
  <c r="AB249" i="7"/>
  <c r="AA249" i="7"/>
  <c r="AB248" i="7"/>
  <c r="AA248" i="7"/>
  <c r="AB247" i="7"/>
  <c r="AA247" i="7"/>
  <c r="AB246" i="7"/>
  <c r="AA246" i="7"/>
  <c r="AB245" i="7"/>
  <c r="AA245" i="7"/>
  <c r="AB244" i="7"/>
  <c r="AA244" i="7"/>
  <c r="AB243" i="7"/>
  <c r="AA243" i="7"/>
  <c r="AB242" i="7"/>
  <c r="AA242" i="7"/>
  <c r="AB241" i="7"/>
  <c r="AA241" i="7"/>
  <c r="AB240" i="7"/>
  <c r="AA240" i="7"/>
  <c r="AB239" i="7"/>
  <c r="AA239" i="7"/>
  <c r="AB238" i="7"/>
  <c r="AA238" i="7"/>
  <c r="AB237" i="7"/>
  <c r="AA237" i="7"/>
  <c r="AB236" i="7"/>
  <c r="AA236" i="7"/>
  <c r="AB235" i="7"/>
  <c r="AA235" i="7"/>
  <c r="AB234" i="7"/>
  <c r="AA234" i="7"/>
  <c r="AB233" i="7"/>
  <c r="AA233" i="7"/>
  <c r="AB232" i="7"/>
  <c r="AA232" i="7"/>
  <c r="AB231" i="7"/>
  <c r="AA231" i="7"/>
  <c r="AB230" i="7"/>
  <c r="AA230" i="7"/>
  <c r="AB229" i="7"/>
  <c r="AA229" i="7"/>
  <c r="AB228" i="7"/>
  <c r="AA228" i="7"/>
  <c r="AB227" i="7"/>
  <c r="AA227" i="7"/>
  <c r="AB226" i="7"/>
  <c r="AA226" i="7"/>
  <c r="AB225" i="7"/>
  <c r="AA225" i="7"/>
  <c r="AB224" i="7"/>
  <c r="AA224" i="7"/>
  <c r="AB223" i="7"/>
  <c r="AA223" i="7"/>
  <c r="AB222" i="7"/>
  <c r="AA222" i="7"/>
  <c r="AB221" i="7"/>
  <c r="AA221" i="7"/>
  <c r="AB220" i="7"/>
  <c r="AA220" i="7"/>
  <c r="AB219" i="7"/>
  <c r="AA219" i="7"/>
  <c r="AB218" i="7"/>
  <c r="AA218" i="7"/>
  <c r="AB217" i="7"/>
  <c r="AA217" i="7"/>
  <c r="AB216" i="7"/>
  <c r="AA216" i="7"/>
  <c r="AB215" i="7"/>
  <c r="AA215" i="7"/>
  <c r="AB214" i="7"/>
  <c r="AA214" i="7"/>
  <c r="AB213" i="7"/>
  <c r="AA213" i="7"/>
  <c r="AB212" i="7"/>
  <c r="AA212" i="7"/>
  <c r="AB211" i="7"/>
  <c r="AA211" i="7"/>
  <c r="AB210" i="7"/>
  <c r="AA210" i="7"/>
  <c r="AB209" i="7"/>
  <c r="AA209" i="7"/>
  <c r="AB208" i="7"/>
  <c r="AA208" i="7"/>
  <c r="AB207" i="7"/>
  <c r="AA207" i="7"/>
  <c r="AB206" i="7"/>
  <c r="AA206" i="7"/>
  <c r="AB205" i="7"/>
  <c r="AA205" i="7"/>
  <c r="AB204" i="7"/>
  <c r="AA204" i="7"/>
  <c r="AB203" i="7"/>
  <c r="AA203" i="7"/>
  <c r="AB202" i="7"/>
  <c r="AA202" i="7"/>
  <c r="AB201" i="7"/>
  <c r="AA201" i="7"/>
  <c r="AB200" i="7"/>
  <c r="AA200" i="7"/>
  <c r="AB199" i="7"/>
  <c r="AA199" i="7"/>
  <c r="AB198" i="7"/>
  <c r="AA198" i="7"/>
  <c r="AB197" i="7"/>
  <c r="AA197" i="7"/>
  <c r="AB196" i="7"/>
  <c r="AA196" i="7"/>
  <c r="AB195" i="7"/>
  <c r="AA195" i="7"/>
  <c r="AB194" i="7"/>
  <c r="AA194" i="7"/>
  <c r="AB193" i="7"/>
  <c r="AA193" i="7"/>
  <c r="AB192" i="7"/>
  <c r="AA192" i="7"/>
  <c r="AB191" i="7"/>
  <c r="AA191" i="7"/>
  <c r="AB190" i="7"/>
  <c r="AA190" i="7"/>
  <c r="AB189" i="7"/>
  <c r="AA189" i="7"/>
  <c r="AB188" i="7"/>
  <c r="AA188" i="7"/>
  <c r="AB187" i="7"/>
  <c r="AA187" i="7"/>
  <c r="AB186" i="7"/>
  <c r="AA186" i="7"/>
  <c r="AB185" i="7"/>
  <c r="AA185" i="7"/>
  <c r="AB184" i="7"/>
  <c r="AA184" i="7"/>
  <c r="AB183" i="7"/>
  <c r="AA183" i="7"/>
  <c r="AB182" i="7"/>
  <c r="AA182" i="7"/>
  <c r="AB181" i="7"/>
  <c r="AA181" i="7"/>
  <c r="AB180" i="7"/>
  <c r="AA180" i="7"/>
  <c r="AB179" i="7"/>
  <c r="AA179" i="7"/>
  <c r="AB178" i="7"/>
  <c r="AA178" i="7"/>
  <c r="AB177" i="7"/>
  <c r="AA177" i="7"/>
  <c r="AB176" i="7"/>
  <c r="AA176" i="7"/>
  <c r="AB175" i="7"/>
  <c r="AA175" i="7"/>
  <c r="AB174" i="7"/>
  <c r="AA174" i="7"/>
  <c r="AB173" i="7"/>
  <c r="AA173" i="7"/>
  <c r="AB172" i="7"/>
  <c r="AA172" i="7"/>
  <c r="AB171" i="7"/>
  <c r="AA171" i="7"/>
  <c r="AB170" i="7"/>
  <c r="AA170" i="7"/>
  <c r="AB169" i="7"/>
  <c r="AA169" i="7"/>
  <c r="AB168" i="7"/>
  <c r="AA168" i="7"/>
  <c r="AB167" i="7"/>
  <c r="AA167" i="7"/>
  <c r="AB166" i="7"/>
  <c r="AA166" i="7"/>
  <c r="AB165" i="7"/>
  <c r="AA165" i="7"/>
  <c r="AB164" i="7"/>
  <c r="AA164" i="7"/>
  <c r="AB163" i="7"/>
  <c r="AA163" i="7"/>
  <c r="AB162" i="7"/>
  <c r="AA162" i="7"/>
  <c r="AB161" i="7"/>
  <c r="AA161" i="7"/>
  <c r="AB160" i="7"/>
  <c r="AA160" i="7"/>
  <c r="AB159" i="7"/>
  <c r="AA159" i="7"/>
  <c r="AB158" i="7"/>
  <c r="AA158" i="7"/>
  <c r="AB157" i="7"/>
  <c r="AA157" i="7"/>
  <c r="AA150" i="7"/>
  <c r="AB150" i="7"/>
  <c r="AA151" i="7"/>
  <c r="AB151" i="7"/>
  <c r="AA152" i="7"/>
  <c r="AB152" i="7"/>
  <c r="AA153" i="7"/>
  <c r="AB153" i="7"/>
  <c r="AA154" i="7"/>
  <c r="AB154" i="7"/>
  <c r="AA155" i="7"/>
  <c r="AB155" i="7"/>
  <c r="AA156" i="7"/>
  <c r="AB156" i="7"/>
  <c r="AA3" i="7"/>
  <c r="AB3" i="7"/>
  <c r="AA4" i="7"/>
  <c r="AB4" i="7"/>
  <c r="AA5" i="7"/>
  <c r="AB5" i="7"/>
  <c r="AA6" i="7"/>
  <c r="AB6" i="7"/>
  <c r="AA7" i="7"/>
  <c r="AB7" i="7"/>
  <c r="AA8" i="7"/>
  <c r="AB8" i="7"/>
  <c r="AA9" i="7"/>
  <c r="AB9" i="7"/>
  <c r="AA10" i="7"/>
  <c r="AB10" i="7"/>
  <c r="AA11" i="7"/>
  <c r="AB11" i="7"/>
  <c r="AA12" i="7"/>
  <c r="AB12" i="7"/>
  <c r="AA13" i="7"/>
  <c r="AB13" i="7"/>
  <c r="AA14" i="7"/>
  <c r="AB14" i="7"/>
  <c r="AA15" i="7"/>
  <c r="AB15" i="7"/>
  <c r="AA16" i="7"/>
  <c r="AB16" i="7"/>
  <c r="AA17" i="7"/>
  <c r="AB17" i="7"/>
  <c r="AA18" i="7"/>
  <c r="AB18" i="7"/>
  <c r="AA19" i="7"/>
  <c r="AB19" i="7"/>
  <c r="AA20" i="7"/>
  <c r="AB20" i="7"/>
  <c r="AA21" i="7"/>
  <c r="AB21" i="7"/>
  <c r="AA22" i="7"/>
  <c r="AB22" i="7"/>
  <c r="AA23" i="7"/>
  <c r="AB23" i="7"/>
  <c r="AA24" i="7"/>
  <c r="AB24" i="7"/>
  <c r="AA25" i="7"/>
  <c r="AB25" i="7"/>
  <c r="AA26" i="7"/>
  <c r="AB26" i="7"/>
  <c r="AA27" i="7"/>
  <c r="AB27" i="7"/>
  <c r="AA28" i="7"/>
  <c r="AB28" i="7"/>
  <c r="AA29" i="7"/>
  <c r="AB29" i="7"/>
  <c r="AA30" i="7"/>
  <c r="AB30" i="7"/>
  <c r="AA31" i="7"/>
  <c r="AB31" i="7"/>
  <c r="AA32" i="7"/>
  <c r="AB32" i="7"/>
  <c r="AA33" i="7"/>
  <c r="AB33" i="7"/>
  <c r="AA34" i="7"/>
  <c r="AB34" i="7"/>
  <c r="AA35" i="7"/>
  <c r="AB35" i="7"/>
  <c r="AA36" i="7"/>
  <c r="AB36" i="7"/>
  <c r="AA37" i="7"/>
  <c r="AB37" i="7"/>
  <c r="AA38" i="7"/>
  <c r="AB38" i="7"/>
  <c r="AA39" i="7"/>
  <c r="AB39" i="7"/>
  <c r="AA40" i="7"/>
  <c r="AB40" i="7"/>
  <c r="AA41" i="7"/>
  <c r="AB41" i="7"/>
  <c r="AA42" i="7"/>
  <c r="AB42" i="7"/>
  <c r="AA43" i="7"/>
  <c r="AB43" i="7"/>
  <c r="AA44" i="7"/>
  <c r="AB44" i="7"/>
  <c r="AA45" i="7"/>
  <c r="AB45" i="7"/>
  <c r="AA46" i="7"/>
  <c r="AB46" i="7"/>
  <c r="AA47" i="7"/>
  <c r="AB47" i="7"/>
  <c r="AA48" i="7"/>
  <c r="AB48" i="7"/>
  <c r="AA49" i="7"/>
  <c r="AB49" i="7"/>
  <c r="AA50" i="7"/>
  <c r="AB50" i="7"/>
  <c r="AA51" i="7"/>
  <c r="AB51" i="7"/>
  <c r="AA52" i="7"/>
  <c r="AB52" i="7"/>
  <c r="AA53" i="7"/>
  <c r="AB53" i="7"/>
  <c r="AA54" i="7"/>
  <c r="AB54" i="7"/>
  <c r="AA55" i="7"/>
  <c r="AB55" i="7"/>
  <c r="AA56" i="7"/>
  <c r="AB56" i="7"/>
  <c r="AA57" i="7"/>
  <c r="AB57" i="7"/>
  <c r="AA58" i="7"/>
  <c r="AB58" i="7"/>
  <c r="AA59" i="7"/>
  <c r="AB59" i="7"/>
  <c r="AA60" i="7"/>
  <c r="AB60" i="7"/>
  <c r="AA61" i="7"/>
  <c r="AB61" i="7"/>
  <c r="AA62" i="7"/>
  <c r="AB62" i="7"/>
  <c r="AA63" i="7"/>
  <c r="AB63" i="7"/>
  <c r="AA64" i="7"/>
  <c r="AB64" i="7"/>
  <c r="AA65" i="7"/>
  <c r="AB65" i="7"/>
  <c r="AA66" i="7"/>
  <c r="AB66" i="7"/>
  <c r="AA67" i="7"/>
  <c r="AB67" i="7"/>
  <c r="AA68" i="7"/>
  <c r="AB68" i="7"/>
  <c r="AA69" i="7"/>
  <c r="AB69" i="7"/>
  <c r="AA70" i="7"/>
  <c r="AB70" i="7"/>
  <c r="AA71" i="7"/>
  <c r="AB71" i="7"/>
  <c r="AA72" i="7"/>
  <c r="AB72" i="7"/>
  <c r="AA73" i="7"/>
  <c r="AB73" i="7"/>
  <c r="AA74" i="7"/>
  <c r="AB74" i="7"/>
  <c r="AA75" i="7"/>
  <c r="AB75" i="7"/>
  <c r="AA76" i="7"/>
  <c r="AB76" i="7"/>
  <c r="AA77" i="7"/>
  <c r="AB77" i="7"/>
  <c r="AA78" i="7"/>
  <c r="AB78" i="7"/>
  <c r="AA79" i="7"/>
  <c r="AB79" i="7"/>
  <c r="AA80" i="7"/>
  <c r="AB80" i="7"/>
  <c r="AA81" i="7"/>
  <c r="AB81" i="7"/>
  <c r="AA82" i="7"/>
  <c r="AB82" i="7"/>
  <c r="AA83" i="7"/>
  <c r="AB83" i="7"/>
  <c r="AA84" i="7"/>
  <c r="AB84" i="7"/>
  <c r="AA85" i="7"/>
  <c r="AB85" i="7"/>
  <c r="AA86" i="7"/>
  <c r="AB86" i="7"/>
  <c r="AA87" i="7"/>
  <c r="AB87" i="7"/>
  <c r="AA88" i="7"/>
  <c r="AB88" i="7"/>
  <c r="AA89" i="7"/>
  <c r="AB89" i="7"/>
  <c r="AA90" i="7"/>
  <c r="AB90" i="7"/>
  <c r="AA91" i="7"/>
  <c r="AB91" i="7"/>
  <c r="AA92" i="7"/>
  <c r="AB92" i="7"/>
  <c r="AA93" i="7"/>
  <c r="AB93" i="7"/>
  <c r="AA94" i="7"/>
  <c r="AB94" i="7"/>
  <c r="AA95" i="7"/>
  <c r="AB95" i="7"/>
  <c r="AA96" i="7"/>
  <c r="AB96" i="7"/>
  <c r="AA97" i="7"/>
  <c r="AB97" i="7"/>
  <c r="AA98" i="7"/>
  <c r="AB98" i="7"/>
  <c r="AA99" i="7"/>
  <c r="AB99" i="7"/>
  <c r="AA100" i="7"/>
  <c r="AB100" i="7"/>
  <c r="AA101" i="7"/>
  <c r="AB101" i="7"/>
  <c r="AA102" i="7"/>
  <c r="AB102" i="7"/>
  <c r="AA103" i="7"/>
  <c r="AB103" i="7"/>
  <c r="AA104" i="7"/>
  <c r="AB104" i="7"/>
  <c r="AA105" i="7"/>
  <c r="AB105" i="7"/>
  <c r="AA106" i="7"/>
  <c r="AB106" i="7"/>
  <c r="AA107" i="7"/>
  <c r="AB107" i="7"/>
  <c r="AA108" i="7"/>
  <c r="AB108" i="7"/>
  <c r="AA109" i="7"/>
  <c r="AB109" i="7"/>
  <c r="AA110" i="7"/>
  <c r="AB110" i="7"/>
  <c r="AA111" i="7"/>
  <c r="AB111" i="7"/>
  <c r="AA112" i="7"/>
  <c r="AB112" i="7"/>
  <c r="AA113" i="7"/>
  <c r="AB113" i="7"/>
  <c r="AA114" i="7"/>
  <c r="AB114" i="7"/>
  <c r="AA115" i="7"/>
  <c r="AB115" i="7"/>
  <c r="AA116" i="7"/>
  <c r="AB116" i="7"/>
  <c r="AA117" i="7"/>
  <c r="AB117" i="7"/>
  <c r="AA118" i="7"/>
  <c r="AB118" i="7"/>
  <c r="AA119" i="7"/>
  <c r="AB119" i="7"/>
  <c r="AA120" i="7"/>
  <c r="AB120" i="7"/>
  <c r="AA121" i="7"/>
  <c r="AB121" i="7"/>
  <c r="AA122" i="7"/>
  <c r="AB122" i="7"/>
  <c r="AA123" i="7"/>
  <c r="AB123" i="7"/>
  <c r="AA124" i="7"/>
  <c r="AB124" i="7"/>
  <c r="AA125" i="7"/>
  <c r="AB125" i="7"/>
  <c r="AA126" i="7"/>
  <c r="AB126" i="7"/>
  <c r="AA127" i="7"/>
  <c r="AB127" i="7"/>
  <c r="AA128" i="7"/>
  <c r="AB128" i="7"/>
  <c r="AA129" i="7"/>
  <c r="AB129" i="7"/>
  <c r="AA130" i="7"/>
  <c r="AB130" i="7"/>
  <c r="AA131" i="7"/>
  <c r="AB131" i="7"/>
  <c r="AA132" i="7"/>
  <c r="AB132" i="7"/>
  <c r="AA133" i="7"/>
  <c r="AB133" i="7"/>
  <c r="AA134" i="7"/>
  <c r="AB134" i="7"/>
  <c r="AA135" i="7"/>
  <c r="AB135" i="7"/>
  <c r="AA136" i="7"/>
  <c r="AB136" i="7"/>
  <c r="AA137" i="7"/>
  <c r="AB137" i="7"/>
  <c r="AA138" i="7"/>
  <c r="AB138" i="7"/>
  <c r="AA139" i="7"/>
  <c r="AB139" i="7"/>
  <c r="AA140" i="7"/>
  <c r="AB140" i="7"/>
  <c r="AA141" i="7"/>
  <c r="AB141" i="7"/>
  <c r="AA142" i="7"/>
  <c r="AB142" i="7"/>
  <c r="AA143" i="7"/>
  <c r="AB143" i="7"/>
  <c r="AA144" i="7"/>
  <c r="AB144" i="7"/>
  <c r="AA145" i="7"/>
  <c r="AB145" i="7"/>
  <c r="AA146" i="7"/>
  <c r="AB146" i="7"/>
  <c r="AA147" i="7"/>
  <c r="AB147" i="7"/>
  <c r="AA148" i="7"/>
  <c r="AB148" i="7"/>
  <c r="AA149" i="7"/>
  <c r="AB149" i="7"/>
  <c r="AB2" i="7"/>
  <c r="AA2" i="7"/>
  <c r="U2" i="7"/>
  <c r="W550" i="7"/>
  <c r="V550" i="7"/>
  <c r="U550" i="7"/>
  <c r="Y540" i="7"/>
  <c r="X540" i="7"/>
  <c r="W540" i="7"/>
  <c r="V540" i="7"/>
  <c r="X530" i="7"/>
  <c r="W530" i="7"/>
  <c r="V530" i="7"/>
  <c r="U530" i="7"/>
  <c r="Y520" i="7"/>
  <c r="X520" i="7"/>
  <c r="W520" i="7"/>
  <c r="V520" i="7"/>
  <c r="Y510" i="7"/>
  <c r="X510" i="7"/>
  <c r="W510" i="7"/>
  <c r="V510" i="7"/>
  <c r="Y509" i="7"/>
  <c r="X509" i="7"/>
  <c r="W509" i="7"/>
  <c r="V509" i="7"/>
  <c r="Y508" i="7"/>
  <c r="X508" i="7"/>
  <c r="W508" i="7"/>
  <c r="V508" i="7"/>
  <c r="Y507" i="7"/>
  <c r="X507" i="7"/>
  <c r="W507" i="7"/>
  <c r="V507" i="7"/>
  <c r="Y506" i="7"/>
  <c r="X506" i="7"/>
  <c r="W506" i="7"/>
  <c r="V506" i="7"/>
  <c r="Y505" i="7"/>
  <c r="X505" i="7"/>
  <c r="W505" i="7"/>
  <c r="V505" i="7"/>
  <c r="W504" i="7"/>
  <c r="V504" i="7"/>
  <c r="U504" i="7"/>
  <c r="X503" i="7"/>
  <c r="W503" i="7"/>
  <c r="V503" i="7"/>
  <c r="U503" i="7"/>
  <c r="X502" i="7"/>
  <c r="W502" i="7"/>
  <c r="V502" i="7"/>
  <c r="U502" i="7"/>
  <c r="X501" i="7"/>
  <c r="W501" i="7"/>
  <c r="V501" i="7"/>
  <c r="U501" i="7"/>
  <c r="X500" i="7"/>
  <c r="W500" i="7"/>
  <c r="V500" i="7"/>
  <c r="U500" i="7"/>
  <c r="X490" i="7"/>
  <c r="W490" i="7"/>
  <c r="V490" i="7"/>
  <c r="U490" i="7"/>
  <c r="X480" i="7"/>
  <c r="W480" i="7"/>
  <c r="V480" i="7"/>
  <c r="U480" i="7"/>
  <c r="X470" i="7"/>
  <c r="W470" i="7"/>
  <c r="V470" i="7"/>
  <c r="U470" i="7"/>
  <c r="X460" i="7"/>
  <c r="W460" i="7"/>
  <c r="V460" i="7"/>
  <c r="U460" i="7"/>
  <c r="X450" i="7"/>
  <c r="W450" i="7"/>
  <c r="V450" i="7"/>
  <c r="U450" i="7"/>
  <c r="X440" i="7"/>
  <c r="W440" i="7"/>
  <c r="V440" i="7"/>
  <c r="U440" i="7"/>
  <c r="X430" i="7"/>
  <c r="W430" i="7"/>
  <c r="V430" i="7"/>
  <c r="U430" i="7"/>
  <c r="X420" i="7"/>
  <c r="W420" i="7"/>
  <c r="V420" i="7"/>
  <c r="U420" i="7"/>
  <c r="X410" i="7"/>
  <c r="W410" i="7"/>
  <c r="V410" i="7"/>
  <c r="U410" i="7"/>
  <c r="X409" i="7"/>
  <c r="W409" i="7"/>
  <c r="V409" i="7"/>
  <c r="U409" i="7"/>
  <c r="W408" i="7"/>
  <c r="V408" i="7"/>
  <c r="U408" i="7"/>
  <c r="X407" i="7"/>
  <c r="W407" i="7"/>
  <c r="V407" i="7"/>
  <c r="U407" i="7"/>
  <c r="X406" i="7"/>
  <c r="W406" i="7"/>
  <c r="V406" i="7"/>
  <c r="U406" i="7"/>
  <c r="X405" i="7"/>
  <c r="W405" i="7"/>
  <c r="V405" i="7"/>
  <c r="U405" i="7"/>
  <c r="X404" i="7"/>
  <c r="W404" i="7"/>
  <c r="V404" i="7"/>
  <c r="U404" i="7"/>
  <c r="X403" i="7"/>
  <c r="W403" i="7"/>
  <c r="V403" i="7"/>
  <c r="U403" i="7"/>
  <c r="X402" i="7"/>
  <c r="W402" i="7"/>
  <c r="V402" i="7"/>
  <c r="U402" i="7"/>
  <c r="X401" i="7"/>
  <c r="W401" i="7"/>
  <c r="V401" i="7"/>
  <c r="U401" i="7"/>
  <c r="W400" i="7"/>
  <c r="V400" i="7"/>
  <c r="U400" i="7"/>
  <c r="X390" i="7"/>
  <c r="W390" i="7"/>
  <c r="V390" i="7"/>
  <c r="U390" i="7"/>
  <c r="X380" i="7"/>
  <c r="W380" i="7"/>
  <c r="V380" i="7"/>
  <c r="U380" i="7"/>
  <c r="X370" i="7"/>
  <c r="W370" i="7"/>
  <c r="V370" i="7"/>
  <c r="U370" i="7"/>
  <c r="X360" i="7"/>
  <c r="W360" i="7"/>
  <c r="V360" i="7"/>
  <c r="U360" i="7"/>
  <c r="X350" i="7"/>
  <c r="W350" i="7"/>
  <c r="V350" i="7"/>
  <c r="U350" i="7"/>
  <c r="X340" i="7"/>
  <c r="W340" i="7"/>
  <c r="V340" i="7"/>
  <c r="U340" i="7"/>
  <c r="X330" i="7"/>
  <c r="W330" i="7"/>
  <c r="V330" i="7"/>
  <c r="U330" i="7"/>
  <c r="X320" i="7"/>
  <c r="W320" i="7"/>
  <c r="V320" i="7"/>
  <c r="U320" i="7"/>
  <c r="X310" i="7"/>
  <c r="W310" i="7"/>
  <c r="V310" i="7"/>
  <c r="U310" i="7"/>
  <c r="X309" i="7"/>
  <c r="W309" i="7"/>
  <c r="V309" i="7"/>
  <c r="U309" i="7"/>
  <c r="X308" i="7"/>
  <c r="W308" i="7"/>
  <c r="V308" i="7"/>
  <c r="U308" i="7"/>
  <c r="W307" i="7"/>
  <c r="V307" i="7"/>
  <c r="U307" i="7"/>
  <c r="X306" i="7"/>
  <c r="W306" i="7"/>
  <c r="V306" i="7"/>
  <c r="U306" i="7"/>
  <c r="X305" i="7"/>
  <c r="W305" i="7"/>
  <c r="V305" i="7"/>
  <c r="U305" i="7"/>
  <c r="X304" i="7"/>
  <c r="W304" i="7"/>
  <c r="V304" i="7"/>
  <c r="U304" i="7"/>
  <c r="X303" i="7"/>
  <c r="W303" i="7"/>
  <c r="V303" i="7"/>
  <c r="U303" i="7"/>
  <c r="X302" i="7"/>
  <c r="W302" i="7"/>
  <c r="V302" i="7"/>
  <c r="U302" i="7"/>
  <c r="W301" i="7"/>
  <c r="V301" i="7"/>
  <c r="U301" i="7"/>
  <c r="X300" i="7"/>
  <c r="W300" i="7"/>
  <c r="V300" i="7"/>
  <c r="U300" i="7"/>
  <c r="X290" i="7"/>
  <c r="W290" i="7"/>
  <c r="V290" i="7"/>
  <c r="U290" i="7"/>
  <c r="X280" i="7"/>
  <c r="W280" i="7"/>
  <c r="V280" i="7"/>
  <c r="U280" i="7"/>
  <c r="X270" i="7"/>
  <c r="W270" i="7"/>
  <c r="V270" i="7"/>
  <c r="U270" i="7"/>
  <c r="X260" i="7"/>
  <c r="W260" i="7"/>
  <c r="V260" i="7"/>
  <c r="U260" i="7"/>
  <c r="X250" i="7"/>
  <c r="W250" i="7"/>
  <c r="V250" i="7"/>
  <c r="U250" i="7"/>
  <c r="W240" i="7"/>
  <c r="V240" i="7"/>
  <c r="U240" i="7"/>
  <c r="X230" i="7"/>
  <c r="W230" i="7"/>
  <c r="V230" i="7"/>
  <c r="U230" i="7"/>
  <c r="X220" i="7"/>
  <c r="W220" i="7"/>
  <c r="V220" i="7"/>
  <c r="U220" i="7"/>
  <c r="X210" i="7"/>
  <c r="W210" i="7"/>
  <c r="V210" i="7"/>
  <c r="U210" i="7"/>
  <c r="X209" i="7"/>
  <c r="W209" i="7"/>
  <c r="V209" i="7"/>
  <c r="U209" i="7"/>
  <c r="W208" i="7"/>
  <c r="V208" i="7"/>
  <c r="U208" i="7"/>
  <c r="X207" i="7"/>
  <c r="W207" i="7"/>
  <c r="V207" i="7"/>
  <c r="U207" i="7"/>
  <c r="X206" i="7"/>
  <c r="W206" i="7"/>
  <c r="V206" i="7"/>
  <c r="U206" i="7"/>
  <c r="X205" i="7"/>
  <c r="W205" i="7"/>
  <c r="V205" i="7"/>
  <c r="U205" i="7"/>
  <c r="X204" i="7"/>
  <c r="W204" i="7"/>
  <c r="V204" i="7"/>
  <c r="U204" i="7"/>
  <c r="X203" i="7"/>
  <c r="W203" i="7"/>
  <c r="V203" i="7"/>
  <c r="U203" i="7"/>
  <c r="X202" i="7"/>
  <c r="W202" i="7"/>
  <c r="V202" i="7"/>
  <c r="U202" i="7"/>
  <c r="X201" i="7"/>
  <c r="W201" i="7"/>
  <c r="V201" i="7"/>
  <c r="U201" i="7"/>
  <c r="X200" i="7"/>
  <c r="W200" i="7"/>
  <c r="V200" i="7"/>
  <c r="U200" i="7"/>
  <c r="X190" i="7"/>
  <c r="W190" i="7"/>
  <c r="V190" i="7"/>
  <c r="U190" i="7"/>
  <c r="X180" i="7"/>
  <c r="W180" i="7"/>
  <c r="V180" i="7"/>
  <c r="U180" i="7"/>
  <c r="X170" i="7"/>
  <c r="W170" i="7"/>
  <c r="V170" i="7"/>
  <c r="U170" i="7"/>
  <c r="X160" i="7"/>
  <c r="W160" i="7"/>
  <c r="V160" i="7"/>
  <c r="U160" i="7"/>
  <c r="X150" i="7"/>
  <c r="W150" i="7"/>
  <c r="V150" i="7"/>
  <c r="U150" i="7"/>
  <c r="W140" i="7"/>
  <c r="V140" i="7"/>
  <c r="U140" i="7"/>
  <c r="X130" i="7"/>
  <c r="W130" i="7"/>
  <c r="V130" i="7"/>
  <c r="U130" i="7"/>
  <c r="X120" i="7"/>
  <c r="W120" i="7"/>
  <c r="V120" i="7"/>
  <c r="U120" i="7"/>
  <c r="X110" i="7"/>
  <c r="W110" i="7"/>
  <c r="V110" i="7"/>
  <c r="U110" i="7"/>
  <c r="X109" i="7"/>
  <c r="W109" i="7"/>
  <c r="V109" i="7"/>
  <c r="U109" i="7"/>
  <c r="W108" i="7"/>
  <c r="V108" i="7"/>
  <c r="U108" i="7"/>
  <c r="X107" i="7"/>
  <c r="W107" i="7"/>
  <c r="V107" i="7"/>
  <c r="U107" i="7"/>
  <c r="X106" i="7"/>
  <c r="W106" i="7"/>
  <c r="V106" i="7"/>
  <c r="U106" i="7"/>
  <c r="X105" i="7"/>
  <c r="W105" i="7"/>
  <c r="V105" i="7"/>
  <c r="U105" i="7"/>
  <c r="X104" i="7"/>
  <c r="W104" i="7"/>
  <c r="V104" i="7"/>
  <c r="U104" i="7"/>
  <c r="X103" i="7"/>
  <c r="W103" i="7"/>
  <c r="V103" i="7"/>
  <c r="U103" i="7"/>
  <c r="X102" i="7"/>
  <c r="W102" i="7"/>
  <c r="V102" i="7"/>
  <c r="U102" i="7"/>
  <c r="X101" i="7"/>
  <c r="W101" i="7"/>
  <c r="V101" i="7"/>
  <c r="U101" i="7"/>
  <c r="W100" i="7"/>
  <c r="V100" i="7"/>
  <c r="U100" i="7"/>
  <c r="W90" i="7"/>
  <c r="V90" i="7"/>
  <c r="U90" i="7"/>
  <c r="X80" i="7"/>
  <c r="W80" i="7"/>
  <c r="V80" i="7"/>
  <c r="U80" i="7"/>
  <c r="X70" i="7"/>
  <c r="W70" i="7"/>
  <c r="V70" i="7"/>
  <c r="U70" i="7"/>
  <c r="X60" i="7"/>
  <c r="W60" i="7"/>
  <c r="V60" i="7"/>
  <c r="U60" i="7"/>
  <c r="X50" i="7"/>
  <c r="W50" i="7"/>
  <c r="V50" i="7"/>
  <c r="U50" i="7"/>
  <c r="X40" i="7"/>
  <c r="W40" i="7"/>
  <c r="V40" i="7"/>
  <c r="U40" i="7"/>
  <c r="X30" i="7"/>
  <c r="W30" i="7"/>
  <c r="V30" i="7"/>
  <c r="U30" i="7"/>
  <c r="X20" i="7"/>
  <c r="W20" i="7"/>
  <c r="V20" i="7"/>
  <c r="U20" i="7"/>
  <c r="X10" i="7"/>
  <c r="W10" i="7"/>
  <c r="V10" i="7"/>
  <c r="U10" i="7"/>
  <c r="U3" i="7"/>
  <c r="V3" i="7"/>
  <c r="W3" i="7"/>
  <c r="X3" i="7"/>
  <c r="U4" i="7"/>
  <c r="V4" i="7"/>
  <c r="W4" i="7"/>
  <c r="X4" i="7"/>
  <c r="U5" i="7"/>
  <c r="V5" i="7"/>
  <c r="W5" i="7"/>
  <c r="X5" i="7"/>
  <c r="U6" i="7"/>
  <c r="V6" i="7"/>
  <c r="W6" i="7"/>
  <c r="U7" i="7"/>
  <c r="V7" i="7"/>
  <c r="W7" i="7"/>
  <c r="X7" i="7"/>
  <c r="U8" i="7"/>
  <c r="V8" i="7"/>
  <c r="W8" i="7"/>
  <c r="X8" i="7"/>
  <c r="U9" i="7"/>
  <c r="V9" i="7"/>
  <c r="W9" i="7"/>
  <c r="X9" i="7"/>
  <c r="U11" i="7"/>
  <c r="V11" i="7"/>
  <c r="W11" i="7"/>
  <c r="X11" i="7"/>
  <c r="U12" i="7"/>
  <c r="V12" i="7"/>
  <c r="W12" i="7"/>
  <c r="X12" i="7"/>
  <c r="U13" i="7"/>
  <c r="V13" i="7"/>
  <c r="W13" i="7"/>
  <c r="U14" i="7"/>
  <c r="V14" i="7"/>
  <c r="W14" i="7"/>
  <c r="X14" i="7"/>
  <c r="U15" i="7"/>
  <c r="V15" i="7"/>
  <c r="W15" i="7"/>
  <c r="X15" i="7"/>
  <c r="U16" i="7"/>
  <c r="V16" i="7"/>
  <c r="W16" i="7"/>
  <c r="X16" i="7"/>
  <c r="U17" i="7"/>
  <c r="V17" i="7"/>
  <c r="W17" i="7"/>
  <c r="X17" i="7"/>
  <c r="U18" i="7"/>
  <c r="V18" i="7"/>
  <c r="W18" i="7"/>
  <c r="X18" i="7"/>
  <c r="U19" i="7"/>
  <c r="V19" i="7"/>
  <c r="W19" i="7"/>
  <c r="X19" i="7"/>
  <c r="U21" i="7"/>
  <c r="V21" i="7"/>
  <c r="W21" i="7"/>
  <c r="X21" i="7"/>
  <c r="U22" i="7"/>
  <c r="V22" i="7"/>
  <c r="W22" i="7"/>
  <c r="U23" i="7"/>
  <c r="V23" i="7"/>
  <c r="W23" i="7"/>
  <c r="X23" i="7"/>
  <c r="U24" i="7"/>
  <c r="V24" i="7"/>
  <c r="W24" i="7"/>
  <c r="X24" i="7"/>
  <c r="U25" i="7"/>
  <c r="V25" i="7"/>
  <c r="W25" i="7"/>
  <c r="X25" i="7"/>
  <c r="U26" i="7"/>
  <c r="V26" i="7"/>
  <c r="W26" i="7"/>
  <c r="X26" i="7"/>
  <c r="U27" i="7"/>
  <c r="V27" i="7"/>
  <c r="W27" i="7"/>
  <c r="X27" i="7"/>
  <c r="U28" i="7"/>
  <c r="V28" i="7"/>
  <c r="W28" i="7"/>
  <c r="U29" i="7"/>
  <c r="V29" i="7"/>
  <c r="W29" i="7"/>
  <c r="X29" i="7"/>
  <c r="U31" i="7"/>
  <c r="V31" i="7"/>
  <c r="W31" i="7"/>
  <c r="X31" i="7"/>
  <c r="U32" i="7"/>
  <c r="V32" i="7"/>
  <c r="W32" i="7"/>
  <c r="X32" i="7"/>
  <c r="U33" i="7"/>
  <c r="V33" i="7"/>
  <c r="W33" i="7"/>
  <c r="X33" i="7"/>
  <c r="U34" i="7"/>
  <c r="V34" i="7"/>
  <c r="W34" i="7"/>
  <c r="X34" i="7"/>
  <c r="U35" i="7"/>
  <c r="V35" i="7"/>
  <c r="W35" i="7"/>
  <c r="X35" i="7"/>
  <c r="U36" i="7"/>
  <c r="V36" i="7"/>
  <c r="W36" i="7"/>
  <c r="X36" i="7"/>
  <c r="U37" i="7"/>
  <c r="V37" i="7"/>
  <c r="W37" i="7"/>
  <c r="U38" i="7"/>
  <c r="V38" i="7"/>
  <c r="W38" i="7"/>
  <c r="X38" i="7"/>
  <c r="U39" i="7"/>
  <c r="V39" i="7"/>
  <c r="W39" i="7"/>
  <c r="X39" i="7"/>
  <c r="U41" i="7"/>
  <c r="V41" i="7"/>
  <c r="W41" i="7"/>
  <c r="X41" i="7"/>
  <c r="U42" i="7"/>
  <c r="V42" i="7"/>
  <c r="W42" i="7"/>
  <c r="X42" i="7"/>
  <c r="U43" i="7"/>
  <c r="V43" i="7"/>
  <c r="W43" i="7"/>
  <c r="X43" i="7"/>
  <c r="U44" i="7"/>
  <c r="V44" i="7"/>
  <c r="W44" i="7"/>
  <c r="X44" i="7"/>
  <c r="U45" i="7"/>
  <c r="V45" i="7"/>
  <c r="W45" i="7"/>
  <c r="U46" i="7"/>
  <c r="V46" i="7"/>
  <c r="W46" i="7"/>
  <c r="X46" i="7"/>
  <c r="U47" i="7"/>
  <c r="V47" i="7"/>
  <c r="W47" i="7"/>
  <c r="X47" i="7"/>
  <c r="U48" i="7"/>
  <c r="V48" i="7"/>
  <c r="W48" i="7"/>
  <c r="X48" i="7"/>
  <c r="U49" i="7"/>
  <c r="V49" i="7"/>
  <c r="W49" i="7"/>
  <c r="X49" i="7"/>
  <c r="U51" i="7"/>
  <c r="V51" i="7"/>
  <c r="W51" i="7"/>
  <c r="X51" i="7"/>
  <c r="U52" i="7"/>
  <c r="V52" i="7"/>
  <c r="W52" i="7"/>
  <c r="X52" i="7"/>
  <c r="U53" i="7"/>
  <c r="V53" i="7"/>
  <c r="W53" i="7"/>
  <c r="U54" i="7"/>
  <c r="V54" i="7"/>
  <c r="W54" i="7"/>
  <c r="X54" i="7"/>
  <c r="U55" i="7"/>
  <c r="V55" i="7"/>
  <c r="W55" i="7"/>
  <c r="X55" i="7"/>
  <c r="U56" i="7"/>
  <c r="V56" i="7"/>
  <c r="W56" i="7"/>
  <c r="X56" i="7"/>
  <c r="U57" i="7"/>
  <c r="V57" i="7"/>
  <c r="W57" i="7"/>
  <c r="X57" i="7"/>
  <c r="U58" i="7"/>
  <c r="V58" i="7"/>
  <c r="W58" i="7"/>
  <c r="X58" i="7"/>
  <c r="U59" i="7"/>
  <c r="V59" i="7"/>
  <c r="W59" i="7"/>
  <c r="U61" i="7"/>
  <c r="V61" i="7"/>
  <c r="W61" i="7"/>
  <c r="X61" i="7"/>
  <c r="U62" i="7"/>
  <c r="V62" i="7"/>
  <c r="W62" i="7"/>
  <c r="X62" i="7"/>
  <c r="U63" i="7"/>
  <c r="V63" i="7"/>
  <c r="W63" i="7"/>
  <c r="X63" i="7"/>
  <c r="U64" i="7"/>
  <c r="V64" i="7"/>
  <c r="W64" i="7"/>
  <c r="X64" i="7"/>
  <c r="U65" i="7"/>
  <c r="V65" i="7"/>
  <c r="W65" i="7"/>
  <c r="X65" i="7"/>
  <c r="U66" i="7"/>
  <c r="V66" i="7"/>
  <c r="W66" i="7"/>
  <c r="X66" i="7"/>
  <c r="U67" i="7"/>
  <c r="V67" i="7"/>
  <c r="W67" i="7"/>
  <c r="U68" i="7"/>
  <c r="V68" i="7"/>
  <c r="W68" i="7"/>
  <c r="X68" i="7"/>
  <c r="U69" i="7"/>
  <c r="V69" i="7"/>
  <c r="W69" i="7"/>
  <c r="X69" i="7"/>
  <c r="U71" i="7"/>
  <c r="V71" i="7"/>
  <c r="W71" i="7"/>
  <c r="X71" i="7"/>
  <c r="U72" i="7"/>
  <c r="V72" i="7"/>
  <c r="W72" i="7"/>
  <c r="X72" i="7"/>
  <c r="U73" i="7"/>
  <c r="V73" i="7"/>
  <c r="W73" i="7"/>
  <c r="X73" i="7"/>
  <c r="U74" i="7"/>
  <c r="V74" i="7"/>
  <c r="W74" i="7"/>
  <c r="X74" i="7"/>
  <c r="U75" i="7"/>
  <c r="V75" i="7"/>
  <c r="W75" i="7"/>
  <c r="U76" i="7"/>
  <c r="V76" i="7"/>
  <c r="W76" i="7"/>
  <c r="X76" i="7"/>
  <c r="U77" i="7"/>
  <c r="V77" i="7"/>
  <c r="W77" i="7"/>
  <c r="X77" i="7"/>
  <c r="U78" i="7"/>
  <c r="V78" i="7"/>
  <c r="W78" i="7"/>
  <c r="X78" i="7"/>
  <c r="U79" i="7"/>
  <c r="V79" i="7"/>
  <c r="W79" i="7"/>
  <c r="X79" i="7"/>
  <c r="U81" i="7"/>
  <c r="V81" i="7"/>
  <c r="W81" i="7"/>
  <c r="X81" i="7"/>
  <c r="U82" i="7"/>
  <c r="V82" i="7"/>
  <c r="W82" i="7"/>
  <c r="X82" i="7"/>
  <c r="U83" i="7"/>
  <c r="V83" i="7"/>
  <c r="W83" i="7"/>
  <c r="U84" i="7"/>
  <c r="V84" i="7"/>
  <c r="W84" i="7"/>
  <c r="X84" i="7"/>
  <c r="U85" i="7"/>
  <c r="V85" i="7"/>
  <c r="W85" i="7"/>
  <c r="X85" i="7"/>
  <c r="U86" i="7"/>
  <c r="V86" i="7"/>
  <c r="W86" i="7"/>
  <c r="X86" i="7"/>
  <c r="U87" i="7"/>
  <c r="V87" i="7"/>
  <c r="W87" i="7"/>
  <c r="X87" i="7"/>
  <c r="U88" i="7"/>
  <c r="V88" i="7"/>
  <c r="W88" i="7"/>
  <c r="X88" i="7"/>
  <c r="U89" i="7"/>
  <c r="V89" i="7"/>
  <c r="W89" i="7"/>
  <c r="X89" i="7"/>
  <c r="U91" i="7"/>
  <c r="V91" i="7"/>
  <c r="W91" i="7"/>
  <c r="X91" i="7"/>
  <c r="U92" i="7"/>
  <c r="V92" i="7"/>
  <c r="W92" i="7"/>
  <c r="X92" i="7"/>
  <c r="U93" i="7"/>
  <c r="V93" i="7"/>
  <c r="W93" i="7"/>
  <c r="X93" i="7"/>
  <c r="U94" i="7"/>
  <c r="V94" i="7"/>
  <c r="W94" i="7"/>
  <c r="X94" i="7"/>
  <c r="U95" i="7"/>
  <c r="V95" i="7"/>
  <c r="W95" i="7"/>
  <c r="X95" i="7"/>
  <c r="U96" i="7"/>
  <c r="V96" i="7"/>
  <c r="W96" i="7"/>
  <c r="X96" i="7"/>
  <c r="U97" i="7"/>
  <c r="V97" i="7"/>
  <c r="W97" i="7"/>
  <c r="X97" i="7"/>
  <c r="U98" i="7"/>
  <c r="V98" i="7"/>
  <c r="W98" i="7"/>
  <c r="X98" i="7"/>
  <c r="U99" i="7"/>
  <c r="V99" i="7"/>
  <c r="W99" i="7"/>
  <c r="X99" i="7"/>
  <c r="U111" i="7"/>
  <c r="V111" i="7"/>
  <c r="W111" i="7"/>
  <c r="X111" i="7"/>
  <c r="U112" i="7"/>
  <c r="V112" i="7"/>
  <c r="W112" i="7"/>
  <c r="X112" i="7"/>
  <c r="U113" i="7"/>
  <c r="V113" i="7"/>
  <c r="W113" i="7"/>
  <c r="X113" i="7"/>
  <c r="U114" i="7"/>
  <c r="V114" i="7"/>
  <c r="W114" i="7"/>
  <c r="X114" i="7"/>
  <c r="U115" i="7"/>
  <c r="V115" i="7"/>
  <c r="W115" i="7"/>
  <c r="X115" i="7"/>
  <c r="U116" i="7"/>
  <c r="V116" i="7"/>
  <c r="W116" i="7"/>
  <c r="U117" i="7"/>
  <c r="V117" i="7"/>
  <c r="W117" i="7"/>
  <c r="X117" i="7"/>
  <c r="U118" i="7"/>
  <c r="V118" i="7"/>
  <c r="W118" i="7"/>
  <c r="X118" i="7"/>
  <c r="U119" i="7"/>
  <c r="V119" i="7"/>
  <c r="W119" i="7"/>
  <c r="X119" i="7"/>
  <c r="U121" i="7"/>
  <c r="V121" i="7"/>
  <c r="W121" i="7"/>
  <c r="X121" i="7"/>
  <c r="U122" i="7"/>
  <c r="V122" i="7"/>
  <c r="W122" i="7"/>
  <c r="U123" i="7"/>
  <c r="V123" i="7"/>
  <c r="W123" i="7"/>
  <c r="X123" i="7"/>
  <c r="U124" i="7"/>
  <c r="V124" i="7"/>
  <c r="W124" i="7"/>
  <c r="X124" i="7"/>
  <c r="U125" i="7"/>
  <c r="V125" i="7"/>
  <c r="W125" i="7"/>
  <c r="X125" i="7"/>
  <c r="U126" i="7"/>
  <c r="V126" i="7"/>
  <c r="W126" i="7"/>
  <c r="X126" i="7"/>
  <c r="U127" i="7"/>
  <c r="V127" i="7"/>
  <c r="W127" i="7"/>
  <c r="X127" i="7"/>
  <c r="U128" i="7"/>
  <c r="V128" i="7"/>
  <c r="W128" i="7"/>
  <c r="X128" i="7"/>
  <c r="U129" i="7"/>
  <c r="V129" i="7"/>
  <c r="W129" i="7"/>
  <c r="X129" i="7"/>
  <c r="U131" i="7"/>
  <c r="V131" i="7"/>
  <c r="W131" i="7"/>
  <c r="X131" i="7"/>
  <c r="U132" i="7"/>
  <c r="V132" i="7"/>
  <c r="W132" i="7"/>
  <c r="U133" i="7"/>
  <c r="V133" i="7"/>
  <c r="W133" i="7"/>
  <c r="X133" i="7"/>
  <c r="U134" i="7"/>
  <c r="V134" i="7"/>
  <c r="W134" i="7"/>
  <c r="X134" i="7"/>
  <c r="U135" i="7"/>
  <c r="V135" i="7"/>
  <c r="W135" i="7"/>
  <c r="X135" i="7"/>
  <c r="U136" i="7"/>
  <c r="V136" i="7"/>
  <c r="W136" i="7"/>
  <c r="X136" i="7"/>
  <c r="U137" i="7"/>
  <c r="V137" i="7"/>
  <c r="W137" i="7"/>
  <c r="X137" i="7"/>
  <c r="U138" i="7"/>
  <c r="V138" i="7"/>
  <c r="W138" i="7"/>
  <c r="X138" i="7"/>
  <c r="U139" i="7"/>
  <c r="V139" i="7"/>
  <c r="W139" i="7"/>
  <c r="X139" i="7"/>
  <c r="U141" i="7"/>
  <c r="V141" i="7"/>
  <c r="W141" i="7"/>
  <c r="X141" i="7"/>
  <c r="U142" i="7"/>
  <c r="V142" i="7"/>
  <c r="W142" i="7"/>
  <c r="X142" i="7"/>
  <c r="U143" i="7"/>
  <c r="V143" i="7"/>
  <c r="W143" i="7"/>
  <c r="X143" i="7"/>
  <c r="U144" i="7"/>
  <c r="V144" i="7"/>
  <c r="W144" i="7"/>
  <c r="X144" i="7"/>
  <c r="U145" i="7"/>
  <c r="V145" i="7"/>
  <c r="W145" i="7"/>
  <c r="X145" i="7"/>
  <c r="U146" i="7"/>
  <c r="V146" i="7"/>
  <c r="W146" i="7"/>
  <c r="X146" i="7"/>
  <c r="U147" i="7"/>
  <c r="V147" i="7"/>
  <c r="W147" i="7"/>
  <c r="U148" i="7"/>
  <c r="V148" i="7"/>
  <c r="W148" i="7"/>
  <c r="X148" i="7"/>
  <c r="U149" i="7"/>
  <c r="V149" i="7"/>
  <c r="W149" i="7"/>
  <c r="X149" i="7"/>
  <c r="U151" i="7"/>
  <c r="V151" i="7"/>
  <c r="W151" i="7"/>
  <c r="X151" i="7"/>
  <c r="U152" i="7"/>
  <c r="V152" i="7"/>
  <c r="W152" i="7"/>
  <c r="X152" i="7"/>
  <c r="U153" i="7"/>
  <c r="V153" i="7"/>
  <c r="W153" i="7"/>
  <c r="X153" i="7"/>
  <c r="U154" i="7"/>
  <c r="V154" i="7"/>
  <c r="W154" i="7"/>
  <c r="U155" i="7"/>
  <c r="V155" i="7"/>
  <c r="W155" i="7"/>
  <c r="X155" i="7"/>
  <c r="U156" i="7"/>
  <c r="V156" i="7"/>
  <c r="W156" i="7"/>
  <c r="X156" i="7"/>
  <c r="U157" i="7"/>
  <c r="V157" i="7"/>
  <c r="W157" i="7"/>
  <c r="X157" i="7"/>
  <c r="U158" i="7"/>
  <c r="V158" i="7"/>
  <c r="W158" i="7"/>
  <c r="X158" i="7"/>
  <c r="U159" i="7"/>
  <c r="V159" i="7"/>
  <c r="W159" i="7"/>
  <c r="X159" i="7"/>
  <c r="U161" i="7"/>
  <c r="V161" i="7"/>
  <c r="W161" i="7"/>
  <c r="X161" i="7"/>
  <c r="U162" i="7"/>
  <c r="V162" i="7"/>
  <c r="W162" i="7"/>
  <c r="U163" i="7"/>
  <c r="V163" i="7"/>
  <c r="W163" i="7"/>
  <c r="X163" i="7"/>
  <c r="U164" i="7"/>
  <c r="V164" i="7"/>
  <c r="W164" i="7"/>
  <c r="X164" i="7"/>
  <c r="U165" i="7"/>
  <c r="V165" i="7"/>
  <c r="W165" i="7"/>
  <c r="X165" i="7"/>
  <c r="U166" i="7"/>
  <c r="V166" i="7"/>
  <c r="W166" i="7"/>
  <c r="X166" i="7"/>
  <c r="U167" i="7"/>
  <c r="V167" i="7"/>
  <c r="W167" i="7"/>
  <c r="X167" i="7"/>
  <c r="U168" i="7"/>
  <c r="V168" i="7"/>
  <c r="W168" i="7"/>
  <c r="U169" i="7"/>
  <c r="V169" i="7"/>
  <c r="W169" i="7"/>
  <c r="X169" i="7"/>
  <c r="U171" i="7"/>
  <c r="V171" i="7"/>
  <c r="W171" i="7"/>
  <c r="X171" i="7"/>
  <c r="U172" i="7"/>
  <c r="V172" i="7"/>
  <c r="W172" i="7"/>
  <c r="X172" i="7"/>
  <c r="U173" i="7"/>
  <c r="V173" i="7"/>
  <c r="W173" i="7"/>
  <c r="X173" i="7"/>
  <c r="U174" i="7"/>
  <c r="V174" i="7"/>
  <c r="W174" i="7"/>
  <c r="X174" i="7"/>
  <c r="U175" i="7"/>
  <c r="V175" i="7"/>
  <c r="W175" i="7"/>
  <c r="X175" i="7"/>
  <c r="U176" i="7"/>
  <c r="V176" i="7"/>
  <c r="W176" i="7"/>
  <c r="X176" i="7"/>
  <c r="U177" i="7"/>
  <c r="V177" i="7"/>
  <c r="W177" i="7"/>
  <c r="X177" i="7"/>
  <c r="U178" i="7"/>
  <c r="V178" i="7"/>
  <c r="W178" i="7"/>
  <c r="U179" i="7"/>
  <c r="V179" i="7"/>
  <c r="W179" i="7"/>
  <c r="X179" i="7"/>
  <c r="U181" i="7"/>
  <c r="V181" i="7"/>
  <c r="W181" i="7"/>
  <c r="X181" i="7"/>
  <c r="U182" i="7"/>
  <c r="V182" i="7"/>
  <c r="W182" i="7"/>
  <c r="U183" i="7"/>
  <c r="V183" i="7"/>
  <c r="W183" i="7"/>
  <c r="X183" i="7"/>
  <c r="U184" i="7"/>
  <c r="V184" i="7"/>
  <c r="W184" i="7"/>
  <c r="X184" i="7"/>
  <c r="U185" i="7"/>
  <c r="V185" i="7"/>
  <c r="W185" i="7"/>
  <c r="X185" i="7"/>
  <c r="U186" i="7"/>
  <c r="V186" i="7"/>
  <c r="W186" i="7"/>
  <c r="X186" i="7"/>
  <c r="U187" i="7"/>
  <c r="V187" i="7"/>
  <c r="W187" i="7"/>
  <c r="X187" i="7"/>
  <c r="U188" i="7"/>
  <c r="V188" i="7"/>
  <c r="W188" i="7"/>
  <c r="X188" i="7"/>
  <c r="U189" i="7"/>
  <c r="V189" i="7"/>
  <c r="W189" i="7"/>
  <c r="X189" i="7"/>
  <c r="U191" i="7"/>
  <c r="V191" i="7"/>
  <c r="W191" i="7"/>
  <c r="X191" i="7"/>
  <c r="U192" i="7"/>
  <c r="V192" i="7"/>
  <c r="W192" i="7"/>
  <c r="U193" i="7"/>
  <c r="V193" i="7"/>
  <c r="W193" i="7"/>
  <c r="X193" i="7"/>
  <c r="U194" i="7"/>
  <c r="V194" i="7"/>
  <c r="W194" i="7"/>
  <c r="X194" i="7"/>
  <c r="U195" i="7"/>
  <c r="V195" i="7"/>
  <c r="W195" i="7"/>
  <c r="X195" i="7"/>
  <c r="U196" i="7"/>
  <c r="V196" i="7"/>
  <c r="W196" i="7"/>
  <c r="X196" i="7"/>
  <c r="U197" i="7"/>
  <c r="V197" i="7"/>
  <c r="W197" i="7"/>
  <c r="X197" i="7"/>
  <c r="U198" i="7"/>
  <c r="V198" i="7"/>
  <c r="W198" i="7"/>
  <c r="X198" i="7"/>
  <c r="U199" i="7"/>
  <c r="V199" i="7"/>
  <c r="W199" i="7"/>
  <c r="U211" i="7"/>
  <c r="V211" i="7"/>
  <c r="W211" i="7"/>
  <c r="X211" i="7"/>
  <c r="U212" i="7"/>
  <c r="V212" i="7"/>
  <c r="W212" i="7"/>
  <c r="X212" i="7"/>
  <c r="U213" i="7"/>
  <c r="V213" i="7"/>
  <c r="W213" i="7"/>
  <c r="X213" i="7"/>
  <c r="U214" i="7"/>
  <c r="V214" i="7"/>
  <c r="W214" i="7"/>
  <c r="U215" i="7"/>
  <c r="V215" i="7"/>
  <c r="W215" i="7"/>
  <c r="X215" i="7"/>
  <c r="U216" i="7"/>
  <c r="V216" i="7"/>
  <c r="W216" i="7"/>
  <c r="X216" i="7"/>
  <c r="U217" i="7"/>
  <c r="V217" i="7"/>
  <c r="W217" i="7"/>
  <c r="X217" i="7"/>
  <c r="U218" i="7"/>
  <c r="V218" i="7"/>
  <c r="W218" i="7"/>
  <c r="X218" i="7"/>
  <c r="U219" i="7"/>
  <c r="V219" i="7"/>
  <c r="W219" i="7"/>
  <c r="X219" i="7"/>
  <c r="U221" i="7"/>
  <c r="V221" i="7"/>
  <c r="W221" i="7"/>
  <c r="X221" i="7"/>
  <c r="U222" i="7"/>
  <c r="V222" i="7"/>
  <c r="W222" i="7"/>
  <c r="X222" i="7"/>
  <c r="U223" i="7"/>
  <c r="V223" i="7"/>
  <c r="W223" i="7"/>
  <c r="X223" i="7"/>
  <c r="U224" i="7"/>
  <c r="V224" i="7"/>
  <c r="W224" i="7"/>
  <c r="U225" i="7"/>
  <c r="V225" i="7"/>
  <c r="W225" i="7"/>
  <c r="X225" i="7"/>
  <c r="U226" i="7"/>
  <c r="V226" i="7"/>
  <c r="W226" i="7"/>
  <c r="X226" i="7"/>
  <c r="U227" i="7"/>
  <c r="V227" i="7"/>
  <c r="W227" i="7"/>
  <c r="X227" i="7"/>
  <c r="U228" i="7"/>
  <c r="V228" i="7"/>
  <c r="W228" i="7"/>
  <c r="X228" i="7"/>
  <c r="U229" i="7"/>
  <c r="V229" i="7"/>
  <c r="W229" i="7"/>
  <c r="X229" i="7"/>
  <c r="U231" i="7"/>
  <c r="V231" i="7"/>
  <c r="W231" i="7"/>
  <c r="U232" i="7"/>
  <c r="V232" i="7"/>
  <c r="W232" i="7"/>
  <c r="X232" i="7"/>
  <c r="U233" i="7"/>
  <c r="V233" i="7"/>
  <c r="W233" i="7"/>
  <c r="X233" i="7"/>
  <c r="U234" i="7"/>
  <c r="V234" i="7"/>
  <c r="W234" i="7"/>
  <c r="X234" i="7"/>
  <c r="U235" i="7"/>
  <c r="V235" i="7"/>
  <c r="W235" i="7"/>
  <c r="X235" i="7"/>
  <c r="U236" i="7"/>
  <c r="V236" i="7"/>
  <c r="W236" i="7"/>
  <c r="X236" i="7"/>
  <c r="U237" i="7"/>
  <c r="V237" i="7"/>
  <c r="W237" i="7"/>
  <c r="X237" i="7"/>
  <c r="U238" i="7"/>
  <c r="V238" i="7"/>
  <c r="W238" i="7"/>
  <c r="X238" i="7"/>
  <c r="U239" i="7"/>
  <c r="V239" i="7"/>
  <c r="W239" i="7"/>
  <c r="X239" i="7"/>
  <c r="U241" i="7"/>
  <c r="V241" i="7"/>
  <c r="W241" i="7"/>
  <c r="X241" i="7"/>
  <c r="U242" i="7"/>
  <c r="V242" i="7"/>
  <c r="W242" i="7"/>
  <c r="X242" i="7"/>
  <c r="U243" i="7"/>
  <c r="V243" i="7"/>
  <c r="W243" i="7"/>
  <c r="X243" i="7"/>
  <c r="U244" i="7"/>
  <c r="V244" i="7"/>
  <c r="W244" i="7"/>
  <c r="X244" i="7"/>
  <c r="U245" i="7"/>
  <c r="V245" i="7"/>
  <c r="W245" i="7"/>
  <c r="U246" i="7"/>
  <c r="V246" i="7"/>
  <c r="W246" i="7"/>
  <c r="X246" i="7"/>
  <c r="U247" i="7"/>
  <c r="V247" i="7"/>
  <c r="W247" i="7"/>
  <c r="X247" i="7"/>
  <c r="U248" i="7"/>
  <c r="V248" i="7"/>
  <c r="W248" i="7"/>
  <c r="X248" i="7"/>
  <c r="U249" i="7"/>
  <c r="V249" i="7"/>
  <c r="W249" i="7"/>
  <c r="X249" i="7"/>
  <c r="U251" i="7"/>
  <c r="V251" i="7"/>
  <c r="W251" i="7"/>
  <c r="X251" i="7"/>
  <c r="U252" i="7"/>
  <c r="V252" i="7"/>
  <c r="W252" i="7"/>
  <c r="X252" i="7"/>
  <c r="U253" i="7"/>
  <c r="V253" i="7"/>
  <c r="W253" i="7"/>
  <c r="U254" i="7"/>
  <c r="V254" i="7"/>
  <c r="W254" i="7"/>
  <c r="X254" i="7"/>
  <c r="U255" i="7"/>
  <c r="V255" i="7"/>
  <c r="W255" i="7"/>
  <c r="X255" i="7"/>
  <c r="U256" i="7"/>
  <c r="V256" i="7"/>
  <c r="W256" i="7"/>
  <c r="X256" i="7"/>
  <c r="U257" i="7"/>
  <c r="V257" i="7"/>
  <c r="W257" i="7"/>
  <c r="X257" i="7"/>
  <c r="U258" i="7"/>
  <c r="V258" i="7"/>
  <c r="W258" i="7"/>
  <c r="X258" i="7"/>
  <c r="U259" i="7"/>
  <c r="V259" i="7"/>
  <c r="W259" i="7"/>
  <c r="X259" i="7"/>
  <c r="U261" i="7"/>
  <c r="V261" i="7"/>
  <c r="W261" i="7"/>
  <c r="U262" i="7"/>
  <c r="V262" i="7"/>
  <c r="W262" i="7"/>
  <c r="X262" i="7"/>
  <c r="U263" i="7"/>
  <c r="V263" i="7"/>
  <c r="W263" i="7"/>
  <c r="X263" i="7"/>
  <c r="U264" i="7"/>
  <c r="V264" i="7"/>
  <c r="W264" i="7"/>
  <c r="X264" i="7"/>
  <c r="U265" i="7"/>
  <c r="V265" i="7"/>
  <c r="W265" i="7"/>
  <c r="X265" i="7"/>
  <c r="U266" i="7"/>
  <c r="V266" i="7"/>
  <c r="W266" i="7"/>
  <c r="X266" i="7"/>
  <c r="U267" i="7"/>
  <c r="V267" i="7"/>
  <c r="W267" i="7"/>
  <c r="X267" i="7"/>
  <c r="U268" i="7"/>
  <c r="V268" i="7"/>
  <c r="W268" i="7"/>
  <c r="X268" i="7"/>
  <c r="U269" i="7"/>
  <c r="V269" i="7"/>
  <c r="W269" i="7"/>
  <c r="U271" i="7"/>
  <c r="V271" i="7"/>
  <c r="W271" i="7"/>
  <c r="X271" i="7"/>
  <c r="U272" i="7"/>
  <c r="V272" i="7"/>
  <c r="W272" i="7"/>
  <c r="X272" i="7"/>
  <c r="U273" i="7"/>
  <c r="V273" i="7"/>
  <c r="W273" i="7"/>
  <c r="X273" i="7"/>
  <c r="U274" i="7"/>
  <c r="V274" i="7"/>
  <c r="W274" i="7"/>
  <c r="X274" i="7"/>
  <c r="U275" i="7"/>
  <c r="V275" i="7"/>
  <c r="W275" i="7"/>
  <c r="X275" i="7"/>
  <c r="U276" i="7"/>
  <c r="V276" i="7"/>
  <c r="W276" i="7"/>
  <c r="U277" i="7"/>
  <c r="V277" i="7"/>
  <c r="W277" i="7"/>
  <c r="X277" i="7"/>
  <c r="U278" i="7"/>
  <c r="V278" i="7"/>
  <c r="W278" i="7"/>
  <c r="X278" i="7"/>
  <c r="U279" i="7"/>
  <c r="V279" i="7"/>
  <c r="W279" i="7"/>
  <c r="X279" i="7"/>
  <c r="U281" i="7"/>
  <c r="V281" i="7"/>
  <c r="W281" i="7"/>
  <c r="X281" i="7"/>
  <c r="U282" i="7"/>
  <c r="V282" i="7"/>
  <c r="W282" i="7"/>
  <c r="X282" i="7"/>
  <c r="U283" i="7"/>
  <c r="V283" i="7"/>
  <c r="W283" i="7"/>
  <c r="X283" i="7"/>
  <c r="U284" i="7"/>
  <c r="V284" i="7"/>
  <c r="W284" i="7"/>
  <c r="X284" i="7"/>
  <c r="U285" i="7"/>
  <c r="V285" i="7"/>
  <c r="W285" i="7"/>
  <c r="U286" i="7"/>
  <c r="V286" i="7"/>
  <c r="W286" i="7"/>
  <c r="X286" i="7"/>
  <c r="U287" i="7"/>
  <c r="V287" i="7"/>
  <c r="W287" i="7"/>
  <c r="X287" i="7"/>
  <c r="U288" i="7"/>
  <c r="V288" i="7"/>
  <c r="W288" i="7"/>
  <c r="X288" i="7"/>
  <c r="U289" i="7"/>
  <c r="V289" i="7"/>
  <c r="W289" i="7"/>
  <c r="X289" i="7"/>
  <c r="U291" i="7"/>
  <c r="V291" i="7"/>
  <c r="W291" i="7"/>
  <c r="X291" i="7"/>
  <c r="U292" i="7"/>
  <c r="V292" i="7"/>
  <c r="W292" i="7"/>
  <c r="X292" i="7"/>
  <c r="U293" i="7"/>
  <c r="V293" i="7"/>
  <c r="W293" i="7"/>
  <c r="U294" i="7"/>
  <c r="V294" i="7"/>
  <c r="W294" i="7"/>
  <c r="X294" i="7"/>
  <c r="U295" i="7"/>
  <c r="V295" i="7"/>
  <c r="W295" i="7"/>
  <c r="X295" i="7"/>
  <c r="U296" i="7"/>
  <c r="V296" i="7"/>
  <c r="W296" i="7"/>
  <c r="X296" i="7"/>
  <c r="U297" i="7"/>
  <c r="V297" i="7"/>
  <c r="W297" i="7"/>
  <c r="X297" i="7"/>
  <c r="U298" i="7"/>
  <c r="V298" i="7"/>
  <c r="W298" i="7"/>
  <c r="X298" i="7"/>
  <c r="U299" i="7"/>
  <c r="V299" i="7"/>
  <c r="W299" i="7"/>
  <c r="X299" i="7"/>
  <c r="U311" i="7"/>
  <c r="V311" i="7"/>
  <c r="W311" i="7"/>
  <c r="X311" i="7"/>
  <c r="U312" i="7"/>
  <c r="V312" i="7"/>
  <c r="W312" i="7"/>
  <c r="X312" i="7"/>
  <c r="U313" i="7"/>
  <c r="V313" i="7"/>
  <c r="W313" i="7"/>
  <c r="X313" i="7"/>
  <c r="U314" i="7"/>
  <c r="V314" i="7"/>
  <c r="W314" i="7"/>
  <c r="X314" i="7"/>
  <c r="U315" i="7"/>
  <c r="V315" i="7"/>
  <c r="W315" i="7"/>
  <c r="U316" i="7"/>
  <c r="V316" i="7"/>
  <c r="W316" i="7"/>
  <c r="X316" i="7"/>
  <c r="U317" i="7"/>
  <c r="V317" i="7"/>
  <c r="W317" i="7"/>
  <c r="X317" i="7"/>
  <c r="U318" i="7"/>
  <c r="V318" i="7"/>
  <c r="W318" i="7"/>
  <c r="X318" i="7"/>
  <c r="U319" i="7"/>
  <c r="V319" i="7"/>
  <c r="W319" i="7"/>
  <c r="X319" i="7"/>
  <c r="U321" i="7"/>
  <c r="V321" i="7"/>
  <c r="W321" i="7"/>
  <c r="X321" i="7"/>
  <c r="U322" i="7"/>
  <c r="V322" i="7"/>
  <c r="W322" i="7"/>
  <c r="X322" i="7"/>
  <c r="U323" i="7"/>
  <c r="V323" i="7"/>
  <c r="W323" i="7"/>
  <c r="U324" i="7"/>
  <c r="V324" i="7"/>
  <c r="W324" i="7"/>
  <c r="X324" i="7"/>
  <c r="U325" i="7"/>
  <c r="V325" i="7"/>
  <c r="W325" i="7"/>
  <c r="X325" i="7"/>
  <c r="U326" i="7"/>
  <c r="V326" i="7"/>
  <c r="W326" i="7"/>
  <c r="X326" i="7"/>
  <c r="U327" i="7"/>
  <c r="V327" i="7"/>
  <c r="W327" i="7"/>
  <c r="X327" i="7"/>
  <c r="U328" i="7"/>
  <c r="V328" i="7"/>
  <c r="W328" i="7"/>
  <c r="X328" i="7"/>
  <c r="U329" i="7"/>
  <c r="V329" i="7"/>
  <c r="W329" i="7"/>
  <c r="X329" i="7"/>
  <c r="U331" i="7"/>
  <c r="V331" i="7"/>
  <c r="W331" i="7"/>
  <c r="U332" i="7"/>
  <c r="V332" i="7"/>
  <c r="W332" i="7"/>
  <c r="X332" i="7"/>
  <c r="U333" i="7"/>
  <c r="V333" i="7"/>
  <c r="W333" i="7"/>
  <c r="X333" i="7"/>
  <c r="U334" i="7"/>
  <c r="V334" i="7"/>
  <c r="W334" i="7"/>
  <c r="X334" i="7"/>
  <c r="U335" i="7"/>
  <c r="V335" i="7"/>
  <c r="W335" i="7"/>
  <c r="X335" i="7"/>
  <c r="U336" i="7"/>
  <c r="V336" i="7"/>
  <c r="W336" i="7"/>
  <c r="X336" i="7"/>
  <c r="U337" i="7"/>
  <c r="V337" i="7"/>
  <c r="W337" i="7"/>
  <c r="X337" i="7"/>
  <c r="U338" i="7"/>
  <c r="V338" i="7"/>
  <c r="W338" i="7"/>
  <c r="U339" i="7"/>
  <c r="V339" i="7"/>
  <c r="W339" i="7"/>
  <c r="X339" i="7"/>
  <c r="U341" i="7"/>
  <c r="V341" i="7"/>
  <c r="W341" i="7"/>
  <c r="X341" i="7"/>
  <c r="U342" i="7"/>
  <c r="V342" i="7"/>
  <c r="W342" i="7"/>
  <c r="X342" i="7"/>
  <c r="U343" i="7"/>
  <c r="V343" i="7"/>
  <c r="W343" i="7"/>
  <c r="X343" i="7"/>
  <c r="U344" i="7"/>
  <c r="V344" i="7"/>
  <c r="W344" i="7"/>
  <c r="X344" i="7"/>
  <c r="U345" i="7"/>
  <c r="V345" i="7"/>
  <c r="W345" i="7"/>
  <c r="U346" i="7"/>
  <c r="V346" i="7"/>
  <c r="W346" i="7"/>
  <c r="X346" i="7"/>
  <c r="U347" i="7"/>
  <c r="V347" i="7"/>
  <c r="W347" i="7"/>
  <c r="X347" i="7"/>
  <c r="U348" i="7"/>
  <c r="V348" i="7"/>
  <c r="W348" i="7"/>
  <c r="X348" i="7"/>
  <c r="U349" i="7"/>
  <c r="V349" i="7"/>
  <c r="W349" i="7"/>
  <c r="X349" i="7"/>
  <c r="U351" i="7"/>
  <c r="V351" i="7"/>
  <c r="W351" i="7"/>
  <c r="X351" i="7"/>
  <c r="U352" i="7"/>
  <c r="V352" i="7"/>
  <c r="W352" i="7"/>
  <c r="X352" i="7"/>
  <c r="U353" i="7"/>
  <c r="V353" i="7"/>
  <c r="W353" i="7"/>
  <c r="X353" i="7"/>
  <c r="U354" i="7"/>
  <c r="V354" i="7"/>
  <c r="W354" i="7"/>
  <c r="U355" i="7"/>
  <c r="V355" i="7"/>
  <c r="W355" i="7"/>
  <c r="X355" i="7"/>
  <c r="U356" i="7"/>
  <c r="V356" i="7"/>
  <c r="W356" i="7"/>
  <c r="X356" i="7"/>
  <c r="U357" i="7"/>
  <c r="V357" i="7"/>
  <c r="W357" i="7"/>
  <c r="X357" i="7"/>
  <c r="U358" i="7"/>
  <c r="V358" i="7"/>
  <c r="W358" i="7"/>
  <c r="X358" i="7"/>
  <c r="U359" i="7"/>
  <c r="V359" i="7"/>
  <c r="W359" i="7"/>
  <c r="X359" i="7"/>
  <c r="U361" i="7"/>
  <c r="V361" i="7"/>
  <c r="W361" i="7"/>
  <c r="U362" i="7"/>
  <c r="V362" i="7"/>
  <c r="W362" i="7"/>
  <c r="X362" i="7"/>
  <c r="U363" i="7"/>
  <c r="V363" i="7"/>
  <c r="W363" i="7"/>
  <c r="X363" i="7"/>
  <c r="U364" i="7"/>
  <c r="V364" i="7"/>
  <c r="W364" i="7"/>
  <c r="X364" i="7"/>
  <c r="U365" i="7"/>
  <c r="V365" i="7"/>
  <c r="W365" i="7"/>
  <c r="X365" i="7"/>
  <c r="U366" i="7"/>
  <c r="V366" i="7"/>
  <c r="W366" i="7"/>
  <c r="X366" i="7"/>
  <c r="U367" i="7"/>
  <c r="V367" i="7"/>
  <c r="W367" i="7"/>
  <c r="X367" i="7"/>
  <c r="U368" i="7"/>
  <c r="V368" i="7"/>
  <c r="W368" i="7"/>
  <c r="X368" i="7"/>
  <c r="U369" i="7"/>
  <c r="V369" i="7"/>
  <c r="W369" i="7"/>
  <c r="U371" i="7"/>
  <c r="V371" i="7"/>
  <c r="W371" i="7"/>
  <c r="X371" i="7"/>
  <c r="U372" i="7"/>
  <c r="V372" i="7"/>
  <c r="W372" i="7"/>
  <c r="X372" i="7"/>
  <c r="U373" i="7"/>
  <c r="V373" i="7"/>
  <c r="W373" i="7"/>
  <c r="X373" i="7"/>
  <c r="U374" i="7"/>
  <c r="V374" i="7"/>
  <c r="W374" i="7"/>
  <c r="X374" i="7"/>
  <c r="U375" i="7"/>
  <c r="V375" i="7"/>
  <c r="W375" i="7"/>
  <c r="X375" i="7"/>
  <c r="U376" i="7"/>
  <c r="V376" i="7"/>
  <c r="W376" i="7"/>
  <c r="X376" i="7"/>
  <c r="U377" i="7"/>
  <c r="V377" i="7"/>
  <c r="W377" i="7"/>
  <c r="X377" i="7"/>
  <c r="U378" i="7"/>
  <c r="V378" i="7"/>
  <c r="W378" i="7"/>
  <c r="U379" i="7"/>
  <c r="V379" i="7"/>
  <c r="W379" i="7"/>
  <c r="X379" i="7"/>
  <c r="U381" i="7"/>
  <c r="V381" i="7"/>
  <c r="W381" i="7"/>
  <c r="X381" i="7"/>
  <c r="U382" i="7"/>
  <c r="V382" i="7"/>
  <c r="W382" i="7"/>
  <c r="X382" i="7"/>
  <c r="U383" i="7"/>
  <c r="V383" i="7"/>
  <c r="W383" i="7"/>
  <c r="X383" i="7"/>
  <c r="U384" i="7"/>
  <c r="V384" i="7"/>
  <c r="W384" i="7"/>
  <c r="X384" i="7"/>
  <c r="U385" i="7"/>
  <c r="V385" i="7"/>
  <c r="W385" i="7"/>
  <c r="U386" i="7"/>
  <c r="V386" i="7"/>
  <c r="W386" i="7"/>
  <c r="X386" i="7"/>
  <c r="U387" i="7"/>
  <c r="V387" i="7"/>
  <c r="W387" i="7"/>
  <c r="X387" i="7"/>
  <c r="U388" i="7"/>
  <c r="V388" i="7"/>
  <c r="W388" i="7"/>
  <c r="X388" i="7"/>
  <c r="U389" i="7"/>
  <c r="V389" i="7"/>
  <c r="W389" i="7"/>
  <c r="X389" i="7"/>
  <c r="U391" i="7"/>
  <c r="V391" i="7"/>
  <c r="W391" i="7"/>
  <c r="X391" i="7"/>
  <c r="U392" i="7"/>
  <c r="V392" i="7"/>
  <c r="W392" i="7"/>
  <c r="X392" i="7"/>
  <c r="U393" i="7"/>
  <c r="V393" i="7"/>
  <c r="W393" i="7"/>
  <c r="X393" i="7"/>
  <c r="U394" i="7"/>
  <c r="V394" i="7"/>
  <c r="W394" i="7"/>
  <c r="U395" i="7"/>
  <c r="V395" i="7"/>
  <c r="W395" i="7"/>
  <c r="X395" i="7"/>
  <c r="U396" i="7"/>
  <c r="V396" i="7"/>
  <c r="W396" i="7"/>
  <c r="X396" i="7"/>
  <c r="U397" i="7"/>
  <c r="V397" i="7"/>
  <c r="W397" i="7"/>
  <c r="X397" i="7"/>
  <c r="U398" i="7"/>
  <c r="V398" i="7"/>
  <c r="W398" i="7"/>
  <c r="X398" i="7"/>
  <c r="U399" i="7"/>
  <c r="V399" i="7"/>
  <c r="W399" i="7"/>
  <c r="X399" i="7"/>
  <c r="U411" i="7"/>
  <c r="V411" i="7"/>
  <c r="W411" i="7"/>
  <c r="X411" i="7"/>
  <c r="U412" i="7"/>
  <c r="V412" i="7"/>
  <c r="W412" i="7"/>
  <c r="X412" i="7"/>
  <c r="U413" i="7"/>
  <c r="V413" i="7"/>
  <c r="W413" i="7"/>
  <c r="X413" i="7"/>
  <c r="U414" i="7"/>
  <c r="V414" i="7"/>
  <c r="W414" i="7"/>
  <c r="X414" i="7"/>
  <c r="U415" i="7"/>
  <c r="V415" i="7"/>
  <c r="W415" i="7"/>
  <c r="X415" i="7"/>
  <c r="U416" i="7"/>
  <c r="V416" i="7"/>
  <c r="W416" i="7"/>
  <c r="X416" i="7"/>
  <c r="U417" i="7"/>
  <c r="V417" i="7"/>
  <c r="W417" i="7"/>
  <c r="U418" i="7"/>
  <c r="V418" i="7"/>
  <c r="W418" i="7"/>
  <c r="X418" i="7"/>
  <c r="U419" i="7"/>
  <c r="V419" i="7"/>
  <c r="W419" i="7"/>
  <c r="X419" i="7"/>
  <c r="U421" i="7"/>
  <c r="V421" i="7"/>
  <c r="W421" i="7"/>
  <c r="X421" i="7"/>
  <c r="U422" i="7"/>
  <c r="V422" i="7"/>
  <c r="W422" i="7"/>
  <c r="X422" i="7"/>
  <c r="U423" i="7"/>
  <c r="V423" i="7"/>
  <c r="W423" i="7"/>
  <c r="X423" i="7"/>
  <c r="U424" i="7"/>
  <c r="V424" i="7"/>
  <c r="W424" i="7"/>
  <c r="U425" i="7"/>
  <c r="V425" i="7"/>
  <c r="W425" i="7"/>
  <c r="X425" i="7"/>
  <c r="U426" i="7"/>
  <c r="V426" i="7"/>
  <c r="W426" i="7"/>
  <c r="X426" i="7"/>
  <c r="U427" i="7"/>
  <c r="V427" i="7"/>
  <c r="W427" i="7"/>
  <c r="X427" i="7"/>
  <c r="U428" i="7"/>
  <c r="V428" i="7"/>
  <c r="W428" i="7"/>
  <c r="X428" i="7"/>
  <c r="U429" i="7"/>
  <c r="V429" i="7"/>
  <c r="W429" i="7"/>
  <c r="X429" i="7"/>
  <c r="U431" i="7"/>
  <c r="V431" i="7"/>
  <c r="W431" i="7"/>
  <c r="U432" i="7"/>
  <c r="V432" i="7"/>
  <c r="W432" i="7"/>
  <c r="X432" i="7"/>
  <c r="U433" i="7"/>
  <c r="V433" i="7"/>
  <c r="W433" i="7"/>
  <c r="X433" i="7"/>
  <c r="U434" i="7"/>
  <c r="V434" i="7"/>
  <c r="W434" i="7"/>
  <c r="X434" i="7"/>
  <c r="U435" i="7"/>
  <c r="V435" i="7"/>
  <c r="W435" i="7"/>
  <c r="X435" i="7"/>
  <c r="U436" i="7"/>
  <c r="V436" i="7"/>
  <c r="W436" i="7"/>
  <c r="X436" i="7"/>
  <c r="U437" i="7"/>
  <c r="V437" i="7"/>
  <c r="W437" i="7"/>
  <c r="X437" i="7"/>
  <c r="U438" i="7"/>
  <c r="V438" i="7"/>
  <c r="W438" i="7"/>
  <c r="X438" i="7"/>
  <c r="U439" i="7"/>
  <c r="V439" i="7"/>
  <c r="W439" i="7"/>
  <c r="X439" i="7"/>
  <c r="U441" i="7"/>
  <c r="V441" i="7"/>
  <c r="W441" i="7"/>
  <c r="U442" i="7"/>
  <c r="V442" i="7"/>
  <c r="W442" i="7"/>
  <c r="X442" i="7"/>
  <c r="U443" i="7"/>
  <c r="V443" i="7"/>
  <c r="W443" i="7"/>
  <c r="X443" i="7"/>
  <c r="U444" i="7"/>
  <c r="V444" i="7"/>
  <c r="W444" i="7"/>
  <c r="X444" i="7"/>
  <c r="U445" i="7"/>
  <c r="V445" i="7"/>
  <c r="W445" i="7"/>
  <c r="X445" i="7"/>
  <c r="U446" i="7"/>
  <c r="V446" i="7"/>
  <c r="W446" i="7"/>
  <c r="X446" i="7"/>
  <c r="U447" i="7"/>
  <c r="V447" i="7"/>
  <c r="W447" i="7"/>
  <c r="X447" i="7"/>
  <c r="U448" i="7"/>
  <c r="V448" i="7"/>
  <c r="W448" i="7"/>
  <c r="U449" i="7"/>
  <c r="V449" i="7"/>
  <c r="W449" i="7"/>
  <c r="X449" i="7"/>
  <c r="U451" i="7"/>
  <c r="V451" i="7"/>
  <c r="W451" i="7"/>
  <c r="X451" i="7"/>
  <c r="U452" i="7"/>
  <c r="V452" i="7"/>
  <c r="W452" i="7"/>
  <c r="X452" i="7"/>
  <c r="U453" i="7"/>
  <c r="V453" i="7"/>
  <c r="W453" i="7"/>
  <c r="X453" i="7"/>
  <c r="U454" i="7"/>
  <c r="V454" i="7"/>
  <c r="W454" i="7"/>
  <c r="X454" i="7"/>
  <c r="U455" i="7"/>
  <c r="V455" i="7"/>
  <c r="W455" i="7"/>
  <c r="X455" i="7"/>
  <c r="U456" i="7"/>
  <c r="V456" i="7"/>
  <c r="W456" i="7"/>
  <c r="X456" i="7"/>
  <c r="U457" i="7"/>
  <c r="V457" i="7"/>
  <c r="W457" i="7"/>
  <c r="U458" i="7"/>
  <c r="V458" i="7"/>
  <c r="W458" i="7"/>
  <c r="X458" i="7"/>
  <c r="U459" i="7"/>
  <c r="V459" i="7"/>
  <c r="W459" i="7"/>
  <c r="X459" i="7"/>
  <c r="U461" i="7"/>
  <c r="V461" i="7"/>
  <c r="W461" i="7"/>
  <c r="X461" i="7"/>
  <c r="U462" i="7"/>
  <c r="V462" i="7"/>
  <c r="W462" i="7"/>
  <c r="X462" i="7"/>
  <c r="U463" i="7"/>
  <c r="V463" i="7"/>
  <c r="W463" i="7"/>
  <c r="U464" i="7"/>
  <c r="V464" i="7"/>
  <c r="W464" i="7"/>
  <c r="X464" i="7"/>
  <c r="U465" i="7"/>
  <c r="V465" i="7"/>
  <c r="W465" i="7"/>
  <c r="X465" i="7"/>
  <c r="U466" i="7"/>
  <c r="V466" i="7"/>
  <c r="W466" i="7"/>
  <c r="X466" i="7"/>
  <c r="U467" i="7"/>
  <c r="V467" i="7"/>
  <c r="W467" i="7"/>
  <c r="X467" i="7"/>
  <c r="U468" i="7"/>
  <c r="V468" i="7"/>
  <c r="W468" i="7"/>
  <c r="X468" i="7"/>
  <c r="U469" i="7"/>
  <c r="V469" i="7"/>
  <c r="W469" i="7"/>
  <c r="X469" i="7"/>
  <c r="U471" i="7"/>
  <c r="V471" i="7"/>
  <c r="W471" i="7"/>
  <c r="X471" i="7"/>
  <c r="U472" i="7"/>
  <c r="V472" i="7"/>
  <c r="W472" i="7"/>
  <c r="U473" i="7"/>
  <c r="V473" i="7"/>
  <c r="W473" i="7"/>
  <c r="X473" i="7"/>
  <c r="U474" i="7"/>
  <c r="V474" i="7"/>
  <c r="W474" i="7"/>
  <c r="X474" i="7"/>
  <c r="U475" i="7"/>
  <c r="V475" i="7"/>
  <c r="W475" i="7"/>
  <c r="X475" i="7"/>
  <c r="U476" i="7"/>
  <c r="V476" i="7"/>
  <c r="W476" i="7"/>
  <c r="X476" i="7"/>
  <c r="U477" i="7"/>
  <c r="V477" i="7"/>
  <c r="W477" i="7"/>
  <c r="X477" i="7"/>
  <c r="U478" i="7"/>
  <c r="V478" i="7"/>
  <c r="W478" i="7"/>
  <c r="X478" i="7"/>
  <c r="U479" i="7"/>
  <c r="V479" i="7"/>
  <c r="W479" i="7"/>
  <c r="X479" i="7"/>
  <c r="U481" i="7"/>
  <c r="V481" i="7"/>
  <c r="W481" i="7"/>
  <c r="X481" i="7"/>
  <c r="U482" i="7"/>
  <c r="V482" i="7"/>
  <c r="W482" i="7"/>
  <c r="X482" i="7"/>
  <c r="U483" i="7"/>
  <c r="V483" i="7"/>
  <c r="W483" i="7"/>
  <c r="X483" i="7"/>
  <c r="U484" i="7"/>
  <c r="V484" i="7"/>
  <c r="W484" i="7"/>
  <c r="X484" i="7"/>
  <c r="U485" i="7"/>
  <c r="V485" i="7"/>
  <c r="W485" i="7"/>
  <c r="X485" i="7"/>
  <c r="U486" i="7"/>
  <c r="V486" i="7"/>
  <c r="W486" i="7"/>
  <c r="X486" i="7"/>
  <c r="U487" i="7"/>
  <c r="V487" i="7"/>
  <c r="W487" i="7"/>
  <c r="X487" i="7"/>
  <c r="U488" i="7"/>
  <c r="V488" i="7"/>
  <c r="W488" i="7"/>
  <c r="U489" i="7"/>
  <c r="V489" i="7"/>
  <c r="W489" i="7"/>
  <c r="X489" i="7"/>
  <c r="U491" i="7"/>
  <c r="V491" i="7"/>
  <c r="W491" i="7"/>
  <c r="X491" i="7"/>
  <c r="U492" i="7"/>
  <c r="V492" i="7"/>
  <c r="W492" i="7"/>
  <c r="X492" i="7"/>
  <c r="U493" i="7"/>
  <c r="V493" i="7"/>
  <c r="W493" i="7"/>
  <c r="X493" i="7"/>
  <c r="U494" i="7"/>
  <c r="V494" i="7"/>
  <c r="W494" i="7"/>
  <c r="U495" i="7"/>
  <c r="V495" i="7"/>
  <c r="W495" i="7"/>
  <c r="X495" i="7"/>
  <c r="U496" i="7"/>
  <c r="V496" i="7"/>
  <c r="W496" i="7"/>
  <c r="X496" i="7"/>
  <c r="U497" i="7"/>
  <c r="V497" i="7"/>
  <c r="W497" i="7"/>
  <c r="X497" i="7"/>
  <c r="U498" i="7"/>
  <c r="V498" i="7"/>
  <c r="W498" i="7"/>
  <c r="X498" i="7"/>
  <c r="U499" i="7"/>
  <c r="V499" i="7"/>
  <c r="W499" i="7"/>
  <c r="X499" i="7"/>
  <c r="V511" i="7"/>
  <c r="W511" i="7"/>
  <c r="X511" i="7"/>
  <c r="U512" i="7"/>
  <c r="V512" i="7"/>
  <c r="W512" i="7"/>
  <c r="X512" i="7"/>
  <c r="U513" i="7"/>
  <c r="V513" i="7"/>
  <c r="W513" i="7"/>
  <c r="X513" i="7"/>
  <c r="U514" i="7"/>
  <c r="V514" i="7"/>
  <c r="W514" i="7"/>
  <c r="X514" i="7"/>
  <c r="U515" i="7"/>
  <c r="V515" i="7"/>
  <c r="W515" i="7"/>
  <c r="X515" i="7"/>
  <c r="U516" i="7"/>
  <c r="V516" i="7"/>
  <c r="W516" i="7"/>
  <c r="X516" i="7"/>
  <c r="U517" i="7"/>
  <c r="V517" i="7"/>
  <c r="W517" i="7"/>
  <c r="X517" i="7"/>
  <c r="U518" i="7"/>
  <c r="V518" i="7"/>
  <c r="W518" i="7"/>
  <c r="X518" i="7"/>
  <c r="U519" i="7"/>
  <c r="V519" i="7"/>
  <c r="W519" i="7"/>
  <c r="V521" i="7"/>
  <c r="W521" i="7"/>
  <c r="X521" i="7"/>
  <c r="Y521" i="7"/>
  <c r="V522" i="7"/>
  <c r="W522" i="7"/>
  <c r="X522" i="7"/>
  <c r="Y522" i="7"/>
  <c r="V523" i="7"/>
  <c r="W523" i="7"/>
  <c r="X523" i="7"/>
  <c r="Y523" i="7"/>
  <c r="V524" i="7"/>
  <c r="W524" i="7"/>
  <c r="X524" i="7"/>
  <c r="Y524" i="7"/>
  <c r="V525" i="7"/>
  <c r="W525" i="7"/>
  <c r="X525" i="7"/>
  <c r="U526" i="7"/>
  <c r="V526" i="7"/>
  <c r="W526" i="7"/>
  <c r="X526" i="7"/>
  <c r="U527" i="7"/>
  <c r="V527" i="7"/>
  <c r="W527" i="7"/>
  <c r="X527" i="7"/>
  <c r="U528" i="7"/>
  <c r="V528" i="7"/>
  <c r="W528" i="7"/>
  <c r="X528" i="7"/>
  <c r="U529" i="7"/>
  <c r="V529" i="7"/>
  <c r="W529" i="7"/>
  <c r="X529" i="7"/>
  <c r="U531" i="7"/>
  <c r="V531" i="7"/>
  <c r="W531" i="7"/>
  <c r="X531" i="7"/>
  <c r="U532" i="7"/>
  <c r="V532" i="7"/>
  <c r="W532" i="7"/>
  <c r="X532" i="7"/>
  <c r="U533" i="7"/>
  <c r="V533" i="7"/>
  <c r="W533" i="7"/>
  <c r="X533" i="7"/>
  <c r="U534" i="7"/>
  <c r="V534" i="7"/>
  <c r="W534" i="7"/>
  <c r="X534" i="7"/>
  <c r="U535" i="7"/>
  <c r="V535" i="7"/>
  <c r="W535" i="7"/>
  <c r="V536" i="7"/>
  <c r="W536" i="7"/>
  <c r="X536" i="7"/>
  <c r="Y536" i="7"/>
  <c r="V537" i="7"/>
  <c r="W537" i="7"/>
  <c r="X537" i="7"/>
  <c r="Y537" i="7"/>
  <c r="V538" i="7"/>
  <c r="W538" i="7"/>
  <c r="X538" i="7"/>
  <c r="Y538" i="7"/>
  <c r="V539" i="7"/>
  <c r="W539" i="7"/>
  <c r="X539" i="7"/>
  <c r="Y539" i="7"/>
  <c r="V541" i="7"/>
  <c r="W541" i="7"/>
  <c r="X541" i="7"/>
  <c r="Y541" i="7"/>
  <c r="V542" i="7"/>
  <c r="W542" i="7"/>
  <c r="X542" i="7"/>
  <c r="U543" i="7"/>
  <c r="V543" i="7"/>
  <c r="W543" i="7"/>
  <c r="X543" i="7"/>
  <c r="U544" i="7"/>
  <c r="V544" i="7"/>
  <c r="W544" i="7"/>
  <c r="X544" i="7"/>
  <c r="U545" i="7"/>
  <c r="V545" i="7"/>
  <c r="W545" i="7"/>
  <c r="X545" i="7"/>
  <c r="U546" i="7"/>
  <c r="V546" i="7"/>
  <c r="W546" i="7"/>
  <c r="X546" i="7"/>
  <c r="U547" i="7"/>
  <c r="V547" i="7"/>
  <c r="W547" i="7"/>
  <c r="X547" i="7"/>
  <c r="U548" i="7"/>
  <c r="V548" i="7"/>
  <c r="W548" i="7"/>
  <c r="X548" i="7"/>
  <c r="U549" i="7"/>
  <c r="V549" i="7"/>
  <c r="W549" i="7"/>
  <c r="X549" i="7"/>
  <c r="V551" i="7"/>
  <c r="W551" i="7"/>
  <c r="X551" i="7"/>
  <c r="Y551" i="7"/>
  <c r="V552" i="7"/>
  <c r="W552" i="7"/>
  <c r="X552" i="7"/>
  <c r="Y552" i="7"/>
  <c r="V553" i="7"/>
  <c r="W553" i="7"/>
  <c r="X553" i="7"/>
  <c r="Y553" i="7"/>
  <c r="V554" i="7"/>
  <c r="W554" i="7"/>
  <c r="X554" i="7"/>
  <c r="Y554" i="7"/>
  <c r="V555" i="7"/>
  <c r="W555" i="7"/>
  <c r="X555" i="7"/>
  <c r="Y555" i="7"/>
  <c r="V556" i="7"/>
  <c r="W556" i="7"/>
  <c r="X556" i="7"/>
  <c r="Y556" i="7"/>
  <c r="V557" i="7"/>
  <c r="W557" i="7"/>
  <c r="X557" i="7"/>
  <c r="U558" i="7"/>
  <c r="V558" i="7"/>
  <c r="W558" i="7"/>
  <c r="X558" i="7"/>
  <c r="U559" i="7"/>
  <c r="V559" i="7"/>
  <c r="W559" i="7"/>
  <c r="X559" i="7"/>
  <c r="V2" i="7"/>
  <c r="X2" i="7"/>
  <c r="W2" i="7"/>
  <c r="M2" i="6"/>
  <c r="L2" i="6"/>
  <c r="K2" i="6"/>
  <c r="K11" i="6"/>
  <c r="L11" i="6"/>
  <c r="M11" i="6"/>
  <c r="N11" i="6"/>
  <c r="O11" i="6"/>
  <c r="P11" i="6"/>
  <c r="K12" i="6"/>
  <c r="L12" i="6"/>
  <c r="M12" i="6"/>
  <c r="N12" i="6"/>
  <c r="O12" i="6"/>
  <c r="P12" i="6"/>
  <c r="K13" i="6"/>
  <c r="L13" i="6"/>
  <c r="M13" i="6"/>
  <c r="N13" i="6"/>
  <c r="O13" i="6"/>
  <c r="P13" i="6"/>
  <c r="K14" i="6"/>
  <c r="L14" i="6"/>
  <c r="M14" i="6"/>
  <c r="N14" i="6"/>
  <c r="O14" i="6"/>
  <c r="P14" i="6"/>
  <c r="K15" i="6"/>
  <c r="L15" i="6"/>
  <c r="M15" i="6"/>
  <c r="N15" i="6"/>
  <c r="O15" i="6"/>
  <c r="P15" i="6"/>
  <c r="K16" i="6"/>
  <c r="L16" i="6"/>
  <c r="M16" i="6"/>
  <c r="N16" i="6"/>
  <c r="O16" i="6"/>
  <c r="P16" i="6"/>
  <c r="K17" i="6"/>
  <c r="L17" i="6"/>
  <c r="M17" i="6"/>
  <c r="N17" i="6"/>
  <c r="O17" i="6"/>
  <c r="P17" i="6"/>
  <c r="K18" i="6"/>
  <c r="L18" i="6"/>
  <c r="M18" i="6"/>
  <c r="N18" i="6"/>
  <c r="O18" i="6"/>
  <c r="P18" i="6"/>
  <c r="K19" i="6"/>
  <c r="L19" i="6"/>
  <c r="M19" i="6"/>
  <c r="N19" i="6"/>
  <c r="O19" i="6"/>
  <c r="P19" i="6"/>
  <c r="K20" i="6"/>
  <c r="L20" i="6"/>
  <c r="M20" i="6"/>
  <c r="N20" i="6"/>
  <c r="O20" i="6"/>
  <c r="P20" i="6"/>
  <c r="K21" i="6"/>
  <c r="L21" i="6"/>
  <c r="M21" i="6"/>
  <c r="N21" i="6"/>
  <c r="O21" i="6"/>
  <c r="P21" i="6"/>
  <c r="K22" i="6"/>
  <c r="L22" i="6"/>
  <c r="M22" i="6"/>
  <c r="N22" i="6"/>
  <c r="O22" i="6"/>
  <c r="P22" i="6"/>
  <c r="K23" i="6"/>
  <c r="L23" i="6"/>
  <c r="M23" i="6"/>
  <c r="N23" i="6"/>
  <c r="O23" i="6"/>
  <c r="P23" i="6"/>
  <c r="K24" i="6"/>
  <c r="L24" i="6"/>
  <c r="M24" i="6"/>
  <c r="N24" i="6"/>
  <c r="O24" i="6"/>
  <c r="P24" i="6"/>
  <c r="K25" i="6"/>
  <c r="L25" i="6"/>
  <c r="M25" i="6"/>
  <c r="N25" i="6"/>
  <c r="O25" i="6"/>
  <c r="P25" i="6"/>
  <c r="K26" i="6"/>
  <c r="L26" i="6"/>
  <c r="M26" i="6"/>
  <c r="N26" i="6"/>
  <c r="O26" i="6"/>
  <c r="P26" i="6"/>
  <c r="K27" i="6"/>
  <c r="L27" i="6"/>
  <c r="M27" i="6"/>
  <c r="N27" i="6"/>
  <c r="O27" i="6"/>
  <c r="P27" i="6"/>
  <c r="K28" i="6"/>
  <c r="L28" i="6"/>
  <c r="M28" i="6"/>
  <c r="N28" i="6"/>
  <c r="O28" i="6"/>
  <c r="P28" i="6"/>
  <c r="K29" i="6"/>
  <c r="L29" i="6"/>
  <c r="M29" i="6"/>
  <c r="N29" i="6"/>
  <c r="O29" i="6"/>
  <c r="P29" i="6"/>
  <c r="K30" i="6"/>
  <c r="L30" i="6"/>
  <c r="M30" i="6"/>
  <c r="N30" i="6"/>
  <c r="O30" i="6"/>
  <c r="P30" i="6"/>
  <c r="K31" i="6"/>
  <c r="L31" i="6"/>
  <c r="M31" i="6"/>
  <c r="N31" i="6"/>
  <c r="O31" i="6"/>
  <c r="P31" i="6"/>
  <c r="K32" i="6"/>
  <c r="L32" i="6"/>
  <c r="M32" i="6"/>
  <c r="N32" i="6"/>
  <c r="O32" i="6"/>
  <c r="P32" i="6"/>
  <c r="K33" i="6"/>
  <c r="L33" i="6"/>
  <c r="M33" i="6"/>
  <c r="N33" i="6"/>
  <c r="O33" i="6"/>
  <c r="P33" i="6"/>
  <c r="K34" i="6"/>
  <c r="L34" i="6"/>
  <c r="M34" i="6"/>
  <c r="N34" i="6"/>
  <c r="O34" i="6"/>
  <c r="P34" i="6"/>
  <c r="K35" i="6"/>
  <c r="L35" i="6"/>
  <c r="M35" i="6"/>
  <c r="N35" i="6"/>
  <c r="O35" i="6"/>
  <c r="P35" i="6"/>
  <c r="K36" i="6"/>
  <c r="L36" i="6"/>
  <c r="M36" i="6"/>
  <c r="N36" i="6"/>
  <c r="O36" i="6"/>
  <c r="P36" i="6"/>
  <c r="K37" i="6"/>
  <c r="L37" i="6"/>
  <c r="M37" i="6"/>
  <c r="N37" i="6"/>
  <c r="O37" i="6"/>
  <c r="P37" i="6"/>
  <c r="K38" i="6"/>
  <c r="L38" i="6"/>
  <c r="M38" i="6"/>
  <c r="N38" i="6"/>
  <c r="O38" i="6"/>
  <c r="P38" i="6"/>
  <c r="K39" i="6"/>
  <c r="L39" i="6"/>
  <c r="M39" i="6"/>
  <c r="N39" i="6"/>
  <c r="O39" i="6"/>
  <c r="P39" i="6"/>
  <c r="K40" i="6"/>
  <c r="L40" i="6"/>
  <c r="M40" i="6"/>
  <c r="N40" i="6"/>
  <c r="O40" i="6"/>
  <c r="P40" i="6"/>
  <c r="K41" i="6"/>
  <c r="L41" i="6"/>
  <c r="M41" i="6"/>
  <c r="N41" i="6"/>
  <c r="O41" i="6"/>
  <c r="P41" i="6"/>
  <c r="K42" i="6"/>
  <c r="L42" i="6"/>
  <c r="M42" i="6"/>
  <c r="N42" i="6"/>
  <c r="O42" i="6"/>
  <c r="P42" i="6"/>
  <c r="K43" i="6"/>
  <c r="L43" i="6"/>
  <c r="M43" i="6"/>
  <c r="N43" i="6"/>
  <c r="O43" i="6"/>
  <c r="P43" i="6"/>
  <c r="K44" i="6"/>
  <c r="L44" i="6"/>
  <c r="M44" i="6"/>
  <c r="N44" i="6"/>
  <c r="O44" i="6"/>
  <c r="P44" i="6"/>
  <c r="K45" i="6"/>
  <c r="L45" i="6"/>
  <c r="M45" i="6"/>
  <c r="N45" i="6"/>
  <c r="O45" i="6"/>
  <c r="P45" i="6"/>
  <c r="K3" i="6"/>
  <c r="L3" i="6"/>
  <c r="K4" i="6"/>
  <c r="L4" i="6"/>
  <c r="K5" i="6"/>
  <c r="L5" i="6"/>
  <c r="K6" i="6"/>
  <c r="L6" i="6"/>
  <c r="K7" i="6"/>
  <c r="L7" i="6"/>
  <c r="K8" i="6"/>
  <c r="L8" i="6"/>
  <c r="K9" i="6"/>
  <c r="L9" i="6"/>
  <c r="K10" i="6"/>
  <c r="L10" i="6"/>
  <c r="O3" i="6"/>
  <c r="P3" i="6"/>
  <c r="O4" i="6"/>
  <c r="P4" i="6"/>
  <c r="O5" i="6"/>
  <c r="P5" i="6"/>
  <c r="O6" i="6"/>
  <c r="P6" i="6"/>
  <c r="O7" i="6"/>
  <c r="P7" i="6"/>
  <c r="O8" i="6"/>
  <c r="P8" i="6"/>
  <c r="O9" i="6"/>
  <c r="P9" i="6"/>
  <c r="O10" i="6"/>
  <c r="P10" i="6"/>
  <c r="O2" i="6"/>
  <c r="P2" i="6"/>
  <c r="M10" i="6"/>
  <c r="N10" i="6"/>
  <c r="M9" i="6"/>
  <c r="N9" i="6"/>
  <c r="M8" i="6"/>
  <c r="N8" i="6"/>
  <c r="M7" i="6"/>
  <c r="N7" i="6"/>
  <c r="M6" i="6"/>
  <c r="N6" i="6"/>
  <c r="M5" i="6"/>
  <c r="N5" i="6"/>
  <c r="M4" i="6"/>
  <c r="N4" i="6"/>
  <c r="M3" i="6"/>
  <c r="N3" i="6"/>
  <c r="N2" i="6"/>
  <c r="K65" i="6"/>
  <c r="L65" i="6"/>
  <c r="M65" i="6"/>
  <c r="N65" i="6"/>
  <c r="O65" i="6"/>
  <c r="P65" i="6"/>
  <c r="K66" i="6"/>
  <c r="L66" i="6"/>
  <c r="M66" i="6"/>
  <c r="N66" i="6"/>
  <c r="O66" i="6"/>
  <c r="P66" i="6"/>
  <c r="K67" i="6"/>
  <c r="L67" i="6"/>
  <c r="M67" i="6"/>
  <c r="N67" i="6"/>
  <c r="O67" i="6"/>
  <c r="P67" i="6"/>
  <c r="K68" i="6"/>
  <c r="L68" i="6"/>
  <c r="M68" i="6"/>
  <c r="N68" i="6"/>
  <c r="O68" i="6"/>
  <c r="P68" i="6"/>
  <c r="K69" i="6"/>
  <c r="L69" i="6"/>
  <c r="M69" i="6"/>
  <c r="N69" i="6"/>
  <c r="O69" i="6"/>
  <c r="P69" i="6"/>
  <c r="K70" i="6"/>
  <c r="L70" i="6"/>
  <c r="M70" i="6"/>
  <c r="N70" i="6"/>
  <c r="O70" i="6"/>
  <c r="P70" i="6"/>
  <c r="K71" i="6"/>
  <c r="L71" i="6"/>
  <c r="M71" i="6"/>
  <c r="N71" i="6"/>
  <c r="O71" i="6"/>
  <c r="P71" i="6"/>
  <c r="K46" i="6"/>
  <c r="L46" i="6"/>
  <c r="M46" i="6"/>
  <c r="N46" i="6"/>
  <c r="O46" i="6"/>
  <c r="P46" i="6"/>
  <c r="K47" i="6"/>
  <c r="L47" i="6"/>
  <c r="M47" i="6"/>
  <c r="N47" i="6"/>
  <c r="O47" i="6"/>
  <c r="P47" i="6"/>
  <c r="K48" i="6"/>
  <c r="L48" i="6"/>
  <c r="M48" i="6"/>
  <c r="N48" i="6"/>
  <c r="O48" i="6"/>
  <c r="P48" i="6"/>
  <c r="K49" i="6"/>
  <c r="L49" i="6"/>
  <c r="M49" i="6"/>
  <c r="N49" i="6"/>
  <c r="O49" i="6"/>
  <c r="P49" i="6"/>
  <c r="K50" i="6"/>
  <c r="L50" i="6"/>
  <c r="M50" i="6"/>
  <c r="N50" i="6"/>
  <c r="O50" i="6"/>
  <c r="P50" i="6"/>
  <c r="K51" i="6"/>
  <c r="L51" i="6"/>
  <c r="M51" i="6"/>
  <c r="N51" i="6"/>
  <c r="O51" i="6"/>
  <c r="P51" i="6"/>
  <c r="K52" i="6"/>
  <c r="L52" i="6"/>
  <c r="M52" i="6"/>
  <c r="N52" i="6"/>
  <c r="O52" i="6"/>
  <c r="P52" i="6"/>
  <c r="K53" i="6"/>
  <c r="L53" i="6"/>
  <c r="M53" i="6"/>
  <c r="N53" i="6"/>
  <c r="O53" i="6"/>
  <c r="P53" i="6"/>
  <c r="K54" i="6"/>
  <c r="L54" i="6"/>
  <c r="M54" i="6"/>
  <c r="N54" i="6"/>
  <c r="O54" i="6"/>
  <c r="P54" i="6"/>
  <c r="K55" i="6"/>
  <c r="L55" i="6"/>
  <c r="M55" i="6"/>
  <c r="N55" i="6"/>
  <c r="O55" i="6"/>
  <c r="P55" i="6"/>
  <c r="K56" i="6"/>
  <c r="L56" i="6"/>
  <c r="M56" i="6"/>
  <c r="N56" i="6"/>
  <c r="O56" i="6"/>
  <c r="P56" i="6"/>
  <c r="K57" i="6"/>
  <c r="L57" i="6"/>
  <c r="M57" i="6"/>
  <c r="N57" i="6"/>
  <c r="O57" i="6"/>
  <c r="P57" i="6"/>
  <c r="K58" i="6"/>
  <c r="L58" i="6"/>
  <c r="M58" i="6"/>
  <c r="N58" i="6"/>
  <c r="O58" i="6"/>
  <c r="P58" i="6"/>
  <c r="K59" i="6"/>
  <c r="L59" i="6"/>
  <c r="M59" i="6"/>
  <c r="N59" i="6"/>
  <c r="O59" i="6"/>
  <c r="P59" i="6"/>
  <c r="K60" i="6"/>
  <c r="L60" i="6"/>
  <c r="M60" i="6"/>
  <c r="N60" i="6"/>
  <c r="O60" i="6"/>
  <c r="P60" i="6"/>
  <c r="K61" i="6"/>
  <c r="L61" i="6"/>
  <c r="M61" i="6"/>
  <c r="N61" i="6"/>
  <c r="O61" i="6"/>
  <c r="P61" i="6"/>
  <c r="K62" i="6"/>
  <c r="L62" i="6"/>
  <c r="M62" i="6"/>
  <c r="N62" i="6"/>
  <c r="O62" i="6"/>
  <c r="P62" i="6"/>
  <c r="K82" i="6"/>
  <c r="L82" i="6"/>
  <c r="M82" i="6"/>
  <c r="N82" i="6"/>
  <c r="O82" i="6"/>
  <c r="P82" i="6"/>
  <c r="K83" i="6"/>
  <c r="L83" i="6"/>
  <c r="M83" i="6"/>
  <c r="N83" i="6"/>
  <c r="O83" i="6"/>
  <c r="P83" i="6"/>
  <c r="K84" i="6"/>
  <c r="L84" i="6"/>
  <c r="M84" i="6"/>
  <c r="N84" i="6"/>
  <c r="O84" i="6"/>
  <c r="P84" i="6"/>
  <c r="K85" i="6"/>
  <c r="L85" i="6"/>
  <c r="M85" i="6"/>
  <c r="N85" i="6"/>
  <c r="O85" i="6"/>
  <c r="P85" i="6"/>
  <c r="K86" i="6"/>
  <c r="L86" i="6"/>
  <c r="M86" i="6"/>
  <c r="N86" i="6"/>
  <c r="O86" i="6"/>
  <c r="P86" i="6"/>
  <c r="K87" i="6"/>
  <c r="L87" i="6"/>
  <c r="M87" i="6"/>
  <c r="N87" i="6"/>
  <c r="O87" i="6"/>
  <c r="P87" i="6"/>
  <c r="K88" i="6"/>
  <c r="L88" i="6"/>
  <c r="M88" i="6"/>
  <c r="N88" i="6"/>
  <c r="O88" i="6"/>
  <c r="P88" i="6"/>
  <c r="K89" i="6"/>
  <c r="L89" i="6"/>
  <c r="M89" i="6"/>
  <c r="N89" i="6"/>
  <c r="O89" i="6"/>
  <c r="P89" i="6"/>
  <c r="K90" i="6"/>
  <c r="L90" i="6"/>
  <c r="M90" i="6"/>
  <c r="N90" i="6"/>
  <c r="O90" i="6"/>
  <c r="P90" i="6"/>
  <c r="K91" i="6"/>
  <c r="L91" i="6"/>
  <c r="M91" i="6"/>
  <c r="N91" i="6"/>
  <c r="O91" i="6"/>
  <c r="P91" i="6"/>
  <c r="K72" i="6"/>
  <c r="L72" i="6"/>
  <c r="M72" i="6"/>
  <c r="N72" i="6"/>
  <c r="O72" i="6"/>
  <c r="P72" i="6"/>
  <c r="K73" i="6"/>
  <c r="L73" i="6"/>
  <c r="M73" i="6"/>
  <c r="N73" i="6"/>
  <c r="O73" i="6"/>
  <c r="P73" i="6"/>
  <c r="K74" i="6"/>
  <c r="L74" i="6"/>
  <c r="M74" i="6"/>
  <c r="N74" i="6"/>
  <c r="O74" i="6"/>
  <c r="P74" i="6"/>
  <c r="K75" i="6"/>
  <c r="L75" i="6"/>
  <c r="M75" i="6"/>
  <c r="N75" i="6"/>
  <c r="O75" i="6"/>
  <c r="P75" i="6"/>
  <c r="K76" i="6"/>
  <c r="L76" i="6"/>
  <c r="M76" i="6"/>
  <c r="N76" i="6"/>
  <c r="O76" i="6"/>
  <c r="P76" i="6"/>
  <c r="K77" i="6"/>
  <c r="L77" i="6"/>
  <c r="M77" i="6"/>
  <c r="N77" i="6"/>
  <c r="O77" i="6"/>
  <c r="P77" i="6"/>
  <c r="K78" i="6"/>
  <c r="L78" i="6"/>
  <c r="M78" i="6"/>
  <c r="N78" i="6"/>
  <c r="O78" i="6"/>
  <c r="P78" i="6"/>
  <c r="K79" i="6"/>
  <c r="L79" i="6"/>
  <c r="M79" i="6"/>
  <c r="N79" i="6"/>
  <c r="O79" i="6"/>
  <c r="P79" i="6"/>
  <c r="K80" i="6"/>
  <c r="L80" i="6"/>
  <c r="M80" i="6"/>
  <c r="N80" i="6"/>
  <c r="O80" i="6"/>
  <c r="P80" i="6"/>
  <c r="K81" i="6"/>
  <c r="L81" i="6"/>
  <c r="M81" i="6"/>
  <c r="N81" i="6"/>
  <c r="O81" i="6"/>
  <c r="P81" i="6"/>
  <c r="K64" i="6"/>
  <c r="L64" i="6"/>
  <c r="M64" i="6"/>
  <c r="N64" i="6"/>
  <c r="O64" i="6"/>
  <c r="P64" i="6"/>
  <c r="P63" i="6"/>
  <c r="O63" i="6"/>
  <c r="N63" i="6"/>
  <c r="M63" i="6"/>
  <c r="L63" i="6"/>
  <c r="K63" i="6"/>
  <c r="AO3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" i="4"/>
  <c r="AF25" i="4"/>
  <c r="AG25" i="4"/>
  <c r="AL25" i="4"/>
  <c r="AM25" i="4"/>
  <c r="W25" i="4"/>
  <c r="V25" i="4"/>
  <c r="X25" i="4"/>
  <c r="AN25" i="4"/>
  <c r="M25" i="4"/>
  <c r="H25" i="4"/>
  <c r="I25" i="4"/>
  <c r="AF24" i="4"/>
  <c r="AG24" i="4"/>
  <c r="AL24" i="4"/>
  <c r="AM24" i="4"/>
  <c r="W24" i="4"/>
  <c r="V24" i="4"/>
  <c r="X24" i="4"/>
  <c r="AN24" i="4"/>
  <c r="M24" i="4"/>
  <c r="H24" i="4"/>
  <c r="I24" i="4"/>
  <c r="AF23" i="4"/>
  <c r="AG23" i="4"/>
  <c r="AL23" i="4"/>
  <c r="AM23" i="4"/>
  <c r="W23" i="4"/>
  <c r="V23" i="4"/>
  <c r="X23" i="4"/>
  <c r="AN23" i="4"/>
  <c r="M23" i="4"/>
  <c r="H23" i="4"/>
  <c r="I23" i="4"/>
  <c r="AF22" i="4"/>
  <c r="AG22" i="4"/>
  <c r="AL22" i="4"/>
  <c r="AM22" i="4"/>
  <c r="W22" i="4"/>
  <c r="V22" i="4"/>
  <c r="X22" i="4"/>
  <c r="AN22" i="4"/>
  <c r="M22" i="4"/>
  <c r="H22" i="4"/>
  <c r="I22" i="4"/>
  <c r="AF21" i="4"/>
  <c r="AG21" i="4"/>
  <c r="AL21" i="4"/>
  <c r="AM21" i="4"/>
  <c r="W21" i="4"/>
  <c r="V21" i="4"/>
  <c r="X21" i="4"/>
  <c r="AN21" i="4"/>
  <c r="M21" i="4"/>
  <c r="H21" i="4"/>
  <c r="I21" i="4"/>
  <c r="AF20" i="4"/>
  <c r="AG20" i="4"/>
  <c r="AL20" i="4"/>
  <c r="AM20" i="4"/>
  <c r="W20" i="4"/>
  <c r="V20" i="4"/>
  <c r="X20" i="4"/>
  <c r="AN20" i="4"/>
  <c r="M20" i="4"/>
  <c r="H20" i="4"/>
  <c r="I20" i="4"/>
  <c r="AF19" i="4"/>
  <c r="AG19" i="4"/>
  <c r="AL19" i="4"/>
  <c r="AM19" i="4"/>
  <c r="W19" i="4"/>
  <c r="V19" i="4"/>
  <c r="X19" i="4"/>
  <c r="AN19" i="4"/>
  <c r="M19" i="4"/>
  <c r="H19" i="4"/>
  <c r="I19" i="4"/>
  <c r="AF18" i="4"/>
  <c r="AG18" i="4"/>
  <c r="AL18" i="4"/>
  <c r="AM18" i="4"/>
  <c r="W18" i="4"/>
  <c r="V18" i="4"/>
  <c r="X18" i="4"/>
  <c r="AN18" i="4"/>
  <c r="M18" i="4"/>
  <c r="H18" i="4"/>
  <c r="I18" i="4"/>
  <c r="AF17" i="4"/>
  <c r="AG17" i="4"/>
  <c r="AL17" i="4"/>
  <c r="AM17" i="4"/>
  <c r="W17" i="4"/>
  <c r="V17" i="4"/>
  <c r="X17" i="4"/>
  <c r="AN17" i="4"/>
  <c r="M17" i="4"/>
  <c r="H17" i="4"/>
  <c r="I17" i="4"/>
  <c r="AF16" i="4"/>
  <c r="AG16" i="4"/>
  <c r="AL16" i="4"/>
  <c r="AM16" i="4"/>
  <c r="W16" i="4"/>
  <c r="V16" i="4"/>
  <c r="X16" i="4"/>
  <c r="AN16" i="4"/>
  <c r="M16" i="4"/>
  <c r="H16" i="4"/>
  <c r="I16" i="4"/>
  <c r="AF15" i="4"/>
  <c r="AG15" i="4"/>
  <c r="AL15" i="4"/>
  <c r="AM15" i="4"/>
  <c r="W15" i="4"/>
  <c r="V15" i="4"/>
  <c r="X15" i="4"/>
  <c r="AN15" i="4"/>
  <c r="M15" i="4"/>
  <c r="H15" i="4"/>
  <c r="I15" i="4"/>
  <c r="AF14" i="4"/>
  <c r="AG14" i="4"/>
  <c r="AL14" i="4"/>
  <c r="AM14" i="4"/>
  <c r="W14" i="4"/>
  <c r="V14" i="4"/>
  <c r="X14" i="4"/>
  <c r="AN14" i="4"/>
  <c r="M14" i="4"/>
  <c r="H14" i="4"/>
  <c r="I14" i="4"/>
  <c r="AF13" i="4"/>
  <c r="AG13" i="4"/>
  <c r="AL13" i="4"/>
  <c r="AM13" i="4"/>
  <c r="W13" i="4"/>
  <c r="V13" i="4"/>
  <c r="X13" i="4"/>
  <c r="AN13" i="4"/>
  <c r="M13" i="4"/>
  <c r="H13" i="4"/>
  <c r="I13" i="4"/>
  <c r="AF12" i="4"/>
  <c r="AG12" i="4"/>
  <c r="AL12" i="4"/>
  <c r="AM12" i="4"/>
  <c r="W12" i="4"/>
  <c r="V12" i="4"/>
  <c r="X12" i="4"/>
  <c r="AN12" i="4"/>
  <c r="M12" i="4"/>
  <c r="H12" i="4"/>
  <c r="I12" i="4"/>
  <c r="AF11" i="4"/>
  <c r="AG11" i="4"/>
  <c r="AL11" i="4"/>
  <c r="AM11" i="4"/>
  <c r="W11" i="4"/>
  <c r="V11" i="4"/>
  <c r="X11" i="4"/>
  <c r="AN11" i="4"/>
  <c r="M11" i="4"/>
  <c r="H11" i="4"/>
  <c r="I11" i="4"/>
  <c r="AF10" i="4"/>
  <c r="AG10" i="4"/>
  <c r="AL10" i="4"/>
  <c r="AM10" i="4"/>
  <c r="W10" i="4"/>
  <c r="V10" i="4"/>
  <c r="X10" i="4"/>
  <c r="AN10" i="4"/>
  <c r="M10" i="4"/>
  <c r="H10" i="4"/>
  <c r="I10" i="4"/>
  <c r="AF9" i="4"/>
  <c r="AG9" i="4"/>
  <c r="AL9" i="4"/>
  <c r="AM9" i="4"/>
  <c r="W9" i="4"/>
  <c r="V9" i="4"/>
  <c r="X9" i="4"/>
  <c r="AN9" i="4"/>
  <c r="M9" i="4"/>
  <c r="H9" i="4"/>
  <c r="I9" i="4"/>
  <c r="AF8" i="4"/>
  <c r="AG8" i="4"/>
  <c r="AL8" i="4"/>
  <c r="AM8" i="4"/>
  <c r="W8" i="4"/>
  <c r="V8" i="4"/>
  <c r="X8" i="4"/>
  <c r="AN8" i="4"/>
  <c r="M8" i="4"/>
  <c r="H8" i="4"/>
  <c r="I8" i="4"/>
  <c r="AF7" i="4"/>
  <c r="AG7" i="4"/>
  <c r="AL7" i="4"/>
  <c r="AM7" i="4"/>
  <c r="W7" i="4"/>
  <c r="V7" i="4"/>
  <c r="X7" i="4"/>
  <c r="AN7" i="4"/>
  <c r="M7" i="4"/>
  <c r="H7" i="4"/>
  <c r="I7" i="4"/>
  <c r="AF6" i="4"/>
  <c r="AG6" i="4"/>
  <c r="AL6" i="4"/>
  <c r="AM6" i="4"/>
  <c r="W6" i="4"/>
  <c r="V6" i="4"/>
  <c r="X6" i="4"/>
  <c r="AN6" i="4"/>
  <c r="M6" i="4"/>
  <c r="H6" i="4"/>
  <c r="I6" i="4"/>
  <c r="AF5" i="4"/>
  <c r="AG5" i="4"/>
  <c r="AL5" i="4"/>
  <c r="AM5" i="4"/>
  <c r="W5" i="4"/>
  <c r="V5" i="4"/>
  <c r="X5" i="4"/>
  <c r="AN5" i="4"/>
  <c r="M5" i="4"/>
  <c r="H5" i="4"/>
  <c r="I5" i="4"/>
  <c r="AF4" i="4"/>
  <c r="AG4" i="4"/>
  <c r="AL4" i="4"/>
  <c r="AM4" i="4"/>
  <c r="W4" i="4"/>
  <c r="V4" i="4"/>
  <c r="X4" i="4"/>
  <c r="AN4" i="4"/>
  <c r="M4" i="4"/>
  <c r="H4" i="4"/>
  <c r="I4" i="4"/>
  <c r="AF3" i="4"/>
  <c r="AG3" i="4"/>
  <c r="AL3" i="4"/>
  <c r="AM3" i="4"/>
  <c r="W3" i="4"/>
  <c r="V3" i="4"/>
  <c r="X3" i="4"/>
  <c r="AN3" i="4"/>
  <c r="M3" i="4"/>
  <c r="H3" i="4"/>
  <c r="I3" i="4"/>
  <c r="AF2" i="4"/>
  <c r="AG2" i="4"/>
  <c r="AL2" i="4"/>
  <c r="AM2" i="4"/>
  <c r="W2" i="4"/>
  <c r="V2" i="4"/>
  <c r="X2" i="4"/>
  <c r="AN2" i="4"/>
  <c r="M2" i="4"/>
  <c r="H2" i="4"/>
  <c r="I2" i="4"/>
  <c r="X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" i="1"/>
  <c r="AF2" i="1"/>
  <c r="AG2" i="1"/>
  <c r="W2" i="1"/>
  <c r="V2" i="1"/>
  <c r="AL2" i="1"/>
  <c r="AM2" i="1"/>
  <c r="J32" i="1"/>
  <c r="J31" i="1"/>
  <c r="J30" i="1"/>
  <c r="H19" i="1"/>
  <c r="H20" i="1"/>
  <c r="H21" i="1"/>
  <c r="H22" i="1"/>
  <c r="H23" i="1"/>
  <c r="H24" i="1"/>
  <c r="H25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I19" i="1"/>
  <c r="I20" i="1"/>
  <c r="I21" i="1"/>
  <c r="I22" i="1"/>
  <c r="I23" i="1"/>
  <c r="I24" i="1"/>
  <c r="I25" i="1"/>
  <c r="H2" i="1"/>
  <c r="I2" i="1"/>
  <c r="V3" i="1"/>
  <c r="W3" i="1"/>
  <c r="X3" i="1"/>
  <c r="V4" i="1"/>
  <c r="W4" i="1"/>
  <c r="X4" i="1"/>
  <c r="V5" i="1"/>
  <c r="W5" i="1"/>
  <c r="X5" i="1"/>
  <c r="V6" i="1"/>
  <c r="W6" i="1"/>
  <c r="X6" i="1"/>
  <c r="V7" i="1"/>
  <c r="W7" i="1"/>
  <c r="X7" i="1"/>
  <c r="V8" i="1"/>
  <c r="W8" i="1"/>
  <c r="X8" i="1"/>
  <c r="V9" i="1"/>
  <c r="W9" i="1"/>
  <c r="X9" i="1"/>
  <c r="V10" i="1"/>
  <c r="W10" i="1"/>
  <c r="X10" i="1"/>
  <c r="V11" i="1"/>
  <c r="W11" i="1"/>
  <c r="X11" i="1"/>
  <c r="V12" i="1"/>
  <c r="W12" i="1"/>
  <c r="X12" i="1"/>
  <c r="V13" i="1"/>
  <c r="W13" i="1"/>
  <c r="X13" i="1"/>
  <c r="V14" i="1"/>
  <c r="W14" i="1"/>
  <c r="X14" i="1"/>
  <c r="V15" i="1"/>
  <c r="W15" i="1"/>
  <c r="X15" i="1"/>
  <c r="V16" i="1"/>
  <c r="W16" i="1"/>
  <c r="X16" i="1"/>
  <c r="V17" i="1"/>
  <c r="W17" i="1"/>
  <c r="X17" i="1"/>
  <c r="V18" i="1"/>
  <c r="W18" i="1"/>
  <c r="X18" i="1"/>
  <c r="V19" i="1"/>
  <c r="W19" i="1"/>
  <c r="X19" i="1"/>
  <c r="V20" i="1"/>
  <c r="W20" i="1"/>
  <c r="X20" i="1"/>
  <c r="V21" i="1"/>
  <c r="W21" i="1"/>
  <c r="X21" i="1"/>
  <c r="V22" i="1"/>
  <c r="W22" i="1"/>
  <c r="X22" i="1"/>
  <c r="V23" i="1"/>
  <c r="W23" i="1"/>
  <c r="X23" i="1"/>
  <c r="V24" i="1"/>
  <c r="W24" i="1"/>
  <c r="X24" i="1"/>
  <c r="V25" i="1"/>
  <c r="W25" i="1"/>
  <c r="X25" i="1"/>
  <c r="BH4" i="1"/>
  <c r="BH3" i="1"/>
  <c r="AW4" i="1"/>
  <c r="AW5" i="1"/>
  <c r="AW6" i="1"/>
  <c r="AW7" i="1"/>
  <c r="AW8" i="1"/>
  <c r="AW9" i="1"/>
  <c r="AW10" i="1"/>
  <c r="AW3" i="1"/>
  <c r="AL20" i="1"/>
  <c r="AF20" i="1"/>
  <c r="AG20" i="1"/>
  <c r="AM20" i="1"/>
  <c r="AL21" i="1"/>
  <c r="AF21" i="1"/>
  <c r="AG21" i="1"/>
  <c r="AM21" i="1"/>
  <c r="AL22" i="1"/>
  <c r="AF22" i="1"/>
  <c r="AG22" i="1"/>
  <c r="AM22" i="1"/>
  <c r="AL23" i="1"/>
  <c r="AF23" i="1"/>
  <c r="AG23" i="1"/>
  <c r="AM23" i="1"/>
  <c r="AL24" i="1"/>
  <c r="AF24" i="1"/>
  <c r="AG24" i="1"/>
  <c r="AM24" i="1"/>
  <c r="AL25" i="1"/>
  <c r="AF25" i="1"/>
  <c r="AG25" i="1"/>
  <c r="AM25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F3" i="1"/>
  <c r="AG3" i="1"/>
  <c r="AM3" i="1"/>
  <c r="AF4" i="1"/>
  <c r="AG4" i="1"/>
  <c r="AM4" i="1"/>
  <c r="AF5" i="1"/>
  <c r="AG5" i="1"/>
  <c r="AM5" i="1"/>
  <c r="AF6" i="1"/>
  <c r="AG6" i="1"/>
  <c r="AM6" i="1"/>
  <c r="AF7" i="1"/>
  <c r="AG7" i="1"/>
  <c r="AM7" i="1"/>
  <c r="AF8" i="1"/>
  <c r="AG8" i="1"/>
  <c r="AM8" i="1"/>
  <c r="AF9" i="1"/>
  <c r="AG9" i="1"/>
  <c r="AM9" i="1"/>
  <c r="AF10" i="1"/>
  <c r="AG10" i="1"/>
  <c r="AM10" i="1"/>
  <c r="AF11" i="1"/>
  <c r="AG11" i="1"/>
  <c r="AM11" i="1"/>
  <c r="AF12" i="1"/>
  <c r="AG12" i="1"/>
  <c r="AM12" i="1"/>
  <c r="AF13" i="1"/>
  <c r="AG13" i="1"/>
  <c r="AM13" i="1"/>
  <c r="AF14" i="1"/>
  <c r="AG14" i="1"/>
  <c r="AM14" i="1"/>
  <c r="AF15" i="1"/>
  <c r="AG15" i="1"/>
  <c r="AM15" i="1"/>
  <c r="AF16" i="1"/>
  <c r="AG16" i="1"/>
  <c r="AM16" i="1"/>
  <c r="AF17" i="1"/>
  <c r="AG17" i="1"/>
  <c r="AM17" i="1"/>
  <c r="AF18" i="1"/>
  <c r="AG18" i="1"/>
  <c r="AM18" i="1"/>
  <c r="AF19" i="1"/>
  <c r="AG19" i="1"/>
  <c r="AM19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" i="1"/>
  <c r="F17" i="2"/>
  <c r="F13" i="2"/>
  <c r="F12" i="2"/>
  <c r="F11" i="2"/>
</calcChain>
</file>

<file path=xl/sharedStrings.xml><?xml version="1.0" encoding="utf-8"?>
<sst xmlns="http://schemas.openxmlformats.org/spreadsheetml/2006/main" count="9593" uniqueCount="316">
  <si>
    <t>Site</t>
  </si>
  <si>
    <t>Tag.no</t>
  </si>
  <si>
    <t>Clod.no</t>
  </si>
  <si>
    <t>Drop.date</t>
  </si>
  <si>
    <t>Retrieve.date</t>
  </si>
  <si>
    <t>Tide</t>
  </si>
  <si>
    <t>Depth.field</t>
  </si>
  <si>
    <t>Depth.corrected</t>
  </si>
  <si>
    <t>ON</t>
  </si>
  <si>
    <t>SC</t>
  </si>
  <si>
    <t>PG</t>
  </si>
  <si>
    <t>TI</t>
  </si>
  <si>
    <t>Region</t>
  </si>
  <si>
    <t>Channel</t>
  </si>
  <si>
    <t>RW</t>
  </si>
  <si>
    <t>WI</t>
  </si>
  <si>
    <t>FI</t>
  </si>
  <si>
    <t>HH</t>
  </si>
  <si>
    <t>Sound</t>
  </si>
  <si>
    <t>Drop.time</t>
  </si>
  <si>
    <t>Retrieve.time</t>
  </si>
  <si>
    <t>N.ln</t>
  </si>
  <si>
    <t>E.ln</t>
  </si>
  <si>
    <t>S.ln</t>
  </si>
  <si>
    <t>N.ht</t>
  </si>
  <si>
    <t>E.ht</t>
  </si>
  <si>
    <t>S.ht</t>
  </si>
  <si>
    <t>W.ht</t>
  </si>
  <si>
    <t>Surf.area</t>
  </si>
  <si>
    <t>Initial.mass</t>
  </si>
  <si>
    <t>Tidal exchange</t>
  </si>
  <si>
    <t>Notes</t>
  </si>
  <si>
    <t>attached with ziptie</t>
  </si>
  <si>
    <t>Photo.date</t>
  </si>
  <si>
    <t>Scrape.date</t>
  </si>
  <si>
    <t>Temp.logger</t>
  </si>
  <si>
    <t>no</t>
  </si>
  <si>
    <t>yes</t>
  </si>
  <si>
    <t>Depth.date.time</t>
  </si>
  <si>
    <t>~ 32</t>
  </si>
  <si>
    <t>~ 34</t>
  </si>
  <si>
    <t>~ 55</t>
  </si>
  <si>
    <t>~ 47</t>
  </si>
  <si>
    <t>41 - 45</t>
  </si>
  <si>
    <t>41 - 49</t>
  </si>
  <si>
    <t>Hobo</t>
  </si>
  <si>
    <t>Depth.corr</t>
  </si>
  <si>
    <t>12 july; 2000</t>
  </si>
  <si>
    <t>28 july; 1835</t>
  </si>
  <si>
    <t>Retrieve.date.time</t>
  </si>
  <si>
    <t>29 july 12; 1130</t>
  </si>
  <si>
    <t>29 july 12; 1215</t>
  </si>
  <si>
    <t>Relative.position</t>
  </si>
  <si>
    <t>South</t>
  </si>
  <si>
    <t>Center</t>
  </si>
  <si>
    <t>North</t>
  </si>
  <si>
    <t>West</t>
  </si>
  <si>
    <t>East</t>
  </si>
  <si>
    <t>12 july 12; 2000</t>
  </si>
  <si>
    <t>3 aug 12; 1235</t>
  </si>
  <si>
    <t>3 aug 12; 1350</t>
  </si>
  <si>
    <t>3 aug 12; 1315</t>
  </si>
  <si>
    <t>4 aug 12; 1245</t>
  </si>
  <si>
    <t>Final.mass.24</t>
  </si>
  <si>
    <t>Final.mass.48</t>
  </si>
  <si>
    <t>Final.mass.72</t>
  </si>
  <si>
    <t>Final.mass.96</t>
  </si>
  <si>
    <t>Final.mass.120</t>
  </si>
  <si>
    <t>Final.mass.144</t>
  </si>
  <si>
    <t>Site.clod</t>
  </si>
  <si>
    <t>ON421</t>
  </si>
  <si>
    <t>ON420</t>
  </si>
  <si>
    <t>ON419</t>
  </si>
  <si>
    <t>SC422</t>
  </si>
  <si>
    <t>SC423</t>
  </si>
  <si>
    <t>SC424</t>
  </si>
  <si>
    <t>PG425</t>
  </si>
  <si>
    <t>PG426</t>
  </si>
  <si>
    <t>PG427</t>
  </si>
  <si>
    <t>TI428</t>
  </si>
  <si>
    <t>TI429</t>
  </si>
  <si>
    <t>TI430</t>
  </si>
  <si>
    <t>RW431</t>
  </si>
  <si>
    <t>RW432</t>
  </si>
  <si>
    <t>RW433</t>
  </si>
  <si>
    <t>HH434</t>
  </si>
  <si>
    <t>HH435</t>
  </si>
  <si>
    <t>HH436</t>
  </si>
  <si>
    <t>FI437</t>
  </si>
  <si>
    <t>FI438</t>
  </si>
  <si>
    <t>FI439</t>
  </si>
  <si>
    <t>WI440</t>
  </si>
  <si>
    <t>WI441</t>
  </si>
  <si>
    <t>WI442</t>
  </si>
  <si>
    <t>was 420.68 - check with jackie</t>
  </si>
  <si>
    <t>Final.mass.mean</t>
  </si>
  <si>
    <t>dissolution</t>
  </si>
  <si>
    <t>Days.elapsed</t>
  </si>
  <si>
    <t>Diss.day</t>
  </si>
  <si>
    <t>card was removed by pycnopodia</t>
  </si>
  <si>
    <t>Row Labels</t>
  </si>
  <si>
    <t>Grand Total</t>
  </si>
  <si>
    <t>Average of Diss.day</t>
  </si>
  <si>
    <t>Values</t>
  </si>
  <si>
    <t>StdDev of Diss.day</t>
  </si>
  <si>
    <t>se</t>
  </si>
  <si>
    <t>Cluster</t>
  </si>
  <si>
    <t>ht.mean</t>
  </si>
  <si>
    <t>lng.mean</t>
  </si>
  <si>
    <t>Depth.m</t>
  </si>
  <si>
    <t>6 aug 12; 915</t>
  </si>
  <si>
    <t>mean height</t>
  </si>
  <si>
    <t>mean N-S</t>
  </si>
  <si>
    <t>mean E-W</t>
  </si>
  <si>
    <t>W.ln</t>
  </si>
  <si>
    <t>Diss.day.cm2</t>
  </si>
  <si>
    <t>Average of Diss.day.cm2</t>
  </si>
  <si>
    <t>StdDev of Diss.day.cm2</t>
  </si>
  <si>
    <t>mg/cm/day</t>
  </si>
  <si>
    <t>Tidal.station</t>
  </si>
  <si>
    <t>Spring Passage</t>
  </si>
  <si>
    <t>Turn Rock</t>
  </si>
  <si>
    <t>Rosario</t>
  </si>
  <si>
    <t>Upright head</t>
  </si>
  <si>
    <t>Station</t>
  </si>
  <si>
    <t>Date</t>
  </si>
  <si>
    <t>Ebb1</t>
  </si>
  <si>
    <t>Ebb2</t>
  </si>
  <si>
    <t>Flood1</t>
  </si>
  <si>
    <t>Flood2</t>
  </si>
  <si>
    <t>Frost-Willow</t>
  </si>
  <si>
    <t>Rosario Strait</t>
  </si>
  <si>
    <t>ebb.mean</t>
  </si>
  <si>
    <t>flood.mean</t>
  </si>
  <si>
    <t>flood.max</t>
  </si>
  <si>
    <t>Reference station</t>
  </si>
  <si>
    <t>Flood0</t>
  </si>
  <si>
    <t>Harney Channel</t>
  </si>
  <si>
    <t>San Juan Channel, South Entrance</t>
  </si>
  <si>
    <t>Pear Point</t>
  </si>
  <si>
    <t>ebb.min</t>
  </si>
  <si>
    <t>curr.mean</t>
  </si>
  <si>
    <t>curr.max</t>
  </si>
  <si>
    <t>Station.code</t>
  </si>
  <si>
    <t>a</t>
  </si>
  <si>
    <t>b</t>
  </si>
  <si>
    <t>c</t>
  </si>
  <si>
    <t>d</t>
  </si>
  <si>
    <t>e</t>
  </si>
  <si>
    <t>Turn Point</t>
  </si>
  <si>
    <t>Haro</t>
  </si>
  <si>
    <t>Admiralty Inlet</t>
  </si>
  <si>
    <t>Kellett Bluff</t>
  </si>
  <si>
    <t>Discovery Island</t>
  </si>
  <si>
    <t>Cattle Point, 1.2mi SW</t>
  </si>
  <si>
    <t>f</t>
  </si>
  <si>
    <t>g</t>
  </si>
  <si>
    <t>h</t>
  </si>
  <si>
    <t>i</t>
  </si>
  <si>
    <t>Sucia I</t>
  </si>
  <si>
    <t>j</t>
  </si>
  <si>
    <t>Active Pass, BC</t>
  </si>
  <si>
    <t>Day</t>
  </si>
  <si>
    <t>slack1.time</t>
  </si>
  <si>
    <t>max1.hm</t>
  </si>
  <si>
    <t>max1.k</t>
  </si>
  <si>
    <t>slack2.time</t>
  </si>
  <si>
    <t>max2.hm</t>
  </si>
  <si>
    <t>max2.k</t>
  </si>
  <si>
    <t>slack3.time</t>
  </si>
  <si>
    <t>max3.hm</t>
  </si>
  <si>
    <t>max3.k</t>
  </si>
  <si>
    <t>slack4.time</t>
  </si>
  <si>
    <t>max4.hm</t>
  </si>
  <si>
    <t>max4.k</t>
  </si>
  <si>
    <t>slack5.time</t>
  </si>
  <si>
    <t>max5.time</t>
  </si>
  <si>
    <t>max5.k</t>
  </si>
  <si>
    <t>Reference Station</t>
  </si>
  <si>
    <t>Turn Point, Boundary Pass</t>
  </si>
  <si>
    <t>Kellett Bluff, west of</t>
  </si>
  <si>
    <t>Discovery Island, 3.3 mi NE of</t>
  </si>
  <si>
    <t>Cattle Point, 1.2 mi SE of</t>
  </si>
  <si>
    <t>Spring Passage, south entrance</t>
  </si>
  <si>
    <t>Turn Rock Light, 1.9 mi NW of</t>
  </si>
  <si>
    <t>Pear Point, 1.1 mi E of</t>
  </si>
  <si>
    <t>Frost-Willow Island, between</t>
  </si>
  <si>
    <t>Sucia I, 0.5 WNW of Lawson Bluff</t>
  </si>
  <si>
    <t>Barnes I, 0.8 mi SW of</t>
  </si>
  <si>
    <t>k</t>
  </si>
  <si>
    <t>Lawrence Point, 1.3 mi NE of</t>
  </si>
  <si>
    <t>l</t>
  </si>
  <si>
    <t>Peapod Rocks Light, 1.2 mi S of</t>
  </si>
  <si>
    <t>m</t>
  </si>
  <si>
    <t>Strawberry I., 0.8 mi W of</t>
  </si>
  <si>
    <t>n</t>
  </si>
  <si>
    <t>Foulweather Bluff</t>
  </si>
  <si>
    <t>o</t>
  </si>
  <si>
    <t>Hood</t>
  </si>
  <si>
    <t>Port Gamble Bay Entrance</t>
  </si>
  <si>
    <t>p</t>
  </si>
  <si>
    <t>Hazel Point</t>
  </si>
  <si>
    <t>q</t>
  </si>
  <si>
    <t>The Great Bend</t>
  </si>
  <si>
    <t>r</t>
  </si>
  <si>
    <t>m1</t>
  </si>
  <si>
    <t>m2</t>
  </si>
  <si>
    <t>m3</t>
  </si>
  <si>
    <t>m4</t>
  </si>
  <si>
    <t>m5</t>
  </si>
  <si>
    <t>ms.mean</t>
  </si>
  <si>
    <t>ms.max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</si>
  <si>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</si>
  <si>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</si>
  <si>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</si>
  <si>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</si>
  <si>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</si>
  <si>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</si>
  <si>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</si>
  <si>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</si>
  <si>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</si>
  <si>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</si>
  <si>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</si>
  <si>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</si>
  <si>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</si>
  <si>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</si>
  <si>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Average of curr.mean</t>
  </si>
  <si>
    <t>Average of curr.max</t>
  </si>
  <si>
    <t>Closest site(s)</t>
  </si>
  <si>
    <t>6,7</t>
  </si>
  <si>
    <t>9,10</t>
  </si>
  <si>
    <t>11,12</t>
  </si>
  <si>
    <t>Station letter</t>
  </si>
  <si>
    <t>Current station</t>
  </si>
  <si>
    <t>StdDev of curr.mean</t>
  </si>
  <si>
    <t>StdDev of curr.max</t>
  </si>
  <si>
    <t>Latitude (N)</t>
  </si>
  <si>
    <t>Longitude (W)</t>
  </si>
  <si>
    <t>48° 41' 43.08"</t>
  </si>
  <si>
    <t>123° 14' 7.8"</t>
  </si>
  <si>
    <t>http://transition.fcc.gov/mb/audio/bickel/DDDMMSS-decimal.html</t>
  </si>
  <si>
    <t>48° 35' 21.1194"</t>
  </si>
  <si>
    <t>123° 13' 29.9994"</t>
  </si>
  <si>
    <t>48° 27' 0"</t>
  </si>
  <si>
    <t>123° 9' 0"</t>
  </si>
  <si>
    <t>48° 26' 1.6794"</t>
  </si>
  <si>
    <t>122° 56' 49.2"</t>
  </si>
  <si>
    <t>48° 36' 40.6794"</t>
  </si>
  <si>
    <t>123° 2' 3.1194"</t>
  </si>
  <si>
    <t>48° 33' 24.1194"</t>
  </si>
  <si>
    <t>122° 59' 53.88"</t>
  </si>
  <si>
    <t>48° 30' 40.6794"</t>
  </si>
  <si>
    <t>122° 57' 10.0794"</t>
  </si>
  <si>
    <t>48° 46' 0.12"</t>
  </si>
  <si>
    <t>122° 55' 59.88"</t>
  </si>
  <si>
    <t>48° 40' 41.88"</t>
  </si>
  <si>
    <t>122° 42' 52.2"</t>
  </si>
  <si>
    <t>48° 33' 40.3194"</t>
  </si>
  <si>
    <t>122° 45' 15.1194"</t>
  </si>
  <si>
    <t>48° 35' 26.88"</t>
  </si>
  <si>
    <t>122° 55' 13.8"</t>
  </si>
  <si>
    <t>48° 32' 21.12"</t>
  </si>
  <si>
    <t>122° 49' 50.8794"</t>
  </si>
  <si>
    <t>47° 49' 0.1194"</t>
  </si>
  <si>
    <t>122° 40' 59.88"</t>
  </si>
  <si>
    <t>47° 42' 0"</t>
  </si>
  <si>
    <t>122° 46' 0.12"</t>
  </si>
  <si>
    <t>Limestone Point</t>
  </si>
  <si>
    <t>s</t>
  </si>
  <si>
    <t>48°41'43"</t>
  </si>
  <si>
    <t>48°27'00"</t>
  </si>
  <si>
    <t>48°26'11"</t>
  </si>
  <si>
    <t>48°36'41"</t>
  </si>
  <si>
    <t>48°33'24"</t>
  </si>
  <si>
    <t>48°35'21"</t>
  </si>
  <si>
    <t>48°30'41"</t>
  </si>
  <si>
    <t>48°46'00"</t>
  </si>
  <si>
    <t>48°40'42"</t>
  </si>
  <si>
    <t>48°33'40"</t>
  </si>
  <si>
    <t>48°35'27"</t>
  </si>
  <si>
    <t>48°32'21"</t>
  </si>
  <si>
    <t>47°49'00"</t>
  </si>
  <si>
    <t>47°42'00"</t>
  </si>
  <si>
    <t>123°14'08"</t>
  </si>
  <si>
    <t>123°13'30"</t>
  </si>
  <si>
    <t>123°09'00"</t>
  </si>
  <si>
    <t>122°56'49"</t>
  </si>
  <si>
    <t>123°02'03"</t>
  </si>
  <si>
    <t>122°59'54"</t>
  </si>
  <si>
    <t>122°57'10"</t>
  </si>
  <si>
    <t>122°55'60"</t>
  </si>
  <si>
    <t>122°42'52"</t>
  </si>
  <si>
    <t>122°45'15"</t>
  </si>
  <si>
    <t>122°55'14"</t>
  </si>
  <si>
    <t>122°49'51"</t>
  </si>
  <si>
    <t>122°40'60"</t>
  </si>
  <si>
    <t>122°46'00"</t>
  </si>
  <si>
    <t>2012 mean flood</t>
  </si>
  <si>
    <t>2012 mean ebb</t>
  </si>
  <si>
    <t>2012 mean_knots</t>
  </si>
  <si>
    <t>site</t>
  </si>
  <si>
    <t>site.no</t>
  </si>
  <si>
    <t>region</t>
  </si>
  <si>
    <t>rich.mean</t>
  </si>
  <si>
    <t>s.obs</t>
  </si>
  <si>
    <t>s.chao</t>
  </si>
  <si>
    <t>diss.mean</t>
  </si>
  <si>
    <t>sound</t>
  </si>
  <si>
    <t>channel</t>
  </si>
  <si>
    <t>outlier removed</t>
  </si>
  <si>
    <t>outlier in</t>
  </si>
  <si>
    <t>r2 = .64</t>
  </si>
  <si>
    <t>r2 = 0.74</t>
  </si>
  <si>
    <t>mean_ms</t>
  </si>
  <si>
    <t>max_ms</t>
  </si>
  <si>
    <t>2012 max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</si>
</sst>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imes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64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15" fontId="0" fillId="0" borderId="0" xfId="0" applyNumberFormat="1" applyAlignment="1">
      <alignment horizontal="center"/>
    </xf>
    <xf numFmtId="2" fontId="0" fillId="0" borderId="0" xfId="0" applyNumberFormat="1"/>
    <xf numFmtId="22" fontId="0" fillId="0" borderId="0" xfId="0" applyNumberForma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2" fontId="0" fillId="2" borderId="0" xfId="0" applyNumberFormat="1" applyFill="1"/>
    <xf numFmtId="22" fontId="0" fillId="2" borderId="0" xfId="0" applyNumberForma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/>
    <xf numFmtId="15" fontId="0" fillId="0" borderId="0" xfId="0" applyNumberFormat="1"/>
    <xf numFmtId="0" fontId="4" fillId="0" borderId="0" xfId="0" applyFont="1" applyAlignment="1">
      <alignment horizontal="center"/>
    </xf>
    <xf numFmtId="0" fontId="4" fillId="0" borderId="0" xfId="0" applyFont="1"/>
    <xf numFmtId="164" fontId="4" fillId="0" borderId="0" xfId="0" applyNumberFormat="1" applyFont="1"/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2" fontId="4" fillId="0" borderId="0" xfId="0" applyNumberFormat="1" applyFont="1"/>
    <xf numFmtId="0" fontId="4" fillId="0" borderId="0" xfId="0" applyFont="1" applyAlignment="1">
      <alignment horizontal="left"/>
    </xf>
    <xf numFmtId="0" fontId="4" fillId="3" borderId="0" xfId="0" applyFont="1" applyFill="1"/>
  </cellXfs>
  <cellStyles count="6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20" Type="http://schemas.openxmlformats.org/officeDocument/2006/relationships/calcChain" Target="calcChain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4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raw!$L$28</c:f>
              <c:strCache>
                <c:ptCount val="1"/>
                <c:pt idx="0">
                  <c:v>ON421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pPr>
              <a:ln>
                <a:solidFill>
                  <a:srgbClr val="FFFF00"/>
                </a:solidFill>
              </a:ln>
            </c:spPr>
          </c:marker>
          <c:cat>
            <c:strRef>
              <c:f>raw!$M$27:$S$27</c:f>
              <c:strCache>
                <c:ptCount val="7"/>
                <c:pt idx="0">
                  <c:v>Initial.mass</c:v>
                </c:pt>
                <c:pt idx="1">
                  <c:v>Final.mass.24</c:v>
                </c:pt>
                <c:pt idx="2">
                  <c:v>Final.mass.48</c:v>
                </c:pt>
                <c:pt idx="3">
                  <c:v>Final.mass.72</c:v>
                </c:pt>
                <c:pt idx="4">
                  <c:v>Final.mass.96</c:v>
                </c:pt>
                <c:pt idx="5">
                  <c:v>Final.mass.120</c:v>
                </c:pt>
                <c:pt idx="6">
                  <c:v>Final.mass.144</c:v>
                </c:pt>
              </c:strCache>
            </c:strRef>
          </c:cat>
          <c:val>
            <c:numRef>
              <c:f>raw!$M$28:$S$28</c:f>
              <c:numCache>
                <c:formatCode>General</c:formatCode>
                <c:ptCount val="7"/>
                <c:pt idx="0">
                  <c:v>165.18</c:v>
                </c:pt>
                <c:pt idx="1">
                  <c:v>114.93</c:v>
                </c:pt>
                <c:pt idx="2">
                  <c:v>109.31</c:v>
                </c:pt>
                <c:pt idx="3">
                  <c:v>105.33</c:v>
                </c:pt>
                <c:pt idx="4">
                  <c:v>101.34</c:v>
                </c:pt>
                <c:pt idx="5">
                  <c:v>97.55</c:v>
                </c:pt>
                <c:pt idx="6">
                  <c:v>99.11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raw!$L$29</c:f>
              <c:strCache>
                <c:ptCount val="1"/>
                <c:pt idx="0">
                  <c:v>ON420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pPr>
              <a:ln>
                <a:solidFill>
                  <a:srgbClr val="FFFF00"/>
                </a:solidFill>
              </a:ln>
            </c:spPr>
          </c:marker>
          <c:cat>
            <c:strRef>
              <c:f>raw!$M$27:$S$27</c:f>
              <c:strCache>
                <c:ptCount val="7"/>
                <c:pt idx="0">
                  <c:v>Initial.mass</c:v>
                </c:pt>
                <c:pt idx="1">
                  <c:v>Final.mass.24</c:v>
                </c:pt>
                <c:pt idx="2">
                  <c:v>Final.mass.48</c:v>
                </c:pt>
                <c:pt idx="3">
                  <c:v>Final.mass.72</c:v>
                </c:pt>
                <c:pt idx="4">
                  <c:v>Final.mass.96</c:v>
                </c:pt>
                <c:pt idx="5">
                  <c:v>Final.mass.120</c:v>
                </c:pt>
                <c:pt idx="6">
                  <c:v>Final.mass.144</c:v>
                </c:pt>
              </c:strCache>
            </c:strRef>
          </c:cat>
          <c:val>
            <c:numRef>
              <c:f>raw!$M$29:$S$29</c:f>
              <c:numCache>
                <c:formatCode>General</c:formatCode>
                <c:ptCount val="7"/>
                <c:pt idx="0">
                  <c:v>176.37</c:v>
                </c:pt>
                <c:pt idx="1">
                  <c:v>136.17</c:v>
                </c:pt>
                <c:pt idx="2">
                  <c:v>128.69</c:v>
                </c:pt>
                <c:pt idx="3">
                  <c:v>124.3</c:v>
                </c:pt>
                <c:pt idx="4">
                  <c:v>120.31</c:v>
                </c:pt>
                <c:pt idx="5">
                  <c:v>115.75</c:v>
                </c:pt>
                <c:pt idx="6">
                  <c:v>117.27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raw!$L$30</c:f>
              <c:strCache>
                <c:ptCount val="1"/>
                <c:pt idx="0">
                  <c:v>ON419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pPr>
              <a:ln>
                <a:solidFill>
                  <a:srgbClr val="FFFF00"/>
                </a:solidFill>
              </a:ln>
            </c:spPr>
          </c:marker>
          <c:cat>
            <c:strRef>
              <c:f>raw!$M$27:$S$27</c:f>
              <c:strCache>
                <c:ptCount val="7"/>
                <c:pt idx="0">
                  <c:v>Initial.mass</c:v>
                </c:pt>
                <c:pt idx="1">
                  <c:v>Final.mass.24</c:v>
                </c:pt>
                <c:pt idx="2">
                  <c:v>Final.mass.48</c:v>
                </c:pt>
                <c:pt idx="3">
                  <c:v>Final.mass.72</c:v>
                </c:pt>
                <c:pt idx="4">
                  <c:v>Final.mass.96</c:v>
                </c:pt>
                <c:pt idx="5">
                  <c:v>Final.mass.120</c:v>
                </c:pt>
                <c:pt idx="6">
                  <c:v>Final.mass.144</c:v>
                </c:pt>
              </c:strCache>
            </c:strRef>
          </c:cat>
          <c:val>
            <c:numRef>
              <c:f>raw!$M$30:$S$30</c:f>
              <c:numCache>
                <c:formatCode>General</c:formatCode>
                <c:ptCount val="7"/>
                <c:pt idx="0">
                  <c:v>163.11</c:v>
                </c:pt>
                <c:pt idx="1">
                  <c:v>122.09</c:v>
                </c:pt>
                <c:pt idx="2">
                  <c:v>116.0</c:v>
                </c:pt>
                <c:pt idx="3">
                  <c:v>111.78</c:v>
                </c:pt>
                <c:pt idx="4">
                  <c:v>108.0</c:v>
                </c:pt>
                <c:pt idx="5">
                  <c:v>103.33</c:v>
                </c:pt>
                <c:pt idx="6">
                  <c:v>104.71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raw!$L$31</c:f>
              <c:strCache>
                <c:ptCount val="1"/>
                <c:pt idx="0">
                  <c:v>SC422</c:v>
                </c:pt>
              </c:strCache>
            </c:strRef>
          </c:tx>
          <c:spPr>
            <a:ln>
              <a:solidFill>
                <a:srgbClr val="FF6600"/>
              </a:solidFill>
            </a:ln>
          </c:spPr>
          <c:marker>
            <c:spPr>
              <a:ln>
                <a:solidFill>
                  <a:srgbClr val="FF6600"/>
                </a:solidFill>
              </a:ln>
            </c:spPr>
          </c:marker>
          <c:cat>
            <c:strRef>
              <c:f>raw!$M$27:$S$27</c:f>
              <c:strCache>
                <c:ptCount val="7"/>
                <c:pt idx="0">
                  <c:v>Initial.mass</c:v>
                </c:pt>
                <c:pt idx="1">
                  <c:v>Final.mass.24</c:v>
                </c:pt>
                <c:pt idx="2">
                  <c:v>Final.mass.48</c:v>
                </c:pt>
                <c:pt idx="3">
                  <c:v>Final.mass.72</c:v>
                </c:pt>
                <c:pt idx="4">
                  <c:v>Final.mass.96</c:v>
                </c:pt>
                <c:pt idx="5">
                  <c:v>Final.mass.120</c:v>
                </c:pt>
                <c:pt idx="6">
                  <c:v>Final.mass.144</c:v>
                </c:pt>
              </c:strCache>
            </c:strRef>
          </c:cat>
          <c:val>
            <c:numRef>
              <c:f>raw!$M$31:$S$31</c:f>
              <c:numCache>
                <c:formatCode>General</c:formatCode>
                <c:ptCount val="7"/>
                <c:pt idx="0">
                  <c:v>172.09</c:v>
                </c:pt>
                <c:pt idx="1">
                  <c:v>101.06</c:v>
                </c:pt>
                <c:pt idx="2">
                  <c:v>95.98</c:v>
                </c:pt>
                <c:pt idx="3">
                  <c:v>92.8</c:v>
                </c:pt>
                <c:pt idx="4">
                  <c:v>88.95</c:v>
                </c:pt>
                <c:pt idx="5">
                  <c:v>85.17</c:v>
                </c:pt>
                <c:pt idx="6">
                  <c:v>86.74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raw!$L$32</c:f>
              <c:strCache>
                <c:ptCount val="1"/>
                <c:pt idx="0">
                  <c:v>SC423</c:v>
                </c:pt>
              </c:strCache>
            </c:strRef>
          </c:tx>
          <c:spPr>
            <a:ln>
              <a:solidFill>
                <a:srgbClr val="FF6600"/>
              </a:solidFill>
            </a:ln>
          </c:spPr>
          <c:marker>
            <c:spPr>
              <a:ln>
                <a:solidFill>
                  <a:srgbClr val="FF6600"/>
                </a:solidFill>
              </a:ln>
            </c:spPr>
          </c:marker>
          <c:cat>
            <c:strRef>
              <c:f>raw!$M$27:$S$27</c:f>
              <c:strCache>
                <c:ptCount val="7"/>
                <c:pt idx="0">
                  <c:v>Initial.mass</c:v>
                </c:pt>
                <c:pt idx="1">
                  <c:v>Final.mass.24</c:v>
                </c:pt>
                <c:pt idx="2">
                  <c:v>Final.mass.48</c:v>
                </c:pt>
                <c:pt idx="3">
                  <c:v>Final.mass.72</c:v>
                </c:pt>
                <c:pt idx="4">
                  <c:v>Final.mass.96</c:v>
                </c:pt>
                <c:pt idx="5">
                  <c:v>Final.mass.120</c:v>
                </c:pt>
                <c:pt idx="6">
                  <c:v>Final.mass.144</c:v>
                </c:pt>
              </c:strCache>
            </c:strRef>
          </c:cat>
          <c:val>
            <c:numRef>
              <c:f>raw!$M$32:$S$32</c:f>
              <c:numCache>
                <c:formatCode>General</c:formatCode>
                <c:ptCount val="7"/>
                <c:pt idx="0">
                  <c:v>161.65</c:v>
                </c:pt>
                <c:pt idx="1">
                  <c:v>92.48</c:v>
                </c:pt>
                <c:pt idx="2">
                  <c:v>88.12</c:v>
                </c:pt>
                <c:pt idx="3">
                  <c:v>84.44</c:v>
                </c:pt>
                <c:pt idx="4">
                  <c:v>82.2</c:v>
                </c:pt>
                <c:pt idx="5">
                  <c:v>80.22</c:v>
                </c:pt>
                <c:pt idx="6">
                  <c:v>81.72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raw!$L$33</c:f>
              <c:strCache>
                <c:ptCount val="1"/>
                <c:pt idx="0">
                  <c:v>SC424</c:v>
                </c:pt>
              </c:strCache>
            </c:strRef>
          </c:tx>
          <c:spPr>
            <a:ln>
              <a:solidFill>
                <a:srgbClr val="FF6600"/>
              </a:solidFill>
            </a:ln>
          </c:spPr>
          <c:marker>
            <c:spPr>
              <a:ln>
                <a:solidFill>
                  <a:srgbClr val="FF6600"/>
                </a:solidFill>
              </a:ln>
            </c:spPr>
          </c:marker>
          <c:cat>
            <c:strRef>
              <c:f>raw!$M$27:$S$27</c:f>
              <c:strCache>
                <c:ptCount val="7"/>
                <c:pt idx="0">
                  <c:v>Initial.mass</c:v>
                </c:pt>
                <c:pt idx="1">
                  <c:v>Final.mass.24</c:v>
                </c:pt>
                <c:pt idx="2">
                  <c:v>Final.mass.48</c:v>
                </c:pt>
                <c:pt idx="3">
                  <c:v>Final.mass.72</c:v>
                </c:pt>
                <c:pt idx="4">
                  <c:v>Final.mass.96</c:v>
                </c:pt>
                <c:pt idx="5">
                  <c:v>Final.mass.120</c:v>
                </c:pt>
                <c:pt idx="6">
                  <c:v>Final.mass.144</c:v>
                </c:pt>
              </c:strCache>
            </c:strRef>
          </c:cat>
          <c:val>
            <c:numRef>
              <c:f>raw!$M$33:$S$33</c:f>
              <c:numCache>
                <c:formatCode>General</c:formatCode>
                <c:ptCount val="7"/>
                <c:pt idx="0">
                  <c:v>176.05</c:v>
                </c:pt>
                <c:pt idx="1">
                  <c:v>120.81</c:v>
                </c:pt>
                <c:pt idx="2">
                  <c:v>115.16</c:v>
                </c:pt>
                <c:pt idx="3">
                  <c:v>111.61</c:v>
                </c:pt>
                <c:pt idx="4">
                  <c:v>108.0</c:v>
                </c:pt>
                <c:pt idx="5">
                  <c:v>103.58</c:v>
                </c:pt>
                <c:pt idx="6">
                  <c:v>104.42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raw!$L$34</c:f>
              <c:strCache>
                <c:ptCount val="1"/>
                <c:pt idx="0">
                  <c:v>PG425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pPr>
              <a:ln>
                <a:solidFill>
                  <a:schemeClr val="tx1"/>
                </a:solidFill>
              </a:ln>
            </c:spPr>
          </c:marker>
          <c:cat>
            <c:strRef>
              <c:f>raw!$M$27:$S$27</c:f>
              <c:strCache>
                <c:ptCount val="7"/>
                <c:pt idx="0">
                  <c:v>Initial.mass</c:v>
                </c:pt>
                <c:pt idx="1">
                  <c:v>Final.mass.24</c:v>
                </c:pt>
                <c:pt idx="2">
                  <c:v>Final.mass.48</c:v>
                </c:pt>
                <c:pt idx="3">
                  <c:v>Final.mass.72</c:v>
                </c:pt>
                <c:pt idx="4">
                  <c:v>Final.mass.96</c:v>
                </c:pt>
                <c:pt idx="5">
                  <c:v>Final.mass.120</c:v>
                </c:pt>
                <c:pt idx="6">
                  <c:v>Final.mass.144</c:v>
                </c:pt>
              </c:strCache>
            </c:strRef>
          </c:cat>
          <c:val>
            <c:numRef>
              <c:f>raw!$M$34:$S$34</c:f>
              <c:numCache>
                <c:formatCode>General</c:formatCode>
                <c:ptCount val="7"/>
                <c:pt idx="0">
                  <c:v>169.49</c:v>
                </c:pt>
                <c:pt idx="1">
                  <c:v>92.38</c:v>
                </c:pt>
                <c:pt idx="2">
                  <c:v>87.25</c:v>
                </c:pt>
                <c:pt idx="3">
                  <c:v>83.4</c:v>
                </c:pt>
                <c:pt idx="4">
                  <c:v>81.47</c:v>
                </c:pt>
                <c:pt idx="5">
                  <c:v>78.61</c:v>
                </c:pt>
                <c:pt idx="6">
                  <c:v>80.17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raw!$L$35</c:f>
              <c:strCache>
                <c:ptCount val="1"/>
                <c:pt idx="0">
                  <c:v>PG426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pPr>
              <a:ln>
                <a:solidFill>
                  <a:schemeClr val="tx1"/>
                </a:solidFill>
              </a:ln>
            </c:spPr>
          </c:marker>
          <c:cat>
            <c:strRef>
              <c:f>raw!$M$27:$S$27</c:f>
              <c:strCache>
                <c:ptCount val="7"/>
                <c:pt idx="0">
                  <c:v>Initial.mass</c:v>
                </c:pt>
                <c:pt idx="1">
                  <c:v>Final.mass.24</c:v>
                </c:pt>
                <c:pt idx="2">
                  <c:v>Final.mass.48</c:v>
                </c:pt>
                <c:pt idx="3">
                  <c:v>Final.mass.72</c:v>
                </c:pt>
                <c:pt idx="4">
                  <c:v>Final.mass.96</c:v>
                </c:pt>
                <c:pt idx="5">
                  <c:v>Final.mass.120</c:v>
                </c:pt>
                <c:pt idx="6">
                  <c:v>Final.mass.144</c:v>
                </c:pt>
              </c:strCache>
            </c:strRef>
          </c:cat>
          <c:val>
            <c:numRef>
              <c:f>raw!$M$35:$S$35</c:f>
              <c:numCache>
                <c:formatCode>General</c:formatCode>
                <c:ptCount val="7"/>
                <c:pt idx="0">
                  <c:v>171.77</c:v>
                </c:pt>
                <c:pt idx="1">
                  <c:v>75.12</c:v>
                </c:pt>
                <c:pt idx="2">
                  <c:v>70.84</c:v>
                </c:pt>
                <c:pt idx="3">
                  <c:v>68.15000000000001</c:v>
                </c:pt>
                <c:pt idx="4">
                  <c:v>66.86</c:v>
                </c:pt>
                <c:pt idx="5">
                  <c:v>64.75</c:v>
                </c:pt>
                <c:pt idx="6">
                  <c:v>65.73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raw!$L$36</c:f>
              <c:strCache>
                <c:ptCount val="1"/>
                <c:pt idx="0">
                  <c:v>PG427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cat>
            <c:strRef>
              <c:f>raw!$M$27:$S$27</c:f>
              <c:strCache>
                <c:ptCount val="7"/>
                <c:pt idx="0">
                  <c:v>Initial.mass</c:v>
                </c:pt>
                <c:pt idx="1">
                  <c:v>Final.mass.24</c:v>
                </c:pt>
                <c:pt idx="2">
                  <c:v>Final.mass.48</c:v>
                </c:pt>
                <c:pt idx="3">
                  <c:v>Final.mass.72</c:v>
                </c:pt>
                <c:pt idx="4">
                  <c:v>Final.mass.96</c:v>
                </c:pt>
                <c:pt idx="5">
                  <c:v>Final.mass.120</c:v>
                </c:pt>
                <c:pt idx="6">
                  <c:v>Final.mass.144</c:v>
                </c:pt>
              </c:strCache>
            </c:strRef>
          </c:cat>
          <c:val>
            <c:numRef>
              <c:f>raw!$M$36:$S$36</c:f>
              <c:numCache>
                <c:formatCode>General</c:formatCode>
                <c:ptCount val="7"/>
                <c:pt idx="0">
                  <c:v>164.25</c:v>
                </c:pt>
                <c:pt idx="1">
                  <c:v>28.95</c:v>
                </c:pt>
                <c:pt idx="2">
                  <c:v>26.52</c:v>
                </c:pt>
                <c:pt idx="3">
                  <c:v>26.15</c:v>
                </c:pt>
                <c:pt idx="4">
                  <c:v>26.1</c:v>
                </c:pt>
                <c:pt idx="5">
                  <c:v>24.87</c:v>
                </c:pt>
                <c:pt idx="6">
                  <c:v>25.31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raw!$L$37</c:f>
              <c:strCache>
                <c:ptCount val="1"/>
                <c:pt idx="0">
                  <c:v>TI428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cat>
            <c:strRef>
              <c:f>raw!$M$27:$S$27</c:f>
              <c:strCache>
                <c:ptCount val="7"/>
                <c:pt idx="0">
                  <c:v>Initial.mass</c:v>
                </c:pt>
                <c:pt idx="1">
                  <c:v>Final.mass.24</c:v>
                </c:pt>
                <c:pt idx="2">
                  <c:v>Final.mass.48</c:v>
                </c:pt>
                <c:pt idx="3">
                  <c:v>Final.mass.72</c:v>
                </c:pt>
                <c:pt idx="4">
                  <c:v>Final.mass.96</c:v>
                </c:pt>
                <c:pt idx="5">
                  <c:v>Final.mass.120</c:v>
                </c:pt>
                <c:pt idx="6">
                  <c:v>Final.mass.144</c:v>
                </c:pt>
              </c:strCache>
            </c:strRef>
          </c:cat>
          <c:val>
            <c:numRef>
              <c:f>raw!$M$37:$S$37</c:f>
              <c:numCache>
                <c:formatCode>General</c:formatCode>
                <c:ptCount val="7"/>
                <c:pt idx="0">
                  <c:v>178.36</c:v>
                </c:pt>
                <c:pt idx="1">
                  <c:v>98.68000000000001</c:v>
                </c:pt>
                <c:pt idx="2">
                  <c:v>94.15000000000001</c:v>
                </c:pt>
                <c:pt idx="3">
                  <c:v>88.92</c:v>
                </c:pt>
                <c:pt idx="4">
                  <c:v>84.98</c:v>
                </c:pt>
                <c:pt idx="5">
                  <c:v>86.5</c:v>
                </c:pt>
                <c:pt idx="6">
                  <c:v>86.82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raw!$L$38</c:f>
              <c:strCache>
                <c:ptCount val="1"/>
                <c:pt idx="0">
                  <c:v>TI429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cat>
            <c:strRef>
              <c:f>raw!$M$27:$S$27</c:f>
              <c:strCache>
                <c:ptCount val="7"/>
                <c:pt idx="0">
                  <c:v>Initial.mass</c:v>
                </c:pt>
                <c:pt idx="1">
                  <c:v>Final.mass.24</c:v>
                </c:pt>
                <c:pt idx="2">
                  <c:v>Final.mass.48</c:v>
                </c:pt>
                <c:pt idx="3">
                  <c:v>Final.mass.72</c:v>
                </c:pt>
                <c:pt idx="4">
                  <c:v>Final.mass.96</c:v>
                </c:pt>
                <c:pt idx="5">
                  <c:v>Final.mass.120</c:v>
                </c:pt>
                <c:pt idx="6">
                  <c:v>Final.mass.144</c:v>
                </c:pt>
              </c:strCache>
            </c:strRef>
          </c:cat>
          <c:val>
            <c:numRef>
              <c:f>raw!$M$38:$S$38</c:f>
              <c:numCache>
                <c:formatCode>General</c:formatCode>
                <c:ptCount val="7"/>
                <c:pt idx="0">
                  <c:v>165.62</c:v>
                </c:pt>
                <c:pt idx="1">
                  <c:v>77.61</c:v>
                </c:pt>
                <c:pt idx="2">
                  <c:v>73.75</c:v>
                </c:pt>
                <c:pt idx="3">
                  <c:v>69.37</c:v>
                </c:pt>
                <c:pt idx="4">
                  <c:v>66.94</c:v>
                </c:pt>
                <c:pt idx="5">
                  <c:v>68.5</c:v>
                </c:pt>
                <c:pt idx="6">
                  <c:v>68.52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raw!$L$39</c:f>
              <c:strCache>
                <c:ptCount val="1"/>
                <c:pt idx="0">
                  <c:v>TI430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cat>
            <c:strRef>
              <c:f>raw!$M$27:$S$27</c:f>
              <c:strCache>
                <c:ptCount val="7"/>
                <c:pt idx="0">
                  <c:v>Initial.mass</c:v>
                </c:pt>
                <c:pt idx="1">
                  <c:v>Final.mass.24</c:v>
                </c:pt>
                <c:pt idx="2">
                  <c:v>Final.mass.48</c:v>
                </c:pt>
                <c:pt idx="3">
                  <c:v>Final.mass.72</c:v>
                </c:pt>
                <c:pt idx="4">
                  <c:v>Final.mass.96</c:v>
                </c:pt>
                <c:pt idx="5">
                  <c:v>Final.mass.120</c:v>
                </c:pt>
                <c:pt idx="6">
                  <c:v>Final.mass.144</c:v>
                </c:pt>
              </c:strCache>
            </c:strRef>
          </c:cat>
          <c:val>
            <c:numRef>
              <c:f>raw!$M$39:$S$39</c:f>
              <c:numCache>
                <c:formatCode>General</c:formatCode>
                <c:ptCount val="7"/>
                <c:pt idx="0">
                  <c:v>163.92</c:v>
                </c:pt>
                <c:pt idx="1">
                  <c:v>81.41</c:v>
                </c:pt>
                <c:pt idx="2">
                  <c:v>77.23</c:v>
                </c:pt>
                <c:pt idx="3">
                  <c:v>73.51</c:v>
                </c:pt>
                <c:pt idx="4">
                  <c:v>71.91</c:v>
                </c:pt>
                <c:pt idx="5">
                  <c:v>73.36</c:v>
                </c:pt>
                <c:pt idx="6">
                  <c:v>73.42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raw!$L$40</c:f>
              <c:strCache>
                <c:ptCount val="1"/>
                <c:pt idx="0">
                  <c:v>RW431</c:v>
                </c:pt>
              </c:strCache>
            </c:strRef>
          </c:tx>
          <c:spPr>
            <a:ln>
              <a:solidFill>
                <a:srgbClr val="008000"/>
              </a:solidFill>
            </a:ln>
          </c:spPr>
          <c:marker>
            <c:spPr>
              <a:ln>
                <a:solidFill>
                  <a:srgbClr val="008000"/>
                </a:solidFill>
              </a:ln>
            </c:spPr>
          </c:marker>
          <c:cat>
            <c:strRef>
              <c:f>raw!$M$27:$S$27</c:f>
              <c:strCache>
                <c:ptCount val="7"/>
                <c:pt idx="0">
                  <c:v>Initial.mass</c:v>
                </c:pt>
                <c:pt idx="1">
                  <c:v>Final.mass.24</c:v>
                </c:pt>
                <c:pt idx="2">
                  <c:v>Final.mass.48</c:v>
                </c:pt>
                <c:pt idx="3">
                  <c:v>Final.mass.72</c:v>
                </c:pt>
                <c:pt idx="4">
                  <c:v>Final.mass.96</c:v>
                </c:pt>
                <c:pt idx="5">
                  <c:v>Final.mass.120</c:v>
                </c:pt>
                <c:pt idx="6">
                  <c:v>Final.mass.144</c:v>
                </c:pt>
              </c:strCache>
            </c:strRef>
          </c:cat>
          <c:val>
            <c:numRef>
              <c:f>raw!$M$40:$S$40</c:f>
              <c:numCache>
                <c:formatCode>General</c:formatCode>
                <c:ptCount val="7"/>
                <c:pt idx="0">
                  <c:v>165.73</c:v>
                </c:pt>
                <c:pt idx="1">
                  <c:v>143.65</c:v>
                </c:pt>
                <c:pt idx="2">
                  <c:v>138.54</c:v>
                </c:pt>
                <c:pt idx="3">
                  <c:v>131.74</c:v>
                </c:pt>
                <c:pt idx="4">
                  <c:v>125.1</c:v>
                </c:pt>
                <c:pt idx="5">
                  <c:v>125.72</c:v>
                </c:pt>
                <c:pt idx="6">
                  <c:v>125.69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raw!$L$41</c:f>
              <c:strCache>
                <c:ptCount val="1"/>
                <c:pt idx="0">
                  <c:v>RW432</c:v>
                </c:pt>
              </c:strCache>
            </c:strRef>
          </c:tx>
          <c:spPr>
            <a:ln>
              <a:solidFill>
                <a:srgbClr val="008000"/>
              </a:solidFill>
            </a:ln>
          </c:spPr>
          <c:marker>
            <c:spPr>
              <a:ln>
                <a:solidFill>
                  <a:srgbClr val="008000"/>
                </a:solidFill>
              </a:ln>
            </c:spPr>
          </c:marker>
          <c:cat>
            <c:strRef>
              <c:f>raw!$M$27:$S$27</c:f>
              <c:strCache>
                <c:ptCount val="7"/>
                <c:pt idx="0">
                  <c:v>Initial.mass</c:v>
                </c:pt>
                <c:pt idx="1">
                  <c:v>Final.mass.24</c:v>
                </c:pt>
                <c:pt idx="2">
                  <c:v>Final.mass.48</c:v>
                </c:pt>
                <c:pt idx="3">
                  <c:v>Final.mass.72</c:v>
                </c:pt>
                <c:pt idx="4">
                  <c:v>Final.mass.96</c:v>
                </c:pt>
                <c:pt idx="5">
                  <c:v>Final.mass.120</c:v>
                </c:pt>
                <c:pt idx="6">
                  <c:v>Final.mass.144</c:v>
                </c:pt>
              </c:strCache>
            </c:strRef>
          </c:cat>
          <c:val>
            <c:numRef>
              <c:f>raw!$M$41:$S$41</c:f>
              <c:numCache>
                <c:formatCode>General</c:formatCode>
                <c:ptCount val="7"/>
                <c:pt idx="0">
                  <c:v>156.33</c:v>
                </c:pt>
                <c:pt idx="1">
                  <c:v>132.8</c:v>
                </c:pt>
                <c:pt idx="2">
                  <c:v>128.36</c:v>
                </c:pt>
                <c:pt idx="3">
                  <c:v>120.95</c:v>
                </c:pt>
                <c:pt idx="4">
                  <c:v>114.67</c:v>
                </c:pt>
                <c:pt idx="5">
                  <c:v>115.66</c:v>
                </c:pt>
                <c:pt idx="6">
                  <c:v>115.6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raw!$L$42</c:f>
              <c:strCache>
                <c:ptCount val="1"/>
                <c:pt idx="0">
                  <c:v>RW433</c:v>
                </c:pt>
              </c:strCache>
            </c:strRef>
          </c:tx>
          <c:spPr>
            <a:ln>
              <a:solidFill>
                <a:srgbClr val="008000"/>
              </a:solidFill>
            </a:ln>
          </c:spPr>
          <c:marker>
            <c:spPr>
              <a:ln>
                <a:solidFill>
                  <a:srgbClr val="008000"/>
                </a:solidFill>
              </a:ln>
            </c:spPr>
          </c:marker>
          <c:cat>
            <c:strRef>
              <c:f>raw!$M$27:$S$27</c:f>
              <c:strCache>
                <c:ptCount val="7"/>
                <c:pt idx="0">
                  <c:v>Initial.mass</c:v>
                </c:pt>
                <c:pt idx="1">
                  <c:v>Final.mass.24</c:v>
                </c:pt>
                <c:pt idx="2">
                  <c:v>Final.mass.48</c:v>
                </c:pt>
                <c:pt idx="3">
                  <c:v>Final.mass.72</c:v>
                </c:pt>
                <c:pt idx="4">
                  <c:v>Final.mass.96</c:v>
                </c:pt>
                <c:pt idx="5">
                  <c:v>Final.mass.120</c:v>
                </c:pt>
                <c:pt idx="6">
                  <c:v>Final.mass.144</c:v>
                </c:pt>
              </c:strCache>
            </c:strRef>
          </c:cat>
          <c:val>
            <c:numRef>
              <c:f>raw!$M$42:$S$42</c:f>
              <c:numCache>
                <c:formatCode>General</c:formatCode>
                <c:ptCount val="7"/>
                <c:pt idx="0">
                  <c:v>165.41</c:v>
                </c:pt>
                <c:pt idx="1">
                  <c:v>141.74</c:v>
                </c:pt>
                <c:pt idx="2">
                  <c:v>136.31</c:v>
                </c:pt>
                <c:pt idx="3">
                  <c:v>129.83</c:v>
                </c:pt>
                <c:pt idx="4">
                  <c:v>122.45</c:v>
                </c:pt>
                <c:pt idx="5">
                  <c:v>123.84</c:v>
                </c:pt>
                <c:pt idx="6">
                  <c:v>124.66</c:v>
                </c:pt>
              </c:numCache>
            </c:numRef>
          </c:val>
          <c:smooth val="0"/>
        </c:ser>
        <c:ser>
          <c:idx val="15"/>
          <c:order val="15"/>
          <c:tx>
            <c:strRef>
              <c:f>raw!$L$43</c:f>
              <c:strCache>
                <c:ptCount val="1"/>
                <c:pt idx="0">
                  <c:v>HH434</c:v>
                </c:pt>
              </c:strCache>
            </c:strRef>
          </c:tx>
          <c:spPr>
            <a:ln>
              <a:solidFill>
                <a:srgbClr val="660066"/>
              </a:solidFill>
            </a:ln>
          </c:spPr>
          <c:marker>
            <c:spPr>
              <a:ln>
                <a:solidFill>
                  <a:srgbClr val="660066"/>
                </a:solidFill>
              </a:ln>
            </c:spPr>
          </c:marker>
          <c:cat>
            <c:strRef>
              <c:f>raw!$M$27:$S$27</c:f>
              <c:strCache>
                <c:ptCount val="7"/>
                <c:pt idx="0">
                  <c:v>Initial.mass</c:v>
                </c:pt>
                <c:pt idx="1">
                  <c:v>Final.mass.24</c:v>
                </c:pt>
                <c:pt idx="2">
                  <c:v>Final.mass.48</c:v>
                </c:pt>
                <c:pt idx="3">
                  <c:v>Final.mass.72</c:v>
                </c:pt>
                <c:pt idx="4">
                  <c:v>Final.mass.96</c:v>
                </c:pt>
                <c:pt idx="5">
                  <c:v>Final.mass.120</c:v>
                </c:pt>
                <c:pt idx="6">
                  <c:v>Final.mass.144</c:v>
                </c:pt>
              </c:strCache>
            </c:strRef>
          </c:cat>
          <c:val>
            <c:numRef>
              <c:f>raw!$M$43:$S$43</c:f>
              <c:numCache>
                <c:formatCode>General</c:formatCode>
                <c:ptCount val="7"/>
                <c:pt idx="0">
                  <c:v>168.0</c:v>
                </c:pt>
                <c:pt idx="1">
                  <c:v>137.09</c:v>
                </c:pt>
                <c:pt idx="2">
                  <c:v>132.78</c:v>
                </c:pt>
                <c:pt idx="3">
                  <c:v>127.28</c:v>
                </c:pt>
                <c:pt idx="4">
                  <c:v>119.17</c:v>
                </c:pt>
                <c:pt idx="5">
                  <c:v>119.16</c:v>
                </c:pt>
                <c:pt idx="6">
                  <c:v>119.12</c:v>
                </c:pt>
              </c:numCache>
            </c:numRef>
          </c:val>
          <c:smooth val="0"/>
        </c:ser>
        <c:ser>
          <c:idx val="16"/>
          <c:order val="16"/>
          <c:tx>
            <c:strRef>
              <c:f>raw!$L$44</c:f>
              <c:strCache>
                <c:ptCount val="1"/>
                <c:pt idx="0">
                  <c:v>HH435</c:v>
                </c:pt>
              </c:strCache>
            </c:strRef>
          </c:tx>
          <c:spPr>
            <a:ln>
              <a:solidFill>
                <a:srgbClr val="660066"/>
              </a:solidFill>
            </a:ln>
          </c:spPr>
          <c:marker>
            <c:spPr>
              <a:ln>
                <a:solidFill>
                  <a:srgbClr val="660066"/>
                </a:solidFill>
              </a:ln>
            </c:spPr>
          </c:marker>
          <c:cat>
            <c:strRef>
              <c:f>raw!$M$27:$S$27</c:f>
              <c:strCache>
                <c:ptCount val="7"/>
                <c:pt idx="0">
                  <c:v>Initial.mass</c:v>
                </c:pt>
                <c:pt idx="1">
                  <c:v>Final.mass.24</c:v>
                </c:pt>
                <c:pt idx="2">
                  <c:v>Final.mass.48</c:v>
                </c:pt>
                <c:pt idx="3">
                  <c:v>Final.mass.72</c:v>
                </c:pt>
                <c:pt idx="4">
                  <c:v>Final.mass.96</c:v>
                </c:pt>
                <c:pt idx="5">
                  <c:v>Final.mass.120</c:v>
                </c:pt>
                <c:pt idx="6">
                  <c:v>Final.mass.144</c:v>
                </c:pt>
              </c:strCache>
            </c:strRef>
          </c:cat>
          <c:val>
            <c:numRef>
              <c:f>raw!$M$44:$S$44</c:f>
              <c:numCache>
                <c:formatCode>General</c:formatCode>
                <c:ptCount val="7"/>
                <c:pt idx="0">
                  <c:v>166.91</c:v>
                </c:pt>
                <c:pt idx="1">
                  <c:v>135.63</c:v>
                </c:pt>
                <c:pt idx="2">
                  <c:v>130.96</c:v>
                </c:pt>
                <c:pt idx="3">
                  <c:v>124.0</c:v>
                </c:pt>
                <c:pt idx="4">
                  <c:v>116.91</c:v>
                </c:pt>
                <c:pt idx="5">
                  <c:v>117.79</c:v>
                </c:pt>
                <c:pt idx="6">
                  <c:v>117.86</c:v>
                </c:pt>
              </c:numCache>
            </c:numRef>
          </c:val>
          <c:smooth val="0"/>
        </c:ser>
        <c:ser>
          <c:idx val="17"/>
          <c:order val="17"/>
          <c:tx>
            <c:strRef>
              <c:f>raw!$L$45</c:f>
              <c:strCache>
                <c:ptCount val="1"/>
                <c:pt idx="0">
                  <c:v>HH436</c:v>
                </c:pt>
              </c:strCache>
            </c:strRef>
          </c:tx>
          <c:spPr>
            <a:ln>
              <a:solidFill>
                <a:srgbClr val="660066"/>
              </a:solidFill>
            </a:ln>
          </c:spPr>
          <c:marker>
            <c:spPr>
              <a:ln>
                <a:solidFill>
                  <a:srgbClr val="660066"/>
                </a:solidFill>
              </a:ln>
            </c:spPr>
          </c:marker>
          <c:cat>
            <c:strRef>
              <c:f>raw!$M$27:$S$27</c:f>
              <c:strCache>
                <c:ptCount val="7"/>
                <c:pt idx="0">
                  <c:v>Initial.mass</c:v>
                </c:pt>
                <c:pt idx="1">
                  <c:v>Final.mass.24</c:v>
                </c:pt>
                <c:pt idx="2">
                  <c:v>Final.mass.48</c:v>
                </c:pt>
                <c:pt idx="3">
                  <c:v>Final.mass.72</c:v>
                </c:pt>
                <c:pt idx="4">
                  <c:v>Final.mass.96</c:v>
                </c:pt>
                <c:pt idx="5">
                  <c:v>Final.mass.120</c:v>
                </c:pt>
                <c:pt idx="6">
                  <c:v>Final.mass.144</c:v>
                </c:pt>
              </c:strCache>
            </c:strRef>
          </c:cat>
          <c:val>
            <c:numRef>
              <c:f>raw!$M$45:$S$45</c:f>
              <c:numCache>
                <c:formatCode>General</c:formatCode>
                <c:ptCount val="7"/>
                <c:pt idx="0">
                  <c:v>168.07</c:v>
                </c:pt>
                <c:pt idx="1">
                  <c:v>133.98</c:v>
                </c:pt>
                <c:pt idx="2">
                  <c:v>128.44</c:v>
                </c:pt>
                <c:pt idx="3">
                  <c:v>121.63</c:v>
                </c:pt>
                <c:pt idx="4">
                  <c:v>115.67</c:v>
                </c:pt>
                <c:pt idx="5">
                  <c:v>117.23</c:v>
                </c:pt>
                <c:pt idx="6">
                  <c:v>118.03</c:v>
                </c:pt>
              </c:numCache>
            </c:numRef>
          </c:val>
          <c:smooth val="0"/>
        </c:ser>
        <c:ser>
          <c:idx val="18"/>
          <c:order val="18"/>
          <c:tx>
            <c:strRef>
              <c:f>raw!$L$46</c:f>
              <c:strCache>
                <c:ptCount val="1"/>
                <c:pt idx="0">
                  <c:v>FI437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pPr>
              <a:ln>
                <a:solidFill>
                  <a:srgbClr val="0000FF"/>
                </a:solidFill>
              </a:ln>
            </c:spPr>
          </c:marker>
          <c:cat>
            <c:strRef>
              <c:f>raw!$M$27:$S$27</c:f>
              <c:strCache>
                <c:ptCount val="7"/>
                <c:pt idx="0">
                  <c:v>Initial.mass</c:v>
                </c:pt>
                <c:pt idx="1">
                  <c:v>Final.mass.24</c:v>
                </c:pt>
                <c:pt idx="2">
                  <c:v>Final.mass.48</c:v>
                </c:pt>
                <c:pt idx="3">
                  <c:v>Final.mass.72</c:v>
                </c:pt>
                <c:pt idx="4">
                  <c:v>Final.mass.96</c:v>
                </c:pt>
                <c:pt idx="5">
                  <c:v>Final.mass.120</c:v>
                </c:pt>
                <c:pt idx="6">
                  <c:v>Final.mass.144</c:v>
                </c:pt>
              </c:strCache>
            </c:strRef>
          </c:cat>
          <c:val>
            <c:numRef>
              <c:f>raw!$M$46:$S$46</c:f>
              <c:numCache>
                <c:formatCode>General</c:formatCode>
                <c:ptCount val="7"/>
                <c:pt idx="0">
                  <c:v>161.67</c:v>
                </c:pt>
                <c:pt idx="1">
                  <c:v>96.5</c:v>
                </c:pt>
                <c:pt idx="2">
                  <c:v>90.33</c:v>
                </c:pt>
                <c:pt idx="3">
                  <c:v>87.48</c:v>
                </c:pt>
                <c:pt idx="4">
                  <c:v>87.36</c:v>
                </c:pt>
                <c:pt idx="5">
                  <c:v>87.39</c:v>
                </c:pt>
                <c:pt idx="6">
                  <c:v>87.42</c:v>
                </c:pt>
              </c:numCache>
            </c:numRef>
          </c:val>
          <c:smooth val="0"/>
        </c:ser>
        <c:ser>
          <c:idx val="19"/>
          <c:order val="19"/>
          <c:tx>
            <c:strRef>
              <c:f>raw!$L$47</c:f>
              <c:strCache>
                <c:ptCount val="1"/>
                <c:pt idx="0">
                  <c:v>FI438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pPr>
              <a:ln>
                <a:solidFill>
                  <a:srgbClr val="0000FF"/>
                </a:solidFill>
              </a:ln>
            </c:spPr>
          </c:marker>
          <c:cat>
            <c:strRef>
              <c:f>raw!$M$27:$S$27</c:f>
              <c:strCache>
                <c:ptCount val="7"/>
                <c:pt idx="0">
                  <c:v>Initial.mass</c:v>
                </c:pt>
                <c:pt idx="1">
                  <c:v>Final.mass.24</c:v>
                </c:pt>
                <c:pt idx="2">
                  <c:v>Final.mass.48</c:v>
                </c:pt>
                <c:pt idx="3">
                  <c:v>Final.mass.72</c:v>
                </c:pt>
                <c:pt idx="4">
                  <c:v>Final.mass.96</c:v>
                </c:pt>
                <c:pt idx="5">
                  <c:v>Final.mass.120</c:v>
                </c:pt>
                <c:pt idx="6">
                  <c:v>Final.mass.144</c:v>
                </c:pt>
              </c:strCache>
            </c:strRef>
          </c:cat>
          <c:val>
            <c:numRef>
              <c:f>raw!$M$47:$S$47</c:f>
              <c:numCache>
                <c:formatCode>General</c:formatCode>
                <c:ptCount val="7"/>
                <c:pt idx="0">
                  <c:v>172.41</c:v>
                </c:pt>
                <c:pt idx="1">
                  <c:v>105.72</c:v>
                </c:pt>
                <c:pt idx="2">
                  <c:v>98.5</c:v>
                </c:pt>
                <c:pt idx="3">
                  <c:v>95.43</c:v>
                </c:pt>
                <c:pt idx="4">
                  <c:v>95.43</c:v>
                </c:pt>
                <c:pt idx="5">
                  <c:v>95.44</c:v>
                </c:pt>
                <c:pt idx="6">
                  <c:v>95.44</c:v>
                </c:pt>
              </c:numCache>
            </c:numRef>
          </c:val>
          <c:smooth val="0"/>
        </c:ser>
        <c:ser>
          <c:idx val="20"/>
          <c:order val="20"/>
          <c:tx>
            <c:strRef>
              <c:f>raw!$L$48</c:f>
              <c:strCache>
                <c:ptCount val="1"/>
                <c:pt idx="0">
                  <c:v>FI439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pPr>
              <a:ln>
                <a:solidFill>
                  <a:srgbClr val="0000FF"/>
                </a:solidFill>
              </a:ln>
            </c:spPr>
          </c:marker>
          <c:cat>
            <c:strRef>
              <c:f>raw!$M$27:$S$27</c:f>
              <c:strCache>
                <c:ptCount val="7"/>
                <c:pt idx="0">
                  <c:v>Initial.mass</c:v>
                </c:pt>
                <c:pt idx="1">
                  <c:v>Final.mass.24</c:v>
                </c:pt>
                <c:pt idx="2">
                  <c:v>Final.mass.48</c:v>
                </c:pt>
                <c:pt idx="3">
                  <c:v>Final.mass.72</c:v>
                </c:pt>
                <c:pt idx="4">
                  <c:v>Final.mass.96</c:v>
                </c:pt>
                <c:pt idx="5">
                  <c:v>Final.mass.120</c:v>
                </c:pt>
                <c:pt idx="6">
                  <c:v>Final.mass.144</c:v>
                </c:pt>
              </c:strCache>
            </c:strRef>
          </c:cat>
          <c:val>
            <c:numRef>
              <c:f>raw!$M$48:$S$48</c:f>
              <c:numCache>
                <c:formatCode>General</c:formatCode>
                <c:ptCount val="7"/>
                <c:pt idx="0">
                  <c:v>165.8</c:v>
                </c:pt>
                <c:pt idx="1">
                  <c:v>85.1</c:v>
                </c:pt>
                <c:pt idx="2">
                  <c:v>80.59</c:v>
                </c:pt>
                <c:pt idx="3">
                  <c:v>79.72</c:v>
                </c:pt>
                <c:pt idx="4">
                  <c:v>80.54</c:v>
                </c:pt>
                <c:pt idx="5">
                  <c:v>80.57</c:v>
                </c:pt>
                <c:pt idx="6">
                  <c:v>80.58</c:v>
                </c:pt>
              </c:numCache>
            </c:numRef>
          </c:val>
          <c:smooth val="0"/>
        </c:ser>
        <c:ser>
          <c:idx val="21"/>
          <c:order val="21"/>
          <c:tx>
            <c:strRef>
              <c:f>raw!$L$49</c:f>
              <c:strCache>
                <c:ptCount val="1"/>
                <c:pt idx="0">
                  <c:v>WI440</c:v>
                </c:pt>
              </c:strCache>
            </c:strRef>
          </c:tx>
          <c:spPr>
            <a:ln>
              <a:solidFill>
                <a:srgbClr val="3366FF"/>
              </a:solidFill>
            </a:ln>
          </c:spPr>
          <c:marker>
            <c:spPr>
              <a:ln>
                <a:solidFill>
                  <a:srgbClr val="3366FF"/>
                </a:solidFill>
              </a:ln>
            </c:spPr>
          </c:marker>
          <c:cat>
            <c:strRef>
              <c:f>raw!$M$27:$S$27</c:f>
              <c:strCache>
                <c:ptCount val="7"/>
                <c:pt idx="0">
                  <c:v>Initial.mass</c:v>
                </c:pt>
                <c:pt idx="1">
                  <c:v>Final.mass.24</c:v>
                </c:pt>
                <c:pt idx="2">
                  <c:v>Final.mass.48</c:v>
                </c:pt>
                <c:pt idx="3">
                  <c:v>Final.mass.72</c:v>
                </c:pt>
                <c:pt idx="4">
                  <c:v>Final.mass.96</c:v>
                </c:pt>
                <c:pt idx="5">
                  <c:v>Final.mass.120</c:v>
                </c:pt>
                <c:pt idx="6">
                  <c:v>Final.mass.144</c:v>
                </c:pt>
              </c:strCache>
            </c:strRef>
          </c:cat>
          <c:val>
            <c:numRef>
              <c:f>raw!$M$49:$S$49</c:f>
              <c:numCache>
                <c:formatCode>General</c:formatCode>
                <c:ptCount val="7"/>
                <c:pt idx="0">
                  <c:v>169.08</c:v>
                </c:pt>
                <c:pt idx="1">
                  <c:v>122.06</c:v>
                </c:pt>
                <c:pt idx="2">
                  <c:v>115.46</c:v>
                </c:pt>
                <c:pt idx="3">
                  <c:v>107.42</c:v>
                </c:pt>
                <c:pt idx="4">
                  <c:v>107.31</c:v>
                </c:pt>
                <c:pt idx="5">
                  <c:v>107.19</c:v>
                </c:pt>
                <c:pt idx="6">
                  <c:v>107.21</c:v>
                </c:pt>
              </c:numCache>
            </c:numRef>
          </c:val>
          <c:smooth val="0"/>
        </c:ser>
        <c:ser>
          <c:idx val="22"/>
          <c:order val="22"/>
          <c:tx>
            <c:strRef>
              <c:f>raw!$L$50</c:f>
              <c:strCache>
                <c:ptCount val="1"/>
                <c:pt idx="0">
                  <c:v>WI441</c:v>
                </c:pt>
              </c:strCache>
            </c:strRef>
          </c:tx>
          <c:spPr>
            <a:ln>
              <a:solidFill>
                <a:srgbClr val="3366FF"/>
              </a:solidFill>
            </a:ln>
          </c:spPr>
          <c:marker>
            <c:spPr>
              <a:ln>
                <a:solidFill>
                  <a:srgbClr val="3366FF"/>
                </a:solidFill>
              </a:ln>
            </c:spPr>
          </c:marker>
          <c:cat>
            <c:strRef>
              <c:f>raw!$M$27:$S$27</c:f>
              <c:strCache>
                <c:ptCount val="7"/>
                <c:pt idx="0">
                  <c:v>Initial.mass</c:v>
                </c:pt>
                <c:pt idx="1">
                  <c:v>Final.mass.24</c:v>
                </c:pt>
                <c:pt idx="2">
                  <c:v>Final.mass.48</c:v>
                </c:pt>
                <c:pt idx="3">
                  <c:v>Final.mass.72</c:v>
                </c:pt>
                <c:pt idx="4">
                  <c:v>Final.mass.96</c:v>
                </c:pt>
                <c:pt idx="5">
                  <c:v>Final.mass.120</c:v>
                </c:pt>
                <c:pt idx="6">
                  <c:v>Final.mass.144</c:v>
                </c:pt>
              </c:strCache>
            </c:strRef>
          </c:cat>
          <c:val>
            <c:numRef>
              <c:f>raw!$M$50:$S$50</c:f>
              <c:numCache>
                <c:formatCode>General</c:formatCode>
                <c:ptCount val="7"/>
                <c:pt idx="0">
                  <c:v>166.75</c:v>
                </c:pt>
                <c:pt idx="1">
                  <c:v>117.37</c:v>
                </c:pt>
                <c:pt idx="2">
                  <c:v>110.25</c:v>
                </c:pt>
                <c:pt idx="3">
                  <c:v>102.67</c:v>
                </c:pt>
                <c:pt idx="4">
                  <c:v>102.98</c:v>
                </c:pt>
                <c:pt idx="5">
                  <c:v>103.1</c:v>
                </c:pt>
                <c:pt idx="6">
                  <c:v>103.11</c:v>
                </c:pt>
              </c:numCache>
            </c:numRef>
          </c:val>
          <c:smooth val="0"/>
        </c:ser>
        <c:ser>
          <c:idx val="23"/>
          <c:order val="23"/>
          <c:tx>
            <c:strRef>
              <c:f>raw!$L$51</c:f>
              <c:strCache>
                <c:ptCount val="1"/>
                <c:pt idx="0">
                  <c:v>WI442</c:v>
                </c:pt>
              </c:strCache>
            </c:strRef>
          </c:tx>
          <c:spPr>
            <a:ln>
              <a:solidFill>
                <a:srgbClr val="3366FF"/>
              </a:solidFill>
            </a:ln>
          </c:spPr>
          <c:marker>
            <c:spPr>
              <a:ln>
                <a:solidFill>
                  <a:srgbClr val="3366FF"/>
                </a:solidFill>
              </a:ln>
            </c:spPr>
          </c:marker>
          <c:cat>
            <c:strRef>
              <c:f>raw!$M$27:$S$27</c:f>
              <c:strCache>
                <c:ptCount val="7"/>
                <c:pt idx="0">
                  <c:v>Initial.mass</c:v>
                </c:pt>
                <c:pt idx="1">
                  <c:v>Final.mass.24</c:v>
                </c:pt>
                <c:pt idx="2">
                  <c:v>Final.mass.48</c:v>
                </c:pt>
                <c:pt idx="3">
                  <c:v>Final.mass.72</c:v>
                </c:pt>
                <c:pt idx="4">
                  <c:v>Final.mass.96</c:v>
                </c:pt>
                <c:pt idx="5">
                  <c:v>Final.mass.120</c:v>
                </c:pt>
                <c:pt idx="6">
                  <c:v>Final.mass.144</c:v>
                </c:pt>
              </c:strCache>
            </c:strRef>
          </c:cat>
          <c:val>
            <c:numRef>
              <c:f>raw!$M$51:$S$51</c:f>
              <c:numCache>
                <c:formatCode>General</c:formatCode>
                <c:ptCount val="7"/>
                <c:pt idx="0">
                  <c:v>184.85</c:v>
                </c:pt>
                <c:pt idx="1">
                  <c:v>136.97</c:v>
                </c:pt>
                <c:pt idx="2">
                  <c:v>128.0</c:v>
                </c:pt>
                <c:pt idx="3">
                  <c:v>120.06</c:v>
                </c:pt>
                <c:pt idx="4">
                  <c:v>120.29</c:v>
                </c:pt>
                <c:pt idx="5">
                  <c:v>120.64</c:v>
                </c:pt>
                <c:pt idx="6">
                  <c:v>120.68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2996024"/>
        <c:axId val="2122998632"/>
      </c:lineChart>
      <c:catAx>
        <c:axId val="2122996024"/>
        <c:scaling>
          <c:orientation val="minMax"/>
        </c:scaling>
        <c:delete val="0"/>
        <c:axPos val="b"/>
        <c:majorTickMark val="out"/>
        <c:minorTickMark val="none"/>
        <c:tickLblPos val="nextTo"/>
        <c:crossAx val="2122998632"/>
        <c:crosses val="autoZero"/>
        <c:auto val="1"/>
        <c:lblAlgn val="ctr"/>
        <c:lblOffset val="100"/>
        <c:noMultiLvlLbl val="0"/>
      </c:catAx>
      <c:valAx>
        <c:axId val="2122998632"/>
        <c:scaling>
          <c:orientation val="minMax"/>
          <c:max val="190.0"/>
          <c:min val="2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2996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2"/>
            <c:invertIfNegative val="0"/>
            <c:bubble3D val="0"/>
            <c:spPr>
              <a:solidFill>
                <a:srgbClr val="800000"/>
              </a:solidFill>
            </c:spPr>
          </c:dPt>
          <c:dPt>
            <c:idx val="3"/>
            <c:invertIfNegative val="0"/>
            <c:bubble3D val="0"/>
            <c:spPr>
              <a:solidFill>
                <a:srgbClr val="800000"/>
              </a:solidFill>
            </c:spPr>
          </c:dPt>
          <c:dPt>
            <c:idx val="5"/>
            <c:invertIfNegative val="0"/>
            <c:bubble3D val="0"/>
            <c:spPr>
              <a:solidFill>
                <a:srgbClr val="800000"/>
              </a:solidFill>
            </c:spPr>
          </c:dPt>
          <c:dPt>
            <c:idx val="6"/>
            <c:invertIfNegative val="0"/>
            <c:bubble3D val="0"/>
            <c:spPr>
              <a:solidFill>
                <a:srgbClr val="800000"/>
              </a:solidFill>
            </c:spPr>
          </c:dPt>
          <c:errBars>
            <c:errBarType val="both"/>
            <c:errValType val="cust"/>
            <c:noEndCap val="1"/>
            <c:plus>
              <c:numRef>
                <c:f>raw!$AW$3:$AW$10</c:f>
                <c:numCache>
                  <c:formatCode>General</c:formatCode>
                  <c:ptCount val="8"/>
                  <c:pt idx="0">
                    <c:v>4.2162647041497E-5</c:v>
                  </c:pt>
                  <c:pt idx="1">
                    <c:v>1.21156144037294E-5</c:v>
                  </c:pt>
                  <c:pt idx="2">
                    <c:v>5.63153534881002E-5</c:v>
                  </c:pt>
                  <c:pt idx="3">
                    <c:v>0.000240803112468372</c:v>
                  </c:pt>
                  <c:pt idx="4">
                    <c:v>2.68764282574453E-5</c:v>
                  </c:pt>
                  <c:pt idx="5">
                    <c:v>7.87311918577352E-5</c:v>
                  </c:pt>
                  <c:pt idx="6">
                    <c:v>6.01508044676152E-5</c:v>
                  </c:pt>
                  <c:pt idx="7">
                    <c:v>3.70284054610232E-5</c:v>
                  </c:pt>
                </c:numCache>
              </c:numRef>
            </c:plus>
            <c:minus>
              <c:numRef>
                <c:f>raw!$AW$3:$AW$10</c:f>
                <c:numCache>
                  <c:formatCode>General</c:formatCode>
                  <c:ptCount val="8"/>
                  <c:pt idx="0">
                    <c:v>4.2162647041497E-5</c:v>
                  </c:pt>
                  <c:pt idx="1">
                    <c:v>1.21156144037294E-5</c:v>
                  </c:pt>
                  <c:pt idx="2">
                    <c:v>5.63153534881002E-5</c:v>
                  </c:pt>
                  <c:pt idx="3">
                    <c:v>0.000240803112468372</c:v>
                  </c:pt>
                  <c:pt idx="4">
                    <c:v>2.68764282574453E-5</c:v>
                  </c:pt>
                  <c:pt idx="5">
                    <c:v>7.87311918577352E-5</c:v>
                  </c:pt>
                  <c:pt idx="6">
                    <c:v>6.01508044676152E-5</c:v>
                  </c:pt>
                  <c:pt idx="7">
                    <c:v>3.70284054610232E-5</c:v>
                  </c:pt>
                </c:numCache>
              </c:numRef>
            </c:minus>
          </c:errBars>
          <c:cat>
            <c:strRef>
              <c:f>raw!$AT$3:$AT$10</c:f>
              <c:strCache>
                <c:ptCount val="8"/>
                <c:pt idx="0">
                  <c:v>FI</c:v>
                </c:pt>
                <c:pt idx="1">
                  <c:v>HH</c:v>
                </c:pt>
                <c:pt idx="2">
                  <c:v>ON</c:v>
                </c:pt>
                <c:pt idx="3">
                  <c:v>PG</c:v>
                </c:pt>
                <c:pt idx="4">
                  <c:v>RW</c:v>
                </c:pt>
                <c:pt idx="5">
                  <c:v>SC</c:v>
                </c:pt>
                <c:pt idx="6">
                  <c:v>TI</c:v>
                </c:pt>
                <c:pt idx="7">
                  <c:v>WI</c:v>
                </c:pt>
              </c:strCache>
            </c:strRef>
          </c:cat>
          <c:val>
            <c:numRef>
              <c:f>raw!$AU$3:$AU$10</c:f>
              <c:numCache>
                <c:formatCode>General</c:formatCode>
                <c:ptCount val="8"/>
                <c:pt idx="0">
                  <c:v>0.000923290390991944</c:v>
                </c:pt>
                <c:pt idx="1">
                  <c:v>0.000724856841900783</c:v>
                </c:pt>
                <c:pt idx="2">
                  <c:v>0.000908363932101488</c:v>
                </c:pt>
                <c:pt idx="3">
                  <c:v>0.00164303401924625</c:v>
                </c:pt>
                <c:pt idx="4">
                  <c:v>0.000620756736439858</c:v>
                </c:pt>
                <c:pt idx="5">
                  <c:v>0.00111718132581363</c:v>
                </c:pt>
                <c:pt idx="6">
                  <c:v>0.00116486482023574</c:v>
                </c:pt>
                <c:pt idx="7">
                  <c:v>0.000771373854667709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2850888"/>
        <c:axId val="2122842568"/>
      </c:barChart>
      <c:catAx>
        <c:axId val="2122850888"/>
        <c:scaling>
          <c:orientation val="minMax"/>
        </c:scaling>
        <c:delete val="0"/>
        <c:axPos val="b"/>
        <c:majorTickMark val="out"/>
        <c:minorTickMark val="none"/>
        <c:tickLblPos val="nextTo"/>
        <c:crossAx val="2122842568"/>
        <c:crosses val="autoZero"/>
        <c:auto val="1"/>
        <c:lblAlgn val="ctr"/>
        <c:lblOffset val="100"/>
        <c:noMultiLvlLbl val="0"/>
      </c:catAx>
      <c:valAx>
        <c:axId val="21228425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228508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530359180645897"/>
          <c:y val="0.0152477763659466"/>
          <c:w val="0.914355386283236"/>
          <c:h val="0.933045453181122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800000"/>
              </a:solidFill>
            </c:spPr>
          </c:dPt>
          <c:dPt>
            <c:idx val="2"/>
            <c:invertIfNegative val="0"/>
            <c:bubble3D val="0"/>
            <c:spPr>
              <a:solidFill>
                <a:srgbClr val="800000"/>
              </a:solidFill>
            </c:spPr>
          </c:dPt>
          <c:dPt>
            <c:idx val="3"/>
            <c:invertIfNegative val="0"/>
            <c:bubble3D val="0"/>
            <c:spPr>
              <a:solidFill>
                <a:srgbClr val="800000"/>
              </a:solidFill>
            </c:spPr>
          </c:dPt>
          <c:dPt>
            <c:idx val="5"/>
            <c:invertIfNegative val="0"/>
            <c:bubble3D val="0"/>
            <c:spPr>
              <a:solidFill>
                <a:srgbClr val="800000"/>
              </a:solidFill>
            </c:spPr>
          </c:dPt>
          <c:dPt>
            <c:idx val="6"/>
            <c:invertIfNegative val="0"/>
            <c:bubble3D val="0"/>
            <c:spPr>
              <a:solidFill>
                <a:srgbClr val="800000"/>
              </a:solidFill>
            </c:spPr>
          </c:dPt>
          <c:errBars>
            <c:errBarType val="both"/>
            <c:errValType val="cust"/>
            <c:noEndCap val="1"/>
            <c:plus>
              <c:numRef>
                <c:f>raw!$BC$3:$BC$4</c:f>
                <c:numCache>
                  <c:formatCode>General</c:formatCode>
                  <c:ptCount val="2"/>
                </c:numCache>
              </c:numRef>
            </c:plus>
            <c:minus>
              <c:numRef>
                <c:f>raw!$BC$3:$BC$4</c:f>
                <c:numCache>
                  <c:formatCode>General</c:formatCode>
                  <c:ptCount val="2"/>
                </c:numCache>
              </c:numRef>
            </c:minus>
          </c:errBars>
          <c:cat>
            <c:strRef>
              <c:f>raw!$AZ$3:$AZ$4</c:f>
              <c:strCache>
                <c:ptCount val="2"/>
                <c:pt idx="0">
                  <c:v>Channel</c:v>
                </c:pt>
                <c:pt idx="1">
                  <c:v>Sound</c:v>
                </c:pt>
              </c:strCache>
            </c:strRef>
          </c:cat>
          <c:val>
            <c:numRef>
              <c:f>raw!$BA$3:$BA$4</c:f>
              <c:numCache>
                <c:formatCode>General</c:formatCode>
                <c:ptCount val="2"/>
                <c:pt idx="0">
                  <c:v>0.00120836102434928</c:v>
                </c:pt>
                <c:pt idx="1">
                  <c:v>0.000760069456000073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3031176"/>
        <c:axId val="2123034296"/>
      </c:barChart>
      <c:catAx>
        <c:axId val="2123031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3034296"/>
        <c:crosses val="autoZero"/>
        <c:auto val="1"/>
        <c:lblAlgn val="ctr"/>
        <c:lblOffset val="100"/>
        <c:noMultiLvlLbl val="0"/>
      </c:catAx>
      <c:valAx>
        <c:axId val="21230342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230311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530359180645897"/>
          <c:y val="0.0152477763659466"/>
          <c:w val="0.914355386283236"/>
          <c:h val="0.933045453181122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800000"/>
              </a:solidFill>
            </c:spPr>
          </c:dPt>
          <c:dPt>
            <c:idx val="2"/>
            <c:invertIfNegative val="0"/>
            <c:bubble3D val="0"/>
            <c:spPr>
              <a:solidFill>
                <a:srgbClr val="800000"/>
              </a:solidFill>
            </c:spPr>
          </c:dPt>
          <c:dPt>
            <c:idx val="3"/>
            <c:invertIfNegative val="0"/>
            <c:bubble3D val="0"/>
            <c:spPr>
              <a:solidFill>
                <a:srgbClr val="800000"/>
              </a:solidFill>
            </c:spPr>
          </c:dPt>
          <c:dPt>
            <c:idx val="5"/>
            <c:invertIfNegative val="0"/>
            <c:bubble3D val="0"/>
            <c:spPr>
              <a:solidFill>
                <a:srgbClr val="800000"/>
              </a:solidFill>
            </c:spPr>
          </c:dPt>
          <c:dPt>
            <c:idx val="6"/>
            <c:invertIfNegative val="0"/>
            <c:bubble3D val="0"/>
            <c:spPr>
              <a:solidFill>
                <a:srgbClr val="800000"/>
              </a:solidFill>
            </c:spPr>
          </c:dPt>
          <c:errBars>
            <c:errBarType val="both"/>
            <c:errValType val="cust"/>
            <c:noEndCap val="1"/>
            <c:plus>
              <c:numRef>
                <c:f>raw!$BH$3:$BH$4</c:f>
                <c:numCache>
                  <c:formatCode>General</c:formatCode>
                  <c:ptCount val="2"/>
                  <c:pt idx="0">
                    <c:v>0.0111163344387367</c:v>
                  </c:pt>
                  <c:pt idx="1">
                    <c:v>0.00327450758674988</c:v>
                  </c:pt>
                </c:numCache>
              </c:numRef>
            </c:plus>
            <c:minus>
              <c:numRef>
                <c:f>raw!$BH$3:$BH$4</c:f>
                <c:numCache>
                  <c:formatCode>General</c:formatCode>
                  <c:ptCount val="2"/>
                  <c:pt idx="0">
                    <c:v>0.0111163344387367</c:v>
                  </c:pt>
                  <c:pt idx="1">
                    <c:v>0.00327450758674988</c:v>
                  </c:pt>
                </c:numCache>
              </c:numRef>
            </c:minus>
          </c:errBars>
          <c:cat>
            <c:numRef>
              <c:f>raw!$BE$3:$BE$4</c:f>
              <c:numCache>
                <c:formatCode>General</c:formatCod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cat>
          <c:val>
            <c:numRef>
              <c:f>raw!$BF$3:$BF$4</c:f>
              <c:numCache>
                <c:formatCode>General</c:formatCode>
                <c:ptCount val="2"/>
                <c:pt idx="0">
                  <c:v>0.0792099274938158</c:v>
                </c:pt>
                <c:pt idx="1">
                  <c:v>0.0475501385559067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3063720"/>
        <c:axId val="2123066840"/>
      </c:barChart>
      <c:catAx>
        <c:axId val="2123063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3066840"/>
        <c:crosses val="autoZero"/>
        <c:auto val="1"/>
        <c:lblAlgn val="ctr"/>
        <c:lblOffset val="100"/>
        <c:noMultiLvlLbl val="0"/>
      </c:catAx>
      <c:valAx>
        <c:axId val="21230668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230637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0818912948381452"/>
          <c:y val="0.234259259259259"/>
          <c:w val="0.661319553805774"/>
          <c:h val="0.67154345290172"/>
        </c:manualLayout>
      </c:layout>
      <c:scatterChart>
        <c:scatterStyle val="lineMarker"/>
        <c:varyColors val="0"/>
        <c:ser>
          <c:idx val="0"/>
          <c:order val="0"/>
          <c:tx>
            <c:strRef>
              <c:f>raw!$Y$1</c:f>
              <c:strCache>
                <c:ptCount val="1"/>
                <c:pt idx="0">
                  <c:v>Initial.mass</c:v>
                </c:pt>
              </c:strCache>
            </c:strRef>
          </c:tx>
          <c:spPr>
            <a:ln w="47625">
              <a:noFill/>
            </a:ln>
          </c:spPr>
          <c:xVal>
            <c:numRef>
              <c:f>raw!$X$2:$X$25</c:f>
              <c:numCache>
                <c:formatCode>General</c:formatCode>
                <c:ptCount val="24"/>
                <c:pt idx="0">
                  <c:v>58.71</c:v>
                </c:pt>
                <c:pt idx="1">
                  <c:v>60.725625</c:v>
                </c:pt>
                <c:pt idx="2">
                  <c:v>57.12</c:v>
                </c:pt>
                <c:pt idx="3">
                  <c:v>61.2375</c:v>
                </c:pt>
                <c:pt idx="4">
                  <c:v>60.580625</c:v>
                </c:pt>
                <c:pt idx="5">
                  <c:v>61.48</c:v>
                </c:pt>
                <c:pt idx="6">
                  <c:v>57.605625</c:v>
                </c:pt>
                <c:pt idx="7">
                  <c:v>62.803125</c:v>
                </c:pt>
                <c:pt idx="8">
                  <c:v>58.9375</c:v>
                </c:pt>
                <c:pt idx="9">
                  <c:v>63.22</c:v>
                </c:pt>
                <c:pt idx="10">
                  <c:v>60.255625</c:v>
                </c:pt>
                <c:pt idx="11">
                  <c:v>60.42</c:v>
                </c:pt>
                <c:pt idx="12">
                  <c:v>61.8125</c:v>
                </c:pt>
                <c:pt idx="13">
                  <c:v>57.598125</c:v>
                </c:pt>
                <c:pt idx="14">
                  <c:v>60.42</c:v>
                </c:pt>
                <c:pt idx="15">
                  <c:v>59.683125</c:v>
                </c:pt>
                <c:pt idx="16">
                  <c:v>58.24</c:v>
                </c:pt>
                <c:pt idx="17">
                  <c:v>63.22</c:v>
                </c:pt>
                <c:pt idx="18">
                  <c:v>57.840625</c:v>
                </c:pt>
                <c:pt idx="19">
                  <c:v>61.400625</c:v>
                </c:pt>
                <c:pt idx="20">
                  <c:v>60.328125</c:v>
                </c:pt>
                <c:pt idx="21">
                  <c:v>62.9625</c:v>
                </c:pt>
                <c:pt idx="22">
                  <c:v>60.255625</c:v>
                </c:pt>
                <c:pt idx="23">
                  <c:v>64.803125</c:v>
                </c:pt>
              </c:numCache>
            </c:numRef>
          </c:xVal>
          <c:yVal>
            <c:numRef>
              <c:f>raw!$Y$2:$Y$25</c:f>
              <c:numCache>
                <c:formatCode>General</c:formatCode>
                <c:ptCount val="24"/>
                <c:pt idx="0">
                  <c:v>165.18</c:v>
                </c:pt>
                <c:pt idx="1">
                  <c:v>176.37</c:v>
                </c:pt>
                <c:pt idx="2">
                  <c:v>163.11</c:v>
                </c:pt>
                <c:pt idx="3">
                  <c:v>172.09</c:v>
                </c:pt>
                <c:pt idx="4">
                  <c:v>161.65</c:v>
                </c:pt>
                <c:pt idx="5">
                  <c:v>176.05</c:v>
                </c:pt>
                <c:pt idx="6">
                  <c:v>169.49</c:v>
                </c:pt>
                <c:pt idx="7">
                  <c:v>171.77</c:v>
                </c:pt>
                <c:pt idx="8">
                  <c:v>164.25</c:v>
                </c:pt>
                <c:pt idx="9">
                  <c:v>178.36</c:v>
                </c:pt>
                <c:pt idx="10">
                  <c:v>165.62</c:v>
                </c:pt>
                <c:pt idx="11">
                  <c:v>163.92</c:v>
                </c:pt>
                <c:pt idx="12">
                  <c:v>165.73</c:v>
                </c:pt>
                <c:pt idx="13">
                  <c:v>156.33</c:v>
                </c:pt>
                <c:pt idx="14">
                  <c:v>165.41</c:v>
                </c:pt>
                <c:pt idx="15">
                  <c:v>168.0</c:v>
                </c:pt>
                <c:pt idx="16">
                  <c:v>166.91</c:v>
                </c:pt>
                <c:pt idx="17">
                  <c:v>168.07</c:v>
                </c:pt>
                <c:pt idx="18">
                  <c:v>161.67</c:v>
                </c:pt>
                <c:pt idx="19">
                  <c:v>172.41</c:v>
                </c:pt>
                <c:pt idx="20">
                  <c:v>165.8</c:v>
                </c:pt>
                <c:pt idx="21">
                  <c:v>169.08</c:v>
                </c:pt>
                <c:pt idx="22">
                  <c:v>166.75</c:v>
                </c:pt>
                <c:pt idx="23">
                  <c:v>184.85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089640"/>
        <c:axId val="2123092664"/>
      </c:scatterChart>
      <c:valAx>
        <c:axId val="2123089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3092664"/>
        <c:crosses val="autoZero"/>
        <c:crossBetween val="midCat"/>
      </c:valAx>
      <c:valAx>
        <c:axId val="2123092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30896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raw!$AL$27</c:f>
              <c:strCache>
                <c:ptCount val="1"/>
                <c:pt idx="0">
                  <c:v>Diss.day</c:v>
                </c:pt>
              </c:strCache>
            </c:strRef>
          </c:tx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63621172353456"/>
                  <c:y val="-0.393814158646836"/>
                </c:manualLayout>
              </c:layout>
              <c:numFmt formatCode="General" sourceLinked="0"/>
            </c:trendlineLbl>
          </c:trendline>
          <c:xVal>
            <c:numRef>
              <c:f>raw!$AK$28:$AK$51</c:f>
              <c:numCache>
                <c:formatCode>General</c:formatCode>
                <c:ptCount val="24"/>
                <c:pt idx="0">
                  <c:v>58.71</c:v>
                </c:pt>
                <c:pt idx="1">
                  <c:v>60.725625</c:v>
                </c:pt>
                <c:pt idx="2">
                  <c:v>57.12</c:v>
                </c:pt>
                <c:pt idx="3">
                  <c:v>61.2375</c:v>
                </c:pt>
                <c:pt idx="4">
                  <c:v>60.580625</c:v>
                </c:pt>
                <c:pt idx="5">
                  <c:v>61.48</c:v>
                </c:pt>
                <c:pt idx="6">
                  <c:v>57.605625</c:v>
                </c:pt>
                <c:pt idx="7">
                  <c:v>62.803125</c:v>
                </c:pt>
                <c:pt idx="8">
                  <c:v>58.9375</c:v>
                </c:pt>
                <c:pt idx="9">
                  <c:v>63.22</c:v>
                </c:pt>
                <c:pt idx="10">
                  <c:v>60.255625</c:v>
                </c:pt>
                <c:pt idx="11">
                  <c:v>60.42</c:v>
                </c:pt>
                <c:pt idx="12">
                  <c:v>61.8125</c:v>
                </c:pt>
                <c:pt idx="13">
                  <c:v>57.598125</c:v>
                </c:pt>
                <c:pt idx="14">
                  <c:v>60.42</c:v>
                </c:pt>
                <c:pt idx="15">
                  <c:v>59.683125</c:v>
                </c:pt>
                <c:pt idx="16">
                  <c:v>58.24</c:v>
                </c:pt>
                <c:pt idx="17">
                  <c:v>63.22</c:v>
                </c:pt>
                <c:pt idx="18">
                  <c:v>57.840625</c:v>
                </c:pt>
                <c:pt idx="19">
                  <c:v>61.400625</c:v>
                </c:pt>
                <c:pt idx="20">
                  <c:v>60.328125</c:v>
                </c:pt>
                <c:pt idx="21">
                  <c:v>62.9625</c:v>
                </c:pt>
                <c:pt idx="22">
                  <c:v>60.255625</c:v>
                </c:pt>
                <c:pt idx="23">
                  <c:v>64.803125</c:v>
                </c:pt>
              </c:numCache>
            </c:numRef>
          </c:xVal>
          <c:yVal>
            <c:numRef>
              <c:f>raw!$AL$28:$AL$51</c:f>
              <c:numCache>
                <c:formatCode>General</c:formatCode>
                <c:ptCount val="24"/>
                <c:pt idx="0">
                  <c:v>0.0588452688395731</c:v>
                </c:pt>
                <c:pt idx="1">
                  <c:v>0.0490409312908621</c:v>
                </c:pt>
                <c:pt idx="2">
                  <c:v>0.0522765450804284</c:v>
                </c:pt>
                <c:pt idx="3">
                  <c:v>0.0726938087687948</c:v>
                </c:pt>
                <c:pt idx="4">
                  <c:v>0.0729648964442034</c:v>
                </c:pt>
                <c:pt idx="5">
                  <c:v>0.0590231207507214</c:v>
                </c:pt>
                <c:pt idx="6">
                  <c:v>0.0780283386186279</c:v>
                </c:pt>
                <c:pt idx="7">
                  <c:v>0.0912733756474683</c:v>
                </c:pt>
                <c:pt idx="8">
                  <c:v>0.125021189372156</c:v>
                </c:pt>
                <c:pt idx="9">
                  <c:v>0.0665653764083277</c:v>
                </c:pt>
                <c:pt idx="10">
                  <c:v>0.0758608565814528</c:v>
                </c:pt>
                <c:pt idx="11">
                  <c:v>0.07145838485259</c:v>
                </c:pt>
                <c:pt idx="12">
                  <c:v>0.0357020140626565</c:v>
                </c:pt>
                <c:pt idx="13">
                  <c:v>0.0385951851283491</c:v>
                </c:pt>
                <c:pt idx="14">
                  <c:v>0.0371345810537176</c:v>
                </c:pt>
                <c:pt idx="15">
                  <c:v>0.0428352210449346</c:v>
                </c:pt>
                <c:pt idx="16">
                  <c:v>0.0435915583708092</c:v>
                </c:pt>
                <c:pt idx="17">
                  <c:v>0.0447836784606044</c:v>
                </c:pt>
                <c:pt idx="18">
                  <c:v>0.0529079887807159</c:v>
                </c:pt>
                <c:pt idx="19">
                  <c:v>0.0514110694681393</c:v>
                </c:pt>
                <c:pt idx="20">
                  <c:v>0.0591998664948758</c:v>
                </c:pt>
                <c:pt idx="21">
                  <c:v>0.0477948990093299</c:v>
                </c:pt>
                <c:pt idx="22">
                  <c:v>0.0499072423860454</c:v>
                </c:pt>
                <c:pt idx="23">
                  <c:v>0.0454634576423425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123640"/>
        <c:axId val="2123126536"/>
      </c:scatterChart>
      <c:valAx>
        <c:axId val="2123123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3126536"/>
        <c:crosses val="autoZero"/>
        <c:crossBetween val="midCat"/>
      </c:valAx>
      <c:valAx>
        <c:axId val="2123126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31236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50977690288714"/>
                  <c:y val="0.5"/>
                </c:manualLayout>
              </c:layout>
              <c:numFmt formatCode="General" sourceLinked="0"/>
            </c:trendlineLbl>
          </c:trendline>
          <c:xVal>
            <c:numRef>
              <c:f>'station table'!$O$25:$O$32</c:f>
              <c:numCache>
                <c:formatCode>General</c:formatCode>
                <c:ptCount val="8"/>
                <c:pt idx="0">
                  <c:v>0.923290333</c:v>
                </c:pt>
                <c:pt idx="1">
                  <c:v>0.724856667</c:v>
                </c:pt>
                <c:pt idx="2">
                  <c:v>0.908364</c:v>
                </c:pt>
                <c:pt idx="3">
                  <c:v>1.643033667</c:v>
                </c:pt>
                <c:pt idx="4">
                  <c:v>0.620756667</c:v>
                </c:pt>
                <c:pt idx="5">
                  <c:v>1.117181333</c:v>
                </c:pt>
                <c:pt idx="6">
                  <c:v>1.164864667</c:v>
                </c:pt>
                <c:pt idx="7">
                  <c:v>0.771373667</c:v>
                </c:pt>
              </c:numCache>
            </c:numRef>
          </c:xVal>
          <c:yVal>
            <c:numRef>
              <c:f>'station table'!$P$25:$P$32</c:f>
              <c:numCache>
                <c:formatCode>General</c:formatCode>
                <c:ptCount val="8"/>
                <c:pt idx="0" formatCode="0.00">
                  <c:v>0.36</c:v>
                </c:pt>
                <c:pt idx="1">
                  <c:v>0.33</c:v>
                </c:pt>
                <c:pt idx="2">
                  <c:v>0.49</c:v>
                </c:pt>
                <c:pt idx="3">
                  <c:v>0.57</c:v>
                </c:pt>
                <c:pt idx="4">
                  <c:v>0.33</c:v>
                </c:pt>
                <c:pt idx="5">
                  <c:v>0.57</c:v>
                </c:pt>
                <c:pt idx="6">
                  <c:v>0.62</c:v>
                </c:pt>
                <c:pt idx="7" formatCode="0.00">
                  <c:v>0.36</c:v>
                </c:pt>
              </c:numCache>
            </c:numRef>
          </c:yVal>
          <c:smooth val="0"/>
        </c:ser>
        <c:ser>
          <c:idx val="1"/>
          <c:order val="1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92912333150869"/>
                  <c:y val="-0.0207462088072324"/>
                </c:manualLayout>
              </c:layout>
              <c:numFmt formatCode="General" sourceLinked="0"/>
            </c:trendlineLbl>
          </c:trendline>
          <c:xVal>
            <c:numRef>
              <c:f>'station table'!$O$25:$O$32</c:f>
              <c:numCache>
                <c:formatCode>General</c:formatCode>
                <c:ptCount val="8"/>
                <c:pt idx="0">
                  <c:v>0.923290333</c:v>
                </c:pt>
                <c:pt idx="1">
                  <c:v>0.724856667</c:v>
                </c:pt>
                <c:pt idx="2">
                  <c:v>0.908364</c:v>
                </c:pt>
                <c:pt idx="3">
                  <c:v>1.643033667</c:v>
                </c:pt>
                <c:pt idx="4">
                  <c:v>0.620756667</c:v>
                </c:pt>
                <c:pt idx="5">
                  <c:v>1.117181333</c:v>
                </c:pt>
                <c:pt idx="6">
                  <c:v>1.164864667</c:v>
                </c:pt>
                <c:pt idx="7">
                  <c:v>0.771373667</c:v>
                </c:pt>
              </c:numCache>
            </c:numRef>
          </c:xVal>
          <c:yVal>
            <c:numRef>
              <c:f>'station table'!$Q$25:$Q$32</c:f>
              <c:numCache>
                <c:formatCode>General</c:formatCode>
                <c:ptCount val="8"/>
                <c:pt idx="0" formatCode="0.00">
                  <c:v>0.41</c:v>
                </c:pt>
                <c:pt idx="1">
                  <c:v>0.36</c:v>
                </c:pt>
                <c:pt idx="2">
                  <c:v>0.51</c:v>
                </c:pt>
                <c:pt idx="3">
                  <c:v>0.67</c:v>
                </c:pt>
                <c:pt idx="4">
                  <c:v>0.36</c:v>
                </c:pt>
                <c:pt idx="5">
                  <c:v>0.67</c:v>
                </c:pt>
                <c:pt idx="6">
                  <c:v>0.72</c:v>
                </c:pt>
                <c:pt idx="7" formatCode="0.00">
                  <c:v>0.41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266456"/>
        <c:axId val="2132261912"/>
      </c:scatterChart>
      <c:valAx>
        <c:axId val="2132266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32261912"/>
        <c:crosses val="autoZero"/>
        <c:crossBetween val="midCat"/>
      </c:valAx>
      <c:valAx>
        <c:axId val="2132261912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213226645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330200</xdr:colOff>
      <xdr:row>28</xdr:row>
      <xdr:rowOff>69850</xdr:rowOff>
    </xdr:from>
    <xdr:to>
      <xdr:col>30</xdr:col>
      <xdr:colOff>889000</xdr:colOff>
      <xdr:row>86</xdr:row>
      <xdr:rowOff>101600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1181100</xdr:colOff>
      <xdr:row>16</xdr:row>
      <xdr:rowOff>82550</xdr:rowOff>
    </xdr:from>
    <xdr:to>
      <xdr:col>48</xdr:col>
      <xdr:colOff>736600</xdr:colOff>
      <xdr:row>42</xdr:row>
      <xdr:rowOff>127000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48</xdr:col>
      <xdr:colOff>1219200</xdr:colOff>
      <xdr:row>21</xdr:row>
      <xdr:rowOff>0</xdr:rowOff>
    </xdr:from>
    <xdr:to>
      <xdr:col>53</xdr:col>
      <xdr:colOff>114300</xdr:colOff>
      <xdr:row>41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52</xdr:col>
      <xdr:colOff>0</xdr:colOff>
      <xdr:row>9</xdr:row>
      <xdr:rowOff>0</xdr:rowOff>
    </xdr:from>
    <xdr:to>
      <xdr:col>56</xdr:col>
      <xdr:colOff>355600</xdr:colOff>
      <xdr:row>29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88900</xdr:colOff>
      <xdr:row>31</xdr:row>
      <xdr:rowOff>31750</xdr:rowOff>
    </xdr:from>
    <xdr:to>
      <xdr:col>8</xdr:col>
      <xdr:colOff>368300</xdr:colOff>
      <xdr:row>45</xdr:row>
      <xdr:rowOff>107950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711200</xdr:colOff>
      <xdr:row>31</xdr:row>
      <xdr:rowOff>107950</xdr:rowOff>
    </xdr:from>
    <xdr:to>
      <xdr:col>35</xdr:col>
      <xdr:colOff>1104900</xdr:colOff>
      <xdr:row>45</xdr:row>
      <xdr:rowOff>184150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664634</xdr:colOff>
      <xdr:row>19</xdr:row>
      <xdr:rowOff>29633</xdr:rowOff>
    </xdr:from>
    <xdr:to>
      <xdr:col>23</xdr:col>
      <xdr:colOff>258234</xdr:colOff>
      <xdr:row>37</xdr:row>
      <xdr:rowOff>29633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obin Elahi" refreshedDate="41434.888531365737" createdVersion="4" refreshedVersion="4" minRefreshableVersion="3" recordCount="465">
  <cacheSource type="worksheet">
    <worksheetSource ref="A1:I466" sheet="noaa.R (3)"/>
  </cacheSource>
  <cacheFields count="9">
    <cacheField name="Station" numFmtId="0">
      <sharedItems count="15">
        <s v="Turn Point, Boundary Pass"/>
        <s v="Kellett Bluff, west of"/>
        <s v="Discovery Island, 3.3 mi NE of"/>
        <s v="Cattle Point, 1.2 mi SE of"/>
        <s v="Spring Passage, south entrance"/>
        <s v="Turn Rock Light, 1.9 mi NW of"/>
        <s v="Pear Point, 1.1 mi E of"/>
        <s v="Sucia I, 0.5 WNW of Lawson Bluff"/>
        <s v="Lawrence Point, 1.3 mi NE of"/>
        <s v="Strawberry I., 0.8 mi W of"/>
        <s v="Harney Channel"/>
        <s v="Frost-Willow Island, between"/>
        <s v="Hazel Point"/>
        <s v="The Great Bend"/>
        <s v="Limestone Point"/>
      </sharedItems>
    </cacheField>
    <cacheField name="Station.code" numFmtId="0">
      <sharedItems/>
    </cacheField>
    <cacheField name="Region" numFmtId="0">
      <sharedItems/>
    </cacheField>
    <cacheField name="Reference Station" numFmtId="0">
      <sharedItems/>
    </cacheField>
    <cacheField name="Day" numFmtId="0">
      <sharedItems containsSemiMixedTypes="0" containsString="0" containsNumber="1" containsInteger="1" minValue="1" maxValue="31"/>
    </cacheField>
    <cacheField name="curr.mean" numFmtId="0">
      <sharedItems containsSemiMixedTypes="0" containsString="0" containsNumber="1" minValue="0.30499999999999999" maxValue="3.3000000000000003"/>
    </cacheField>
    <cacheField name="curr.max" numFmtId="0">
      <sharedItems containsSemiMixedTypes="0" containsString="0" containsNumber="1" minValue="0.43" maxValue="4.7"/>
    </cacheField>
    <cacheField name="ms.mean" numFmtId="0">
      <sharedItems containsSemiMixedTypes="0" containsString="0" containsNumber="1" minValue="0.15676999999999999" maxValue="1.6962000000000002"/>
    </cacheField>
    <cacheField name="ms.max" numFmtId="0">
      <sharedItems containsSemiMixedTypes="0" containsString="0" containsNumber="1" minValue="0.22101999999999999" maxValue="2.4157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obin Elahi" refreshedDate="41434.888533333331" createdVersion="4" refreshedVersion="4" minRefreshableVersion="3" recordCount="24">
  <cacheSource type="worksheet">
    <worksheetSource ref="A1:AR25" sheet="raw"/>
  </cacheSource>
  <cacheFields count="44">
    <cacheField name="Region" numFmtId="0">
      <sharedItems/>
    </cacheField>
    <cacheField name="Site" numFmtId="0">
      <sharedItems count="8">
        <s v="ON"/>
        <s v="SC"/>
        <s v="PG"/>
        <s v="TI"/>
        <s v="RW"/>
        <s v="HH"/>
        <s v="FI"/>
        <s v="WI"/>
      </sharedItems>
    </cacheField>
    <cacheField name="Cluster" numFmtId="0">
      <sharedItems containsSemiMixedTypes="0" containsString="0" containsNumber="1" containsInteger="1" minValue="1" maxValue="2"/>
    </cacheField>
    <cacheField name="Tag.no" numFmtId="0">
      <sharedItems containsSemiMixedTypes="0" containsString="0" containsNumber="1" containsInteger="1" minValue="15" maxValue="48"/>
    </cacheField>
    <cacheField name="Depth.field" numFmtId="0">
      <sharedItems containsSemiMixedTypes="0" containsString="0" containsNumber="1" containsInteger="1" minValue="36" maxValue="58"/>
    </cacheField>
    <cacheField name="Depth.date.time" numFmtId="0">
      <sharedItems/>
    </cacheField>
    <cacheField name="Tide" numFmtId="0">
      <sharedItems containsSemiMixedTypes="0" containsString="0" containsNumber="1" containsInteger="1" minValue="0" maxValue="6"/>
    </cacheField>
    <cacheField name="Depth.corrected" numFmtId="0">
      <sharedItems containsSemiMixedTypes="0" containsString="0" containsNumber="1" containsInteger="1" minValue="34" maxValue="52"/>
    </cacheField>
    <cacheField name="Depth.m" numFmtId="0">
      <sharedItems containsSemiMixedTypes="0" containsString="0" containsNumber="1" minValue="10.363200000000001" maxValue="15.849600000000001"/>
    </cacheField>
    <cacheField name="Relative.position" numFmtId="0">
      <sharedItems/>
    </cacheField>
    <cacheField name="Temp.logger" numFmtId="0">
      <sharedItems/>
    </cacheField>
    <cacheField name="Clod.no" numFmtId="0">
      <sharedItems containsSemiMixedTypes="0" containsString="0" containsNumber="1" containsInteger="1" minValue="419" maxValue="442"/>
    </cacheField>
    <cacheField name="Site.clod" numFmtId="0">
      <sharedItems/>
    </cacheField>
    <cacheField name="N.ht" numFmtId="0">
      <sharedItems containsSemiMixedTypes="0" containsString="0" containsNumber="1" containsInteger="1" minValue="10" maxValue="14"/>
    </cacheField>
    <cacheField name="E.ht" numFmtId="0">
      <sharedItems containsSemiMixedTypes="0" containsString="0" containsNumber="1" containsInteger="1" minValue="10" maxValue="13"/>
    </cacheField>
    <cacheField name="S.ht" numFmtId="0">
      <sharedItems containsSemiMixedTypes="0" containsString="0" containsNumber="1" containsInteger="1" minValue="10" maxValue="13"/>
    </cacheField>
    <cacheField name="W.ht" numFmtId="0">
      <sharedItems containsSemiMixedTypes="0" containsString="0" containsNumber="1" containsInteger="1" minValue="11" maxValue="13"/>
    </cacheField>
    <cacheField name="N.ln" numFmtId="0">
      <sharedItems containsSemiMixedTypes="0" containsString="0" containsNumber="1" containsInteger="1" minValue="55" maxValue="62"/>
    </cacheField>
    <cacheField name="E.ln" numFmtId="0">
      <sharedItems containsSemiMixedTypes="0" containsString="0" containsNumber="1" containsInteger="1" minValue="55" maxValue="60"/>
    </cacheField>
    <cacheField name="S.ln" numFmtId="0">
      <sharedItems containsSemiMixedTypes="0" containsString="0" containsNumber="1" containsInteger="1" minValue="55" maxValue="62"/>
    </cacheField>
    <cacheField name="W.ln" numFmtId="0">
      <sharedItems containsSemiMixedTypes="0" containsString="0" containsNumber="1" containsInteger="1" minValue="54" maxValue="58"/>
    </cacheField>
    <cacheField name="ht.mean" numFmtId="0">
      <sharedItems containsSemiMixedTypes="0" containsString="0" containsNumber="1" minValue="1.05" maxValue="1.325"/>
    </cacheField>
    <cacheField name="lng.mean" numFmtId="0">
      <sharedItems containsSemiMixedTypes="0" containsString="0" containsNumber="1" minValue="5.5250000000000004" maxValue="5.8250000000000002"/>
    </cacheField>
    <cacheField name="Surf.area" numFmtId="0">
      <sharedItems containsSemiMixedTypes="0" containsString="0" containsNumber="1" minValue="57.11999999999999" maxValue="64.803124999999994"/>
    </cacheField>
    <cacheField name="Initial.mass" numFmtId="0">
      <sharedItems containsSemiMixedTypes="0" containsString="0" containsNumber="1" minValue="156.33000000000001" maxValue="184.85"/>
    </cacheField>
    <cacheField name="Final.mass.24" numFmtId="0">
      <sharedItems containsSemiMixedTypes="0" containsString="0" containsNumber="1" minValue="28.95" maxValue="143.65"/>
    </cacheField>
    <cacheField name="Final.mass.48" numFmtId="0">
      <sharedItems containsSemiMixedTypes="0" containsString="0" containsNumber="1" minValue="26.52" maxValue="138.54"/>
    </cacheField>
    <cacheField name="Final.mass.72" numFmtId="0">
      <sharedItems containsSemiMixedTypes="0" containsString="0" containsNumber="1" minValue="26.15" maxValue="131.74"/>
    </cacheField>
    <cacheField name="Final.mass.96" numFmtId="0">
      <sharedItems containsSemiMixedTypes="0" containsString="0" containsNumber="1" minValue="26.1" maxValue="125.1"/>
    </cacheField>
    <cacheField name="Final.mass.120" numFmtId="0">
      <sharedItems containsSemiMixedTypes="0" containsString="0" containsNumber="1" minValue="24.87" maxValue="125.72"/>
    </cacheField>
    <cacheField name="Final.mass.144" numFmtId="0">
      <sharedItems containsSemiMixedTypes="0" containsString="0" containsNumber="1" minValue="25.31" maxValue="125.69"/>
    </cacheField>
    <cacheField name="Final.mass.mean" numFmtId="2">
      <sharedItems containsSemiMixedTypes="0" containsString="0" containsNumber="1" minValue="25.426666666666666" maxValue="125.50333333333333"/>
    </cacheField>
    <cacheField name="dissolution" numFmtId="2">
      <sharedItems containsSemiMixedTypes="0" containsString="0" containsNumber="1" minValue="0.24272410949536391" maxValue="0.84519533231861999"/>
    </cacheField>
    <cacheField name="Drop.date" numFmtId="22">
      <sharedItems containsSemiMixedTypes="0" containsNonDate="0" containsDate="1" containsString="0" minDate="2012-07-27T18:00:00" maxDate="2012-07-28T20:20:00"/>
    </cacheField>
    <cacheField name="Drop.time" numFmtId="0">
      <sharedItems containsSemiMixedTypes="0" containsString="0" containsNumber="1" containsInteger="1" minValue="1735" maxValue="2020"/>
    </cacheField>
    <cacheField name="Retrieve.date" numFmtId="22">
      <sharedItems containsSemiMixedTypes="0" containsNonDate="0" containsDate="1" containsString="0" minDate="2012-08-03T12:35:00" maxDate="2012-08-06T09:15:00"/>
    </cacheField>
    <cacheField name="Retrieve.time" numFmtId="0">
      <sharedItems containsSemiMixedTypes="0" containsString="0" containsNumber="1" containsInteger="1" minValue="915" maxValue="1415"/>
    </cacheField>
    <cacheField name="Days.elapsed" numFmtId="0">
      <sharedItems containsSemiMixedTypes="0" containsString="0" containsNumber="1" minValue="6.7604166666715173" maxValue="8.5694444444452529"/>
    </cacheField>
    <cacheField name="Diss.day" numFmtId="0">
      <sharedItems containsSemiMixedTypes="0" containsString="0" containsNumber="1" minValue="3.5702014062656502E-2" maxValue="0.12502118937215609"/>
    </cacheField>
    <cacheField name="Diss.day.cm2" numFmtId="0">
      <sharedItems containsSemiMixedTypes="0" containsString="0" containsNumber="1" minValue="5.7758566734328006E-4" maxValue="2.1212502968764556E-3"/>
    </cacheField>
    <cacheField name="Tidal exchange" numFmtId="0">
      <sharedItems containsNonDate="0" containsString="0" containsBlank="1"/>
    </cacheField>
    <cacheField name="Notes" numFmtId="0">
      <sharedItems containsBlank="1"/>
    </cacheField>
    <cacheField name="Photo.date" numFmtId="0">
      <sharedItems containsNonDate="0" containsDate="1" containsString="0" containsBlank="1" minDate="2012-07-25T00:00:00" maxDate="2012-07-26T00:00:00"/>
    </cacheField>
    <cacheField name="Scrape.date" numFmtId="0">
      <sharedItems containsNonDate="0" containsDate="1" containsString="0" containsBlank="1" minDate="2012-07-25T00:00:00" maxDate="2012-07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Robin Elahi" refreshedDate="41434.888534722224" createdVersion="4" refreshedVersion="4" minRefreshableVersion="3" recordCount="24">
  <cacheSource type="worksheet">
    <worksheetSource ref="A1:AM25" sheet="raw"/>
  </cacheSource>
  <cacheFields count="39">
    <cacheField name="Region" numFmtId="0">
      <sharedItems/>
    </cacheField>
    <cacheField name="Site" numFmtId="0">
      <sharedItems/>
    </cacheField>
    <cacheField name="Cluster" numFmtId="0">
      <sharedItems containsSemiMixedTypes="0" containsString="0" containsNumber="1" containsInteger="1" minValue="1" maxValue="2" count="2">
        <n v="2"/>
        <n v="1"/>
      </sharedItems>
    </cacheField>
    <cacheField name="Tag.no" numFmtId="0">
      <sharedItems containsSemiMixedTypes="0" containsString="0" containsNumber="1" containsInteger="1" minValue="15" maxValue="48"/>
    </cacheField>
    <cacheField name="Depth.field" numFmtId="0">
      <sharedItems containsSemiMixedTypes="0" containsString="0" containsNumber="1" containsInteger="1" minValue="36" maxValue="58"/>
    </cacheField>
    <cacheField name="Depth.date.time" numFmtId="0">
      <sharedItems/>
    </cacheField>
    <cacheField name="Tide" numFmtId="0">
      <sharedItems containsSemiMixedTypes="0" containsString="0" containsNumber="1" containsInteger="1" minValue="0" maxValue="6"/>
    </cacheField>
    <cacheField name="Depth.corrected" numFmtId="0">
      <sharedItems containsSemiMixedTypes="0" containsString="0" containsNumber="1" containsInteger="1" minValue="34" maxValue="52"/>
    </cacheField>
    <cacheField name="Depth.m" numFmtId="0">
      <sharedItems containsSemiMixedTypes="0" containsString="0" containsNumber="1" minValue="10.363200000000001" maxValue="15.849600000000001"/>
    </cacheField>
    <cacheField name="Relative.position" numFmtId="0">
      <sharedItems/>
    </cacheField>
    <cacheField name="Temp.logger" numFmtId="0">
      <sharedItems/>
    </cacheField>
    <cacheField name="Clod.no" numFmtId="0">
      <sharedItems containsSemiMixedTypes="0" containsString="0" containsNumber="1" containsInteger="1" minValue="419" maxValue="442"/>
    </cacheField>
    <cacheField name="Site.clod" numFmtId="0">
      <sharedItems/>
    </cacheField>
    <cacheField name="N.ht" numFmtId="0">
      <sharedItems containsSemiMixedTypes="0" containsString="0" containsNumber="1" containsInteger="1" minValue="10" maxValue="14"/>
    </cacheField>
    <cacheField name="E.ht" numFmtId="0">
      <sharedItems containsSemiMixedTypes="0" containsString="0" containsNumber="1" containsInteger="1" minValue="10" maxValue="13"/>
    </cacheField>
    <cacheField name="S.ht" numFmtId="0">
      <sharedItems containsSemiMixedTypes="0" containsString="0" containsNumber="1" containsInteger="1" minValue="10" maxValue="13"/>
    </cacheField>
    <cacheField name="W.ht" numFmtId="0">
      <sharedItems containsSemiMixedTypes="0" containsString="0" containsNumber="1" containsInteger="1" minValue="11" maxValue="13"/>
    </cacheField>
    <cacheField name="N.ln" numFmtId="0">
      <sharedItems containsSemiMixedTypes="0" containsString="0" containsNumber="1" containsInteger="1" minValue="55" maxValue="62"/>
    </cacheField>
    <cacheField name="E.ln" numFmtId="0">
      <sharedItems containsSemiMixedTypes="0" containsString="0" containsNumber="1" containsInteger="1" minValue="55" maxValue="60"/>
    </cacheField>
    <cacheField name="S.ln" numFmtId="0">
      <sharedItems containsSemiMixedTypes="0" containsString="0" containsNumber="1" containsInteger="1" minValue="55" maxValue="62"/>
    </cacheField>
    <cacheField name="W.ln" numFmtId="0">
      <sharedItems containsSemiMixedTypes="0" containsString="0" containsNumber="1" containsInteger="1" minValue="54" maxValue="58"/>
    </cacheField>
    <cacheField name="ht.mean" numFmtId="0">
      <sharedItems containsSemiMixedTypes="0" containsString="0" containsNumber="1" minValue="1.05" maxValue="1.325"/>
    </cacheField>
    <cacheField name="lng.mean" numFmtId="0">
      <sharedItems containsSemiMixedTypes="0" containsString="0" containsNumber="1" minValue="5.5250000000000004" maxValue="5.8250000000000002"/>
    </cacheField>
    <cacheField name="Surf.area" numFmtId="0">
      <sharedItems containsSemiMixedTypes="0" containsString="0" containsNumber="1" minValue="57.11999999999999" maxValue="64.803124999999994"/>
    </cacheField>
    <cacheField name="Initial.mass" numFmtId="0">
      <sharedItems containsSemiMixedTypes="0" containsString="0" containsNumber="1" minValue="156.33000000000001" maxValue="184.85"/>
    </cacheField>
    <cacheField name="Final.mass.24" numFmtId="0">
      <sharedItems containsSemiMixedTypes="0" containsString="0" containsNumber="1" minValue="28.95" maxValue="143.65"/>
    </cacheField>
    <cacheField name="Final.mass.48" numFmtId="0">
      <sharedItems containsSemiMixedTypes="0" containsString="0" containsNumber="1" minValue="26.52" maxValue="138.54"/>
    </cacheField>
    <cacheField name="Final.mass.72" numFmtId="0">
      <sharedItems containsSemiMixedTypes="0" containsString="0" containsNumber="1" minValue="26.15" maxValue="131.74"/>
    </cacheField>
    <cacheField name="Final.mass.96" numFmtId="0">
      <sharedItems containsSemiMixedTypes="0" containsString="0" containsNumber="1" minValue="26.1" maxValue="125.1"/>
    </cacheField>
    <cacheField name="Final.mass.120" numFmtId="0">
      <sharedItems containsSemiMixedTypes="0" containsString="0" containsNumber="1" minValue="24.87" maxValue="125.72"/>
    </cacheField>
    <cacheField name="Final.mass.144" numFmtId="0">
      <sharedItems containsSemiMixedTypes="0" containsString="0" containsNumber="1" minValue="25.31" maxValue="125.69"/>
    </cacheField>
    <cacheField name="Final.mass.mean" numFmtId="2">
      <sharedItems containsSemiMixedTypes="0" containsString="0" containsNumber="1" minValue="25.426666666666666" maxValue="125.50333333333333"/>
    </cacheField>
    <cacheField name="dissolution" numFmtId="2">
      <sharedItems containsSemiMixedTypes="0" containsString="0" containsNumber="1" minValue="0.24272410949536391" maxValue="0.84519533231861999"/>
    </cacheField>
    <cacheField name="Drop.date" numFmtId="22">
      <sharedItems containsSemiMixedTypes="0" containsNonDate="0" containsDate="1" containsString="0" minDate="2012-07-27T18:00:00" maxDate="2012-07-28T20:20:00"/>
    </cacheField>
    <cacheField name="Drop.time" numFmtId="0">
      <sharedItems containsSemiMixedTypes="0" containsString="0" containsNumber="1" containsInteger="1" minValue="1735" maxValue="2020"/>
    </cacheField>
    <cacheField name="Retrieve.date" numFmtId="22">
      <sharedItems containsSemiMixedTypes="0" containsNonDate="0" containsDate="1" containsString="0" minDate="2012-08-03T12:35:00" maxDate="2012-08-06T09:15:00"/>
    </cacheField>
    <cacheField name="Retrieve.time" numFmtId="0">
      <sharedItems containsSemiMixedTypes="0" containsString="0" containsNumber="1" containsInteger="1" minValue="915" maxValue="1415"/>
    </cacheField>
    <cacheField name="Days.elapsed" numFmtId="0">
      <sharedItems containsSemiMixedTypes="0" containsString="0" containsNumber="1" minValue="6.7604166666715173" maxValue="8.5694444444452529"/>
    </cacheField>
    <cacheField name="Diss.day" numFmtId="0">
      <sharedItems containsSemiMixedTypes="0" containsString="0" containsNumber="1" minValue="3.5702014062656502E-2" maxValue="0.125021189372156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Robin Elahi" refreshedDate="41434.888535995371" createdVersion="4" refreshedVersion="4" minRefreshableVersion="3" recordCount="24">
  <cacheSource type="worksheet">
    <worksheetSource ref="A1:AN25" sheet="raw"/>
  </cacheSource>
  <cacheFields count="40">
    <cacheField name="Region" numFmtId="0">
      <sharedItems count="2">
        <s v="Channel"/>
        <s v="Sound"/>
      </sharedItems>
    </cacheField>
    <cacheField name="Site" numFmtId="0">
      <sharedItems/>
    </cacheField>
    <cacheField name="Cluster" numFmtId="0">
      <sharedItems containsSemiMixedTypes="0" containsString="0" containsNumber="1" containsInteger="1" minValue="1" maxValue="2"/>
    </cacheField>
    <cacheField name="Tag.no" numFmtId="0">
      <sharedItems containsSemiMixedTypes="0" containsString="0" containsNumber="1" containsInteger="1" minValue="15" maxValue="48"/>
    </cacheField>
    <cacheField name="Depth.field" numFmtId="0">
      <sharedItems containsSemiMixedTypes="0" containsString="0" containsNumber="1" containsInteger="1" minValue="36" maxValue="58"/>
    </cacheField>
    <cacheField name="Depth.date.time" numFmtId="0">
      <sharedItems/>
    </cacheField>
    <cacheField name="Tide" numFmtId="0">
      <sharedItems containsSemiMixedTypes="0" containsString="0" containsNumber="1" containsInteger="1" minValue="0" maxValue="6"/>
    </cacheField>
    <cacheField name="Depth.corrected" numFmtId="0">
      <sharedItems containsSemiMixedTypes="0" containsString="0" containsNumber="1" containsInteger="1" minValue="34" maxValue="52"/>
    </cacheField>
    <cacheField name="Depth.m" numFmtId="0">
      <sharedItems containsSemiMixedTypes="0" containsString="0" containsNumber="1" minValue="10.363200000000001" maxValue="15.849600000000001"/>
    </cacheField>
    <cacheField name="Relative.position" numFmtId="0">
      <sharedItems/>
    </cacheField>
    <cacheField name="Temp.logger" numFmtId="0">
      <sharedItems/>
    </cacheField>
    <cacheField name="Clod.no" numFmtId="0">
      <sharedItems containsSemiMixedTypes="0" containsString="0" containsNumber="1" containsInteger="1" minValue="419" maxValue="442"/>
    </cacheField>
    <cacheField name="Site.clod" numFmtId="0">
      <sharedItems/>
    </cacheField>
    <cacheField name="N.ht" numFmtId="0">
      <sharedItems containsSemiMixedTypes="0" containsString="0" containsNumber="1" containsInteger="1" minValue="10" maxValue="14"/>
    </cacheField>
    <cacheField name="E.ht" numFmtId="0">
      <sharedItems containsSemiMixedTypes="0" containsString="0" containsNumber="1" containsInteger="1" minValue="10" maxValue="13"/>
    </cacheField>
    <cacheField name="S.ht" numFmtId="0">
      <sharedItems containsSemiMixedTypes="0" containsString="0" containsNumber="1" containsInteger="1" minValue="10" maxValue="13"/>
    </cacheField>
    <cacheField name="W.ht" numFmtId="0">
      <sharedItems containsSemiMixedTypes="0" containsString="0" containsNumber="1" containsInteger="1" minValue="11" maxValue="13"/>
    </cacheField>
    <cacheField name="N.ln" numFmtId="0">
      <sharedItems containsSemiMixedTypes="0" containsString="0" containsNumber="1" containsInteger="1" minValue="55" maxValue="62"/>
    </cacheField>
    <cacheField name="E.ln" numFmtId="0">
      <sharedItems containsSemiMixedTypes="0" containsString="0" containsNumber="1" containsInteger="1" minValue="55" maxValue="60"/>
    </cacheField>
    <cacheField name="S.ln" numFmtId="0">
      <sharedItems containsSemiMixedTypes="0" containsString="0" containsNumber="1" containsInteger="1" minValue="55" maxValue="62"/>
    </cacheField>
    <cacheField name="W.ln" numFmtId="0">
      <sharedItems containsSemiMixedTypes="0" containsString="0" containsNumber="1" containsInteger="1" minValue="54" maxValue="58"/>
    </cacheField>
    <cacheField name="ht.mean" numFmtId="0">
      <sharedItems containsSemiMixedTypes="0" containsString="0" containsNumber="1" minValue="1.05" maxValue="1.325"/>
    </cacheField>
    <cacheField name="lng.mean" numFmtId="0">
      <sharedItems containsSemiMixedTypes="0" containsString="0" containsNumber="1" minValue="5.5250000000000004" maxValue="5.8250000000000002"/>
    </cacheField>
    <cacheField name="Surf.area" numFmtId="0">
      <sharedItems containsSemiMixedTypes="0" containsString="0" containsNumber="1" minValue="57.11999999999999" maxValue="64.803124999999994"/>
    </cacheField>
    <cacheField name="Initial.mass" numFmtId="0">
      <sharedItems containsSemiMixedTypes="0" containsString="0" containsNumber="1" minValue="156.33000000000001" maxValue="184.85"/>
    </cacheField>
    <cacheField name="Final.mass.24" numFmtId="0">
      <sharedItems containsSemiMixedTypes="0" containsString="0" containsNumber="1" minValue="28.95" maxValue="143.65"/>
    </cacheField>
    <cacheField name="Final.mass.48" numFmtId="0">
      <sharedItems containsSemiMixedTypes="0" containsString="0" containsNumber="1" minValue="26.52" maxValue="138.54"/>
    </cacheField>
    <cacheField name="Final.mass.72" numFmtId="0">
      <sharedItems containsSemiMixedTypes="0" containsString="0" containsNumber="1" minValue="26.15" maxValue="131.74"/>
    </cacheField>
    <cacheField name="Final.mass.96" numFmtId="0">
      <sharedItems containsSemiMixedTypes="0" containsString="0" containsNumber="1" minValue="26.1" maxValue="125.1"/>
    </cacheField>
    <cacheField name="Final.mass.120" numFmtId="0">
      <sharedItems containsSemiMixedTypes="0" containsString="0" containsNumber="1" minValue="24.87" maxValue="125.72"/>
    </cacheField>
    <cacheField name="Final.mass.144" numFmtId="0">
      <sharedItems containsSemiMixedTypes="0" containsString="0" containsNumber="1" minValue="25.31" maxValue="125.69"/>
    </cacheField>
    <cacheField name="Final.mass.mean" numFmtId="2">
      <sharedItems containsSemiMixedTypes="0" containsString="0" containsNumber="1" minValue="25.426666666666666" maxValue="125.50333333333333"/>
    </cacheField>
    <cacheField name="dissolution" numFmtId="2">
      <sharedItems containsSemiMixedTypes="0" containsString="0" containsNumber="1" minValue="0.24272410949536391" maxValue="0.84519533231861999"/>
    </cacheField>
    <cacheField name="Drop.date" numFmtId="22">
      <sharedItems containsSemiMixedTypes="0" containsNonDate="0" containsDate="1" containsString="0" minDate="2012-07-27T18:00:00" maxDate="2012-07-28T20:20:00"/>
    </cacheField>
    <cacheField name="Drop.time" numFmtId="0">
      <sharedItems containsSemiMixedTypes="0" containsString="0" containsNumber="1" containsInteger="1" minValue="1735" maxValue="2020"/>
    </cacheField>
    <cacheField name="Retrieve.date" numFmtId="22">
      <sharedItems containsSemiMixedTypes="0" containsNonDate="0" containsDate="1" containsString="0" minDate="2012-08-03T12:35:00" maxDate="2012-08-06T09:15:00"/>
    </cacheField>
    <cacheField name="Retrieve.time" numFmtId="0">
      <sharedItems containsSemiMixedTypes="0" containsString="0" containsNumber="1" containsInteger="1" minValue="915" maxValue="1415"/>
    </cacheField>
    <cacheField name="Days.elapsed" numFmtId="0">
      <sharedItems containsSemiMixedTypes="0" containsString="0" containsNumber="1" minValue="6.7604166666715173" maxValue="8.5694444444452529"/>
    </cacheField>
    <cacheField name="Diss.day" numFmtId="0">
      <sharedItems containsSemiMixedTypes="0" containsString="0" containsNumber="1" minValue="3.5702014062656502E-2" maxValue="0.12502118937215609"/>
    </cacheField>
    <cacheField name="Diss.day.cm2" numFmtId="0">
      <sharedItems containsSemiMixedTypes="0" containsString="0" containsNumber="1" minValue="5.7758566734328006E-4" maxValue="2.1212502968764556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5">
  <r>
    <x v="0"/>
    <s v="A"/>
    <s v="Haro"/>
    <s v="Admiralty Inlet"/>
    <n v="1"/>
    <n v="1.3499999999999999"/>
    <n v="2.2999999999999998"/>
    <n v="0.69389999999999996"/>
    <n v="1.1821999999999999"/>
  </r>
  <r>
    <x v="0"/>
    <s v="A"/>
    <s v="Haro"/>
    <s v="Admiralty Inlet"/>
    <n v="2"/>
    <n v="1.375"/>
    <n v="2.2000000000000002"/>
    <n v="0.70674999999999999"/>
    <n v="1.1308"/>
  </r>
  <r>
    <x v="0"/>
    <s v="A"/>
    <s v="Haro"/>
    <s v="Admiralty Inlet"/>
    <n v="3"/>
    <n v="1.375"/>
    <n v="2.1"/>
    <n v="0.70674999999999999"/>
    <n v="1.0794000000000001"/>
  </r>
  <r>
    <x v="0"/>
    <s v="A"/>
    <s v="Haro"/>
    <s v="Admiralty Inlet"/>
    <n v="4"/>
    <n v="1.3"/>
    <n v="1.9"/>
    <n v="0.66820000000000002"/>
    <n v="0.97660000000000002"/>
  </r>
  <r>
    <x v="0"/>
    <s v="A"/>
    <s v="Haro"/>
    <s v="Admiralty Inlet"/>
    <n v="5"/>
    <n v="1.0666666666666667"/>
    <n v="1.7"/>
    <n v="0.54826666666666668"/>
    <n v="0.87380000000000002"/>
  </r>
  <r>
    <x v="0"/>
    <s v="A"/>
    <s v="Haro"/>
    <s v="Admiralty Inlet"/>
    <n v="6"/>
    <n v="1.075"/>
    <n v="1.7"/>
    <n v="0.55254999999999999"/>
    <n v="0.87380000000000002"/>
  </r>
  <r>
    <x v="0"/>
    <s v="A"/>
    <s v="Haro"/>
    <s v="Admiralty Inlet"/>
    <n v="7"/>
    <n v="0.97500000000000009"/>
    <n v="1.7"/>
    <n v="0.5011500000000001"/>
    <n v="0.87380000000000002"/>
  </r>
  <r>
    <x v="0"/>
    <s v="A"/>
    <s v="Haro"/>
    <s v="Admiralty Inlet"/>
    <n v="8"/>
    <n v="0.875"/>
    <n v="1.7"/>
    <n v="0.44974999999999998"/>
    <n v="0.87380000000000002"/>
  </r>
  <r>
    <x v="0"/>
    <s v="A"/>
    <s v="Haro"/>
    <s v="Admiralty Inlet"/>
    <n v="9"/>
    <n v="0.75"/>
    <n v="1.6"/>
    <n v="0.38550000000000001"/>
    <n v="0.82240000000000002"/>
  </r>
  <r>
    <x v="0"/>
    <s v="A"/>
    <s v="Haro"/>
    <s v="Admiralty Inlet"/>
    <n v="10"/>
    <n v="0.72500000000000009"/>
    <n v="1.6"/>
    <n v="0.37265000000000004"/>
    <n v="0.82240000000000002"/>
  </r>
  <r>
    <x v="0"/>
    <s v="A"/>
    <s v="Haro"/>
    <s v="Admiralty Inlet"/>
    <n v="11"/>
    <n v="0.75000000000000011"/>
    <n v="1.6"/>
    <n v="0.38550000000000006"/>
    <n v="0.82240000000000002"/>
  </r>
  <r>
    <x v="0"/>
    <s v="A"/>
    <s v="Haro"/>
    <s v="Admiralty Inlet"/>
    <n v="12"/>
    <n v="1"/>
    <n v="1.6"/>
    <n v="0.51400000000000001"/>
    <n v="0.82240000000000002"/>
  </r>
  <r>
    <x v="0"/>
    <s v="A"/>
    <s v="Haro"/>
    <s v="Admiralty Inlet"/>
    <n v="13"/>
    <n v="0.85"/>
    <n v="1.6"/>
    <n v="0.43690000000000001"/>
    <n v="0.82240000000000002"/>
  </r>
  <r>
    <x v="0"/>
    <s v="A"/>
    <s v="Haro"/>
    <s v="Admiralty Inlet"/>
    <n v="14"/>
    <n v="0.95000000000000007"/>
    <n v="1.7"/>
    <n v="0.48830000000000007"/>
    <n v="0.87380000000000002"/>
  </r>
  <r>
    <x v="0"/>
    <s v="A"/>
    <s v="Haro"/>
    <s v="Admiralty Inlet"/>
    <n v="15"/>
    <n v="1.05"/>
    <n v="1.8"/>
    <n v="0.53970000000000007"/>
    <n v="0.92520000000000002"/>
  </r>
  <r>
    <x v="0"/>
    <s v="A"/>
    <s v="Haro"/>
    <s v="Admiralty Inlet"/>
    <n v="16"/>
    <n v="1.1499999999999999"/>
    <n v="1.9"/>
    <n v="0.59109999999999996"/>
    <n v="0.97660000000000002"/>
  </r>
  <r>
    <x v="0"/>
    <s v="A"/>
    <s v="Haro"/>
    <s v="Admiralty Inlet"/>
    <n v="17"/>
    <n v="1.2250000000000001"/>
    <n v="1.9"/>
    <n v="0.62965000000000004"/>
    <n v="0.97660000000000002"/>
  </r>
  <r>
    <x v="0"/>
    <s v="A"/>
    <s v="Haro"/>
    <s v="Admiralty Inlet"/>
    <n v="18"/>
    <n v="1.2749999999999999"/>
    <n v="1.9"/>
    <n v="0.65534999999999999"/>
    <n v="0.97660000000000002"/>
  </r>
  <r>
    <x v="0"/>
    <s v="A"/>
    <s v="Haro"/>
    <s v="Admiralty Inlet"/>
    <n v="19"/>
    <n v="1.2999999999999998"/>
    <n v="1.9"/>
    <n v="0.66819999999999991"/>
    <n v="0.97660000000000002"/>
  </r>
  <r>
    <x v="0"/>
    <s v="A"/>
    <s v="Haro"/>
    <s v="Admiralty Inlet"/>
    <n v="20"/>
    <n v="1.3"/>
    <n v="2"/>
    <n v="0.66820000000000002"/>
    <n v="1.028"/>
  </r>
  <r>
    <x v="0"/>
    <s v="A"/>
    <s v="Haro"/>
    <s v="Admiralty Inlet"/>
    <n v="21"/>
    <n v="1.0333333333333332"/>
    <n v="1.5"/>
    <n v="0.53113333333333324"/>
    <n v="0.77100000000000002"/>
  </r>
  <r>
    <x v="0"/>
    <s v="A"/>
    <s v="Haro"/>
    <s v="Admiralty Inlet"/>
    <n v="22"/>
    <n v="1.1749999999999998"/>
    <n v="2"/>
    <n v="0.60394999999999988"/>
    <n v="1.028"/>
  </r>
  <r>
    <x v="0"/>
    <s v="A"/>
    <s v="Haro"/>
    <s v="Admiralty Inlet"/>
    <n v="23"/>
    <n v="1.1000000000000001"/>
    <n v="2"/>
    <n v="0.56540000000000001"/>
    <n v="1.028"/>
  </r>
  <r>
    <x v="0"/>
    <s v="A"/>
    <s v="Haro"/>
    <s v="Admiralty Inlet"/>
    <n v="24"/>
    <n v="1.0249999999999999"/>
    <n v="2"/>
    <n v="0.52684999999999993"/>
    <n v="1.028"/>
  </r>
  <r>
    <x v="0"/>
    <s v="A"/>
    <s v="Haro"/>
    <s v="Admiralty Inlet"/>
    <n v="25"/>
    <n v="0.95000000000000007"/>
    <n v="1.9"/>
    <n v="0.48830000000000007"/>
    <n v="0.97660000000000002"/>
  </r>
  <r>
    <x v="0"/>
    <s v="A"/>
    <s v="Haro"/>
    <s v="Admiralty Inlet"/>
    <n v="26"/>
    <n v="0.97500000000000009"/>
    <n v="1.9"/>
    <n v="0.5011500000000001"/>
    <n v="0.97660000000000002"/>
  </r>
  <r>
    <x v="0"/>
    <s v="A"/>
    <s v="Haro"/>
    <s v="Admiralty Inlet"/>
    <n v="27"/>
    <n v="1.3"/>
    <n v="1.9"/>
    <n v="0.66820000000000002"/>
    <n v="0.97660000000000002"/>
  </r>
  <r>
    <x v="0"/>
    <s v="A"/>
    <s v="Haro"/>
    <s v="Admiralty Inlet"/>
    <n v="28"/>
    <n v="1.1749999999999998"/>
    <n v="2"/>
    <n v="0.60394999999999988"/>
    <n v="1.028"/>
  </r>
  <r>
    <x v="0"/>
    <s v="A"/>
    <s v="Haro"/>
    <s v="Admiralty Inlet"/>
    <n v="29"/>
    <n v="1.25"/>
    <n v="2"/>
    <n v="0.64250000000000007"/>
    <n v="1.028"/>
  </r>
  <r>
    <x v="0"/>
    <s v="A"/>
    <s v="Haro"/>
    <s v="Admiralty Inlet"/>
    <n v="30"/>
    <n v="1.3"/>
    <n v="2"/>
    <n v="0.66820000000000002"/>
    <n v="1.028"/>
  </r>
  <r>
    <x v="0"/>
    <s v="A"/>
    <s v="Haro"/>
    <s v="Admiralty Inlet"/>
    <n v="31"/>
    <n v="1.325"/>
    <n v="1.9"/>
    <n v="0.68105000000000004"/>
    <n v="0.97660000000000002"/>
  </r>
  <r>
    <x v="1"/>
    <s v="B"/>
    <s v="Haro"/>
    <s v="Admiralty Inlet"/>
    <n v="1"/>
    <n v="2.2749999999999999"/>
    <n v="3.1"/>
    <n v="1.1693499999999999"/>
    <n v="1.5934000000000001"/>
  </r>
  <r>
    <x v="1"/>
    <s v="B"/>
    <s v="Haro"/>
    <s v="Admiralty Inlet"/>
    <n v="2"/>
    <n v="2.35"/>
    <n v="3"/>
    <n v="1.2079"/>
    <n v="1.542"/>
  </r>
  <r>
    <x v="1"/>
    <s v="B"/>
    <s v="Haro"/>
    <s v="Admiralty Inlet"/>
    <n v="3"/>
    <n v="2.3250000000000002"/>
    <n v="2.9"/>
    <n v="1.1950500000000002"/>
    <n v="1.4905999999999999"/>
  </r>
  <r>
    <x v="1"/>
    <s v="B"/>
    <s v="Haro"/>
    <s v="Admiralty Inlet"/>
    <n v="4"/>
    <n v="2.2249999999999996"/>
    <n v="2.6"/>
    <n v="1.1436499999999998"/>
    <n v="1.3364"/>
  </r>
  <r>
    <x v="1"/>
    <s v="B"/>
    <s v="Haro"/>
    <s v="Admiralty Inlet"/>
    <n v="5"/>
    <n v="1.9333333333333336"/>
    <n v="2.2000000000000002"/>
    <n v="0.99373333333333347"/>
    <n v="1.1308"/>
  </r>
  <r>
    <x v="1"/>
    <s v="B"/>
    <s v="Haro"/>
    <s v="Admiralty Inlet"/>
    <n v="6"/>
    <n v="1.7999999999999998"/>
    <n v="2.2999999999999998"/>
    <n v="0.92519999999999991"/>
    <n v="1.1821999999999999"/>
  </r>
  <r>
    <x v="1"/>
    <s v="B"/>
    <s v="Haro"/>
    <s v="Admiralty Inlet"/>
    <n v="7"/>
    <n v="1.625"/>
    <n v="2.2999999999999998"/>
    <n v="0.83525000000000005"/>
    <n v="1.1821999999999999"/>
  </r>
  <r>
    <x v="1"/>
    <s v="B"/>
    <s v="Haro"/>
    <s v="Admiralty Inlet"/>
    <n v="8"/>
    <n v="1.4000000000000001"/>
    <n v="2.2000000000000002"/>
    <n v="0.71960000000000013"/>
    <n v="1.1308"/>
  </r>
  <r>
    <x v="1"/>
    <s v="B"/>
    <s v="Haro"/>
    <s v="Admiralty Inlet"/>
    <n v="9"/>
    <n v="1.2500000000000002"/>
    <n v="2.2000000000000002"/>
    <n v="0.64250000000000018"/>
    <n v="1.1308"/>
  </r>
  <r>
    <x v="1"/>
    <s v="B"/>
    <s v="Haro"/>
    <s v="Admiralty Inlet"/>
    <n v="10"/>
    <n v="1.125"/>
    <n v="2.1"/>
    <n v="0.57825000000000004"/>
    <n v="1.0794000000000001"/>
  </r>
  <r>
    <x v="1"/>
    <s v="B"/>
    <s v="Haro"/>
    <s v="Admiralty Inlet"/>
    <n v="11"/>
    <n v="1.175"/>
    <n v="2.1"/>
    <n v="0.60394999999999999"/>
    <n v="1.0794000000000001"/>
  </r>
  <r>
    <x v="1"/>
    <s v="B"/>
    <s v="Haro"/>
    <s v="Admiralty Inlet"/>
    <n v="12"/>
    <n v="1.25"/>
    <n v="2.1"/>
    <n v="0.64250000000000007"/>
    <n v="1.0794000000000001"/>
  </r>
  <r>
    <x v="1"/>
    <s v="B"/>
    <s v="Haro"/>
    <s v="Admiralty Inlet"/>
    <n v="13"/>
    <n v="1.7666666666666666"/>
    <n v="2.2000000000000002"/>
    <n v="0.90806666666666669"/>
    <n v="1.1308"/>
  </r>
  <r>
    <x v="1"/>
    <s v="B"/>
    <s v="Haro"/>
    <s v="Admiralty Inlet"/>
    <n v="14"/>
    <n v="1.5499999999999998"/>
    <n v="2.2999999999999998"/>
    <n v="0.79669999999999996"/>
    <n v="1.1821999999999999"/>
  </r>
  <r>
    <x v="1"/>
    <s v="B"/>
    <s v="Haro"/>
    <s v="Admiralty Inlet"/>
    <n v="15"/>
    <n v="1.7249999999999999"/>
    <n v="2.4"/>
    <n v="0.88664999999999994"/>
    <n v="1.2336"/>
  </r>
  <r>
    <x v="1"/>
    <s v="B"/>
    <s v="Haro"/>
    <s v="Admiralty Inlet"/>
    <n v="16"/>
    <n v="1.8749999999999998"/>
    <n v="2.5"/>
    <n v="0.96374999999999988"/>
    <n v="1.2850000000000001"/>
  </r>
  <r>
    <x v="1"/>
    <s v="B"/>
    <s v="Haro"/>
    <s v="Admiralty Inlet"/>
    <n v="17"/>
    <n v="2.0499999999999998"/>
    <n v="2.6"/>
    <n v="1.0536999999999999"/>
    <n v="1.3364"/>
  </r>
  <r>
    <x v="1"/>
    <s v="B"/>
    <s v="Haro"/>
    <s v="Admiralty Inlet"/>
    <n v="18"/>
    <n v="2.15"/>
    <n v="2.5"/>
    <n v="1.1051"/>
    <n v="1.2850000000000001"/>
  </r>
  <r>
    <x v="1"/>
    <s v="B"/>
    <s v="Haro"/>
    <s v="Admiralty Inlet"/>
    <n v="19"/>
    <n v="2.1749999999999998"/>
    <n v="2.5"/>
    <n v="1.11795"/>
    <n v="1.2850000000000001"/>
  </r>
  <r>
    <x v="1"/>
    <s v="B"/>
    <s v="Haro"/>
    <s v="Admiralty Inlet"/>
    <n v="20"/>
    <n v="2.15"/>
    <n v="2.6"/>
    <n v="1.1051"/>
    <n v="1.3364"/>
  </r>
  <r>
    <x v="1"/>
    <s v="B"/>
    <s v="Haro"/>
    <s v="Admiralty Inlet"/>
    <n v="21"/>
    <n v="1.9333333333333333"/>
    <n v="2"/>
    <n v="0.99373333333333336"/>
    <n v="1.028"/>
  </r>
  <r>
    <x v="1"/>
    <s v="B"/>
    <s v="Haro"/>
    <s v="Admiralty Inlet"/>
    <n v="22"/>
    <n v="1.95"/>
    <n v="2.7"/>
    <n v="1.0023"/>
    <n v="1.3878000000000001"/>
  </r>
  <r>
    <x v="1"/>
    <s v="B"/>
    <s v="Haro"/>
    <s v="Admiralty Inlet"/>
    <n v="23"/>
    <n v="1.8"/>
    <n v="2.7"/>
    <n v="0.92520000000000002"/>
    <n v="1.3878000000000001"/>
  </r>
  <r>
    <x v="1"/>
    <s v="B"/>
    <s v="Haro"/>
    <s v="Admiralty Inlet"/>
    <n v="24"/>
    <n v="1.6500000000000001"/>
    <n v="2.6"/>
    <n v="0.84810000000000008"/>
    <n v="1.3364"/>
  </r>
  <r>
    <x v="1"/>
    <s v="B"/>
    <s v="Haro"/>
    <s v="Admiralty Inlet"/>
    <n v="25"/>
    <n v="1.5999999999999999"/>
    <n v="2.6"/>
    <n v="0.82239999999999991"/>
    <n v="1.3364"/>
  </r>
  <r>
    <x v="1"/>
    <s v="B"/>
    <s v="Haro"/>
    <s v="Admiralty Inlet"/>
    <n v="26"/>
    <n v="1.65"/>
    <n v="2.6"/>
    <n v="0.84809999999999997"/>
    <n v="1.3364"/>
  </r>
  <r>
    <x v="1"/>
    <s v="B"/>
    <s v="Haro"/>
    <s v="Admiralty Inlet"/>
    <n v="27"/>
    <n v="2.1333333333333333"/>
    <n v="2.6"/>
    <n v="1.0965333333333334"/>
    <n v="1.3364"/>
  </r>
  <r>
    <x v="1"/>
    <s v="B"/>
    <s v="Haro"/>
    <s v="Admiralty Inlet"/>
    <n v="28"/>
    <n v="1.925"/>
    <n v="2.6"/>
    <n v="0.98945000000000005"/>
    <n v="1.3364"/>
  </r>
  <r>
    <x v="1"/>
    <s v="B"/>
    <s v="Haro"/>
    <s v="Admiralty Inlet"/>
    <n v="29"/>
    <n v="2.0750000000000002"/>
    <n v="2.6"/>
    <n v="1.0665500000000001"/>
    <n v="1.3364"/>
  </r>
  <r>
    <x v="1"/>
    <s v="B"/>
    <s v="Haro"/>
    <s v="Admiralty Inlet"/>
    <n v="30"/>
    <n v="2.1749999999999998"/>
    <n v="2.6"/>
    <n v="1.11795"/>
    <n v="1.3364"/>
  </r>
  <r>
    <x v="1"/>
    <s v="B"/>
    <s v="Haro"/>
    <s v="Admiralty Inlet"/>
    <n v="31"/>
    <n v="2.2749999999999999"/>
    <n v="2.6"/>
    <n v="1.1693499999999999"/>
    <n v="1.3364"/>
  </r>
  <r>
    <x v="2"/>
    <s v="C"/>
    <s v="Haro"/>
    <s v="Admiralty Inlet"/>
    <n v="1"/>
    <n v="1.7749999999999999"/>
    <n v="2.5"/>
    <n v="0.91234999999999999"/>
    <n v="1.2850000000000001"/>
  </r>
  <r>
    <x v="2"/>
    <s v="C"/>
    <s v="Haro"/>
    <s v="Admiralty Inlet"/>
    <n v="2"/>
    <n v="1.7999999999999998"/>
    <n v="2.4"/>
    <n v="0.92519999999999991"/>
    <n v="1.2336"/>
  </r>
  <r>
    <x v="2"/>
    <s v="C"/>
    <s v="Haro"/>
    <s v="Admiralty Inlet"/>
    <n v="3"/>
    <n v="1.7750000000000001"/>
    <n v="2.2999999999999998"/>
    <n v="0.91235000000000011"/>
    <n v="1.1821999999999999"/>
  </r>
  <r>
    <x v="2"/>
    <s v="C"/>
    <s v="Haro"/>
    <s v="Admiralty Inlet"/>
    <n v="4"/>
    <n v="1.7"/>
    <n v="2.1"/>
    <n v="0.87380000000000002"/>
    <n v="1.0794000000000001"/>
  </r>
  <r>
    <x v="2"/>
    <s v="C"/>
    <s v="Haro"/>
    <s v="Admiralty Inlet"/>
    <n v="5"/>
    <n v="1.575"/>
    <n v="1.8"/>
    <n v="0.80954999999999999"/>
    <n v="0.92520000000000002"/>
  </r>
  <r>
    <x v="2"/>
    <s v="C"/>
    <s v="Haro"/>
    <s v="Admiralty Inlet"/>
    <n v="6"/>
    <n v="1.375"/>
    <n v="1.7"/>
    <n v="0.70674999999999999"/>
    <n v="0.87380000000000002"/>
  </r>
  <r>
    <x v="2"/>
    <s v="C"/>
    <s v="Haro"/>
    <s v="Admiralty Inlet"/>
    <n v="7"/>
    <n v="1.2250000000000001"/>
    <n v="1.7"/>
    <n v="0.62965000000000004"/>
    <n v="0.87380000000000002"/>
  </r>
  <r>
    <x v="2"/>
    <s v="C"/>
    <s v="Haro"/>
    <s v="Admiralty Inlet"/>
    <n v="8"/>
    <n v="1.1000000000000001"/>
    <n v="1.7"/>
    <n v="0.56540000000000001"/>
    <n v="0.87380000000000002"/>
  </r>
  <r>
    <x v="2"/>
    <s v="C"/>
    <s v="Haro"/>
    <s v="Admiralty Inlet"/>
    <n v="9"/>
    <n v="0.95000000000000007"/>
    <n v="1.6"/>
    <n v="0.48830000000000007"/>
    <n v="0.82240000000000002"/>
  </r>
  <r>
    <x v="2"/>
    <s v="C"/>
    <s v="Haro"/>
    <s v="Admiralty Inlet"/>
    <n v="10"/>
    <n v="0.875"/>
    <n v="1.6"/>
    <n v="0.44974999999999998"/>
    <n v="0.82240000000000002"/>
  </r>
  <r>
    <x v="2"/>
    <s v="C"/>
    <s v="Haro"/>
    <s v="Admiralty Inlet"/>
    <n v="11"/>
    <n v="0.90000000000000013"/>
    <n v="1.6"/>
    <n v="0.46260000000000007"/>
    <n v="0.82240000000000002"/>
  </r>
  <r>
    <x v="2"/>
    <s v="C"/>
    <s v="Haro"/>
    <s v="Admiralty Inlet"/>
    <n v="12"/>
    <n v="1.2333333333333334"/>
    <n v="1.6"/>
    <n v="0.63393333333333335"/>
    <n v="0.82240000000000002"/>
  </r>
  <r>
    <x v="2"/>
    <s v="C"/>
    <s v="Haro"/>
    <s v="Admiralty Inlet"/>
    <n v="13"/>
    <n v="1.05"/>
    <n v="1.6"/>
    <n v="0.53970000000000007"/>
    <n v="0.82240000000000002"/>
  </r>
  <r>
    <x v="2"/>
    <s v="C"/>
    <s v="Haro"/>
    <s v="Admiralty Inlet"/>
    <n v="14"/>
    <n v="1.2000000000000002"/>
    <n v="1.7"/>
    <n v="0.61680000000000013"/>
    <n v="0.87380000000000002"/>
  </r>
  <r>
    <x v="2"/>
    <s v="C"/>
    <s v="Haro"/>
    <s v="Admiralty Inlet"/>
    <n v="15"/>
    <n v="1.325"/>
    <n v="1.8"/>
    <n v="0.68105000000000004"/>
    <n v="0.92520000000000002"/>
  </r>
  <r>
    <x v="2"/>
    <s v="C"/>
    <s v="Haro"/>
    <s v="Admiralty Inlet"/>
    <n v="16"/>
    <n v="1.4500000000000002"/>
    <n v="1.9"/>
    <n v="0.74530000000000007"/>
    <n v="0.97660000000000002"/>
  </r>
  <r>
    <x v="2"/>
    <s v="C"/>
    <s v="Haro"/>
    <s v="Admiralty Inlet"/>
    <n v="17"/>
    <n v="1.5750000000000002"/>
    <n v="2"/>
    <n v="0.8095500000000001"/>
    <n v="1.028"/>
  </r>
  <r>
    <x v="2"/>
    <s v="C"/>
    <s v="Haro"/>
    <s v="Admiralty Inlet"/>
    <n v="18"/>
    <n v="1.6500000000000001"/>
    <n v="2"/>
    <n v="0.84810000000000008"/>
    <n v="1.028"/>
  </r>
  <r>
    <x v="2"/>
    <s v="C"/>
    <s v="Haro"/>
    <s v="Admiralty Inlet"/>
    <n v="19"/>
    <n v="1.6749999999999998"/>
    <n v="1.9"/>
    <n v="0.86094999999999988"/>
    <n v="0.97660000000000002"/>
  </r>
  <r>
    <x v="2"/>
    <s v="C"/>
    <s v="Haro"/>
    <s v="Admiralty Inlet"/>
    <n v="20"/>
    <n v="1.5999999999999999"/>
    <n v="1.7"/>
    <n v="0.82239999999999991"/>
    <n v="0.87380000000000002"/>
  </r>
  <r>
    <x v="2"/>
    <s v="C"/>
    <s v="Haro"/>
    <s v="Admiralty Inlet"/>
    <n v="21"/>
    <n v="1.625"/>
    <n v="2"/>
    <n v="0.83525000000000005"/>
    <n v="1.028"/>
  </r>
  <r>
    <x v="2"/>
    <s v="C"/>
    <s v="Haro"/>
    <s v="Admiralty Inlet"/>
    <n v="22"/>
    <n v="1.5"/>
    <n v="2"/>
    <n v="0.77100000000000002"/>
    <n v="1.028"/>
  </r>
  <r>
    <x v="2"/>
    <s v="C"/>
    <s v="Haro"/>
    <s v="Admiralty Inlet"/>
    <n v="23"/>
    <n v="1.4"/>
    <n v="2"/>
    <n v="0.71960000000000002"/>
    <n v="1.028"/>
  </r>
  <r>
    <x v="2"/>
    <s v="C"/>
    <s v="Haro"/>
    <s v="Admiralty Inlet"/>
    <n v="24"/>
    <n v="1.2750000000000001"/>
    <n v="2"/>
    <n v="0.6553500000000001"/>
    <n v="1.028"/>
  </r>
  <r>
    <x v="2"/>
    <s v="C"/>
    <s v="Haro"/>
    <s v="Admiralty Inlet"/>
    <n v="25"/>
    <n v="1.2250000000000001"/>
    <n v="1.9"/>
    <n v="0.62965000000000004"/>
    <n v="0.97660000000000002"/>
  </r>
  <r>
    <x v="2"/>
    <s v="C"/>
    <s v="Haro"/>
    <s v="Admiralty Inlet"/>
    <n v="26"/>
    <n v="1.2749999999999999"/>
    <n v="1.9"/>
    <n v="0.65534999999999999"/>
    <n v="0.97660000000000002"/>
  </r>
  <r>
    <x v="2"/>
    <s v="C"/>
    <s v="Haro"/>
    <s v="Admiralty Inlet"/>
    <n v="27"/>
    <n v="1.6000000000000003"/>
    <n v="1.9"/>
    <n v="0.82240000000000013"/>
    <n v="0.97660000000000002"/>
  </r>
  <r>
    <x v="2"/>
    <s v="C"/>
    <s v="Haro"/>
    <s v="Admiralty Inlet"/>
    <n v="28"/>
    <n v="1.5"/>
    <n v="2"/>
    <n v="0.77100000000000002"/>
    <n v="1.028"/>
  </r>
  <r>
    <x v="2"/>
    <s v="C"/>
    <s v="Haro"/>
    <s v="Admiralty Inlet"/>
    <n v="29"/>
    <n v="1.625"/>
    <n v="2.1"/>
    <n v="0.83525000000000005"/>
    <n v="1.0794000000000001"/>
  </r>
  <r>
    <x v="2"/>
    <s v="C"/>
    <s v="Haro"/>
    <s v="Admiralty Inlet"/>
    <n v="30"/>
    <n v="1.7"/>
    <n v="2.1"/>
    <n v="0.87380000000000002"/>
    <n v="1.0794000000000001"/>
  </r>
  <r>
    <x v="2"/>
    <s v="C"/>
    <s v="Haro"/>
    <s v="Admiralty Inlet"/>
    <n v="31"/>
    <n v="1.75"/>
    <n v="2"/>
    <n v="0.89949999999999997"/>
    <n v="1.028"/>
  </r>
  <r>
    <x v="3"/>
    <s v="D"/>
    <s v="Haro"/>
    <s v="San Juan Channel, South Entrance"/>
    <n v="1"/>
    <n v="2"/>
    <n v="3.5"/>
    <n v="1.028"/>
    <n v="1.7989999999999999"/>
  </r>
  <r>
    <x v="3"/>
    <s v="D"/>
    <s v="Haro"/>
    <s v="San Juan Channel, South Entrance"/>
    <n v="2"/>
    <n v="2"/>
    <n v="3.4"/>
    <n v="1.028"/>
    <n v="1.7476"/>
  </r>
  <r>
    <x v="3"/>
    <s v="D"/>
    <s v="Haro"/>
    <s v="San Juan Channel, South Entrance"/>
    <n v="3"/>
    <n v="1.9000000000000001"/>
    <n v="3.1"/>
    <n v="0.97660000000000013"/>
    <n v="1.5934000000000001"/>
  </r>
  <r>
    <x v="3"/>
    <s v="D"/>
    <s v="Haro"/>
    <s v="San Juan Channel, South Entrance"/>
    <n v="4"/>
    <n v="1.8"/>
    <n v="2.8"/>
    <n v="0.92520000000000002"/>
    <n v="1.4392"/>
  </r>
  <r>
    <x v="3"/>
    <s v="D"/>
    <s v="Haro"/>
    <s v="San Juan Channel, South Entrance"/>
    <n v="5"/>
    <n v="1.575"/>
    <n v="2.5"/>
    <n v="0.80954999999999999"/>
    <n v="1.2850000000000001"/>
  </r>
  <r>
    <x v="3"/>
    <s v="D"/>
    <s v="Haro"/>
    <s v="San Juan Channel, South Entrance"/>
    <n v="6"/>
    <n v="1.0666666666666667"/>
    <n v="1.8"/>
    <n v="0.54826666666666668"/>
    <n v="0.92520000000000002"/>
  </r>
  <r>
    <x v="3"/>
    <s v="D"/>
    <s v="Haro"/>
    <s v="San Juan Channel, South Entrance"/>
    <n v="7"/>
    <n v="1.25"/>
    <n v="2.4"/>
    <n v="0.64250000000000007"/>
    <n v="1.2336"/>
  </r>
  <r>
    <x v="3"/>
    <s v="D"/>
    <s v="Haro"/>
    <s v="San Juan Channel, South Entrance"/>
    <n v="8"/>
    <n v="1.0750000000000002"/>
    <n v="2.2000000000000002"/>
    <n v="0.5525500000000001"/>
    <n v="1.1308"/>
  </r>
  <r>
    <x v="3"/>
    <s v="D"/>
    <s v="Haro"/>
    <s v="San Juan Channel, South Entrance"/>
    <n v="9"/>
    <n v="1.0000000000000002"/>
    <n v="2.2000000000000002"/>
    <n v="0.51400000000000012"/>
    <n v="1.1308"/>
  </r>
  <r>
    <x v="3"/>
    <s v="D"/>
    <s v="Haro"/>
    <s v="San Juan Channel, South Entrance"/>
    <n v="10"/>
    <n v="0.97500000000000009"/>
    <n v="2.2000000000000002"/>
    <n v="0.5011500000000001"/>
    <n v="1.1308"/>
  </r>
  <r>
    <x v="3"/>
    <s v="D"/>
    <s v="Haro"/>
    <s v="San Juan Channel, South Entrance"/>
    <n v="11"/>
    <n v="1.0250000000000001"/>
    <n v="2.2000000000000002"/>
    <n v="0.52685000000000004"/>
    <n v="1.1308"/>
  </r>
  <r>
    <x v="3"/>
    <s v="D"/>
    <s v="Haro"/>
    <s v="San Juan Channel, South Entrance"/>
    <n v="12"/>
    <n v="1.125"/>
    <n v="2.2000000000000002"/>
    <n v="0.57825000000000004"/>
    <n v="1.1308"/>
  </r>
  <r>
    <x v="3"/>
    <s v="D"/>
    <s v="Haro"/>
    <s v="San Juan Channel, South Entrance"/>
    <n v="13"/>
    <n v="1.3250000000000002"/>
    <n v="2.4"/>
    <n v="0.68105000000000016"/>
    <n v="1.2336"/>
  </r>
  <r>
    <x v="3"/>
    <s v="D"/>
    <s v="Haro"/>
    <s v="San Juan Channel, South Entrance"/>
    <n v="14"/>
    <n v="1.8333333333333333"/>
    <n v="2.6"/>
    <n v="0.94233333333333336"/>
    <n v="1.3364"/>
  </r>
  <r>
    <x v="3"/>
    <s v="D"/>
    <s v="Haro"/>
    <s v="San Juan Channel, South Entrance"/>
    <n v="15"/>
    <n v="1.6"/>
    <n v="2.8"/>
    <n v="0.82240000000000002"/>
    <n v="1.4392"/>
  </r>
  <r>
    <x v="3"/>
    <s v="D"/>
    <s v="Haro"/>
    <s v="San Juan Channel, South Entrance"/>
    <n v="16"/>
    <n v="1.7249999999999999"/>
    <n v="2.9"/>
    <n v="0.88664999999999994"/>
    <n v="1.4905999999999999"/>
  </r>
  <r>
    <x v="3"/>
    <s v="D"/>
    <s v="Haro"/>
    <s v="San Juan Channel, South Entrance"/>
    <n v="17"/>
    <n v="1.85"/>
    <n v="3"/>
    <n v="0.95090000000000008"/>
    <n v="1.542"/>
  </r>
  <r>
    <x v="3"/>
    <s v="D"/>
    <s v="Haro"/>
    <s v="San Juan Channel, South Entrance"/>
    <n v="18"/>
    <n v="1.9250000000000003"/>
    <n v="3"/>
    <n v="0.98945000000000016"/>
    <n v="1.542"/>
  </r>
  <r>
    <x v="3"/>
    <s v="D"/>
    <s v="Haro"/>
    <s v="San Juan Channel, South Entrance"/>
    <n v="19"/>
    <n v="1.9500000000000002"/>
    <n v="3"/>
    <n v="1.0023000000000002"/>
    <n v="1.542"/>
  </r>
  <r>
    <x v="3"/>
    <s v="D"/>
    <s v="Haro"/>
    <s v="San Juan Channel, South Entrance"/>
    <n v="20"/>
    <n v="1.875"/>
    <n v="3.1"/>
    <n v="0.96375"/>
    <n v="1.5934000000000001"/>
  </r>
  <r>
    <x v="3"/>
    <s v="D"/>
    <s v="Haro"/>
    <s v="San Juan Channel, South Entrance"/>
    <n v="21"/>
    <n v="1.7250000000000001"/>
    <n v="3"/>
    <n v="0.88665000000000005"/>
    <n v="1.542"/>
  </r>
  <r>
    <x v="3"/>
    <s v="D"/>
    <s v="Haro"/>
    <s v="San Juan Channel, South Entrance"/>
    <n v="22"/>
    <n v="1.1333333333333335"/>
    <n v="1.8"/>
    <n v="0.58253333333333346"/>
    <n v="0.92520000000000002"/>
  </r>
  <r>
    <x v="3"/>
    <s v="D"/>
    <s v="Haro"/>
    <s v="San Juan Channel, South Entrance"/>
    <n v="23"/>
    <n v="1.45"/>
    <n v="2.9"/>
    <n v="0.74529999999999996"/>
    <n v="1.4905999999999999"/>
  </r>
  <r>
    <x v="3"/>
    <s v="D"/>
    <s v="Haro"/>
    <s v="San Juan Channel, South Entrance"/>
    <n v="24"/>
    <n v="1.375"/>
    <n v="2.8"/>
    <n v="0.70674999999999999"/>
    <n v="1.4392"/>
  </r>
  <r>
    <x v="3"/>
    <s v="D"/>
    <s v="Haro"/>
    <s v="San Juan Channel, South Entrance"/>
    <n v="25"/>
    <n v="1.4"/>
    <n v="2.8"/>
    <n v="0.71960000000000002"/>
    <n v="1.4392"/>
  </r>
  <r>
    <x v="3"/>
    <s v="D"/>
    <s v="Haro"/>
    <s v="San Juan Channel, South Entrance"/>
    <n v="26"/>
    <n v="1.5"/>
    <n v="2.8"/>
    <n v="0.77100000000000002"/>
    <n v="1.4392"/>
  </r>
  <r>
    <x v="3"/>
    <s v="D"/>
    <s v="Haro"/>
    <s v="San Juan Channel, South Entrance"/>
    <n v="27"/>
    <n v="1.65"/>
    <n v="2.9"/>
    <n v="0.84809999999999997"/>
    <n v="1.4905999999999999"/>
  </r>
  <r>
    <x v="3"/>
    <s v="D"/>
    <s v="Haro"/>
    <s v="San Juan Channel, South Entrance"/>
    <n v="28"/>
    <n v="2.1666666666666665"/>
    <n v="3"/>
    <n v="1.1136666666666666"/>
    <n v="1.542"/>
  </r>
  <r>
    <x v="3"/>
    <s v="D"/>
    <s v="Haro"/>
    <s v="San Juan Channel, South Entrance"/>
    <n v="29"/>
    <n v="1.875"/>
    <n v="3.1"/>
    <n v="0.96375"/>
    <n v="1.5934000000000001"/>
  </r>
  <r>
    <x v="3"/>
    <s v="D"/>
    <s v="Haro"/>
    <s v="San Juan Channel, South Entrance"/>
    <n v="30"/>
    <n v="1.95"/>
    <n v="3.1"/>
    <n v="1.0023"/>
    <n v="1.5934000000000001"/>
  </r>
  <r>
    <x v="3"/>
    <s v="D"/>
    <s v="Haro"/>
    <s v="San Juan Channel, South Entrance"/>
    <n v="31"/>
    <n v="1.9500000000000002"/>
    <n v="3"/>
    <n v="1.0023000000000002"/>
    <n v="1.542"/>
  </r>
  <r>
    <x v="4"/>
    <s v="E"/>
    <s v="Channel"/>
    <s v="San Juan Channel, South Entrance"/>
    <n v="1"/>
    <n v="1.35"/>
    <n v="1.8"/>
    <n v="0.69390000000000007"/>
    <n v="0.92520000000000002"/>
  </r>
  <r>
    <x v="4"/>
    <s v="E"/>
    <s v="Channel"/>
    <s v="San Juan Channel, South Entrance"/>
    <n v="2"/>
    <n v="1.3"/>
    <n v="1.7"/>
    <n v="0.66820000000000002"/>
    <n v="0.87380000000000002"/>
  </r>
  <r>
    <x v="4"/>
    <s v="E"/>
    <s v="Channel"/>
    <s v="San Juan Channel, South Entrance"/>
    <n v="3"/>
    <n v="1.25"/>
    <n v="1.6"/>
    <n v="0.64250000000000007"/>
    <n v="0.82240000000000002"/>
  </r>
  <r>
    <x v="4"/>
    <s v="E"/>
    <s v="Channel"/>
    <s v="San Juan Channel, South Entrance"/>
    <n v="4"/>
    <n v="1.1499999999999999"/>
    <n v="1.4"/>
    <n v="0.59109999999999996"/>
    <n v="0.71960000000000002"/>
  </r>
  <r>
    <x v="4"/>
    <s v="E"/>
    <s v="Channel"/>
    <s v="San Juan Channel, South Entrance"/>
    <n v="5"/>
    <n v="1.0249999999999999"/>
    <n v="1.2"/>
    <n v="0.52684999999999993"/>
    <n v="0.61680000000000001"/>
  </r>
  <r>
    <x v="4"/>
    <s v="E"/>
    <s v="Channel"/>
    <s v="San Juan Channel, South Entrance"/>
    <n v="6"/>
    <n v="0.92500000000000004"/>
    <n v="1.1000000000000001"/>
    <n v="0.47545000000000004"/>
    <n v="0.56540000000000001"/>
  </r>
  <r>
    <x v="4"/>
    <s v="E"/>
    <s v="Channel"/>
    <s v="San Juan Channel, South Entrance"/>
    <n v="7"/>
    <n v="0.73333333333333339"/>
    <n v="0.8"/>
    <n v="0.3769333333333334"/>
    <n v="0.41120000000000001"/>
  </r>
  <r>
    <x v="4"/>
    <s v="E"/>
    <s v="Channel"/>
    <s v="San Juan Channel, South Entrance"/>
    <n v="8"/>
    <n v="0.70000000000000007"/>
    <n v="1"/>
    <n v="0.35980000000000006"/>
    <n v="0.51400000000000001"/>
  </r>
  <r>
    <x v="4"/>
    <s v="E"/>
    <s v="Channel"/>
    <s v="San Juan Channel, South Entrance"/>
    <n v="9"/>
    <n v="0.67500000000000004"/>
    <n v="1"/>
    <n v="0.34695000000000004"/>
    <n v="0.51400000000000001"/>
  </r>
  <r>
    <x v="4"/>
    <s v="E"/>
    <s v="Channel"/>
    <s v="San Juan Channel, South Entrance"/>
    <n v="10"/>
    <n v="0.65"/>
    <n v="1"/>
    <n v="0.33410000000000001"/>
    <n v="0.51400000000000001"/>
  </r>
  <r>
    <x v="4"/>
    <s v="E"/>
    <s v="Channel"/>
    <s v="San Juan Channel, South Entrance"/>
    <n v="11"/>
    <n v="0.67499999999999993"/>
    <n v="1"/>
    <n v="0.34694999999999998"/>
    <n v="0.51400000000000001"/>
  </r>
  <r>
    <x v="4"/>
    <s v="E"/>
    <s v="Channel"/>
    <s v="San Juan Channel, South Entrance"/>
    <n v="12"/>
    <n v="0.75"/>
    <n v="1.1000000000000001"/>
    <n v="0.38550000000000001"/>
    <n v="0.56540000000000001"/>
  </r>
  <r>
    <x v="4"/>
    <s v="E"/>
    <s v="Channel"/>
    <s v="San Juan Channel, South Entrance"/>
    <n v="13"/>
    <n v="0.90000000000000013"/>
    <n v="1.3"/>
    <n v="0.46260000000000007"/>
    <n v="0.66820000000000002"/>
  </r>
  <r>
    <x v="4"/>
    <s v="E"/>
    <s v="Channel"/>
    <s v="San Juan Channel, South Entrance"/>
    <n v="14"/>
    <n v="0.99999999999999989"/>
    <n v="1.4"/>
    <n v="0.5139999999999999"/>
    <n v="0.71960000000000002"/>
  </r>
  <r>
    <x v="4"/>
    <s v="E"/>
    <s v="Channel"/>
    <s v="San Juan Channel, South Entrance"/>
    <n v="15"/>
    <n v="1.2"/>
    <n v="1.5"/>
    <n v="0.61680000000000001"/>
    <n v="0.77100000000000002"/>
  </r>
  <r>
    <x v="4"/>
    <s v="E"/>
    <s v="Channel"/>
    <s v="San Juan Channel, South Entrance"/>
    <n v="16"/>
    <n v="1.1499999999999999"/>
    <n v="1.6"/>
    <n v="0.59109999999999996"/>
    <n v="0.82240000000000002"/>
  </r>
  <r>
    <x v="4"/>
    <s v="E"/>
    <s v="Channel"/>
    <s v="San Juan Channel, South Entrance"/>
    <n v="17"/>
    <n v="1.2250000000000001"/>
    <n v="1.6"/>
    <n v="0.62965000000000004"/>
    <n v="0.82240000000000002"/>
  </r>
  <r>
    <x v="4"/>
    <s v="E"/>
    <s v="Channel"/>
    <s v="San Juan Channel, South Entrance"/>
    <n v="18"/>
    <n v="1.25"/>
    <n v="1.5"/>
    <n v="0.64250000000000007"/>
    <n v="0.77100000000000002"/>
  </r>
  <r>
    <x v="4"/>
    <s v="E"/>
    <s v="Channel"/>
    <s v="San Juan Channel, South Entrance"/>
    <n v="19"/>
    <n v="1.25"/>
    <n v="1.4"/>
    <n v="0.64250000000000007"/>
    <n v="0.71960000000000002"/>
  </r>
  <r>
    <x v="4"/>
    <s v="E"/>
    <s v="Channel"/>
    <s v="San Juan Channel, South Entrance"/>
    <n v="20"/>
    <n v="1.25"/>
    <n v="1.4"/>
    <n v="0.64250000000000007"/>
    <n v="0.71960000000000002"/>
  </r>
  <r>
    <x v="4"/>
    <s v="E"/>
    <s v="Channel"/>
    <s v="San Juan Channel, South Entrance"/>
    <n v="21"/>
    <n v="1.1500000000000001"/>
    <n v="1.3"/>
    <n v="0.59110000000000007"/>
    <n v="0.66820000000000002"/>
  </r>
  <r>
    <x v="4"/>
    <s v="E"/>
    <s v="Channel"/>
    <s v="San Juan Channel, South Entrance"/>
    <n v="22"/>
    <n v="0.96666666666666667"/>
    <n v="1.2"/>
    <n v="0.49686666666666668"/>
    <n v="0.61680000000000001"/>
  </r>
  <r>
    <x v="4"/>
    <s v="E"/>
    <s v="Channel"/>
    <s v="San Juan Channel, South Entrance"/>
    <n v="23"/>
    <n v="0.97500000000000009"/>
    <n v="1.3"/>
    <n v="0.5011500000000001"/>
    <n v="0.66820000000000002"/>
  </r>
  <r>
    <x v="4"/>
    <s v="E"/>
    <s v="Channel"/>
    <s v="San Juan Channel, South Entrance"/>
    <n v="24"/>
    <n v="0.875"/>
    <n v="1.2"/>
    <n v="0.44974999999999998"/>
    <n v="0.61680000000000001"/>
  </r>
  <r>
    <x v="4"/>
    <s v="E"/>
    <s v="Channel"/>
    <s v="San Juan Channel, South Entrance"/>
    <n v="25"/>
    <n v="0.9"/>
    <n v="1.3"/>
    <n v="0.46260000000000001"/>
    <n v="0.66820000000000002"/>
  </r>
  <r>
    <x v="4"/>
    <s v="E"/>
    <s v="Channel"/>
    <s v="San Juan Channel, South Entrance"/>
    <n v="26"/>
    <n v="0.97499999999999987"/>
    <n v="1.4"/>
    <n v="0.50114999999999998"/>
    <n v="0.71960000000000002"/>
  </r>
  <r>
    <x v="4"/>
    <s v="E"/>
    <s v="Channel"/>
    <s v="San Juan Channel, South Entrance"/>
    <n v="27"/>
    <n v="1.075"/>
    <n v="1.5"/>
    <n v="0.55254999999999999"/>
    <n v="0.77100000000000002"/>
  </r>
  <r>
    <x v="4"/>
    <s v="E"/>
    <s v="Channel"/>
    <s v="San Juan Channel, South Entrance"/>
    <n v="28"/>
    <n v="1.175"/>
    <n v="1.6"/>
    <n v="0.60394999999999999"/>
    <n v="0.82240000000000002"/>
  </r>
  <r>
    <x v="4"/>
    <s v="E"/>
    <s v="Channel"/>
    <s v="San Juan Channel, South Entrance"/>
    <n v="29"/>
    <n v="1.4000000000000001"/>
    <n v="1.6"/>
    <n v="0.71960000000000013"/>
    <n v="0.82240000000000002"/>
  </r>
  <r>
    <x v="4"/>
    <s v="E"/>
    <s v="Channel"/>
    <s v="San Juan Channel, South Entrance"/>
    <n v="30"/>
    <n v="1.2749999999999999"/>
    <n v="1.6"/>
    <n v="0.65534999999999999"/>
    <n v="0.82240000000000002"/>
  </r>
  <r>
    <x v="4"/>
    <s v="E"/>
    <s v="Channel"/>
    <s v="San Juan Channel, South Entrance"/>
    <n v="31"/>
    <n v="1.25"/>
    <n v="1.4"/>
    <n v="0.64250000000000007"/>
    <n v="0.71960000000000002"/>
  </r>
  <r>
    <x v="5"/>
    <s v="F"/>
    <s v="Channel"/>
    <s v="San Juan Channel, South Entrance"/>
    <n v="1"/>
    <n v="1.4750000000000001"/>
    <n v="1.9"/>
    <n v="0.7581500000000001"/>
    <n v="0.97660000000000002"/>
  </r>
  <r>
    <x v="5"/>
    <s v="F"/>
    <s v="Channel"/>
    <s v="San Juan Channel, South Entrance"/>
    <n v="2"/>
    <n v="1.4750000000000001"/>
    <n v="1.9"/>
    <n v="0.7581500000000001"/>
    <n v="0.97660000000000002"/>
  </r>
  <r>
    <x v="5"/>
    <s v="F"/>
    <s v="Channel"/>
    <s v="San Juan Channel, South Entrance"/>
    <n v="3"/>
    <n v="1.425"/>
    <n v="1.8"/>
    <n v="0.73245000000000005"/>
    <n v="0.92520000000000002"/>
  </r>
  <r>
    <x v="5"/>
    <s v="F"/>
    <s v="Channel"/>
    <s v="San Juan Channel, South Entrance"/>
    <n v="4"/>
    <n v="1.3250000000000002"/>
    <n v="1.6"/>
    <n v="0.68105000000000016"/>
    <n v="0.82240000000000002"/>
  </r>
  <r>
    <x v="5"/>
    <s v="F"/>
    <s v="Channel"/>
    <s v="San Juan Channel, South Entrance"/>
    <n v="5"/>
    <n v="1.1749999999999998"/>
    <n v="1.4"/>
    <n v="0.60394999999999988"/>
    <n v="0.71960000000000002"/>
  </r>
  <r>
    <x v="5"/>
    <s v="F"/>
    <s v="Channel"/>
    <s v="San Juan Channel, South Entrance"/>
    <n v="6"/>
    <n v="0.93333333333333324"/>
    <n v="1"/>
    <n v="0.47973333333333329"/>
    <n v="0.51400000000000001"/>
  </r>
  <r>
    <x v="5"/>
    <s v="F"/>
    <s v="Channel"/>
    <s v="San Juan Channel, South Entrance"/>
    <n v="7"/>
    <n v="0.95"/>
    <n v="1.4"/>
    <n v="0.48830000000000001"/>
    <n v="0.71960000000000002"/>
  </r>
  <r>
    <x v="5"/>
    <s v="F"/>
    <s v="Channel"/>
    <s v="San Juan Channel, South Entrance"/>
    <n v="8"/>
    <n v="0.8"/>
    <n v="1.2"/>
    <n v="0.41120000000000001"/>
    <n v="0.61680000000000001"/>
  </r>
  <r>
    <x v="5"/>
    <s v="F"/>
    <s v="Channel"/>
    <s v="San Juan Channel, South Entrance"/>
    <n v="9"/>
    <n v="0.75"/>
    <n v="1.2"/>
    <n v="0.38550000000000001"/>
    <n v="0.61680000000000001"/>
  </r>
  <r>
    <x v="5"/>
    <s v="F"/>
    <s v="Channel"/>
    <s v="San Juan Channel, South Entrance"/>
    <n v="10"/>
    <n v="0.72499999999999998"/>
    <n v="1.2"/>
    <n v="0.37264999999999998"/>
    <n v="0.61680000000000001"/>
  </r>
  <r>
    <x v="5"/>
    <s v="F"/>
    <s v="Channel"/>
    <s v="San Juan Channel, South Entrance"/>
    <n v="11"/>
    <n v="0.77500000000000002"/>
    <n v="1.2"/>
    <n v="0.39835000000000004"/>
    <n v="0.61680000000000001"/>
  </r>
  <r>
    <x v="5"/>
    <s v="F"/>
    <s v="Channel"/>
    <s v="San Juan Channel, South Entrance"/>
    <n v="12"/>
    <n v="1"/>
    <n v="1.2"/>
    <n v="0.51400000000000001"/>
    <n v="0.61680000000000001"/>
  </r>
  <r>
    <x v="5"/>
    <s v="F"/>
    <s v="Channel"/>
    <s v="San Juan Channel, South Entrance"/>
    <n v="13"/>
    <n v="0.97499999999999987"/>
    <n v="1.4"/>
    <n v="0.50114999999999998"/>
    <n v="0.71960000000000002"/>
  </r>
  <r>
    <x v="5"/>
    <s v="F"/>
    <s v="Channel"/>
    <s v="San Juan Channel, South Entrance"/>
    <n v="14"/>
    <n v="1.075"/>
    <n v="1.4"/>
    <n v="0.55254999999999999"/>
    <n v="0.71960000000000002"/>
  </r>
  <r>
    <x v="5"/>
    <s v="F"/>
    <s v="Channel"/>
    <s v="San Juan Channel, South Entrance"/>
    <n v="15"/>
    <n v="1.2000000000000002"/>
    <n v="1.6"/>
    <n v="0.61680000000000013"/>
    <n v="0.82240000000000002"/>
  </r>
  <r>
    <x v="5"/>
    <s v="F"/>
    <s v="Channel"/>
    <s v="San Juan Channel, South Entrance"/>
    <n v="16"/>
    <n v="1.3"/>
    <n v="1.6"/>
    <n v="0.66820000000000002"/>
    <n v="0.82240000000000002"/>
  </r>
  <r>
    <x v="5"/>
    <s v="F"/>
    <s v="Channel"/>
    <s v="San Juan Channel, South Entrance"/>
    <n v="17"/>
    <n v="1.35"/>
    <n v="1.6"/>
    <n v="0.69390000000000007"/>
    <n v="0.82240000000000002"/>
  </r>
  <r>
    <x v="5"/>
    <s v="F"/>
    <s v="Channel"/>
    <s v="San Juan Channel, South Entrance"/>
    <n v="18"/>
    <n v="1.4"/>
    <n v="1.6"/>
    <n v="0.71960000000000002"/>
    <n v="0.82240000000000002"/>
  </r>
  <r>
    <x v="5"/>
    <s v="F"/>
    <s v="Channel"/>
    <s v="San Juan Channel, South Entrance"/>
    <n v="19"/>
    <n v="1.4"/>
    <n v="1.6"/>
    <n v="0.71960000000000002"/>
    <n v="0.82240000000000002"/>
  </r>
  <r>
    <x v="5"/>
    <s v="F"/>
    <s v="Channel"/>
    <s v="San Juan Channel, South Entrance"/>
    <n v="20"/>
    <n v="1.375"/>
    <n v="1.7"/>
    <n v="0.70674999999999999"/>
    <n v="0.87380000000000002"/>
  </r>
  <r>
    <x v="5"/>
    <s v="F"/>
    <s v="Channel"/>
    <s v="San Juan Channel, South Entrance"/>
    <n v="21"/>
    <n v="1.2749999999999999"/>
    <n v="1.6"/>
    <n v="0.65534999999999999"/>
    <n v="0.82240000000000002"/>
  </r>
  <r>
    <x v="5"/>
    <s v="F"/>
    <s v="Channel"/>
    <s v="San Juan Channel, South Entrance"/>
    <n v="22"/>
    <n v="1.0333333333333334"/>
    <n v="1.2"/>
    <n v="0.53113333333333335"/>
    <n v="0.61680000000000001"/>
  </r>
  <r>
    <x v="5"/>
    <s v="F"/>
    <s v="Channel"/>
    <s v="San Juan Channel, South Entrance"/>
    <n v="23"/>
    <n v="1.075"/>
    <n v="1.6"/>
    <n v="0.55254999999999999"/>
    <n v="0.82240000000000002"/>
  </r>
  <r>
    <x v="5"/>
    <s v="F"/>
    <s v="Channel"/>
    <s v="San Juan Channel, South Entrance"/>
    <n v="24"/>
    <n v="1.0249999999999999"/>
    <n v="1.6"/>
    <n v="0.52684999999999993"/>
    <n v="0.82240000000000002"/>
  </r>
  <r>
    <x v="5"/>
    <s v="F"/>
    <s v="Channel"/>
    <s v="San Juan Channel, South Entrance"/>
    <n v="25"/>
    <n v="1.0250000000000001"/>
    <n v="1.6"/>
    <n v="0.52685000000000004"/>
    <n v="0.82240000000000002"/>
  </r>
  <r>
    <x v="5"/>
    <s v="F"/>
    <s v="Channel"/>
    <s v="San Juan Channel, South Entrance"/>
    <n v="26"/>
    <n v="1.3"/>
    <n v="1.6"/>
    <n v="0.66820000000000002"/>
    <n v="0.82240000000000002"/>
  </r>
  <r>
    <x v="5"/>
    <s v="F"/>
    <s v="Channel"/>
    <s v="San Juan Channel, South Entrance"/>
    <n v="27"/>
    <n v="1.175"/>
    <n v="1.6"/>
    <n v="0.60394999999999999"/>
    <n v="0.82240000000000002"/>
  </r>
  <r>
    <x v="5"/>
    <s v="F"/>
    <s v="Channel"/>
    <s v="San Juan Channel, South Entrance"/>
    <n v="28"/>
    <n v="1.2750000000000001"/>
    <n v="1.6"/>
    <n v="0.6553500000000001"/>
    <n v="0.82240000000000002"/>
  </r>
  <r>
    <x v="5"/>
    <s v="F"/>
    <s v="Channel"/>
    <s v="San Juan Channel, South Entrance"/>
    <n v="29"/>
    <n v="1.375"/>
    <n v="1.7"/>
    <n v="0.70674999999999999"/>
    <n v="0.87380000000000002"/>
  </r>
  <r>
    <x v="5"/>
    <s v="F"/>
    <s v="Channel"/>
    <s v="San Juan Channel, South Entrance"/>
    <n v="30"/>
    <n v="1.4500000000000002"/>
    <n v="1.7"/>
    <n v="0.74530000000000007"/>
    <n v="0.87380000000000002"/>
  </r>
  <r>
    <x v="5"/>
    <s v="F"/>
    <s v="Channel"/>
    <s v="San Juan Channel, South Entrance"/>
    <n v="31"/>
    <n v="1.4"/>
    <n v="1.6"/>
    <n v="0.71960000000000002"/>
    <n v="0.82240000000000002"/>
  </r>
  <r>
    <x v="6"/>
    <s v="G"/>
    <s v="Channel"/>
    <s v="San Juan Channel, South Entrance"/>
    <n v="1"/>
    <n v="1.4750000000000001"/>
    <n v="1.9"/>
    <n v="0.7581500000000001"/>
    <n v="0.97660000000000002"/>
  </r>
  <r>
    <x v="6"/>
    <s v="G"/>
    <s v="Channel"/>
    <s v="San Juan Channel, South Entrance"/>
    <n v="2"/>
    <n v="1.4750000000000001"/>
    <n v="1.9"/>
    <n v="0.7581500000000001"/>
    <n v="0.97660000000000002"/>
  </r>
  <r>
    <x v="6"/>
    <s v="G"/>
    <s v="Channel"/>
    <s v="San Juan Channel, South Entrance"/>
    <n v="3"/>
    <n v="1.425"/>
    <n v="1.8"/>
    <n v="0.73245000000000005"/>
    <n v="0.92520000000000002"/>
  </r>
  <r>
    <x v="6"/>
    <s v="G"/>
    <s v="Channel"/>
    <s v="San Juan Channel, South Entrance"/>
    <n v="4"/>
    <n v="1.3250000000000002"/>
    <n v="1.6"/>
    <n v="0.68105000000000016"/>
    <n v="0.82240000000000002"/>
  </r>
  <r>
    <x v="6"/>
    <s v="G"/>
    <s v="Channel"/>
    <s v="San Juan Channel, South Entrance"/>
    <n v="5"/>
    <n v="1.0999999999999999"/>
    <n v="1.3"/>
    <n v="0.5653999999999999"/>
    <n v="0.66820000000000002"/>
  </r>
  <r>
    <x v="6"/>
    <s v="G"/>
    <s v="Channel"/>
    <s v="San Juan Channel, South Entrance"/>
    <n v="6"/>
    <n v="1.05"/>
    <n v="1.4"/>
    <n v="0.53970000000000007"/>
    <n v="0.71960000000000002"/>
  </r>
  <r>
    <x v="6"/>
    <s v="G"/>
    <s v="Channel"/>
    <s v="San Juan Channel, South Entrance"/>
    <n v="7"/>
    <n v="0.95"/>
    <n v="1.4"/>
    <n v="0.48830000000000001"/>
    <n v="0.71960000000000002"/>
  </r>
  <r>
    <x v="6"/>
    <s v="G"/>
    <s v="Channel"/>
    <s v="San Juan Channel, South Entrance"/>
    <n v="8"/>
    <n v="0.8"/>
    <n v="1.2"/>
    <n v="0.41120000000000001"/>
    <n v="0.61680000000000001"/>
  </r>
  <r>
    <x v="6"/>
    <s v="G"/>
    <s v="Channel"/>
    <s v="San Juan Channel, South Entrance"/>
    <n v="9"/>
    <n v="0.75"/>
    <n v="1.2"/>
    <n v="0.38550000000000001"/>
    <n v="0.61680000000000001"/>
  </r>
  <r>
    <x v="6"/>
    <s v="G"/>
    <s v="Channel"/>
    <s v="San Juan Channel, South Entrance"/>
    <n v="10"/>
    <n v="0.72499999999999998"/>
    <n v="1.2"/>
    <n v="0.37264999999999998"/>
    <n v="0.61680000000000001"/>
  </r>
  <r>
    <x v="6"/>
    <s v="G"/>
    <s v="Channel"/>
    <s v="San Juan Channel, South Entrance"/>
    <n v="11"/>
    <n v="0.77500000000000002"/>
    <n v="1.2"/>
    <n v="0.39835000000000004"/>
    <n v="0.61680000000000001"/>
  </r>
  <r>
    <x v="6"/>
    <s v="G"/>
    <s v="Channel"/>
    <s v="San Juan Channel, South Entrance"/>
    <n v="12"/>
    <n v="1"/>
    <n v="1.2"/>
    <n v="0.51400000000000001"/>
    <n v="0.61680000000000001"/>
  </r>
  <r>
    <x v="6"/>
    <s v="G"/>
    <s v="Channel"/>
    <s v="San Juan Channel, South Entrance"/>
    <n v="13"/>
    <n v="0.97499999999999987"/>
    <n v="1.4"/>
    <n v="0.50114999999999998"/>
    <n v="0.71960000000000002"/>
  </r>
  <r>
    <x v="6"/>
    <s v="G"/>
    <s v="Channel"/>
    <s v="San Juan Channel, South Entrance"/>
    <n v="14"/>
    <n v="1.075"/>
    <n v="1.4"/>
    <n v="0.55254999999999999"/>
    <n v="0.71960000000000002"/>
  </r>
  <r>
    <x v="6"/>
    <s v="G"/>
    <s v="Channel"/>
    <s v="San Juan Channel, South Entrance"/>
    <n v="15"/>
    <n v="1.2000000000000002"/>
    <n v="1.6"/>
    <n v="0.61680000000000013"/>
    <n v="0.82240000000000002"/>
  </r>
  <r>
    <x v="6"/>
    <s v="G"/>
    <s v="Channel"/>
    <s v="San Juan Channel, South Entrance"/>
    <n v="16"/>
    <n v="1.3"/>
    <n v="1.6"/>
    <n v="0.66820000000000002"/>
    <n v="0.82240000000000002"/>
  </r>
  <r>
    <x v="6"/>
    <s v="G"/>
    <s v="Channel"/>
    <s v="San Juan Channel, South Entrance"/>
    <n v="17"/>
    <n v="1.35"/>
    <n v="1.6"/>
    <n v="0.69390000000000007"/>
    <n v="0.82240000000000002"/>
  </r>
  <r>
    <x v="6"/>
    <s v="G"/>
    <s v="Channel"/>
    <s v="San Juan Channel, South Entrance"/>
    <n v="18"/>
    <n v="1.4"/>
    <n v="1.6"/>
    <n v="0.71960000000000002"/>
    <n v="0.82240000000000002"/>
  </r>
  <r>
    <x v="6"/>
    <s v="G"/>
    <s v="Channel"/>
    <s v="San Juan Channel, South Entrance"/>
    <n v="19"/>
    <n v="1.4"/>
    <n v="1.6"/>
    <n v="0.71960000000000002"/>
    <n v="0.82240000000000002"/>
  </r>
  <r>
    <x v="6"/>
    <s v="G"/>
    <s v="Channel"/>
    <s v="San Juan Channel, South Entrance"/>
    <n v="20"/>
    <n v="1.375"/>
    <n v="1.7"/>
    <n v="0.70674999999999999"/>
    <n v="0.87380000000000002"/>
  </r>
  <r>
    <x v="6"/>
    <s v="G"/>
    <s v="Channel"/>
    <s v="San Juan Channel, South Entrance"/>
    <n v="21"/>
    <n v="1.1666666666666667"/>
    <n v="1.2"/>
    <n v="0.59966666666666668"/>
    <n v="0.61680000000000001"/>
  </r>
  <r>
    <x v="6"/>
    <s v="G"/>
    <s v="Channel"/>
    <s v="San Juan Channel, South Entrance"/>
    <n v="22"/>
    <n v="1.175"/>
    <n v="1.6"/>
    <n v="0.60394999999999999"/>
    <n v="0.82240000000000002"/>
  </r>
  <r>
    <x v="6"/>
    <s v="G"/>
    <s v="Channel"/>
    <s v="San Juan Channel, South Entrance"/>
    <n v="23"/>
    <n v="1.075"/>
    <n v="1.6"/>
    <n v="0.55254999999999999"/>
    <n v="0.82240000000000002"/>
  </r>
  <r>
    <x v="6"/>
    <s v="G"/>
    <s v="Channel"/>
    <s v="San Juan Channel, South Entrance"/>
    <n v="24"/>
    <n v="1.0249999999999999"/>
    <n v="1.6"/>
    <n v="0.52684999999999993"/>
    <n v="0.82240000000000002"/>
  </r>
  <r>
    <x v="6"/>
    <s v="G"/>
    <s v="Channel"/>
    <s v="San Juan Channel, South Entrance"/>
    <n v="25"/>
    <n v="1.0250000000000001"/>
    <n v="1.6"/>
    <n v="0.52685000000000004"/>
    <n v="0.82240000000000002"/>
  </r>
  <r>
    <x v="6"/>
    <s v="G"/>
    <s v="Channel"/>
    <s v="San Juan Channel, South Entrance"/>
    <n v="26"/>
    <n v="1.1000000000000001"/>
    <n v="1.6"/>
    <n v="0.56540000000000001"/>
    <n v="0.82240000000000002"/>
  </r>
  <r>
    <x v="6"/>
    <s v="G"/>
    <s v="Channel"/>
    <s v="San Juan Channel, South Entrance"/>
    <n v="27"/>
    <n v="1.4000000000000001"/>
    <n v="1.6"/>
    <n v="0.71960000000000013"/>
    <n v="0.82240000000000002"/>
  </r>
  <r>
    <x v="6"/>
    <s v="G"/>
    <s v="Channel"/>
    <s v="San Juan Channel, South Entrance"/>
    <n v="28"/>
    <n v="1.2750000000000001"/>
    <n v="1.6"/>
    <n v="0.6553500000000001"/>
    <n v="0.82240000000000002"/>
  </r>
  <r>
    <x v="6"/>
    <s v="G"/>
    <s v="Channel"/>
    <s v="San Juan Channel, South Entrance"/>
    <n v="29"/>
    <n v="1.375"/>
    <n v="1.7"/>
    <n v="0.70674999999999999"/>
    <n v="0.87380000000000002"/>
  </r>
  <r>
    <x v="6"/>
    <s v="G"/>
    <s v="Channel"/>
    <s v="San Juan Channel, South Entrance"/>
    <n v="30"/>
    <n v="1.4500000000000002"/>
    <n v="1.7"/>
    <n v="0.74530000000000007"/>
    <n v="0.87380000000000002"/>
  </r>
  <r>
    <x v="6"/>
    <s v="G"/>
    <s v="Channel"/>
    <s v="San Juan Channel, South Entrance"/>
    <n v="31"/>
    <n v="1.4"/>
    <n v="1.6"/>
    <n v="0.71960000000000002"/>
    <n v="0.82240000000000002"/>
  </r>
  <r>
    <x v="7"/>
    <s v="H"/>
    <s v="Rosario"/>
    <s v="Active Pass, BC"/>
    <n v="1"/>
    <n v="1.325"/>
    <n v="2"/>
    <n v="0.68105000000000004"/>
    <n v="1.028"/>
  </r>
  <r>
    <x v="7"/>
    <s v="H"/>
    <s v="Rosario"/>
    <s v="Active Pass, BC"/>
    <n v="2"/>
    <n v="1.375"/>
    <n v="2"/>
    <n v="0.70674999999999999"/>
    <n v="1.028"/>
  </r>
  <r>
    <x v="7"/>
    <s v="H"/>
    <s v="Rosario"/>
    <s v="Active Pass, BC"/>
    <n v="3"/>
    <n v="1.375"/>
    <n v="1.9"/>
    <n v="0.70674999999999999"/>
    <n v="0.97660000000000002"/>
  </r>
  <r>
    <x v="7"/>
    <s v="H"/>
    <s v="Rosario"/>
    <s v="Active Pass, BC"/>
    <n v="4"/>
    <n v="1.35"/>
    <n v="2"/>
    <n v="0.69390000000000007"/>
    <n v="1.028"/>
  </r>
  <r>
    <x v="7"/>
    <s v="H"/>
    <s v="Rosario"/>
    <s v="Active Pass, BC"/>
    <n v="5"/>
    <n v="1.0333333333333334"/>
    <n v="1.6"/>
    <n v="0.53113333333333335"/>
    <n v="0.82240000000000002"/>
  </r>
  <r>
    <x v="7"/>
    <s v="H"/>
    <s v="Rosario"/>
    <s v="Active Pass, BC"/>
    <n v="6"/>
    <n v="1.1749999999999998"/>
    <n v="1.9"/>
    <n v="0.60394999999999988"/>
    <n v="0.97660000000000002"/>
  </r>
  <r>
    <x v="7"/>
    <s v="H"/>
    <s v="Rosario"/>
    <s v="Active Pass, BC"/>
    <n v="7"/>
    <n v="1.0499999999999998"/>
    <n v="1.8"/>
    <n v="0.53969999999999996"/>
    <n v="0.92520000000000002"/>
  </r>
  <r>
    <x v="7"/>
    <s v="H"/>
    <s v="Rosario"/>
    <s v="Active Pass, BC"/>
    <n v="8"/>
    <n v="0.92499999999999993"/>
    <n v="1.7"/>
    <n v="0.47544999999999998"/>
    <n v="0.87380000000000002"/>
  </r>
  <r>
    <x v="7"/>
    <s v="H"/>
    <s v="Rosario"/>
    <s v="Active Pass, BC"/>
    <n v="9"/>
    <n v="0.82499999999999996"/>
    <n v="1.6"/>
    <n v="0.42404999999999998"/>
    <n v="0.82240000000000002"/>
  </r>
  <r>
    <x v="7"/>
    <s v="H"/>
    <s v="Rosario"/>
    <s v="Active Pass, BC"/>
    <n v="10"/>
    <n v="0.72500000000000009"/>
    <n v="1.4"/>
    <n v="0.37265000000000004"/>
    <n v="0.71960000000000002"/>
  </r>
  <r>
    <x v="7"/>
    <s v="H"/>
    <s v="Rosario"/>
    <s v="Active Pass, BC"/>
    <n v="11"/>
    <n v="0.70000000000000007"/>
    <n v="1.3"/>
    <n v="0.35980000000000006"/>
    <n v="0.66820000000000002"/>
  </r>
  <r>
    <x v="7"/>
    <s v="H"/>
    <s v="Rosario"/>
    <s v="Active Pass, BC"/>
    <n v="12"/>
    <n v="0.75"/>
    <n v="1.3"/>
    <n v="0.38550000000000001"/>
    <n v="0.66820000000000002"/>
  </r>
  <r>
    <x v="7"/>
    <s v="H"/>
    <s v="Rosario"/>
    <s v="Active Pass, BC"/>
    <n v="13"/>
    <n v="1"/>
    <n v="1.3"/>
    <n v="0.51400000000000001"/>
    <n v="0.66820000000000002"/>
  </r>
  <r>
    <x v="7"/>
    <s v="H"/>
    <s v="Rosario"/>
    <s v="Active Pass, BC"/>
    <n v="14"/>
    <n v="0.89999999999999991"/>
    <n v="1.4"/>
    <n v="0.46259999999999996"/>
    <n v="0.71960000000000002"/>
  </r>
  <r>
    <x v="7"/>
    <s v="H"/>
    <s v="Rosario"/>
    <s v="Active Pass, BC"/>
    <n v="15"/>
    <n v="1.05"/>
    <n v="1.6"/>
    <n v="0.53970000000000007"/>
    <n v="0.82240000000000002"/>
  </r>
  <r>
    <x v="7"/>
    <s v="H"/>
    <s v="Rosario"/>
    <s v="Active Pass, BC"/>
    <n v="16"/>
    <n v="1.125"/>
    <n v="1.7"/>
    <n v="0.57825000000000004"/>
    <n v="0.87380000000000002"/>
  </r>
  <r>
    <x v="7"/>
    <s v="H"/>
    <s v="Rosario"/>
    <s v="Active Pass, BC"/>
    <n v="17"/>
    <n v="1.25"/>
    <n v="1.8"/>
    <n v="0.64250000000000007"/>
    <n v="0.92520000000000002"/>
  </r>
  <r>
    <x v="7"/>
    <s v="H"/>
    <s v="Rosario"/>
    <s v="Active Pass, BC"/>
    <n v="18"/>
    <n v="1.3"/>
    <n v="1.8"/>
    <n v="0.66820000000000002"/>
    <n v="0.92520000000000002"/>
  </r>
  <r>
    <x v="7"/>
    <s v="H"/>
    <s v="Rosario"/>
    <s v="Active Pass, BC"/>
    <n v="19"/>
    <n v="1.325"/>
    <n v="1.9"/>
    <n v="0.68105000000000004"/>
    <n v="0.97660000000000002"/>
  </r>
  <r>
    <x v="7"/>
    <s v="H"/>
    <s v="Rosario"/>
    <s v="Active Pass, BC"/>
    <n v="20"/>
    <n v="1.35"/>
    <n v="2"/>
    <n v="0.69390000000000007"/>
    <n v="1.028"/>
  </r>
  <r>
    <x v="7"/>
    <s v="H"/>
    <s v="Rosario"/>
    <s v="Active Pass, BC"/>
    <n v="21"/>
    <n v="1.0666666666666667"/>
    <n v="1.6"/>
    <n v="0.54826666666666668"/>
    <n v="0.82240000000000002"/>
  </r>
  <r>
    <x v="7"/>
    <s v="H"/>
    <s v="Rosario"/>
    <s v="Active Pass, BC"/>
    <n v="22"/>
    <n v="1.1999999999999997"/>
    <n v="2"/>
    <n v="0.6167999999999999"/>
    <n v="1.028"/>
  </r>
  <r>
    <x v="7"/>
    <s v="H"/>
    <s v="Rosario"/>
    <s v="Active Pass, BC"/>
    <n v="23"/>
    <n v="1.1000000000000001"/>
    <n v="1.9"/>
    <n v="0.56540000000000001"/>
    <n v="0.97660000000000002"/>
  </r>
  <r>
    <x v="7"/>
    <s v="H"/>
    <s v="Rosario"/>
    <s v="Active Pass, BC"/>
    <n v="24"/>
    <n v="0.97499999999999998"/>
    <n v="1.8"/>
    <n v="0.50114999999999998"/>
    <n v="0.92520000000000002"/>
  </r>
  <r>
    <x v="7"/>
    <s v="H"/>
    <s v="Rosario"/>
    <s v="Active Pass, BC"/>
    <n v="25"/>
    <n v="0.92500000000000004"/>
    <n v="1.7"/>
    <n v="0.47545000000000004"/>
    <n v="0.87380000000000002"/>
  </r>
  <r>
    <x v="7"/>
    <s v="H"/>
    <s v="Rosario"/>
    <s v="Active Pass, BC"/>
    <n v="26"/>
    <n v="0.92500000000000016"/>
    <n v="1.6"/>
    <n v="0.47545000000000009"/>
    <n v="0.82240000000000002"/>
  </r>
  <r>
    <x v="7"/>
    <s v="H"/>
    <s v="Rosario"/>
    <s v="Active Pass, BC"/>
    <n v="27"/>
    <n v="1.2666666666666666"/>
    <n v="1.6"/>
    <n v="0.65106666666666668"/>
    <n v="0.82240000000000002"/>
  </r>
  <r>
    <x v="7"/>
    <s v="H"/>
    <s v="Rosario"/>
    <s v="Active Pass, BC"/>
    <n v="28"/>
    <n v="1.0750000000000002"/>
    <n v="1.6"/>
    <n v="0.5525500000000001"/>
    <n v="0.82240000000000002"/>
  </r>
  <r>
    <x v="7"/>
    <s v="H"/>
    <s v="Rosario"/>
    <s v="Active Pass, BC"/>
    <n v="29"/>
    <n v="1.2250000000000001"/>
    <n v="1.8"/>
    <n v="0.62965000000000004"/>
    <n v="0.92520000000000002"/>
  </r>
  <r>
    <x v="7"/>
    <s v="H"/>
    <s v="Rosario"/>
    <s v="Active Pass, BC"/>
    <n v="30"/>
    <n v="1.2749999999999999"/>
    <n v="1.8"/>
    <n v="0.65534999999999999"/>
    <n v="0.92520000000000002"/>
  </r>
  <r>
    <x v="7"/>
    <s v="H"/>
    <s v="Rosario"/>
    <s v="Active Pass, BC"/>
    <n v="31"/>
    <n v="1.325"/>
    <n v="1.9"/>
    <n v="0.68105000000000004"/>
    <n v="0.97660000000000002"/>
  </r>
  <r>
    <x v="8"/>
    <s v="I"/>
    <s v="Rosario"/>
    <s v="Rosario Strait"/>
    <n v="1"/>
    <n v="1.7499999999999998"/>
    <n v="2.6"/>
    <n v="0.89949999999999986"/>
    <n v="1.3364"/>
  </r>
  <r>
    <x v="8"/>
    <s v="I"/>
    <s v="Rosario"/>
    <s v="Rosario Strait"/>
    <n v="2"/>
    <n v="1.8250000000000002"/>
    <n v="2.6"/>
    <n v="0.93805000000000016"/>
    <n v="1.3364"/>
  </r>
  <r>
    <x v="8"/>
    <s v="I"/>
    <s v="Rosario"/>
    <s v="Rosario Strait"/>
    <n v="3"/>
    <n v="1.9333333333333336"/>
    <n v="2.6"/>
    <n v="0.99373333333333347"/>
    <n v="1.3364"/>
  </r>
  <r>
    <x v="8"/>
    <s v="I"/>
    <s v="Rosario"/>
    <s v="Rosario Strait"/>
    <n v="4"/>
    <n v="1.85"/>
    <n v="2.5"/>
    <n v="0.95090000000000008"/>
    <n v="1.2850000000000001"/>
  </r>
  <r>
    <x v="8"/>
    <s v="I"/>
    <s v="Rosario"/>
    <s v="Rosario Strait"/>
    <n v="5"/>
    <n v="1.75"/>
    <n v="2.2999999999999998"/>
    <n v="0.89949999999999997"/>
    <n v="1.1821999999999999"/>
  </r>
  <r>
    <x v="8"/>
    <s v="I"/>
    <s v="Rosario"/>
    <s v="Rosario Strait"/>
    <n v="6"/>
    <n v="1.5750000000000002"/>
    <n v="2"/>
    <n v="0.8095500000000001"/>
    <n v="1.028"/>
  </r>
  <r>
    <x v="8"/>
    <s v="I"/>
    <s v="Rosario"/>
    <s v="Rosario Strait"/>
    <n v="7"/>
    <n v="1.4000000000000001"/>
    <n v="1.8"/>
    <n v="0.71960000000000013"/>
    <n v="0.92520000000000002"/>
  </r>
  <r>
    <x v="8"/>
    <s v="I"/>
    <s v="Rosario"/>
    <s v="Rosario Strait"/>
    <n v="8"/>
    <n v="1.2250000000000001"/>
    <n v="1.8"/>
    <n v="0.62965000000000004"/>
    <n v="0.92520000000000002"/>
  </r>
  <r>
    <x v="8"/>
    <s v="I"/>
    <s v="Rosario"/>
    <s v="Rosario Strait"/>
    <n v="9"/>
    <n v="1.1000000000000001"/>
    <n v="1.8"/>
    <n v="0.56540000000000001"/>
    <n v="0.92520000000000002"/>
  </r>
  <r>
    <x v="8"/>
    <s v="I"/>
    <s v="Rosario"/>
    <s v="Rosario Strait"/>
    <n v="10"/>
    <n v="0.875"/>
    <n v="1.7"/>
    <n v="0.44974999999999998"/>
    <n v="0.87380000000000002"/>
  </r>
  <r>
    <x v="8"/>
    <s v="I"/>
    <s v="Rosario"/>
    <s v="Rosario Strait"/>
    <n v="11"/>
    <n v="0.79999999999999993"/>
    <n v="1.7"/>
    <n v="0.41119999999999995"/>
    <n v="0.87380000000000002"/>
  </r>
  <r>
    <x v="8"/>
    <s v="I"/>
    <s v="Rosario"/>
    <s v="Rosario Strait"/>
    <n v="12"/>
    <n v="1.1333333333333333"/>
    <n v="1.8"/>
    <n v="0.58253333333333335"/>
    <n v="0.92520000000000002"/>
  </r>
  <r>
    <x v="8"/>
    <s v="I"/>
    <s v="Rosario"/>
    <s v="Rosario Strait"/>
    <n v="13"/>
    <n v="1.0249999999999999"/>
    <n v="1.8"/>
    <n v="0.52684999999999993"/>
    <n v="0.92520000000000002"/>
  </r>
  <r>
    <x v="8"/>
    <s v="I"/>
    <s v="Rosario"/>
    <s v="Rosario Strait"/>
    <n v="14"/>
    <n v="1.125"/>
    <n v="1.8"/>
    <n v="0.57825000000000004"/>
    <n v="0.92520000000000002"/>
  </r>
  <r>
    <x v="8"/>
    <s v="I"/>
    <s v="Rosario"/>
    <s v="Rosario Strait"/>
    <n v="15"/>
    <n v="1.25"/>
    <n v="2"/>
    <n v="0.64250000000000007"/>
    <n v="1.028"/>
  </r>
  <r>
    <x v="8"/>
    <s v="I"/>
    <s v="Rosario"/>
    <s v="Rosario Strait"/>
    <n v="16"/>
    <n v="1.4749999999999999"/>
    <n v="2.2000000000000002"/>
    <n v="0.75814999999999999"/>
    <n v="1.1308"/>
  </r>
  <r>
    <x v="8"/>
    <s v="I"/>
    <s v="Rosario"/>
    <s v="Rosario Strait"/>
    <n v="17"/>
    <n v="1.5999999999999999"/>
    <n v="2.2999999999999998"/>
    <n v="0.82239999999999991"/>
    <n v="1.1821999999999999"/>
  </r>
  <r>
    <x v="8"/>
    <s v="I"/>
    <s v="Rosario"/>
    <s v="Rosario Strait"/>
    <n v="18"/>
    <n v="1.75"/>
    <n v="2.2999999999999998"/>
    <n v="0.89949999999999997"/>
    <n v="1.1821999999999999"/>
  </r>
  <r>
    <x v="8"/>
    <s v="I"/>
    <s v="Rosario"/>
    <s v="Rosario Strait"/>
    <n v="19"/>
    <n v="1.7666666666666666"/>
    <n v="2.2999999999999998"/>
    <n v="0.90806666666666669"/>
    <n v="1.1821999999999999"/>
  </r>
  <r>
    <x v="8"/>
    <s v="I"/>
    <s v="Rosario"/>
    <s v="Rosario Strait"/>
    <n v="20"/>
    <n v="1.7500000000000002"/>
    <n v="2.2000000000000002"/>
    <n v="0.89950000000000019"/>
    <n v="1.1308"/>
  </r>
  <r>
    <x v="8"/>
    <s v="I"/>
    <s v="Rosario"/>
    <s v="Rosario Strait"/>
    <n v="21"/>
    <n v="1.7250000000000001"/>
    <n v="2"/>
    <n v="0.88665000000000005"/>
    <n v="1.028"/>
  </r>
  <r>
    <x v="8"/>
    <s v="I"/>
    <s v="Rosario"/>
    <s v="Rosario Strait"/>
    <n v="22"/>
    <n v="1.625"/>
    <n v="2.1"/>
    <n v="0.83525000000000005"/>
    <n v="1.0794000000000001"/>
  </r>
  <r>
    <x v="8"/>
    <s v="I"/>
    <s v="Rosario"/>
    <s v="Rosario Strait"/>
    <n v="23"/>
    <n v="1.5"/>
    <n v="2.1"/>
    <n v="0.77100000000000002"/>
    <n v="1.0794000000000001"/>
  </r>
  <r>
    <x v="8"/>
    <s v="I"/>
    <s v="Rosario"/>
    <s v="Rosario Strait"/>
    <n v="24"/>
    <n v="1.375"/>
    <n v="2.1"/>
    <n v="0.70674999999999999"/>
    <n v="1.0794000000000001"/>
  </r>
  <r>
    <x v="8"/>
    <s v="I"/>
    <s v="Rosario"/>
    <s v="Rosario Strait"/>
    <n v="25"/>
    <n v="1.2"/>
    <n v="2"/>
    <n v="0.61680000000000001"/>
    <n v="1.028"/>
  </r>
  <r>
    <x v="8"/>
    <s v="I"/>
    <s v="Rosario"/>
    <s v="Rosario Strait"/>
    <n v="26"/>
    <n v="1.175"/>
    <n v="2"/>
    <n v="0.60394999999999999"/>
    <n v="1.028"/>
  </r>
  <r>
    <x v="8"/>
    <s v="I"/>
    <s v="Rosario"/>
    <s v="Rosario Strait"/>
    <n v="27"/>
    <n v="1.4666666666666668"/>
    <n v="2"/>
    <n v="0.7538666666666668"/>
    <n v="1.028"/>
  </r>
  <r>
    <x v="8"/>
    <s v="I"/>
    <s v="Rosario"/>
    <s v="Rosario Strait"/>
    <n v="28"/>
    <n v="1.325"/>
    <n v="2"/>
    <n v="0.68105000000000004"/>
    <n v="1.028"/>
  </r>
  <r>
    <x v="8"/>
    <s v="I"/>
    <s v="Rosario"/>
    <s v="Rosario Strait"/>
    <n v="29"/>
    <n v="1.5250000000000001"/>
    <n v="2.2000000000000002"/>
    <n v="0.78385000000000005"/>
    <n v="1.1308"/>
  </r>
  <r>
    <x v="8"/>
    <s v="I"/>
    <s v="Rosario"/>
    <s v="Rosario Strait"/>
    <n v="30"/>
    <n v="1.65"/>
    <n v="2.2000000000000002"/>
    <n v="0.84809999999999997"/>
    <n v="1.1308"/>
  </r>
  <r>
    <x v="8"/>
    <s v="I"/>
    <s v="Rosario"/>
    <s v="Rosario Strait"/>
    <n v="31"/>
    <n v="1.8"/>
    <n v="2.2000000000000002"/>
    <n v="0.92520000000000002"/>
    <n v="1.1308"/>
  </r>
  <r>
    <x v="9"/>
    <s v="J"/>
    <s v="Rosario"/>
    <s v="Rosario Strait"/>
    <n v="1"/>
    <n v="2.5750000000000002"/>
    <n v="4.2"/>
    <n v="1.3235500000000002"/>
    <n v="2.1588000000000003"/>
  </r>
  <r>
    <x v="9"/>
    <s v="J"/>
    <s v="Rosario"/>
    <s v="Rosario Strait"/>
    <n v="2"/>
    <n v="2.75"/>
    <n v="4.2"/>
    <n v="1.4135"/>
    <n v="2.1588000000000003"/>
  </r>
  <r>
    <x v="9"/>
    <s v="J"/>
    <s v="Rosario"/>
    <s v="Rosario Strait"/>
    <n v="3"/>
    <n v="2.75"/>
    <n v="3.9"/>
    <n v="1.4135"/>
    <n v="2.0045999999999999"/>
  </r>
  <r>
    <x v="9"/>
    <s v="J"/>
    <s v="Rosario"/>
    <s v="Rosario Strait"/>
    <n v="4"/>
    <n v="2.6"/>
    <n v="3.6"/>
    <n v="1.3364"/>
    <n v="1.8504"/>
  </r>
  <r>
    <x v="9"/>
    <s v="J"/>
    <s v="Rosario"/>
    <s v="Rosario Strait"/>
    <n v="5"/>
    <n v="2.5750000000000002"/>
    <n v="3.2"/>
    <n v="1.3235500000000002"/>
    <n v="1.6448"/>
  </r>
  <r>
    <x v="9"/>
    <s v="J"/>
    <s v="Rosario"/>
    <s v="Rosario Strait"/>
    <n v="6"/>
    <n v="2.35"/>
    <n v="3.2"/>
    <n v="1.2079"/>
    <n v="1.6448"/>
  </r>
  <r>
    <x v="9"/>
    <s v="J"/>
    <s v="Rosario"/>
    <s v="Rosario Strait"/>
    <n v="7"/>
    <n v="2.0750000000000002"/>
    <n v="3.2"/>
    <n v="1.0665500000000001"/>
    <n v="1.6448"/>
  </r>
  <r>
    <x v="9"/>
    <s v="J"/>
    <s v="Rosario"/>
    <s v="Rosario Strait"/>
    <n v="8"/>
    <n v="1.8250000000000002"/>
    <n v="3.2"/>
    <n v="0.93805000000000016"/>
    <n v="1.6448"/>
  </r>
  <r>
    <x v="9"/>
    <s v="J"/>
    <s v="Rosario"/>
    <s v="Rosario Strait"/>
    <n v="9"/>
    <n v="1.575"/>
    <n v="3.1"/>
    <n v="0.80954999999999999"/>
    <n v="1.5934000000000001"/>
  </r>
  <r>
    <x v="9"/>
    <s v="J"/>
    <s v="Rosario"/>
    <s v="Rosario Strait"/>
    <n v="10"/>
    <n v="1.325"/>
    <n v="2.9"/>
    <n v="0.68105000000000004"/>
    <n v="1.4905999999999999"/>
  </r>
  <r>
    <x v="9"/>
    <s v="J"/>
    <s v="Rosario"/>
    <s v="Rosario Strait"/>
    <n v="11"/>
    <n v="1.2250000000000001"/>
    <n v="2.9"/>
    <n v="0.62965000000000004"/>
    <n v="1.4905999999999999"/>
  </r>
  <r>
    <x v="9"/>
    <s v="J"/>
    <s v="Rosario"/>
    <s v="Rosario Strait"/>
    <n v="12"/>
    <n v="1.325"/>
    <n v="3.1"/>
    <n v="0.68105000000000004"/>
    <n v="1.5934000000000001"/>
  </r>
  <r>
    <x v="9"/>
    <s v="J"/>
    <s v="Rosario"/>
    <s v="Rosario Strait"/>
    <n v="13"/>
    <n v="1.9666666666666668"/>
    <n v="3.1"/>
    <n v="1.0108666666666668"/>
    <n v="1.5934000000000001"/>
  </r>
  <r>
    <x v="9"/>
    <s v="J"/>
    <s v="Rosario"/>
    <s v="Rosario Strait"/>
    <n v="14"/>
    <n v="1.7000000000000002"/>
    <n v="3.2"/>
    <n v="0.87380000000000013"/>
    <n v="1.6448"/>
  </r>
  <r>
    <x v="9"/>
    <s v="J"/>
    <s v="Rosario"/>
    <s v="Rosario Strait"/>
    <n v="15"/>
    <n v="1.925"/>
    <n v="3.2"/>
    <n v="0.98945000000000005"/>
    <n v="1.6448"/>
  </r>
  <r>
    <x v="9"/>
    <s v="J"/>
    <s v="Rosario"/>
    <s v="Rosario Strait"/>
    <n v="16"/>
    <n v="2.1749999999999998"/>
    <n v="3.4"/>
    <n v="1.11795"/>
    <n v="1.7476"/>
  </r>
  <r>
    <x v="9"/>
    <s v="J"/>
    <s v="Rosario"/>
    <s v="Rosario Strait"/>
    <n v="17"/>
    <n v="2.4000000000000004"/>
    <n v="3.4"/>
    <n v="1.2336000000000003"/>
    <n v="1.7476"/>
  </r>
  <r>
    <x v="9"/>
    <s v="J"/>
    <s v="Rosario"/>
    <s v="Rosario Strait"/>
    <n v="18"/>
    <n v="2.5750000000000002"/>
    <n v="3.4"/>
    <n v="1.3235500000000002"/>
    <n v="1.7476"/>
  </r>
  <r>
    <x v="9"/>
    <s v="J"/>
    <s v="Rosario"/>
    <s v="Rosario Strait"/>
    <n v="19"/>
    <n v="2.625"/>
    <n v="3.2"/>
    <n v="1.3492500000000001"/>
    <n v="1.6448"/>
  </r>
  <r>
    <x v="9"/>
    <s v="J"/>
    <s v="Rosario"/>
    <s v="Rosario Strait"/>
    <n v="20"/>
    <n v="2.3333333333333335"/>
    <n v="2.8"/>
    <n v="1.1993333333333334"/>
    <n v="1.4392"/>
  </r>
  <r>
    <x v="9"/>
    <s v="J"/>
    <s v="Rosario"/>
    <s v="Rosario Strait"/>
    <n v="21"/>
    <n v="2.4749999999999996"/>
    <n v="3.5"/>
    <n v="1.2721499999999999"/>
    <n v="1.7989999999999999"/>
  </r>
  <r>
    <x v="9"/>
    <s v="J"/>
    <s v="Rosario"/>
    <s v="Rosario Strait"/>
    <n v="22"/>
    <n v="2.3499999999999996"/>
    <n v="3.6"/>
    <n v="1.2078999999999998"/>
    <n v="1.8504"/>
  </r>
  <r>
    <x v="9"/>
    <s v="J"/>
    <s v="Rosario"/>
    <s v="Rosario Strait"/>
    <n v="23"/>
    <n v="2.1749999999999998"/>
    <n v="3.6"/>
    <n v="1.11795"/>
    <n v="1.8504"/>
  </r>
  <r>
    <x v="9"/>
    <s v="J"/>
    <s v="Rosario"/>
    <s v="Rosario Strait"/>
    <n v="24"/>
    <n v="1.9749999999999999"/>
    <n v="3.6"/>
    <n v="1.01515"/>
    <n v="1.8504"/>
  </r>
  <r>
    <x v="9"/>
    <s v="J"/>
    <s v="Rosario"/>
    <s v="Rosario Strait"/>
    <n v="25"/>
    <n v="1.7249999999999999"/>
    <n v="3.5"/>
    <n v="0.88664999999999994"/>
    <n v="1.7989999999999999"/>
  </r>
  <r>
    <x v="9"/>
    <s v="J"/>
    <s v="Rosario"/>
    <s v="Rosario Strait"/>
    <n v="26"/>
    <n v="1.7249999999999999"/>
    <n v="3.5"/>
    <n v="0.88664999999999994"/>
    <n v="1.7989999999999999"/>
  </r>
  <r>
    <x v="9"/>
    <s v="J"/>
    <s v="Rosario"/>
    <s v="Rosario Strait"/>
    <n v="27"/>
    <n v="2.2666666666666666"/>
    <n v="3.5"/>
    <n v="1.1650666666666667"/>
    <n v="1.7989999999999999"/>
  </r>
  <r>
    <x v="9"/>
    <s v="J"/>
    <s v="Rosario"/>
    <s v="Rosario Strait"/>
    <n v="28"/>
    <n v="1.9749999999999999"/>
    <n v="3.5"/>
    <n v="1.01515"/>
    <n v="1.7989999999999999"/>
  </r>
  <r>
    <x v="9"/>
    <s v="J"/>
    <s v="Rosario"/>
    <s v="Rosario Strait"/>
    <n v="29"/>
    <n v="2.2250000000000001"/>
    <n v="3.5"/>
    <n v="1.1436500000000001"/>
    <n v="1.7989999999999999"/>
  </r>
  <r>
    <x v="9"/>
    <s v="J"/>
    <s v="Rosario"/>
    <s v="Rosario Strait"/>
    <n v="30"/>
    <n v="2.4500000000000002"/>
    <n v="3.5"/>
    <n v="1.2593000000000001"/>
    <n v="1.7989999999999999"/>
  </r>
  <r>
    <x v="9"/>
    <s v="J"/>
    <s v="Rosario"/>
    <s v="Rosario Strait"/>
    <n v="31"/>
    <n v="2.6500000000000004"/>
    <n v="3.5"/>
    <n v="1.3621000000000003"/>
    <n v="1.7989999999999999"/>
  </r>
  <r>
    <x v="10"/>
    <s v="K"/>
    <s v="Sound"/>
    <s v="San Juan Channel, South Entrance"/>
    <n v="1"/>
    <n v="0.85"/>
    <n v="1.2"/>
    <n v="0.43690000000000001"/>
    <n v="0.61680000000000001"/>
  </r>
  <r>
    <x v="10"/>
    <s v="K"/>
    <s v="Sound"/>
    <s v="San Juan Channel, South Entrance"/>
    <n v="2"/>
    <n v="0.82499999999999996"/>
    <n v="1.1000000000000001"/>
    <n v="0.42404999999999998"/>
    <n v="0.56540000000000001"/>
  </r>
  <r>
    <x v="10"/>
    <s v="K"/>
    <s v="Sound"/>
    <s v="San Juan Channel, South Entrance"/>
    <n v="3"/>
    <n v="0.79999999999999993"/>
    <n v="1.1000000000000001"/>
    <n v="0.41119999999999995"/>
    <n v="0.56540000000000001"/>
  </r>
  <r>
    <x v="10"/>
    <s v="K"/>
    <s v="Sound"/>
    <s v="San Juan Channel, South Entrance"/>
    <n v="4"/>
    <n v="0.72499999999999998"/>
    <n v="0.9"/>
    <n v="0.37264999999999998"/>
    <n v="0.46260000000000001"/>
  </r>
  <r>
    <x v="10"/>
    <s v="K"/>
    <s v="Sound"/>
    <s v="San Juan Channel, South Entrance"/>
    <n v="5"/>
    <n v="0.65000000000000013"/>
    <n v="0.8"/>
    <n v="0.33410000000000006"/>
    <n v="0.41120000000000001"/>
  </r>
  <r>
    <x v="10"/>
    <s v="K"/>
    <s v="Sound"/>
    <s v="San Juan Channel, South Entrance"/>
    <n v="6"/>
    <n v="0.5"/>
    <n v="0.6"/>
    <n v="0.25700000000000001"/>
    <n v="0.30840000000000001"/>
  </r>
  <r>
    <x v="10"/>
    <s v="K"/>
    <s v="Sound"/>
    <s v="San Juan Channel, South Entrance"/>
    <n v="7"/>
    <n v="0.5"/>
    <n v="0.8"/>
    <n v="0.25700000000000001"/>
    <n v="0.41120000000000001"/>
  </r>
  <r>
    <x v="10"/>
    <s v="K"/>
    <s v="Sound"/>
    <s v="San Juan Channel, South Entrance"/>
    <n v="8"/>
    <n v="0.45000000000000007"/>
    <n v="0.8"/>
    <n v="0.23130000000000003"/>
    <n v="0.41120000000000001"/>
  </r>
  <r>
    <x v="10"/>
    <s v="K"/>
    <s v="Sound"/>
    <s v="San Juan Channel, South Entrance"/>
    <n v="9"/>
    <n v="0.4"/>
    <n v="0.7"/>
    <n v="0.2056"/>
    <n v="0.35980000000000001"/>
  </r>
  <r>
    <x v="10"/>
    <s v="K"/>
    <s v="Sound"/>
    <s v="San Juan Channel, South Entrance"/>
    <n v="10"/>
    <n v="0.4"/>
    <n v="0.7"/>
    <n v="0.2056"/>
    <n v="0.35980000000000001"/>
  </r>
  <r>
    <x v="10"/>
    <s v="K"/>
    <s v="Sound"/>
    <s v="San Juan Channel, South Entrance"/>
    <n v="11"/>
    <n v="0.42499999999999999"/>
    <n v="0.7"/>
    <n v="0.21845000000000001"/>
    <n v="0.35980000000000001"/>
  </r>
  <r>
    <x v="10"/>
    <s v="K"/>
    <s v="Sound"/>
    <s v="San Juan Channel, South Entrance"/>
    <n v="12"/>
    <n v="0.49999999999999994"/>
    <n v="0.8"/>
    <n v="0.25699999999999995"/>
    <n v="0.41120000000000001"/>
  </r>
  <r>
    <x v="10"/>
    <s v="K"/>
    <s v="Sound"/>
    <s v="San Juan Channel, South Entrance"/>
    <n v="13"/>
    <n v="0.6333333333333333"/>
    <n v="0.8"/>
    <n v="0.32553333333333334"/>
    <n v="0.41120000000000001"/>
  </r>
  <r>
    <x v="10"/>
    <s v="K"/>
    <s v="Sound"/>
    <s v="San Juan Channel, South Entrance"/>
    <n v="14"/>
    <n v="0.6"/>
    <n v="0.9"/>
    <n v="0.30840000000000001"/>
    <n v="0.46260000000000001"/>
  </r>
  <r>
    <x v="10"/>
    <s v="K"/>
    <s v="Sound"/>
    <s v="San Juan Channel, South Entrance"/>
    <n v="15"/>
    <n v="0.64999999999999991"/>
    <n v="0.9"/>
    <n v="0.33409999999999995"/>
    <n v="0.46260000000000001"/>
  </r>
  <r>
    <x v="10"/>
    <s v="K"/>
    <s v="Sound"/>
    <s v="San Juan Channel, South Entrance"/>
    <n v="16"/>
    <n v="0.72500000000000009"/>
    <n v="1"/>
    <n v="0.37265000000000004"/>
    <n v="0.51400000000000001"/>
  </r>
  <r>
    <x v="10"/>
    <s v="K"/>
    <s v="Sound"/>
    <s v="San Juan Channel, South Entrance"/>
    <n v="17"/>
    <n v="0.77500000000000002"/>
    <n v="1"/>
    <n v="0.39835000000000004"/>
    <n v="0.51400000000000001"/>
  </r>
  <r>
    <x v="10"/>
    <s v="K"/>
    <s v="Sound"/>
    <s v="San Juan Channel, South Entrance"/>
    <n v="18"/>
    <n v="0.82499999999999996"/>
    <n v="1"/>
    <n v="0.42404999999999998"/>
    <n v="0.51400000000000001"/>
  </r>
  <r>
    <x v="10"/>
    <s v="K"/>
    <s v="Sound"/>
    <s v="San Juan Channel, South Entrance"/>
    <n v="19"/>
    <n v="0.8"/>
    <n v="1"/>
    <n v="0.41120000000000001"/>
    <n v="0.51400000000000001"/>
  </r>
  <r>
    <x v="10"/>
    <s v="K"/>
    <s v="Sound"/>
    <s v="San Juan Channel, South Entrance"/>
    <n v="20"/>
    <n v="0.75"/>
    <n v="1"/>
    <n v="0.38550000000000001"/>
    <n v="0.51400000000000001"/>
  </r>
  <r>
    <x v="10"/>
    <s v="K"/>
    <s v="Sound"/>
    <s v="San Juan Channel, South Entrance"/>
    <n v="21"/>
    <n v="0.72499999999999998"/>
    <n v="1"/>
    <n v="0.37264999999999998"/>
    <n v="0.51400000000000001"/>
  </r>
  <r>
    <x v="10"/>
    <s v="K"/>
    <s v="Sound"/>
    <s v="San Juan Channel, South Entrance"/>
    <n v="22"/>
    <n v="0.56666666666666665"/>
    <n v="0.6"/>
    <n v="0.29126666666666667"/>
    <n v="0.30840000000000001"/>
  </r>
  <r>
    <x v="10"/>
    <s v="K"/>
    <s v="Sound"/>
    <s v="San Juan Channel, South Entrance"/>
    <n v="23"/>
    <n v="0.625"/>
    <n v="1"/>
    <n v="0.32125000000000004"/>
    <n v="0.51400000000000001"/>
  </r>
  <r>
    <x v="10"/>
    <s v="K"/>
    <s v="Sound"/>
    <s v="San Juan Channel, South Entrance"/>
    <n v="24"/>
    <n v="0.54999999999999993"/>
    <n v="0.9"/>
    <n v="0.28269999999999995"/>
    <n v="0.46260000000000001"/>
  </r>
  <r>
    <x v="10"/>
    <s v="K"/>
    <s v="Sound"/>
    <s v="San Juan Channel, South Entrance"/>
    <n v="25"/>
    <n v="0.55000000000000004"/>
    <n v="0.9"/>
    <n v="0.28270000000000001"/>
    <n v="0.46260000000000001"/>
  </r>
  <r>
    <x v="10"/>
    <s v="K"/>
    <s v="Sound"/>
    <s v="San Juan Channel, South Entrance"/>
    <n v="26"/>
    <n v="0.625"/>
    <n v="0.9"/>
    <n v="0.32125000000000004"/>
    <n v="0.46260000000000001"/>
  </r>
  <r>
    <x v="10"/>
    <s v="K"/>
    <s v="Sound"/>
    <s v="San Juan Channel, South Entrance"/>
    <n v="27"/>
    <n v="0.83333333333333337"/>
    <n v="1"/>
    <n v="0.42833333333333334"/>
    <n v="0.51400000000000001"/>
  </r>
  <r>
    <x v="10"/>
    <s v="K"/>
    <s v="Sound"/>
    <s v="San Juan Channel, South Entrance"/>
    <n v="28"/>
    <n v="0.72500000000000009"/>
    <n v="1"/>
    <n v="0.37265000000000004"/>
    <n v="0.51400000000000001"/>
  </r>
  <r>
    <x v="10"/>
    <s v="K"/>
    <s v="Sound"/>
    <s v="San Juan Channel, South Entrance"/>
    <n v="29"/>
    <n v="0.77500000000000002"/>
    <n v="1"/>
    <n v="0.39835000000000004"/>
    <n v="0.51400000000000001"/>
  </r>
  <r>
    <x v="10"/>
    <s v="K"/>
    <s v="Sound"/>
    <s v="San Juan Channel, South Entrance"/>
    <n v="30"/>
    <n v="0.79999999999999993"/>
    <n v="1"/>
    <n v="0.41119999999999995"/>
    <n v="0.51400000000000001"/>
  </r>
  <r>
    <x v="10"/>
    <s v="K"/>
    <s v="Sound"/>
    <s v="San Juan Channel, South Entrance"/>
    <n v="31"/>
    <n v="0.8"/>
    <n v="1"/>
    <n v="0.41120000000000001"/>
    <n v="0.51400000000000001"/>
  </r>
  <r>
    <x v="11"/>
    <s v="L"/>
    <s v="Sound"/>
    <s v="Rosario Strait"/>
    <n v="1"/>
    <n v="0.87500000000000011"/>
    <n v="1.3"/>
    <n v="0.44975000000000009"/>
    <n v="0.66820000000000002"/>
  </r>
  <r>
    <x v="11"/>
    <s v="L"/>
    <s v="Sound"/>
    <s v="Rosario Strait"/>
    <n v="2"/>
    <n v="0.92500000000000004"/>
    <n v="1.3"/>
    <n v="0.47545000000000004"/>
    <n v="0.66820000000000002"/>
  </r>
  <r>
    <x v="11"/>
    <s v="L"/>
    <s v="Sound"/>
    <s v="Rosario Strait"/>
    <n v="3"/>
    <n v="0.92500000000000004"/>
    <n v="1.3"/>
    <n v="0.47545000000000004"/>
    <n v="0.66820000000000002"/>
  </r>
  <r>
    <x v="11"/>
    <s v="L"/>
    <s v="Sound"/>
    <s v="Rosario Strait"/>
    <n v="4"/>
    <n v="0.93333333333333324"/>
    <n v="1.3"/>
    <n v="0.47973333333333329"/>
    <n v="0.66820000000000002"/>
  </r>
  <r>
    <x v="11"/>
    <s v="L"/>
    <s v="Sound"/>
    <s v="Rosario Strait"/>
    <n v="5"/>
    <n v="0.85"/>
    <n v="1.1000000000000001"/>
    <n v="0.43690000000000001"/>
    <n v="0.56540000000000001"/>
  </r>
  <r>
    <x v="11"/>
    <s v="L"/>
    <s v="Sound"/>
    <s v="Rosario Strait"/>
    <n v="6"/>
    <n v="0.77499999999999991"/>
    <n v="1"/>
    <n v="0.39834999999999998"/>
    <n v="0.51400000000000001"/>
  </r>
  <r>
    <x v="11"/>
    <s v="L"/>
    <s v="Sound"/>
    <s v="Rosario Strait"/>
    <n v="7"/>
    <n v="0.67500000000000004"/>
    <n v="0.9"/>
    <n v="0.34695000000000004"/>
    <n v="0.46260000000000001"/>
  </r>
  <r>
    <x v="11"/>
    <s v="L"/>
    <s v="Sound"/>
    <s v="Rosario Strait"/>
    <n v="8"/>
    <n v="0.625"/>
    <n v="0.9"/>
    <n v="0.32125000000000004"/>
    <n v="0.46260000000000001"/>
  </r>
  <r>
    <x v="11"/>
    <s v="L"/>
    <s v="Sound"/>
    <s v="Rosario Strait"/>
    <n v="9"/>
    <n v="0.52499999999999991"/>
    <n v="0.9"/>
    <n v="0.26984999999999998"/>
    <n v="0.46260000000000001"/>
  </r>
  <r>
    <x v="11"/>
    <s v="L"/>
    <s v="Sound"/>
    <s v="Rosario Strait"/>
    <n v="10"/>
    <n v="0.42500000000000004"/>
    <n v="0.8"/>
    <n v="0.21845000000000003"/>
    <n v="0.41120000000000001"/>
  </r>
  <r>
    <x v="11"/>
    <s v="L"/>
    <s v="Sound"/>
    <s v="Rosario Strait"/>
    <n v="11"/>
    <n v="0.4"/>
    <n v="0.8"/>
    <n v="0.2056"/>
    <n v="0.41120000000000001"/>
  </r>
  <r>
    <x v="11"/>
    <s v="L"/>
    <s v="Sound"/>
    <s v="Rosario Strait"/>
    <n v="12"/>
    <n v="0.56666666666666665"/>
    <n v="0.9"/>
    <n v="0.29126666666666667"/>
    <n v="0.46260000000000001"/>
  </r>
  <r>
    <x v="11"/>
    <s v="L"/>
    <s v="Sound"/>
    <s v="Rosario Strait"/>
    <n v="13"/>
    <n v="0.52500000000000002"/>
    <n v="0.9"/>
    <n v="0.26985000000000003"/>
    <n v="0.46260000000000001"/>
  </r>
  <r>
    <x v="11"/>
    <s v="L"/>
    <s v="Sound"/>
    <s v="Rosario Strait"/>
    <n v="14"/>
    <n v="0.57499999999999996"/>
    <n v="0.9"/>
    <n v="0.29554999999999998"/>
    <n v="0.46260000000000001"/>
  </r>
  <r>
    <x v="11"/>
    <s v="L"/>
    <s v="Sound"/>
    <s v="Rosario Strait"/>
    <n v="15"/>
    <n v="0.625"/>
    <n v="1"/>
    <n v="0.32125000000000004"/>
    <n v="0.51400000000000001"/>
  </r>
  <r>
    <x v="11"/>
    <s v="L"/>
    <s v="Sound"/>
    <s v="Rosario Strait"/>
    <n v="16"/>
    <n v="0.72499999999999998"/>
    <n v="1.1000000000000001"/>
    <n v="0.37264999999999998"/>
    <n v="0.56540000000000001"/>
  </r>
  <r>
    <x v="11"/>
    <s v="L"/>
    <s v="Sound"/>
    <s v="Rosario Strait"/>
    <n v="17"/>
    <n v="0.82499999999999996"/>
    <n v="1.1000000000000001"/>
    <n v="0.42404999999999998"/>
    <n v="0.56540000000000001"/>
  </r>
  <r>
    <x v="11"/>
    <s v="L"/>
    <s v="Sound"/>
    <s v="Rosario Strait"/>
    <n v="18"/>
    <n v="0.85000000000000009"/>
    <n v="1.1000000000000001"/>
    <n v="0.43690000000000007"/>
    <n v="0.56540000000000001"/>
  </r>
  <r>
    <x v="11"/>
    <s v="L"/>
    <s v="Sound"/>
    <s v="Rosario Strait"/>
    <n v="19"/>
    <n v="0.875"/>
    <n v="1.1000000000000001"/>
    <n v="0.44974999999999998"/>
    <n v="0.56540000000000001"/>
  </r>
  <r>
    <x v="11"/>
    <s v="L"/>
    <s v="Sound"/>
    <s v="Rosario Strait"/>
    <n v="20"/>
    <n v="0.8666666666666667"/>
    <n v="1.1000000000000001"/>
    <n v="0.44546666666666668"/>
    <n v="0.56540000000000001"/>
  </r>
  <r>
    <x v="11"/>
    <s v="L"/>
    <s v="Sound"/>
    <s v="Rosario Strait"/>
    <n v="21"/>
    <n v="0.875"/>
    <n v="1"/>
    <n v="0.44974999999999998"/>
    <n v="0.51400000000000001"/>
  </r>
  <r>
    <x v="11"/>
    <s v="L"/>
    <s v="Sound"/>
    <s v="Rosario Strait"/>
    <n v="22"/>
    <n v="0.77499999999999991"/>
    <n v="1"/>
    <n v="0.39834999999999998"/>
    <n v="0.51400000000000001"/>
  </r>
  <r>
    <x v="11"/>
    <s v="L"/>
    <s v="Sound"/>
    <s v="Rosario Strait"/>
    <n v="23"/>
    <n v="0.72500000000000009"/>
    <n v="1"/>
    <n v="0.37265000000000004"/>
    <n v="0.51400000000000001"/>
  </r>
  <r>
    <x v="11"/>
    <s v="L"/>
    <s v="Sound"/>
    <s v="Rosario Strait"/>
    <n v="24"/>
    <n v="0.65"/>
    <n v="1"/>
    <n v="0.33410000000000001"/>
    <n v="0.51400000000000001"/>
  </r>
  <r>
    <x v="11"/>
    <s v="L"/>
    <s v="Sound"/>
    <s v="Rosario Strait"/>
    <n v="25"/>
    <n v="0.6"/>
    <n v="1"/>
    <n v="0.30840000000000001"/>
    <n v="0.51400000000000001"/>
  </r>
  <r>
    <x v="11"/>
    <s v="L"/>
    <s v="Sound"/>
    <s v="Rosario Strait"/>
    <n v="26"/>
    <n v="0.57500000000000007"/>
    <n v="1"/>
    <n v="0.29555000000000003"/>
    <n v="0.51400000000000001"/>
  </r>
  <r>
    <x v="11"/>
    <s v="L"/>
    <s v="Sound"/>
    <s v="Rosario Strait"/>
    <n v="27"/>
    <n v="0.73333333333333339"/>
    <n v="1"/>
    <n v="0.3769333333333334"/>
    <n v="0.51400000000000001"/>
  </r>
  <r>
    <x v="11"/>
    <s v="L"/>
    <s v="Sound"/>
    <s v="Rosario Strait"/>
    <n v="28"/>
    <n v="0.67500000000000004"/>
    <n v="1"/>
    <n v="0.34695000000000004"/>
    <n v="0.51400000000000001"/>
  </r>
  <r>
    <x v="11"/>
    <s v="L"/>
    <s v="Sound"/>
    <s v="Rosario Strait"/>
    <n v="29"/>
    <n v="0.75000000000000011"/>
    <n v="1.1000000000000001"/>
    <n v="0.38550000000000006"/>
    <n v="0.56540000000000001"/>
  </r>
  <r>
    <x v="11"/>
    <s v="L"/>
    <s v="Sound"/>
    <s v="Rosario Strait"/>
    <n v="30"/>
    <n v="0.82499999999999996"/>
    <n v="1.1000000000000001"/>
    <n v="0.42404999999999998"/>
    <n v="0.56540000000000001"/>
  </r>
  <r>
    <x v="11"/>
    <s v="L"/>
    <s v="Sound"/>
    <s v="Rosario Strait"/>
    <n v="31"/>
    <n v="0.9"/>
    <n v="1.1000000000000001"/>
    <n v="0.46260000000000001"/>
    <n v="0.56540000000000001"/>
  </r>
  <r>
    <x v="12"/>
    <s v="M"/>
    <s v="Hood"/>
    <s v="Admiralty Inlet"/>
    <n v="1"/>
    <n v="0.77500000000000013"/>
    <n v="1.1000000000000001"/>
    <n v="0.39835000000000009"/>
    <n v="0.56540000000000001"/>
  </r>
  <r>
    <x v="12"/>
    <s v="M"/>
    <s v="Hood"/>
    <s v="Admiralty Inlet"/>
    <n v="2"/>
    <n v="0.79249999999999998"/>
    <n v="1.1000000000000001"/>
    <n v="0.40734500000000001"/>
    <n v="0.56540000000000001"/>
  </r>
  <r>
    <x v="12"/>
    <s v="M"/>
    <s v="Hood"/>
    <s v="Admiralty Inlet"/>
    <n v="3"/>
    <n v="0.7649999999999999"/>
    <n v="1"/>
    <n v="0.39320999999999995"/>
    <n v="0.51400000000000001"/>
  </r>
  <r>
    <x v="12"/>
    <s v="M"/>
    <s v="Hood"/>
    <s v="Admiralty Inlet"/>
    <n v="4"/>
    <n v="0.72"/>
    <n v="0.9"/>
    <n v="0.37008000000000002"/>
    <n v="0.46260000000000001"/>
  </r>
  <r>
    <x v="12"/>
    <s v="M"/>
    <s v="Hood"/>
    <s v="Admiralty Inlet"/>
    <n v="5"/>
    <n v="0.6725000000000001"/>
    <n v="0.8"/>
    <n v="0.34566500000000006"/>
    <n v="0.41120000000000001"/>
  </r>
  <r>
    <x v="12"/>
    <s v="M"/>
    <s v="Hood"/>
    <s v="Admiralty Inlet"/>
    <n v="6"/>
    <n v="0.61250000000000004"/>
    <n v="0.8"/>
    <n v="0.31482500000000002"/>
    <n v="0.41120000000000001"/>
  </r>
  <r>
    <x v="12"/>
    <s v="M"/>
    <s v="Hood"/>
    <s v="Admiralty Inlet"/>
    <n v="7"/>
    <n v="0.4366666666666667"/>
    <n v="0.5"/>
    <n v="0.22444666666666668"/>
    <n v="0.25700000000000001"/>
  </r>
  <r>
    <x v="12"/>
    <s v="M"/>
    <s v="Hood"/>
    <s v="Admiralty Inlet"/>
    <n v="8"/>
    <n v="0.46499999999999997"/>
    <n v="0.8"/>
    <n v="0.23901"/>
    <n v="0.41120000000000001"/>
  </r>
  <r>
    <x v="12"/>
    <s v="M"/>
    <s v="Hood"/>
    <s v="Admiralty Inlet"/>
    <n v="9"/>
    <n v="0.41250000000000003"/>
    <n v="0.8"/>
    <n v="0.21202500000000002"/>
    <n v="0.41120000000000001"/>
  </r>
  <r>
    <x v="12"/>
    <s v="M"/>
    <s v="Hood"/>
    <s v="Admiralty Inlet"/>
    <n v="10"/>
    <n v="0.37250000000000005"/>
    <n v="0.7"/>
    <n v="0.19146500000000002"/>
    <n v="0.35980000000000001"/>
  </r>
  <r>
    <x v="12"/>
    <s v="M"/>
    <s v="Hood"/>
    <s v="Admiralty Inlet"/>
    <n v="11"/>
    <n v="0.3725"/>
    <n v="0.7"/>
    <n v="0.191465"/>
    <n v="0.35980000000000001"/>
  </r>
  <r>
    <x v="12"/>
    <s v="M"/>
    <s v="Hood"/>
    <s v="Admiralty Inlet"/>
    <n v="12"/>
    <n v="0.39"/>
    <n v="0.7"/>
    <n v="0.20046"/>
    <n v="0.35980000000000001"/>
  </r>
  <r>
    <x v="12"/>
    <s v="M"/>
    <s v="Hood"/>
    <s v="Admiralty Inlet"/>
    <n v="13"/>
    <n v="0.46750000000000008"/>
    <n v="0.8"/>
    <n v="0.24029500000000004"/>
    <n v="0.41120000000000001"/>
  </r>
  <r>
    <x v="12"/>
    <s v="M"/>
    <s v="Hood"/>
    <s v="Admiralty Inlet"/>
    <n v="14"/>
    <n v="0.64333333333333342"/>
    <n v="0.8"/>
    <n v="0.33067333333333337"/>
    <n v="0.41120000000000001"/>
  </r>
  <r>
    <x v="12"/>
    <s v="M"/>
    <s v="Hood"/>
    <s v="Admiralty Inlet"/>
    <n v="15"/>
    <n v="0.58750000000000002"/>
    <n v="0.9"/>
    <n v="0.30197499999999999"/>
    <n v="0.46260000000000001"/>
  </r>
  <r>
    <x v="12"/>
    <s v="M"/>
    <s v="Hood"/>
    <s v="Admiralty Inlet"/>
    <n v="16"/>
    <n v="0.64"/>
    <n v="0.9"/>
    <n v="0.32896000000000003"/>
    <n v="0.46260000000000001"/>
  </r>
  <r>
    <x v="12"/>
    <s v="M"/>
    <s v="Hood"/>
    <s v="Admiralty Inlet"/>
    <n v="17"/>
    <n v="0.66500000000000004"/>
    <n v="0.9"/>
    <n v="0.34181"/>
    <n v="0.46260000000000001"/>
  </r>
  <r>
    <x v="12"/>
    <s v="M"/>
    <s v="Hood"/>
    <s v="Admiralty Inlet"/>
    <n v="18"/>
    <n v="0.70750000000000002"/>
    <n v="0.9"/>
    <n v="0.36365500000000001"/>
    <n v="0.46260000000000001"/>
  </r>
  <r>
    <x v="12"/>
    <s v="M"/>
    <s v="Hood"/>
    <s v="Admiralty Inlet"/>
    <n v="19"/>
    <n v="0.74"/>
    <n v="0.9"/>
    <n v="0.38036000000000003"/>
    <n v="0.46260000000000001"/>
  </r>
  <r>
    <x v="12"/>
    <s v="M"/>
    <s v="Hood"/>
    <s v="Admiralty Inlet"/>
    <n v="20"/>
    <n v="0.71499999999999997"/>
    <n v="0.9"/>
    <n v="0.36751"/>
    <n v="0.46260000000000001"/>
  </r>
  <r>
    <x v="12"/>
    <s v="M"/>
    <s v="Hood"/>
    <s v="Admiralty Inlet"/>
    <n v="21"/>
    <n v="0.70500000000000007"/>
    <n v="1"/>
    <n v="0.36237000000000003"/>
    <n v="0.51400000000000001"/>
  </r>
  <r>
    <x v="12"/>
    <s v="M"/>
    <s v="Hood"/>
    <s v="Admiralty Inlet"/>
    <n v="22"/>
    <n v="0.54333333333333333"/>
    <n v="0.6"/>
    <n v="0.27927333333333332"/>
    <n v="0.30840000000000001"/>
  </r>
  <r>
    <x v="12"/>
    <s v="M"/>
    <s v="Hood"/>
    <s v="Admiralty Inlet"/>
    <n v="23"/>
    <n v="0.61"/>
    <n v="1"/>
    <n v="0.31353999999999999"/>
    <n v="0.51400000000000001"/>
  </r>
  <r>
    <x v="12"/>
    <s v="M"/>
    <s v="Hood"/>
    <s v="Admiralty Inlet"/>
    <n v="24"/>
    <n v="0.53499999999999992"/>
    <n v="0.9"/>
    <n v="0.27498999999999996"/>
    <n v="0.46260000000000001"/>
  </r>
  <r>
    <x v="12"/>
    <s v="M"/>
    <s v="Hood"/>
    <s v="Admiralty Inlet"/>
    <n v="25"/>
    <n v="0.52"/>
    <n v="0.9"/>
    <n v="0.26728000000000002"/>
    <n v="0.46260000000000001"/>
  </r>
  <r>
    <x v="12"/>
    <s v="M"/>
    <s v="Hood"/>
    <s v="Admiralty Inlet"/>
    <n v="26"/>
    <n v="0.53"/>
    <n v="0.9"/>
    <n v="0.27242"/>
    <n v="0.46260000000000001"/>
  </r>
  <r>
    <x v="12"/>
    <s v="M"/>
    <s v="Hood"/>
    <s v="Admiralty Inlet"/>
    <n v="27"/>
    <n v="0.42499999999999999"/>
    <n v="0.9"/>
    <n v="0.21845000000000001"/>
    <n v="0.46260000000000001"/>
  </r>
  <r>
    <x v="12"/>
    <s v="M"/>
    <s v="Hood"/>
    <s v="Admiralty Inlet"/>
    <n v="28"/>
    <n v="0.75"/>
    <n v="0.9"/>
    <n v="0.38550000000000001"/>
    <n v="0.46260000000000001"/>
  </r>
  <r>
    <x v="12"/>
    <s v="M"/>
    <s v="Hood"/>
    <s v="Admiralty Inlet"/>
    <n v="29"/>
    <n v="0.69750000000000001"/>
    <n v="1"/>
    <n v="0.35851500000000003"/>
    <n v="0.51400000000000001"/>
  </r>
  <r>
    <x v="12"/>
    <s v="M"/>
    <s v="Hood"/>
    <s v="Admiralty Inlet"/>
    <n v="30"/>
    <n v="0.74249999999999994"/>
    <n v="1"/>
    <n v="0.38164499999999996"/>
    <n v="0.51400000000000001"/>
  </r>
  <r>
    <x v="12"/>
    <s v="M"/>
    <s v="Hood"/>
    <s v="Admiralty Inlet"/>
    <n v="31"/>
    <n v="0.75749999999999995"/>
    <n v="0.9"/>
    <n v="0.38935500000000001"/>
    <n v="0.46260000000000001"/>
  </r>
  <r>
    <x v="13"/>
    <s v="N"/>
    <s v="Hood"/>
    <s v="Admiralty Inlet"/>
    <n v="1"/>
    <n v="0.62749999999999995"/>
    <n v="0.93"/>
    <n v="0.32253499999999996"/>
    <n v="0.47802000000000006"/>
  </r>
  <r>
    <x v="13"/>
    <s v="N"/>
    <s v="Hood"/>
    <s v="Admiralty Inlet"/>
    <n v="2"/>
    <n v="0.64000000000000012"/>
    <n v="0.91"/>
    <n v="0.32896000000000009"/>
    <n v="0.46774000000000004"/>
  </r>
  <r>
    <x v="13"/>
    <s v="N"/>
    <s v="Hood"/>
    <s v="Admiralty Inlet"/>
    <n v="3"/>
    <n v="0.38749999999999996"/>
    <n v="0.86"/>
    <n v="0.19917499999999999"/>
    <n v="0.44203999999999999"/>
  </r>
  <r>
    <x v="13"/>
    <s v="N"/>
    <s v="Hood"/>
    <s v="Admiralty Inlet"/>
    <n v="4"/>
    <n v="0.6"/>
    <n v="0.77"/>
    <n v="0.30840000000000001"/>
    <n v="0.39578000000000002"/>
  </r>
  <r>
    <x v="13"/>
    <s v="N"/>
    <s v="Hood"/>
    <s v="Admiralty Inlet"/>
    <n v="5"/>
    <n v="0.5575"/>
    <n v="0.67"/>
    <n v="0.286555"/>
    <n v="0.34438000000000002"/>
  </r>
  <r>
    <x v="13"/>
    <s v="N"/>
    <s v="Hood"/>
    <s v="Admiralty Inlet"/>
    <n v="6"/>
    <n v="0.49750000000000005"/>
    <n v="0.57999999999999996"/>
    <n v="0.25571500000000003"/>
    <n v="0.29812"/>
  </r>
  <r>
    <x v="13"/>
    <s v="N"/>
    <s v="Hood"/>
    <s v="Admiralty Inlet"/>
    <n v="7"/>
    <n v="0.39666666666666667"/>
    <n v="0.43"/>
    <n v="0.20388666666666666"/>
    <n v="0.22101999999999999"/>
  </r>
  <r>
    <x v="13"/>
    <s v="N"/>
    <s v="Hood"/>
    <s v="Admiralty Inlet"/>
    <n v="8"/>
    <n v="0.3125"/>
    <n v="0.56000000000000005"/>
    <n v="0.16062500000000002"/>
    <n v="0.28784000000000004"/>
  </r>
  <r>
    <x v="13"/>
    <s v="N"/>
    <s v="Hood"/>
    <s v="Admiralty Inlet"/>
    <n v="9"/>
    <n v="0.33250000000000002"/>
    <n v="0.54"/>
    <n v="0.170905"/>
    <n v="0.27756000000000003"/>
  </r>
  <r>
    <x v="13"/>
    <s v="N"/>
    <s v="Hood"/>
    <s v="Admiralty Inlet"/>
    <n v="10"/>
    <n v="0.30500000000000005"/>
    <n v="0.52"/>
    <n v="0.15677000000000002"/>
    <n v="0.26728000000000002"/>
  </r>
  <r>
    <x v="13"/>
    <s v="N"/>
    <s v="Hood"/>
    <s v="Admiralty Inlet"/>
    <n v="11"/>
    <n v="0.30499999999999999"/>
    <n v="0.51"/>
    <n v="0.15676999999999999"/>
    <n v="0.26213999999999998"/>
  </r>
  <r>
    <x v="13"/>
    <s v="N"/>
    <s v="Hood"/>
    <s v="Admiralty Inlet"/>
    <n v="12"/>
    <n v="0.33250000000000002"/>
    <n v="0.52"/>
    <n v="0.170905"/>
    <n v="0.26728000000000002"/>
  </r>
  <r>
    <x v="13"/>
    <s v="N"/>
    <s v="Hood"/>
    <s v="Admiralty Inlet"/>
    <n v="13"/>
    <n v="0.37750000000000006"/>
    <n v="0.56000000000000005"/>
    <n v="0.19403500000000004"/>
    <n v="0.28784000000000004"/>
  </r>
  <r>
    <x v="13"/>
    <s v="N"/>
    <s v="Hood"/>
    <s v="Admiralty Inlet"/>
    <n v="14"/>
    <n v="0.52"/>
    <n v="0.63"/>
    <n v="0.26728000000000002"/>
    <n v="0.32382"/>
  </r>
  <r>
    <x v="13"/>
    <s v="N"/>
    <s v="Hood"/>
    <s v="Admiralty Inlet"/>
    <n v="15"/>
    <n v="0.46499999999999997"/>
    <n v="0.69"/>
    <n v="0.23901"/>
    <n v="0.35465999999999998"/>
  </r>
  <r>
    <x v="13"/>
    <s v="N"/>
    <s v="Hood"/>
    <s v="Admiralty Inlet"/>
    <n v="16"/>
    <n v="0.51249999999999996"/>
    <n v="0.73"/>
    <n v="0.26342499999999996"/>
    <n v="0.37522"/>
  </r>
  <r>
    <x v="13"/>
    <s v="N"/>
    <s v="Hood"/>
    <s v="Admiralty Inlet"/>
    <n v="17"/>
    <n v="0.55249999999999999"/>
    <n v="0.75"/>
    <n v="0.28398499999999999"/>
    <n v="0.38550000000000001"/>
  </r>
  <r>
    <x v="13"/>
    <s v="N"/>
    <s v="Hood"/>
    <s v="Admiralty Inlet"/>
    <n v="18"/>
    <n v="0.58250000000000002"/>
    <n v="0.74"/>
    <n v="0.29940500000000003"/>
    <n v="0.38036000000000003"/>
  </r>
  <r>
    <x v="13"/>
    <s v="N"/>
    <s v="Hood"/>
    <s v="Admiralty Inlet"/>
    <n v="19"/>
    <n v="0.59499999999999997"/>
    <n v="0.7"/>
    <n v="0.30582999999999999"/>
    <n v="0.35980000000000001"/>
  </r>
  <r>
    <x v="13"/>
    <s v="N"/>
    <s v="Hood"/>
    <s v="Admiralty Inlet"/>
    <n v="20"/>
    <n v="0.59250000000000003"/>
    <n v="0.65"/>
    <n v="0.30454500000000001"/>
    <n v="0.33410000000000001"/>
  </r>
  <r>
    <x v="13"/>
    <s v="N"/>
    <s v="Hood"/>
    <s v="Admiralty Inlet"/>
    <n v="21"/>
    <n v="0.57250000000000001"/>
    <n v="0.67"/>
    <n v="0.294265"/>
    <n v="0.34438000000000002"/>
  </r>
  <r>
    <x v="13"/>
    <s v="N"/>
    <s v="Hood"/>
    <s v="Admiralty Inlet"/>
    <n v="22"/>
    <n v="0.48666666666666664"/>
    <n v="0.56999999999999995"/>
    <n v="0.25014666666666668"/>
    <n v="0.29297999999999996"/>
  </r>
  <r>
    <x v="13"/>
    <s v="N"/>
    <s v="Hood"/>
    <s v="Admiralty Inlet"/>
    <n v="23"/>
    <n v="0.49249999999999994"/>
    <n v="0.67"/>
    <n v="0.25314499999999995"/>
    <n v="0.34438000000000002"/>
  </r>
  <r>
    <x v="13"/>
    <s v="N"/>
    <s v="Hood"/>
    <s v="Admiralty Inlet"/>
    <n v="24"/>
    <n v="0.45250000000000001"/>
    <n v="0.66"/>
    <n v="0.23258500000000001"/>
    <n v="0.33924000000000004"/>
  </r>
  <r>
    <x v="13"/>
    <s v="N"/>
    <s v="Hood"/>
    <s v="Admiralty Inlet"/>
    <n v="25"/>
    <n v="0.42749999999999999"/>
    <n v="0.64"/>
    <n v="0.21973500000000001"/>
    <n v="0.32896000000000003"/>
  </r>
  <r>
    <x v="13"/>
    <s v="N"/>
    <s v="Hood"/>
    <s v="Admiralty Inlet"/>
    <n v="26"/>
    <n v="0.4425"/>
    <n v="0.64"/>
    <n v="0.22744500000000001"/>
    <n v="0.32896000000000003"/>
  </r>
  <r>
    <x v="13"/>
    <s v="N"/>
    <s v="Hood"/>
    <s v="Admiralty Inlet"/>
    <n v="27"/>
    <n v="0.32999999999999996"/>
    <n v="0.64"/>
    <n v="0.16961999999999999"/>
    <n v="0.32896000000000003"/>
  </r>
  <r>
    <x v="13"/>
    <s v="N"/>
    <s v="Hood"/>
    <s v="Admiralty Inlet"/>
    <n v="28"/>
    <n v="0.53999999999999992"/>
    <n v="0.75"/>
    <n v="0.27755999999999997"/>
    <n v="0.38550000000000001"/>
  </r>
  <r>
    <x v="13"/>
    <s v="N"/>
    <s v="Hood"/>
    <s v="Admiralty Inlet"/>
    <n v="29"/>
    <n v="0.65333333333333332"/>
    <n v="0.78"/>
    <n v="0.33581333333333335"/>
    <n v="0.40092"/>
  </r>
  <r>
    <x v="13"/>
    <s v="N"/>
    <s v="Hood"/>
    <s v="Admiralty Inlet"/>
    <n v="30"/>
    <n v="0.6"/>
    <n v="0.78"/>
    <n v="0.30840000000000001"/>
    <n v="0.40092"/>
  </r>
  <r>
    <x v="13"/>
    <s v="N"/>
    <s v="Hood"/>
    <s v="Admiralty Inlet"/>
    <n v="31"/>
    <n v="0.48250000000000004"/>
    <n v="0.75"/>
    <n v="0.24800500000000003"/>
    <n v="0.38550000000000001"/>
  </r>
  <r>
    <x v="14"/>
    <s v="s"/>
    <s v="Channel"/>
    <s v="San Juan Channel, South Entrance"/>
    <n v="1"/>
    <n v="3.15"/>
    <n v="4.7"/>
    <n v="1.6191"/>
    <n v="2.4157999999999999"/>
  </r>
  <r>
    <x v="14"/>
    <s v="s"/>
    <s v="Channel"/>
    <s v="San Juan Channel, South Entrance"/>
    <n v="2"/>
    <n v="3.15"/>
    <n v="4.5999999999999996"/>
    <n v="1.6191"/>
    <n v="2.3643999999999998"/>
  </r>
  <r>
    <x v="14"/>
    <s v="s"/>
    <s v="Channel"/>
    <s v="San Juan Channel, South Entrance"/>
    <n v="3"/>
    <n v="3.0249999999999999"/>
    <n v="4.2"/>
    <n v="1.5548500000000001"/>
    <n v="2.1588000000000003"/>
  </r>
  <r>
    <x v="14"/>
    <s v="s"/>
    <s v="Channel"/>
    <s v="San Juan Channel, South Entrance"/>
    <n v="4"/>
    <n v="2.8250000000000002"/>
    <n v="3.7"/>
    <n v="1.4520500000000001"/>
    <n v="1.9018000000000002"/>
  </r>
  <r>
    <x v="14"/>
    <s v="s"/>
    <s v="Channel"/>
    <s v="San Juan Channel, South Entrance"/>
    <n v="5"/>
    <n v="2.5499999999999998"/>
    <n v="3.4"/>
    <n v="1.3107"/>
    <n v="1.7476"/>
  </r>
  <r>
    <x v="14"/>
    <s v="s"/>
    <s v="Channel"/>
    <s v="San Juan Channel, South Entrance"/>
    <n v="6"/>
    <n v="1.9000000000000001"/>
    <n v="2.4"/>
    <n v="0.97660000000000013"/>
    <n v="1.2336"/>
  </r>
  <r>
    <x v="14"/>
    <s v="s"/>
    <s v="Channel"/>
    <s v="San Juan Channel, South Entrance"/>
    <n v="7"/>
    <n v="1.9749999999999999"/>
    <n v="3.2"/>
    <n v="1.01515"/>
    <n v="1.6448"/>
  </r>
  <r>
    <x v="14"/>
    <s v="s"/>
    <s v="Channel"/>
    <s v="San Juan Channel, South Entrance"/>
    <n v="8"/>
    <n v="1.7000000000000002"/>
    <n v="3"/>
    <n v="0.87380000000000013"/>
    <n v="1.542"/>
  </r>
  <r>
    <x v="14"/>
    <s v="s"/>
    <s v="Channel"/>
    <s v="San Juan Channel, South Entrance"/>
    <n v="9"/>
    <n v="1.55"/>
    <n v="2.9"/>
    <n v="0.79670000000000007"/>
    <n v="1.4905999999999999"/>
  </r>
  <r>
    <x v="14"/>
    <s v="s"/>
    <s v="Channel"/>
    <s v="San Juan Channel, South Entrance"/>
    <n v="10"/>
    <n v="1.5249999999999999"/>
    <n v="2.9"/>
    <n v="0.78384999999999994"/>
    <n v="1.4905999999999999"/>
  </r>
  <r>
    <x v="14"/>
    <s v="s"/>
    <s v="Channel"/>
    <s v="San Juan Channel, South Entrance"/>
    <n v="11"/>
    <n v="1.6249999999999998"/>
    <n v="2.9"/>
    <n v="0.83524999999999994"/>
    <n v="1.4905999999999999"/>
  </r>
  <r>
    <x v="14"/>
    <s v="s"/>
    <s v="Channel"/>
    <s v="San Juan Channel, South Entrance"/>
    <n v="12"/>
    <n v="1.7999999999999998"/>
    <n v="3"/>
    <n v="0.92519999999999991"/>
    <n v="1.542"/>
  </r>
  <r>
    <x v="14"/>
    <s v="s"/>
    <s v="Channel"/>
    <s v="San Juan Channel, South Entrance"/>
    <n v="13"/>
    <n v="2.0500000000000003"/>
    <n v="3.2"/>
    <n v="1.0537000000000001"/>
    <n v="1.6448"/>
  </r>
  <r>
    <x v="14"/>
    <s v="s"/>
    <s v="Channel"/>
    <s v="San Juan Channel, South Entrance"/>
    <n v="14"/>
    <n v="2.7666666666666671"/>
    <n v="3.5"/>
    <n v="1.4220666666666668"/>
    <n v="1.7989999999999999"/>
  </r>
  <r>
    <x v="14"/>
    <s v="s"/>
    <s v="Channel"/>
    <s v="San Juan Channel, South Entrance"/>
    <n v="15"/>
    <n v="2.5250000000000004"/>
    <n v="3.7"/>
    <n v="1.2978500000000002"/>
    <n v="1.9018000000000002"/>
  </r>
  <r>
    <x v="14"/>
    <s v="s"/>
    <s v="Channel"/>
    <s v="San Juan Channel, South Entrance"/>
    <n v="16"/>
    <n v="2.7"/>
    <n v="3.8"/>
    <n v="1.3878000000000001"/>
    <n v="1.9532"/>
  </r>
  <r>
    <x v="14"/>
    <s v="s"/>
    <s v="Channel"/>
    <s v="San Juan Channel, South Entrance"/>
    <n v="17"/>
    <n v="2.9000000000000004"/>
    <n v="4"/>
    <n v="1.4906000000000001"/>
    <n v="2.056"/>
  </r>
  <r>
    <x v="14"/>
    <s v="s"/>
    <s v="Channel"/>
    <s v="San Juan Channel, South Entrance"/>
    <n v="18"/>
    <n v="3.0250000000000004"/>
    <n v="4"/>
    <n v="1.5548500000000003"/>
    <n v="2.056"/>
  </r>
  <r>
    <x v="14"/>
    <s v="s"/>
    <s v="Channel"/>
    <s v="San Juan Channel, South Entrance"/>
    <n v="19"/>
    <n v="3"/>
    <n v="4"/>
    <n v="1.542"/>
    <n v="2.056"/>
  </r>
  <r>
    <x v="14"/>
    <s v="s"/>
    <s v="Channel"/>
    <s v="San Juan Channel, South Entrance"/>
    <n v="20"/>
    <n v="2.9249999999999998"/>
    <n v="4.0999999999999996"/>
    <n v="1.50345"/>
    <n v="2.1073999999999997"/>
  </r>
  <r>
    <x v="14"/>
    <s v="s"/>
    <s v="Channel"/>
    <s v="San Juan Channel, South Entrance"/>
    <n v="21"/>
    <n v="2.3000000000000003"/>
    <n v="3"/>
    <n v="1.1822000000000001"/>
    <n v="1.542"/>
  </r>
  <r>
    <x v="14"/>
    <s v="s"/>
    <s v="Channel"/>
    <s v="San Juan Channel, South Entrance"/>
    <n v="22"/>
    <n v="2.5249999999999999"/>
    <n v="4"/>
    <n v="1.2978499999999999"/>
    <n v="2.056"/>
  </r>
  <r>
    <x v="14"/>
    <s v="s"/>
    <s v="Channel"/>
    <s v="San Juan Channel, South Entrance"/>
    <n v="23"/>
    <n v="2.3250000000000002"/>
    <n v="3.8"/>
    <n v="1.1950500000000002"/>
    <n v="1.9532"/>
  </r>
  <r>
    <x v="14"/>
    <s v="s"/>
    <s v="Channel"/>
    <s v="San Juan Channel, South Entrance"/>
    <n v="24"/>
    <n v="2.15"/>
    <n v="3.7"/>
    <n v="1.1051"/>
    <n v="1.9018000000000002"/>
  </r>
  <r>
    <x v="14"/>
    <s v="s"/>
    <s v="Channel"/>
    <s v="San Juan Channel, South Entrance"/>
    <n v="25"/>
    <n v="2.1750000000000003"/>
    <n v="3.7"/>
    <n v="1.1179500000000002"/>
    <n v="1.9018000000000002"/>
  </r>
  <r>
    <x v="14"/>
    <s v="s"/>
    <s v="Channel"/>
    <s v="San Juan Channel, South Entrance"/>
    <n v="26"/>
    <n v="2.3249999999999997"/>
    <n v="3.7"/>
    <n v="1.1950499999999999"/>
    <n v="1.9018000000000002"/>
  </r>
  <r>
    <x v="14"/>
    <s v="s"/>
    <s v="Channel"/>
    <s v="San Juan Channel, South Entrance"/>
    <n v="27"/>
    <n v="2.6"/>
    <n v="3.8"/>
    <n v="1.3364"/>
    <n v="1.9532"/>
  </r>
  <r>
    <x v="14"/>
    <s v="s"/>
    <s v="Channel"/>
    <s v="San Juan Channel, South Entrance"/>
    <n v="28"/>
    <n v="3.3000000000000003"/>
    <n v="4"/>
    <n v="1.6962000000000002"/>
    <n v="2.056"/>
  </r>
  <r>
    <x v="14"/>
    <s v="s"/>
    <s v="Channel"/>
    <s v="San Juan Channel, South Entrance"/>
    <n v="29"/>
    <n v="2.95"/>
    <n v="4.0999999999999996"/>
    <n v="1.5163000000000002"/>
    <n v="2.1073999999999997"/>
  </r>
  <r>
    <x v="14"/>
    <s v="s"/>
    <s v="Channel"/>
    <s v="San Juan Channel, South Entrance"/>
    <n v="30"/>
    <n v="3.0249999999999995"/>
    <n v="4.0999999999999996"/>
    <n v="1.5548499999999998"/>
    <n v="2.1073999999999997"/>
  </r>
  <r>
    <x v="14"/>
    <s v="s"/>
    <s v="Channel"/>
    <s v="San Juan Channel, South Entrance"/>
    <n v="31"/>
    <n v="3.0250000000000004"/>
    <n v="4"/>
    <n v="1.5548500000000003"/>
    <n v="2.05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4">
  <r>
    <s v="Channel"/>
    <x v="0"/>
    <n v="2"/>
    <n v="26"/>
    <n v="38"/>
    <s v="3 aug 12; 1235"/>
    <n v="0"/>
    <n v="38"/>
    <n v="11.5824"/>
    <s v="South"/>
    <s v="no"/>
    <n v="421"/>
    <s v="ON421"/>
    <n v="12"/>
    <n v="12"/>
    <n v="11"/>
    <n v="11"/>
    <n v="60"/>
    <n v="55"/>
    <n v="59"/>
    <n v="54"/>
    <n v="1.1499999999999999"/>
    <n v="5.7"/>
    <n v="58.71"/>
    <n v="165.18"/>
    <n v="114.93"/>
    <n v="109.31"/>
    <n v="105.33"/>
    <n v="101.34"/>
    <n v="97.55"/>
    <n v="99.11"/>
    <n v="99.333333333333329"/>
    <n v="0.3986358316180329"/>
    <d v="2012-07-27T18:00:00"/>
    <n v="1800"/>
    <d v="2012-08-03T12:35:00"/>
    <n v="1235"/>
    <n v="6.7743055555547471"/>
    <n v="5.8845268839573132E-2"/>
    <n v="1.0023040170256026E-3"/>
    <m/>
    <m/>
    <d v="2012-07-25T00:00:00"/>
    <d v="2012-07-25T00:00:00"/>
  </r>
  <r>
    <s v="Channel"/>
    <x v="0"/>
    <n v="2"/>
    <n v="27"/>
    <n v="43"/>
    <s v="3 aug 12; 1235"/>
    <n v="0"/>
    <n v="43"/>
    <n v="13.106400000000001"/>
    <s v="Center"/>
    <s v="no"/>
    <n v="420"/>
    <s v="ON420"/>
    <n v="11"/>
    <n v="12"/>
    <n v="12"/>
    <n v="11"/>
    <n v="61"/>
    <n v="56"/>
    <n v="61"/>
    <n v="55"/>
    <n v="1.1499999999999999"/>
    <n v="5.8250000000000002"/>
    <n v="60.725624999999994"/>
    <n v="176.37"/>
    <n v="136.16999999999999"/>
    <n v="128.69"/>
    <n v="124.3"/>
    <n v="120.31"/>
    <n v="115.75"/>
    <n v="117.27"/>
    <n v="117.77666666666666"/>
    <n v="0.3322182532932661"/>
    <d v="2012-07-27T18:00:00"/>
    <n v="1800"/>
    <d v="2012-08-03T12:35:00"/>
    <n v="1235"/>
    <n v="6.7743055555547471"/>
    <n v="4.904093129086215E-2"/>
    <n v="8.0758215812290371E-4"/>
    <m/>
    <m/>
    <d v="2012-07-25T00:00:00"/>
    <d v="2012-07-25T00:00:00"/>
  </r>
  <r>
    <s v="Channel"/>
    <x v="0"/>
    <n v="2"/>
    <n v="28"/>
    <n v="42"/>
    <s v="3 aug 12; 1235"/>
    <n v="0"/>
    <n v="42"/>
    <n v="12.801600000000001"/>
    <s v="North"/>
    <s v="no"/>
    <n v="419"/>
    <s v="ON419"/>
    <n v="11"/>
    <n v="12"/>
    <n v="11"/>
    <n v="12"/>
    <n v="55"/>
    <n v="57"/>
    <n v="55"/>
    <n v="57"/>
    <n v="1.1499999999999999"/>
    <n v="5.6"/>
    <n v="57.11999999999999"/>
    <n v="163.11000000000001"/>
    <n v="122.09"/>
    <n v="116"/>
    <n v="111.78"/>
    <n v="108"/>
    <n v="103.33"/>
    <n v="104.71"/>
    <n v="105.34666666666665"/>
    <n v="0.35413728976355441"/>
    <d v="2012-07-27T18:00:00"/>
    <n v="1800"/>
    <d v="2012-08-03T12:35:00"/>
    <n v="1235"/>
    <n v="6.7743055555547471"/>
    <n v="5.2276545080428415E-2"/>
    <n v="9.1520562115595977E-4"/>
    <m/>
    <m/>
    <d v="2012-07-25T00:00:00"/>
    <d v="2012-07-25T00:00:00"/>
  </r>
  <r>
    <s v="Channel"/>
    <x v="1"/>
    <n v="1"/>
    <n v="29"/>
    <n v="43"/>
    <s v="3 aug 12; 1350"/>
    <n v="1"/>
    <n v="42"/>
    <n v="12.801600000000001"/>
    <s v="South"/>
    <s v="no"/>
    <n v="422"/>
    <s v="SC422"/>
    <n v="12"/>
    <n v="12"/>
    <n v="13"/>
    <n v="12"/>
    <n v="60"/>
    <n v="55"/>
    <n v="60"/>
    <n v="55"/>
    <n v="1.2250000000000001"/>
    <n v="5.75"/>
    <n v="61.237499999999997"/>
    <n v="172.09"/>
    <n v="101.06"/>
    <n v="95.98"/>
    <n v="92.8"/>
    <n v="88.95"/>
    <n v="85.17"/>
    <n v="86.74"/>
    <n v="86.953333333333333"/>
    <n v="0.49472175412090574"/>
    <d v="2012-07-27T18:30:00"/>
    <n v="1830"/>
    <d v="2012-08-03T13:50:00"/>
    <n v="1350"/>
    <n v="6.8055555555547471"/>
    <n v="7.269380876879479E-2"/>
    <n v="1.1870799553997924E-3"/>
    <m/>
    <m/>
    <m/>
    <m/>
  </r>
  <r>
    <s v="Channel"/>
    <x v="1"/>
    <n v="1"/>
    <n v="30"/>
    <n v="39"/>
    <s v="3 aug 12; 1350"/>
    <n v="1"/>
    <n v="38"/>
    <n v="11.5824"/>
    <s v="Center"/>
    <s v="no"/>
    <n v="423"/>
    <s v="SC423"/>
    <n v="13"/>
    <n v="12"/>
    <n v="12"/>
    <n v="13"/>
    <n v="59"/>
    <n v="55"/>
    <n v="58"/>
    <n v="55"/>
    <n v="1.25"/>
    <n v="5.6749999999999998"/>
    <n v="60.580624999999998"/>
    <n v="161.65"/>
    <n v="92.48"/>
    <n v="88.12"/>
    <n v="84.44"/>
    <n v="82.2"/>
    <n v="80.22"/>
    <n v="81.72"/>
    <n v="81.38000000000001"/>
    <n v="0.49656665635632535"/>
    <d v="2012-07-27T18:30:00"/>
    <n v="1830"/>
    <d v="2012-08-03T13:50:00"/>
    <n v="1350"/>
    <n v="6.8055555555547471"/>
    <n v="7.2964896444203411E-2"/>
    <n v="1.2044262739812179E-3"/>
    <m/>
    <m/>
    <m/>
    <m/>
  </r>
  <r>
    <s v="Channel"/>
    <x v="1"/>
    <n v="1"/>
    <n v="15"/>
    <n v="43"/>
    <s v="3 aug 12; 1350"/>
    <n v="1"/>
    <n v="42"/>
    <n v="12.801600000000001"/>
    <s v="North"/>
    <s v="no"/>
    <n v="424"/>
    <s v="SC424"/>
    <n v="13"/>
    <n v="12"/>
    <n v="11"/>
    <n v="12"/>
    <n v="61"/>
    <n v="55"/>
    <n v="61"/>
    <n v="55"/>
    <n v="1.2"/>
    <n v="5.8"/>
    <n v="61.480000000000004"/>
    <n v="176.05"/>
    <n v="120.81"/>
    <n v="115.16"/>
    <n v="111.61"/>
    <n v="108"/>
    <n v="103.58"/>
    <n v="104.42"/>
    <n v="105.33333333333333"/>
    <n v="0.40168512733125067"/>
    <d v="2012-07-27T18:30:00"/>
    <n v="1830"/>
    <d v="2012-08-03T13:50:00"/>
    <n v="1350"/>
    <n v="6.8055555555547471"/>
    <n v="5.9023120750721393E-2"/>
    <n v="9.6003774805987951E-4"/>
    <m/>
    <s v="attached with ziptie"/>
    <m/>
    <m/>
  </r>
  <r>
    <s v="Channel"/>
    <x v="2"/>
    <n v="1"/>
    <n v="31"/>
    <n v="51"/>
    <s v="3 aug 12; 1315"/>
    <n v="0"/>
    <n v="51"/>
    <n v="15.5448"/>
    <s v="North"/>
    <s v="no"/>
    <n v="425"/>
    <s v="PG425"/>
    <n v="11"/>
    <n v="10"/>
    <n v="10"/>
    <n v="11"/>
    <n v="60"/>
    <n v="55"/>
    <n v="60"/>
    <n v="56"/>
    <n v="1.05"/>
    <n v="5.7750000000000004"/>
    <n v="57.605625000000003"/>
    <n v="169.49"/>
    <n v="92.38"/>
    <n v="87.25"/>
    <n v="83.4"/>
    <n v="81.47"/>
    <n v="78.61"/>
    <n v="80.17"/>
    <n v="80.083333333333329"/>
    <n v="0.52750408087006118"/>
    <d v="2012-07-27T19:00:00"/>
    <n v="1900"/>
    <d v="2012-08-03T13:15:00"/>
    <n v="1315"/>
    <n v="6.7604166666715173"/>
    <n v="7.8028338618627943E-2"/>
    <n v="1.354526378606741E-3"/>
    <m/>
    <m/>
    <m/>
    <m/>
  </r>
  <r>
    <s v="Channel"/>
    <x v="2"/>
    <n v="1"/>
    <n v="32"/>
    <n v="43"/>
    <s v="3 aug 12; 1315"/>
    <n v="0"/>
    <n v="43"/>
    <n v="13.106400000000001"/>
    <s v="Center"/>
    <s v="no"/>
    <n v="426"/>
    <s v="PG426"/>
    <n v="13"/>
    <n v="12"/>
    <n v="13"/>
    <n v="13"/>
    <n v="60"/>
    <n v="55"/>
    <n v="61"/>
    <n v="55"/>
    <n v="1.2749999999999999"/>
    <n v="5.7750000000000004"/>
    <n v="62.803125000000001"/>
    <n v="171.77"/>
    <n v="75.12"/>
    <n v="70.84"/>
    <n v="68.150000000000006"/>
    <n v="66.86"/>
    <n v="64.75"/>
    <n v="65.73"/>
    <n v="65.780000000000015"/>
    <n v="0.61704604995051515"/>
    <d v="2012-07-27T19:00:00"/>
    <n v="1900"/>
    <d v="2012-08-03T13:15:00"/>
    <n v="1315"/>
    <n v="6.7604166666715173"/>
    <n v="9.1273375647468333E-2"/>
    <n v="1.4533253822555539E-3"/>
    <m/>
    <m/>
    <m/>
    <m/>
  </r>
  <r>
    <s v="Channel"/>
    <x v="2"/>
    <n v="1"/>
    <n v="33"/>
    <n v="47"/>
    <s v="3 aug 12; 1315"/>
    <n v="0"/>
    <n v="47"/>
    <n v="14.325600000000001"/>
    <s v="South"/>
    <s v="no"/>
    <n v="427"/>
    <s v="PG427"/>
    <n v="10"/>
    <n v="12"/>
    <n v="12"/>
    <n v="11"/>
    <n v="60"/>
    <n v="55"/>
    <n v="60"/>
    <n v="55"/>
    <n v="1.125"/>
    <n v="5.75"/>
    <n v="58.9375"/>
    <n v="164.25"/>
    <n v="28.95"/>
    <n v="26.52"/>
    <n v="26.15"/>
    <n v="26.1"/>
    <n v="24.87"/>
    <n v="25.31"/>
    <n v="25.426666666666666"/>
    <n v="0.84519533231861999"/>
    <d v="2012-07-27T19:00:00"/>
    <n v="1900"/>
    <d v="2012-08-03T13:15:00"/>
    <n v="1315"/>
    <n v="6.7604166666715173"/>
    <n v="0.12502118937215609"/>
    <n v="2.1212502968764556E-3"/>
    <m/>
    <m/>
    <m/>
    <m/>
  </r>
  <r>
    <s v="Channel"/>
    <x v="3"/>
    <n v="1"/>
    <n v="34"/>
    <n v="48"/>
    <s v="12 july 12; 2000"/>
    <n v="6"/>
    <n v="42"/>
    <n v="12.801600000000001"/>
    <s v="South"/>
    <s v="yes"/>
    <n v="428"/>
    <s v="TI428"/>
    <n v="13"/>
    <n v="13"/>
    <n v="13"/>
    <n v="12"/>
    <n v="61"/>
    <n v="55"/>
    <n v="61"/>
    <n v="55"/>
    <n v="1.2749999999999999"/>
    <n v="5.8"/>
    <n v="63.22"/>
    <n v="178.36"/>
    <n v="98.68"/>
    <n v="94.15"/>
    <n v="88.92"/>
    <n v="84.98"/>
    <n v="86.5"/>
    <n v="86.82"/>
    <n v="86.100000000000009"/>
    <n v="0.51726844583987441"/>
    <d v="2012-07-27T19:45:00"/>
    <n v="1945"/>
    <d v="2012-08-04T14:15:00"/>
    <n v="1415"/>
    <n v="7.7708333333357587"/>
    <n v="6.6565376408327673E-2"/>
    <n v="1.0529164253136297E-3"/>
    <m/>
    <m/>
    <m/>
    <m/>
  </r>
  <r>
    <s v="Channel"/>
    <x v="3"/>
    <n v="1"/>
    <n v="35"/>
    <n v="48"/>
    <s v="12 july 12; 2000"/>
    <n v="6"/>
    <n v="42"/>
    <n v="12.801600000000001"/>
    <s v="Center"/>
    <s v="no"/>
    <n v="429"/>
    <s v="TI429"/>
    <n v="12"/>
    <n v="12"/>
    <n v="12"/>
    <n v="12"/>
    <n v="59"/>
    <n v="55"/>
    <n v="60"/>
    <n v="55"/>
    <n v="1.2"/>
    <n v="5.7249999999999996"/>
    <n v="60.255624999999995"/>
    <n v="165.62"/>
    <n v="77.61"/>
    <n v="73.75"/>
    <n v="69.37"/>
    <n v="66.94"/>
    <n v="68.5"/>
    <n v="68.52"/>
    <n v="67.986666666666665"/>
    <n v="0.5895020730185565"/>
    <d v="2012-07-27T19:45:00"/>
    <n v="1945"/>
    <d v="2012-08-04T14:15:00"/>
    <n v="1415"/>
    <n v="7.7708333333357587"/>
    <n v="7.5860856581452765E-2"/>
    <n v="1.2589838140663677E-3"/>
    <m/>
    <m/>
    <m/>
    <m/>
  </r>
  <r>
    <s v="Channel"/>
    <x v="3"/>
    <n v="1"/>
    <n v="36"/>
    <n v="50"/>
    <s v="12 july 12; 2000"/>
    <n v="6"/>
    <n v="44"/>
    <n v="13.411200000000001"/>
    <s v="North"/>
    <s v="no"/>
    <n v="430"/>
    <s v="TI430"/>
    <n v="12"/>
    <n v="11"/>
    <n v="13"/>
    <n v="13"/>
    <n v="59"/>
    <n v="55"/>
    <n v="59"/>
    <n v="55"/>
    <n v="1.2250000000000001"/>
    <n v="5.7"/>
    <n v="60.42"/>
    <n v="163.92"/>
    <n v="81.41"/>
    <n v="77.23"/>
    <n v="73.510000000000005"/>
    <n v="71.91"/>
    <n v="73.36"/>
    <n v="73.42"/>
    <n v="72.896666666666661"/>
    <n v="0.55529119895884171"/>
    <d v="2012-07-27T19:45:00"/>
    <n v="1945"/>
    <d v="2012-08-04T14:15:00"/>
    <n v="1415"/>
    <n v="7.7708333333357587"/>
    <n v="7.145838485259004E-2"/>
    <n v="1.1826942213272102E-3"/>
    <m/>
    <m/>
    <m/>
    <m/>
  </r>
  <r>
    <s v="Sound"/>
    <x v="4"/>
    <n v="2"/>
    <n v="37"/>
    <n v="43"/>
    <s v="4 aug 12; 1245"/>
    <n v="0"/>
    <n v="43"/>
    <n v="13.106400000000001"/>
    <s v="North"/>
    <s v="yes"/>
    <n v="431"/>
    <s v="RW431"/>
    <n v="12"/>
    <n v="13"/>
    <n v="13"/>
    <n v="12"/>
    <n v="60"/>
    <n v="55"/>
    <n v="60"/>
    <n v="55"/>
    <n v="1.25"/>
    <n v="5.75"/>
    <n v="61.8125"/>
    <n v="165.73"/>
    <n v="143.65"/>
    <n v="138.54"/>
    <n v="131.74"/>
    <n v="125.1"/>
    <n v="125.72"/>
    <n v="125.69"/>
    <n v="125.50333333333333"/>
    <n v="0.24272410949536391"/>
    <d v="2012-07-28T17:35:00"/>
    <n v="1735"/>
    <d v="2012-08-04T12:45:00"/>
    <n v="1245"/>
    <n v="6.7986111111094942"/>
    <n v="3.5702014062656502E-2"/>
    <n v="5.7758566734328006E-4"/>
    <m/>
    <m/>
    <m/>
    <m/>
  </r>
  <r>
    <s v="Sound"/>
    <x v="4"/>
    <n v="2"/>
    <n v="38"/>
    <n v="45"/>
    <s v="4 aug 12; 1245"/>
    <n v="0"/>
    <n v="45"/>
    <n v="13.716000000000001"/>
    <s v="Center"/>
    <s v="no"/>
    <n v="432"/>
    <s v="RW432"/>
    <n v="13"/>
    <n v="12"/>
    <n v="11"/>
    <n v="13"/>
    <n v="55"/>
    <n v="55"/>
    <n v="56"/>
    <n v="55"/>
    <n v="1.2250000000000001"/>
    <n v="5.5250000000000004"/>
    <n v="57.59812500000001"/>
    <n v="156.33000000000001"/>
    <n v="132.80000000000001"/>
    <n v="128.36000000000001"/>
    <n v="120.95"/>
    <n v="114.67"/>
    <n v="115.66"/>
    <n v="115.6"/>
    <n v="115.30999999999999"/>
    <n v="0.26239365444892226"/>
    <d v="2012-07-28T17:35:00"/>
    <n v="1735"/>
    <d v="2012-08-04T12:45:00"/>
    <n v="1245"/>
    <n v="6.7986111111094942"/>
    <n v="3.8595185128349127E-2"/>
    <n v="6.7007710977308932E-4"/>
    <m/>
    <m/>
    <m/>
    <m/>
  </r>
  <r>
    <s v="Sound"/>
    <x v="4"/>
    <n v="2"/>
    <n v="39"/>
    <n v="41"/>
    <s v="4 aug 12; 1245"/>
    <n v="0"/>
    <n v="41"/>
    <n v="12.4968"/>
    <s v="South"/>
    <s v="no"/>
    <n v="433"/>
    <s v="RW433"/>
    <n v="12"/>
    <n v="12"/>
    <n v="12"/>
    <n v="13"/>
    <n v="55"/>
    <n v="60"/>
    <n v="55"/>
    <n v="58"/>
    <n v="1.2250000000000001"/>
    <n v="5.7"/>
    <n v="60.42"/>
    <n v="165.41"/>
    <n v="141.74"/>
    <n v="136.31"/>
    <n v="129.83000000000001"/>
    <n v="122.45"/>
    <n v="123.84"/>
    <n v="124.66"/>
    <n v="123.65000000000002"/>
    <n v="0.25246357535820069"/>
    <d v="2012-07-28T17:35:00"/>
    <n v="1735"/>
    <d v="2012-08-04T12:45:00"/>
    <n v="1245"/>
    <n v="6.7986111111094942"/>
    <n v="3.7134581053717614E-2"/>
    <n v="6.1460743220320441E-4"/>
    <m/>
    <m/>
    <m/>
    <m/>
  </r>
  <r>
    <s v="Sound"/>
    <x v="5"/>
    <n v="2"/>
    <n v="40"/>
    <n v="48"/>
    <s v="29 july 12; 1215"/>
    <n v="2"/>
    <n v="46"/>
    <n v="14.020800000000001"/>
    <s v="West"/>
    <s v="yes"/>
    <n v="434"/>
    <s v="HH434"/>
    <n v="11"/>
    <n v="12"/>
    <n v="12"/>
    <n v="12"/>
    <n v="60"/>
    <n v="55"/>
    <n v="60"/>
    <n v="54"/>
    <n v="1.175"/>
    <n v="5.7249999999999996"/>
    <n v="59.683124999999997"/>
    <n v="168"/>
    <n v="137.09"/>
    <n v="132.78"/>
    <n v="127.28"/>
    <n v="119.17"/>
    <n v="119.16"/>
    <n v="119.12"/>
    <n v="119.14999999999999"/>
    <n v="0.2907738095238096"/>
    <d v="2012-07-28T18:35:00"/>
    <n v="1835"/>
    <d v="2012-08-04T13:30:00"/>
    <n v="1330"/>
    <n v="6.7881944444452529"/>
    <n v="4.2835221044934625E-2"/>
    <n v="7.177107607038778E-4"/>
    <m/>
    <m/>
    <m/>
    <m/>
  </r>
  <r>
    <s v="Sound"/>
    <x v="5"/>
    <n v="2"/>
    <n v="41"/>
    <n v="36"/>
    <s v="29 july 12; 1215"/>
    <n v="2"/>
    <n v="34"/>
    <n v="10.363200000000001"/>
    <s v="Center"/>
    <s v="no"/>
    <n v="435"/>
    <s v="HH435"/>
    <n v="12"/>
    <n v="12"/>
    <n v="12"/>
    <n v="12"/>
    <n v="57"/>
    <n v="55"/>
    <n v="57"/>
    <n v="55"/>
    <n v="1.2"/>
    <n v="5.6"/>
    <n v="58.239999999999995"/>
    <n v="166.91"/>
    <n v="135.63"/>
    <n v="130.96"/>
    <n v="124"/>
    <n v="116.91"/>
    <n v="117.79"/>
    <n v="117.86"/>
    <n v="117.52"/>
    <n v="0.29590797435743815"/>
    <d v="2012-07-28T18:35:00"/>
    <n v="1835"/>
    <d v="2012-08-04T13:30:00"/>
    <n v="1330"/>
    <n v="6.7881944444452529"/>
    <n v="4.3591558370809226E-2"/>
    <n v="7.4848142807021345E-4"/>
    <m/>
    <m/>
    <m/>
    <m/>
  </r>
  <r>
    <s v="Sound"/>
    <x v="5"/>
    <n v="2"/>
    <n v="42"/>
    <n v="39"/>
    <s v="29 july 12; 1215"/>
    <n v="2"/>
    <n v="37"/>
    <n v="11.277600000000001"/>
    <s v="East"/>
    <s v="no"/>
    <n v="436"/>
    <s v="HH436"/>
    <n v="13"/>
    <n v="13"/>
    <n v="12"/>
    <n v="13"/>
    <n v="61"/>
    <n v="55"/>
    <n v="61"/>
    <n v="55"/>
    <n v="1.2749999999999999"/>
    <n v="5.8"/>
    <n v="63.22"/>
    <n v="168.07"/>
    <n v="133.97999999999999"/>
    <n v="128.44"/>
    <n v="121.63"/>
    <n v="115.67"/>
    <n v="117.23"/>
    <n v="118.03"/>
    <n v="116.97666666666667"/>
    <n v="0.30400031732809735"/>
    <d v="2012-07-28T18:35:00"/>
    <n v="1835"/>
    <d v="2012-08-04T13:30:00"/>
    <n v="1330"/>
    <n v="6.7881944444452529"/>
    <n v="4.4783678460604402E-2"/>
    <n v="7.0837833692825695E-4"/>
    <m/>
    <m/>
    <m/>
    <m/>
  </r>
  <r>
    <s v="Sound"/>
    <x v="6"/>
    <n v="2"/>
    <n v="43"/>
    <n v="53"/>
    <s v="6 aug 12; 915"/>
    <n v="6"/>
    <n v="47"/>
    <n v="14.325600000000001"/>
    <s v="South"/>
    <s v="yes"/>
    <n v="437"/>
    <s v="FI437"/>
    <n v="12"/>
    <n v="12"/>
    <n v="12"/>
    <n v="12"/>
    <n v="55"/>
    <n v="56"/>
    <n v="55"/>
    <n v="57"/>
    <n v="1.2"/>
    <n v="5.5750000000000002"/>
    <n v="57.840625000000003"/>
    <n v="161.66999999999999"/>
    <n v="96.5"/>
    <n v="90.33"/>
    <n v="87.48"/>
    <n v="87.36"/>
    <n v="87.39"/>
    <n v="87.42"/>
    <n v="87.39"/>
    <n v="0.45945444423826309"/>
    <d v="2012-07-28T19:35:00"/>
    <n v="1935"/>
    <d v="2012-08-06T09:15:00"/>
    <n v="915"/>
    <n v="8.5694444444452529"/>
    <n v="5.3615429473503763E-2"/>
    <n v="9.2695107415426028E-4"/>
    <m/>
    <m/>
    <m/>
    <m/>
  </r>
  <r>
    <s v="Sound"/>
    <x v="6"/>
    <n v="2"/>
    <n v="44"/>
    <n v="58"/>
    <s v="6 aug 12; 915"/>
    <n v="6"/>
    <n v="52"/>
    <n v="15.849600000000001"/>
    <s v="South"/>
    <s v="no"/>
    <n v="438"/>
    <s v="FI438"/>
    <n v="12"/>
    <n v="12"/>
    <n v="13"/>
    <n v="13"/>
    <n v="61"/>
    <n v="55"/>
    <n v="59"/>
    <n v="54"/>
    <n v="1.25"/>
    <n v="5.7249999999999996"/>
    <n v="61.400624999999998"/>
    <n v="172.41"/>
    <n v="105.72"/>
    <n v="98.5"/>
    <n v="95.43"/>
    <n v="95.43"/>
    <n v="95.44"/>
    <n v="95.44"/>
    <n v="95.436666666666667"/>
    <n v="0.44645515534675095"/>
    <d v="2012-07-28T19:35:00"/>
    <n v="1935"/>
    <d v="2012-08-06T09:15:00"/>
    <n v="915"/>
    <n v="8.5694444444452529"/>
    <n v="5.2098494627168618E-2"/>
    <n v="8.485010474595107E-4"/>
    <m/>
    <m/>
    <m/>
    <m/>
  </r>
  <r>
    <s v="Sound"/>
    <x v="6"/>
    <n v="2"/>
    <n v="45"/>
    <n v="49"/>
    <s v="6 aug 12; 915"/>
    <n v="6"/>
    <n v="43"/>
    <n v="13.106400000000001"/>
    <s v="North"/>
    <s v="no"/>
    <n v="439"/>
    <s v="FI439"/>
    <n v="12"/>
    <n v="13"/>
    <n v="13"/>
    <n v="13"/>
    <n v="55"/>
    <n v="58"/>
    <n v="55"/>
    <n v="57"/>
    <n v="1.2749999999999999"/>
    <n v="5.625"/>
    <n v="60.328125"/>
    <n v="165.8"/>
    <n v="85.1"/>
    <n v="80.59"/>
    <n v="79.72"/>
    <n v="80.540000000000006"/>
    <n v="80.569999999999993"/>
    <n v="80.58"/>
    <n v="80.563333333333333"/>
    <n v="0.51409328508242869"/>
    <d v="2012-07-28T19:35:00"/>
    <n v="1935"/>
    <d v="2012-08-06T09:15:00"/>
    <n v="915"/>
    <n v="8.5694444444452529"/>
    <n v="5.999143683295198E-2"/>
    <n v="9.9441905136206333E-4"/>
    <m/>
    <m/>
    <m/>
    <m/>
  </r>
  <r>
    <s v="Sound"/>
    <x v="7"/>
    <n v="2"/>
    <n v="46"/>
    <n v="43"/>
    <s v="29 july 12; 1130"/>
    <n v="1"/>
    <n v="42"/>
    <n v="12.801600000000001"/>
    <s v="South"/>
    <s v="yes"/>
    <n v="440"/>
    <s v="WI440"/>
    <n v="14"/>
    <n v="12"/>
    <n v="13"/>
    <n v="13"/>
    <n v="59"/>
    <n v="56"/>
    <n v="60"/>
    <n v="55"/>
    <n v="1.3"/>
    <n v="5.75"/>
    <n v="62.962500000000006"/>
    <n v="169.08"/>
    <n v="122.06"/>
    <n v="115.46"/>
    <n v="107.42"/>
    <n v="107.31"/>
    <n v="107.19"/>
    <n v="107.21"/>
    <n v="107.23666666666666"/>
    <n v="0.36576374102988729"/>
    <d v="2012-07-28T20:20:00"/>
    <n v="2020"/>
    <d v="2012-08-05T10:00:00"/>
    <n v="1000"/>
    <n v="7.5694444444452529"/>
    <n v="4.8321081383759769E-2"/>
    <n v="7.6745811211053824E-4"/>
    <m/>
    <m/>
    <m/>
    <m/>
  </r>
  <r>
    <s v="Sound"/>
    <x v="7"/>
    <n v="2"/>
    <n v="47"/>
    <n v="45"/>
    <s v="29 july 12; 1130"/>
    <n v="1"/>
    <n v="44"/>
    <n v="13.411200000000001"/>
    <s v="Center"/>
    <s v="no"/>
    <n v="441"/>
    <s v="WI441"/>
    <n v="11"/>
    <n v="13"/>
    <n v="13"/>
    <n v="11"/>
    <n v="60"/>
    <n v="55"/>
    <n v="60"/>
    <n v="54"/>
    <n v="1.2"/>
    <n v="5.7249999999999996"/>
    <n v="60.255624999999995"/>
    <n v="166.75"/>
    <n v="117.37"/>
    <n v="110.25"/>
    <n v="102.67"/>
    <n v="102.98"/>
    <n v="103.1"/>
    <n v="103.11"/>
    <n v="103.06333333333333"/>
    <n v="0.38192903548225887"/>
    <d v="2012-07-28T20:20:00"/>
    <n v="2020"/>
    <d v="2012-08-05T10:00:00"/>
    <n v="1000"/>
    <n v="7.5694444444452529"/>
    <n v="5.0456679916916887E-2"/>
    <n v="8.3737708997154859E-4"/>
    <m/>
    <s v="card was removed by pycnopodia"/>
    <m/>
    <m/>
  </r>
  <r>
    <s v="Sound"/>
    <x v="7"/>
    <n v="2"/>
    <n v="48"/>
    <n v="39"/>
    <s v="29 july 12; 1130"/>
    <n v="1"/>
    <n v="38"/>
    <n v="11.5824"/>
    <s v="North"/>
    <s v="no"/>
    <n v="442"/>
    <s v="WI442"/>
    <n v="14"/>
    <n v="13"/>
    <n v="13"/>
    <n v="13"/>
    <n v="62"/>
    <n v="55"/>
    <n v="62"/>
    <n v="54"/>
    <n v="1.325"/>
    <n v="5.8250000000000002"/>
    <n v="64.803124999999994"/>
    <n v="184.85"/>
    <n v="136.97"/>
    <n v="128"/>
    <n v="120.06"/>
    <n v="120.29"/>
    <n v="120.64"/>
    <n v="120.68"/>
    <n v="120.53666666666668"/>
    <n v="0.34792173834640694"/>
    <d v="2012-07-28T20:20:00"/>
    <n v="2020"/>
    <d v="2012-08-05T10:00:00"/>
    <n v="1000"/>
    <n v="7.5694444444452529"/>
    <n v="4.5963972772364449E-2"/>
    <n v="7.0928636192104093E-4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4">
  <r>
    <s v="Channel"/>
    <s v="ON"/>
    <x v="0"/>
    <n v="26"/>
    <n v="38"/>
    <s v="3 aug 12; 1235"/>
    <n v="0"/>
    <n v="38"/>
    <n v="11.5824"/>
    <s v="South"/>
    <s v="no"/>
    <n v="421"/>
    <s v="ON421"/>
    <n v="12"/>
    <n v="12"/>
    <n v="11"/>
    <n v="11"/>
    <n v="60"/>
    <n v="55"/>
    <n v="59"/>
    <n v="54"/>
    <n v="1.1499999999999999"/>
    <n v="5.7"/>
    <n v="58.71"/>
    <n v="165.18"/>
    <n v="114.93"/>
    <n v="109.31"/>
    <n v="105.33"/>
    <n v="101.34"/>
    <n v="97.55"/>
    <n v="99.11"/>
    <n v="99.333333333333329"/>
    <n v="0.3986358316180329"/>
    <d v="2012-07-27T18:00:00"/>
    <n v="1800"/>
    <d v="2012-08-03T12:35:00"/>
    <n v="1235"/>
    <n v="6.7743055555547471"/>
    <n v="5.8845268839573132E-2"/>
  </r>
  <r>
    <s v="Channel"/>
    <s v="ON"/>
    <x v="0"/>
    <n v="27"/>
    <n v="43"/>
    <s v="3 aug 12; 1235"/>
    <n v="0"/>
    <n v="43"/>
    <n v="13.106400000000001"/>
    <s v="Center"/>
    <s v="no"/>
    <n v="420"/>
    <s v="ON420"/>
    <n v="11"/>
    <n v="12"/>
    <n v="12"/>
    <n v="11"/>
    <n v="61"/>
    <n v="56"/>
    <n v="61"/>
    <n v="55"/>
    <n v="1.1499999999999999"/>
    <n v="5.8250000000000002"/>
    <n v="60.725624999999994"/>
    <n v="176.37"/>
    <n v="136.16999999999999"/>
    <n v="128.69"/>
    <n v="124.3"/>
    <n v="120.31"/>
    <n v="115.75"/>
    <n v="117.27"/>
    <n v="117.77666666666666"/>
    <n v="0.3322182532932661"/>
    <d v="2012-07-27T18:00:00"/>
    <n v="1800"/>
    <d v="2012-08-03T12:35:00"/>
    <n v="1235"/>
    <n v="6.7743055555547471"/>
    <n v="4.904093129086215E-2"/>
  </r>
  <r>
    <s v="Channel"/>
    <s v="ON"/>
    <x v="0"/>
    <n v="28"/>
    <n v="42"/>
    <s v="3 aug 12; 1235"/>
    <n v="0"/>
    <n v="42"/>
    <n v="12.801600000000001"/>
    <s v="North"/>
    <s v="no"/>
    <n v="419"/>
    <s v="ON419"/>
    <n v="11"/>
    <n v="12"/>
    <n v="11"/>
    <n v="12"/>
    <n v="55"/>
    <n v="57"/>
    <n v="55"/>
    <n v="57"/>
    <n v="1.1499999999999999"/>
    <n v="5.6"/>
    <n v="57.11999999999999"/>
    <n v="163.11000000000001"/>
    <n v="122.09"/>
    <n v="116"/>
    <n v="111.78"/>
    <n v="108"/>
    <n v="103.33"/>
    <n v="104.71"/>
    <n v="105.34666666666665"/>
    <n v="0.35413728976355441"/>
    <d v="2012-07-27T18:00:00"/>
    <n v="1800"/>
    <d v="2012-08-03T12:35:00"/>
    <n v="1235"/>
    <n v="6.7743055555547471"/>
    <n v="5.2276545080428415E-2"/>
  </r>
  <r>
    <s v="Channel"/>
    <s v="SC"/>
    <x v="1"/>
    <n v="29"/>
    <n v="43"/>
    <s v="3 aug 12; 1350"/>
    <n v="1"/>
    <n v="42"/>
    <n v="12.801600000000001"/>
    <s v="South"/>
    <s v="no"/>
    <n v="422"/>
    <s v="SC422"/>
    <n v="12"/>
    <n v="12"/>
    <n v="13"/>
    <n v="12"/>
    <n v="60"/>
    <n v="55"/>
    <n v="60"/>
    <n v="55"/>
    <n v="1.2250000000000001"/>
    <n v="5.75"/>
    <n v="61.237499999999997"/>
    <n v="172.09"/>
    <n v="101.06"/>
    <n v="95.98"/>
    <n v="92.8"/>
    <n v="88.95"/>
    <n v="85.17"/>
    <n v="86.74"/>
    <n v="86.953333333333333"/>
    <n v="0.49472175412090574"/>
    <d v="2012-07-27T18:30:00"/>
    <n v="1830"/>
    <d v="2012-08-03T13:50:00"/>
    <n v="1350"/>
    <n v="6.8055555555547471"/>
    <n v="7.269380876879479E-2"/>
  </r>
  <r>
    <s v="Channel"/>
    <s v="SC"/>
    <x v="1"/>
    <n v="30"/>
    <n v="39"/>
    <s v="3 aug 12; 1350"/>
    <n v="1"/>
    <n v="38"/>
    <n v="11.5824"/>
    <s v="Center"/>
    <s v="no"/>
    <n v="423"/>
    <s v="SC423"/>
    <n v="13"/>
    <n v="12"/>
    <n v="12"/>
    <n v="13"/>
    <n v="59"/>
    <n v="55"/>
    <n v="58"/>
    <n v="55"/>
    <n v="1.25"/>
    <n v="5.6749999999999998"/>
    <n v="60.580624999999998"/>
    <n v="161.65"/>
    <n v="92.48"/>
    <n v="88.12"/>
    <n v="84.44"/>
    <n v="82.2"/>
    <n v="80.22"/>
    <n v="81.72"/>
    <n v="81.38000000000001"/>
    <n v="0.49656665635632535"/>
    <d v="2012-07-27T18:30:00"/>
    <n v="1830"/>
    <d v="2012-08-03T13:50:00"/>
    <n v="1350"/>
    <n v="6.8055555555547471"/>
    <n v="7.2964896444203411E-2"/>
  </r>
  <r>
    <s v="Channel"/>
    <s v="SC"/>
    <x v="1"/>
    <n v="15"/>
    <n v="43"/>
    <s v="3 aug 12; 1350"/>
    <n v="1"/>
    <n v="42"/>
    <n v="12.801600000000001"/>
    <s v="North"/>
    <s v="no"/>
    <n v="424"/>
    <s v="SC424"/>
    <n v="13"/>
    <n v="12"/>
    <n v="11"/>
    <n v="12"/>
    <n v="61"/>
    <n v="55"/>
    <n v="61"/>
    <n v="55"/>
    <n v="1.2"/>
    <n v="5.8"/>
    <n v="61.480000000000004"/>
    <n v="176.05"/>
    <n v="120.81"/>
    <n v="115.16"/>
    <n v="111.61"/>
    <n v="108"/>
    <n v="103.58"/>
    <n v="104.42"/>
    <n v="105.33333333333333"/>
    <n v="0.40168512733125067"/>
    <d v="2012-07-27T18:30:00"/>
    <n v="1830"/>
    <d v="2012-08-03T13:50:00"/>
    <n v="1350"/>
    <n v="6.8055555555547471"/>
    <n v="5.9023120750721393E-2"/>
  </r>
  <r>
    <s v="Channel"/>
    <s v="PG"/>
    <x v="1"/>
    <n v="31"/>
    <n v="51"/>
    <s v="3 aug 12; 1315"/>
    <n v="0"/>
    <n v="51"/>
    <n v="15.5448"/>
    <s v="North"/>
    <s v="no"/>
    <n v="425"/>
    <s v="PG425"/>
    <n v="11"/>
    <n v="10"/>
    <n v="10"/>
    <n v="11"/>
    <n v="60"/>
    <n v="55"/>
    <n v="60"/>
    <n v="56"/>
    <n v="1.05"/>
    <n v="5.7750000000000004"/>
    <n v="57.605625000000003"/>
    <n v="169.49"/>
    <n v="92.38"/>
    <n v="87.25"/>
    <n v="83.4"/>
    <n v="81.47"/>
    <n v="78.61"/>
    <n v="80.17"/>
    <n v="80.083333333333329"/>
    <n v="0.52750408087006118"/>
    <d v="2012-07-27T19:00:00"/>
    <n v="1900"/>
    <d v="2012-08-03T13:15:00"/>
    <n v="1315"/>
    <n v="6.7604166666715173"/>
    <n v="7.8028338618627943E-2"/>
  </r>
  <r>
    <s v="Channel"/>
    <s v="PG"/>
    <x v="1"/>
    <n v="32"/>
    <n v="43"/>
    <s v="3 aug 12; 1315"/>
    <n v="0"/>
    <n v="43"/>
    <n v="13.106400000000001"/>
    <s v="Center"/>
    <s v="no"/>
    <n v="426"/>
    <s v="PG426"/>
    <n v="13"/>
    <n v="12"/>
    <n v="13"/>
    <n v="13"/>
    <n v="60"/>
    <n v="55"/>
    <n v="61"/>
    <n v="55"/>
    <n v="1.2749999999999999"/>
    <n v="5.7750000000000004"/>
    <n v="62.803125000000001"/>
    <n v="171.77"/>
    <n v="75.12"/>
    <n v="70.84"/>
    <n v="68.150000000000006"/>
    <n v="66.86"/>
    <n v="64.75"/>
    <n v="65.73"/>
    <n v="65.780000000000015"/>
    <n v="0.61704604995051515"/>
    <d v="2012-07-27T19:00:00"/>
    <n v="1900"/>
    <d v="2012-08-03T13:15:00"/>
    <n v="1315"/>
    <n v="6.7604166666715173"/>
    <n v="9.1273375647468333E-2"/>
  </r>
  <r>
    <s v="Channel"/>
    <s v="PG"/>
    <x v="1"/>
    <n v="33"/>
    <n v="47"/>
    <s v="3 aug 12; 1315"/>
    <n v="0"/>
    <n v="47"/>
    <n v="14.325600000000001"/>
    <s v="South"/>
    <s v="no"/>
    <n v="427"/>
    <s v="PG427"/>
    <n v="10"/>
    <n v="12"/>
    <n v="12"/>
    <n v="11"/>
    <n v="60"/>
    <n v="55"/>
    <n v="60"/>
    <n v="55"/>
    <n v="1.125"/>
    <n v="5.75"/>
    <n v="58.9375"/>
    <n v="164.25"/>
    <n v="28.95"/>
    <n v="26.52"/>
    <n v="26.15"/>
    <n v="26.1"/>
    <n v="24.87"/>
    <n v="25.31"/>
    <n v="25.426666666666666"/>
    <n v="0.84519533231861999"/>
    <d v="2012-07-27T19:00:00"/>
    <n v="1900"/>
    <d v="2012-08-03T13:15:00"/>
    <n v="1315"/>
    <n v="6.7604166666715173"/>
    <n v="0.12502118937215609"/>
  </r>
  <r>
    <s v="Channel"/>
    <s v="TI"/>
    <x v="1"/>
    <n v="34"/>
    <n v="48"/>
    <s v="12 july 12; 2000"/>
    <n v="6"/>
    <n v="42"/>
    <n v="12.801600000000001"/>
    <s v="South"/>
    <s v="yes"/>
    <n v="428"/>
    <s v="TI428"/>
    <n v="13"/>
    <n v="13"/>
    <n v="13"/>
    <n v="12"/>
    <n v="61"/>
    <n v="55"/>
    <n v="61"/>
    <n v="55"/>
    <n v="1.2749999999999999"/>
    <n v="5.8"/>
    <n v="63.22"/>
    <n v="178.36"/>
    <n v="98.68"/>
    <n v="94.15"/>
    <n v="88.92"/>
    <n v="84.98"/>
    <n v="86.5"/>
    <n v="86.82"/>
    <n v="86.100000000000009"/>
    <n v="0.51726844583987441"/>
    <d v="2012-07-27T19:45:00"/>
    <n v="1945"/>
    <d v="2012-08-04T14:15:00"/>
    <n v="1415"/>
    <n v="7.7708333333357587"/>
    <n v="6.6565376408327673E-2"/>
  </r>
  <r>
    <s v="Channel"/>
    <s v="TI"/>
    <x v="1"/>
    <n v="35"/>
    <n v="48"/>
    <s v="12 july 12; 2000"/>
    <n v="6"/>
    <n v="42"/>
    <n v="12.801600000000001"/>
    <s v="Center"/>
    <s v="no"/>
    <n v="429"/>
    <s v="TI429"/>
    <n v="12"/>
    <n v="12"/>
    <n v="12"/>
    <n v="12"/>
    <n v="59"/>
    <n v="55"/>
    <n v="60"/>
    <n v="55"/>
    <n v="1.2"/>
    <n v="5.7249999999999996"/>
    <n v="60.255624999999995"/>
    <n v="165.62"/>
    <n v="77.61"/>
    <n v="73.75"/>
    <n v="69.37"/>
    <n v="66.94"/>
    <n v="68.5"/>
    <n v="68.52"/>
    <n v="67.986666666666665"/>
    <n v="0.5895020730185565"/>
    <d v="2012-07-27T19:45:00"/>
    <n v="1945"/>
    <d v="2012-08-04T14:15:00"/>
    <n v="1415"/>
    <n v="7.7708333333357587"/>
    <n v="7.5860856581452765E-2"/>
  </r>
  <r>
    <s v="Channel"/>
    <s v="TI"/>
    <x v="1"/>
    <n v="36"/>
    <n v="50"/>
    <s v="12 july 12; 2000"/>
    <n v="6"/>
    <n v="44"/>
    <n v="13.411200000000001"/>
    <s v="North"/>
    <s v="no"/>
    <n v="430"/>
    <s v="TI430"/>
    <n v="12"/>
    <n v="11"/>
    <n v="13"/>
    <n v="13"/>
    <n v="59"/>
    <n v="55"/>
    <n v="59"/>
    <n v="55"/>
    <n v="1.2250000000000001"/>
    <n v="5.7"/>
    <n v="60.42"/>
    <n v="163.92"/>
    <n v="81.41"/>
    <n v="77.23"/>
    <n v="73.510000000000005"/>
    <n v="71.91"/>
    <n v="73.36"/>
    <n v="73.42"/>
    <n v="72.896666666666661"/>
    <n v="0.55529119895884171"/>
    <d v="2012-07-27T19:45:00"/>
    <n v="1945"/>
    <d v="2012-08-04T14:15:00"/>
    <n v="1415"/>
    <n v="7.7708333333357587"/>
    <n v="7.145838485259004E-2"/>
  </r>
  <r>
    <s v="Sound"/>
    <s v="RW"/>
    <x v="0"/>
    <n v="37"/>
    <n v="43"/>
    <s v="4 aug 12; 1245"/>
    <n v="0"/>
    <n v="43"/>
    <n v="13.106400000000001"/>
    <s v="North"/>
    <s v="yes"/>
    <n v="431"/>
    <s v="RW431"/>
    <n v="12"/>
    <n v="13"/>
    <n v="13"/>
    <n v="12"/>
    <n v="60"/>
    <n v="55"/>
    <n v="60"/>
    <n v="55"/>
    <n v="1.25"/>
    <n v="5.75"/>
    <n v="61.8125"/>
    <n v="165.73"/>
    <n v="143.65"/>
    <n v="138.54"/>
    <n v="131.74"/>
    <n v="125.1"/>
    <n v="125.72"/>
    <n v="125.69"/>
    <n v="125.50333333333333"/>
    <n v="0.24272410949536391"/>
    <d v="2012-07-28T17:35:00"/>
    <n v="1735"/>
    <d v="2012-08-04T12:45:00"/>
    <n v="1245"/>
    <n v="6.7986111111094942"/>
    <n v="3.5702014062656502E-2"/>
  </r>
  <r>
    <s v="Sound"/>
    <s v="RW"/>
    <x v="0"/>
    <n v="38"/>
    <n v="45"/>
    <s v="4 aug 12; 1245"/>
    <n v="0"/>
    <n v="45"/>
    <n v="13.716000000000001"/>
    <s v="Center"/>
    <s v="no"/>
    <n v="432"/>
    <s v="RW432"/>
    <n v="13"/>
    <n v="12"/>
    <n v="11"/>
    <n v="13"/>
    <n v="55"/>
    <n v="55"/>
    <n v="56"/>
    <n v="55"/>
    <n v="1.2250000000000001"/>
    <n v="5.5250000000000004"/>
    <n v="57.59812500000001"/>
    <n v="156.33000000000001"/>
    <n v="132.80000000000001"/>
    <n v="128.36000000000001"/>
    <n v="120.95"/>
    <n v="114.67"/>
    <n v="115.66"/>
    <n v="115.6"/>
    <n v="115.30999999999999"/>
    <n v="0.26239365444892226"/>
    <d v="2012-07-28T17:35:00"/>
    <n v="1735"/>
    <d v="2012-08-04T12:45:00"/>
    <n v="1245"/>
    <n v="6.7986111111094942"/>
    <n v="3.8595185128349127E-2"/>
  </r>
  <r>
    <s v="Sound"/>
    <s v="RW"/>
    <x v="0"/>
    <n v="39"/>
    <n v="41"/>
    <s v="4 aug 12; 1245"/>
    <n v="0"/>
    <n v="41"/>
    <n v="12.4968"/>
    <s v="South"/>
    <s v="no"/>
    <n v="433"/>
    <s v="RW433"/>
    <n v="12"/>
    <n v="12"/>
    <n v="12"/>
    <n v="13"/>
    <n v="55"/>
    <n v="60"/>
    <n v="55"/>
    <n v="58"/>
    <n v="1.2250000000000001"/>
    <n v="5.7"/>
    <n v="60.42"/>
    <n v="165.41"/>
    <n v="141.74"/>
    <n v="136.31"/>
    <n v="129.83000000000001"/>
    <n v="122.45"/>
    <n v="123.84"/>
    <n v="124.66"/>
    <n v="123.65000000000002"/>
    <n v="0.25246357535820069"/>
    <d v="2012-07-28T17:35:00"/>
    <n v="1735"/>
    <d v="2012-08-04T12:45:00"/>
    <n v="1245"/>
    <n v="6.7986111111094942"/>
    <n v="3.7134581053717614E-2"/>
  </r>
  <r>
    <s v="Sound"/>
    <s v="HH"/>
    <x v="0"/>
    <n v="40"/>
    <n v="48"/>
    <s v="29 july 12; 1215"/>
    <n v="2"/>
    <n v="46"/>
    <n v="14.020800000000001"/>
    <s v="West"/>
    <s v="yes"/>
    <n v="434"/>
    <s v="HH434"/>
    <n v="11"/>
    <n v="12"/>
    <n v="12"/>
    <n v="12"/>
    <n v="60"/>
    <n v="55"/>
    <n v="60"/>
    <n v="54"/>
    <n v="1.175"/>
    <n v="5.7249999999999996"/>
    <n v="59.683124999999997"/>
    <n v="168"/>
    <n v="137.09"/>
    <n v="132.78"/>
    <n v="127.28"/>
    <n v="119.17"/>
    <n v="119.16"/>
    <n v="119.12"/>
    <n v="119.14999999999999"/>
    <n v="0.2907738095238096"/>
    <d v="2012-07-28T18:35:00"/>
    <n v="1835"/>
    <d v="2012-08-04T13:30:00"/>
    <n v="1330"/>
    <n v="6.7881944444452529"/>
    <n v="4.2835221044934625E-2"/>
  </r>
  <r>
    <s v="Sound"/>
    <s v="HH"/>
    <x v="0"/>
    <n v="41"/>
    <n v="36"/>
    <s v="29 july 12; 1215"/>
    <n v="2"/>
    <n v="34"/>
    <n v="10.363200000000001"/>
    <s v="Center"/>
    <s v="no"/>
    <n v="435"/>
    <s v="HH435"/>
    <n v="12"/>
    <n v="12"/>
    <n v="12"/>
    <n v="12"/>
    <n v="57"/>
    <n v="55"/>
    <n v="57"/>
    <n v="55"/>
    <n v="1.2"/>
    <n v="5.6"/>
    <n v="58.239999999999995"/>
    <n v="166.91"/>
    <n v="135.63"/>
    <n v="130.96"/>
    <n v="124"/>
    <n v="116.91"/>
    <n v="117.79"/>
    <n v="117.86"/>
    <n v="117.52"/>
    <n v="0.29590797435743815"/>
    <d v="2012-07-28T18:35:00"/>
    <n v="1835"/>
    <d v="2012-08-04T13:30:00"/>
    <n v="1330"/>
    <n v="6.7881944444452529"/>
    <n v="4.3591558370809226E-2"/>
  </r>
  <r>
    <s v="Sound"/>
    <s v="HH"/>
    <x v="0"/>
    <n v="42"/>
    <n v="39"/>
    <s v="29 july 12; 1215"/>
    <n v="2"/>
    <n v="37"/>
    <n v="11.277600000000001"/>
    <s v="East"/>
    <s v="no"/>
    <n v="436"/>
    <s v="HH436"/>
    <n v="13"/>
    <n v="13"/>
    <n v="12"/>
    <n v="13"/>
    <n v="61"/>
    <n v="55"/>
    <n v="61"/>
    <n v="55"/>
    <n v="1.2749999999999999"/>
    <n v="5.8"/>
    <n v="63.22"/>
    <n v="168.07"/>
    <n v="133.97999999999999"/>
    <n v="128.44"/>
    <n v="121.63"/>
    <n v="115.67"/>
    <n v="117.23"/>
    <n v="118.03"/>
    <n v="116.97666666666667"/>
    <n v="0.30400031732809735"/>
    <d v="2012-07-28T18:35:00"/>
    <n v="1835"/>
    <d v="2012-08-04T13:30:00"/>
    <n v="1330"/>
    <n v="6.7881944444452529"/>
    <n v="4.4783678460604402E-2"/>
  </r>
  <r>
    <s v="Sound"/>
    <s v="FI"/>
    <x v="0"/>
    <n v="43"/>
    <n v="53"/>
    <s v="6 aug 12; 915"/>
    <n v="6"/>
    <n v="47"/>
    <n v="14.325600000000001"/>
    <s v="South"/>
    <s v="yes"/>
    <n v="437"/>
    <s v="FI437"/>
    <n v="12"/>
    <n v="12"/>
    <n v="12"/>
    <n v="12"/>
    <n v="55"/>
    <n v="56"/>
    <n v="55"/>
    <n v="57"/>
    <n v="1.2"/>
    <n v="5.5750000000000002"/>
    <n v="57.840625000000003"/>
    <n v="161.66999999999999"/>
    <n v="96.5"/>
    <n v="90.33"/>
    <n v="87.48"/>
    <n v="87.36"/>
    <n v="87.39"/>
    <n v="87.42"/>
    <n v="87.39"/>
    <n v="0.45945444423826309"/>
    <d v="2012-07-28T19:35:00"/>
    <n v="1935"/>
    <d v="2012-08-06T09:15:00"/>
    <n v="915"/>
    <n v="8.5694444444452529"/>
    <n v="5.3615429473503763E-2"/>
  </r>
  <r>
    <s v="Sound"/>
    <s v="FI"/>
    <x v="0"/>
    <n v="44"/>
    <n v="58"/>
    <s v="6 aug 12; 915"/>
    <n v="6"/>
    <n v="52"/>
    <n v="15.849600000000001"/>
    <s v="South"/>
    <s v="no"/>
    <n v="438"/>
    <s v="FI438"/>
    <n v="12"/>
    <n v="12"/>
    <n v="13"/>
    <n v="13"/>
    <n v="61"/>
    <n v="55"/>
    <n v="59"/>
    <n v="54"/>
    <n v="1.25"/>
    <n v="5.7249999999999996"/>
    <n v="61.400624999999998"/>
    <n v="172.41"/>
    <n v="105.72"/>
    <n v="98.5"/>
    <n v="95.43"/>
    <n v="95.43"/>
    <n v="95.44"/>
    <n v="95.44"/>
    <n v="95.436666666666667"/>
    <n v="0.44645515534675095"/>
    <d v="2012-07-28T19:35:00"/>
    <n v="1935"/>
    <d v="2012-08-06T09:15:00"/>
    <n v="915"/>
    <n v="8.5694444444452529"/>
    <n v="5.2098494627168618E-2"/>
  </r>
  <r>
    <s v="Sound"/>
    <s v="FI"/>
    <x v="0"/>
    <n v="45"/>
    <n v="49"/>
    <s v="6 aug 12; 915"/>
    <n v="6"/>
    <n v="43"/>
    <n v="13.106400000000001"/>
    <s v="North"/>
    <s v="no"/>
    <n v="439"/>
    <s v="FI439"/>
    <n v="12"/>
    <n v="13"/>
    <n v="13"/>
    <n v="13"/>
    <n v="55"/>
    <n v="58"/>
    <n v="55"/>
    <n v="57"/>
    <n v="1.2749999999999999"/>
    <n v="5.625"/>
    <n v="60.328125"/>
    <n v="165.8"/>
    <n v="85.1"/>
    <n v="80.59"/>
    <n v="79.72"/>
    <n v="80.540000000000006"/>
    <n v="80.569999999999993"/>
    <n v="80.58"/>
    <n v="80.563333333333333"/>
    <n v="0.51409328508242869"/>
    <d v="2012-07-28T19:35:00"/>
    <n v="1935"/>
    <d v="2012-08-06T09:15:00"/>
    <n v="915"/>
    <n v="8.5694444444452529"/>
    <n v="5.999143683295198E-2"/>
  </r>
  <r>
    <s v="Sound"/>
    <s v="WI"/>
    <x v="0"/>
    <n v="46"/>
    <n v="43"/>
    <s v="29 july 12; 1130"/>
    <n v="1"/>
    <n v="42"/>
    <n v="12.801600000000001"/>
    <s v="South"/>
    <s v="yes"/>
    <n v="440"/>
    <s v="WI440"/>
    <n v="14"/>
    <n v="12"/>
    <n v="13"/>
    <n v="13"/>
    <n v="59"/>
    <n v="56"/>
    <n v="60"/>
    <n v="55"/>
    <n v="1.3"/>
    <n v="5.75"/>
    <n v="62.962500000000006"/>
    <n v="169.08"/>
    <n v="122.06"/>
    <n v="115.46"/>
    <n v="107.42"/>
    <n v="107.31"/>
    <n v="107.19"/>
    <n v="107.21"/>
    <n v="107.23666666666666"/>
    <n v="0.36576374102988729"/>
    <d v="2012-07-28T20:20:00"/>
    <n v="2020"/>
    <d v="2012-08-05T10:00:00"/>
    <n v="1000"/>
    <n v="7.5694444444452529"/>
    <n v="4.8321081383759769E-2"/>
  </r>
  <r>
    <s v="Sound"/>
    <s v="WI"/>
    <x v="0"/>
    <n v="47"/>
    <n v="45"/>
    <s v="29 july 12; 1130"/>
    <n v="1"/>
    <n v="44"/>
    <n v="13.411200000000001"/>
    <s v="Center"/>
    <s v="no"/>
    <n v="441"/>
    <s v="WI441"/>
    <n v="11"/>
    <n v="13"/>
    <n v="13"/>
    <n v="11"/>
    <n v="60"/>
    <n v="55"/>
    <n v="60"/>
    <n v="54"/>
    <n v="1.2"/>
    <n v="5.7249999999999996"/>
    <n v="60.255624999999995"/>
    <n v="166.75"/>
    <n v="117.37"/>
    <n v="110.25"/>
    <n v="102.67"/>
    <n v="102.98"/>
    <n v="103.1"/>
    <n v="103.11"/>
    <n v="103.06333333333333"/>
    <n v="0.38192903548225887"/>
    <d v="2012-07-28T20:20:00"/>
    <n v="2020"/>
    <d v="2012-08-05T10:00:00"/>
    <n v="1000"/>
    <n v="7.5694444444452529"/>
    <n v="5.0456679916916887E-2"/>
  </r>
  <r>
    <s v="Sound"/>
    <s v="WI"/>
    <x v="0"/>
    <n v="48"/>
    <n v="39"/>
    <s v="29 july 12; 1130"/>
    <n v="1"/>
    <n v="38"/>
    <n v="11.5824"/>
    <s v="North"/>
    <s v="no"/>
    <n v="442"/>
    <s v="WI442"/>
    <n v="14"/>
    <n v="13"/>
    <n v="13"/>
    <n v="13"/>
    <n v="62"/>
    <n v="55"/>
    <n v="62"/>
    <n v="54"/>
    <n v="1.325"/>
    <n v="5.8250000000000002"/>
    <n v="64.803124999999994"/>
    <n v="184.85"/>
    <n v="136.97"/>
    <n v="128"/>
    <n v="120.06"/>
    <n v="120.29"/>
    <n v="120.64"/>
    <n v="120.68"/>
    <n v="120.53666666666668"/>
    <n v="0.34792173834640694"/>
    <d v="2012-07-28T20:20:00"/>
    <n v="2020"/>
    <d v="2012-08-05T10:00:00"/>
    <n v="1000"/>
    <n v="7.5694444444452529"/>
    <n v="4.5963972772364449E-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4">
  <r>
    <x v="0"/>
    <s v="ON"/>
    <n v="2"/>
    <n v="26"/>
    <n v="38"/>
    <s v="3 aug 12; 1235"/>
    <n v="0"/>
    <n v="38"/>
    <n v="11.5824"/>
    <s v="South"/>
    <s v="no"/>
    <n v="421"/>
    <s v="ON421"/>
    <n v="12"/>
    <n v="12"/>
    <n v="11"/>
    <n v="11"/>
    <n v="60"/>
    <n v="55"/>
    <n v="59"/>
    <n v="54"/>
    <n v="1.1499999999999999"/>
    <n v="5.7"/>
    <n v="58.71"/>
    <n v="165.18"/>
    <n v="114.93"/>
    <n v="109.31"/>
    <n v="105.33"/>
    <n v="101.34"/>
    <n v="97.55"/>
    <n v="99.11"/>
    <n v="99.333333333333329"/>
    <n v="0.3986358316180329"/>
    <d v="2012-07-27T18:00:00"/>
    <n v="1800"/>
    <d v="2012-08-03T12:35:00"/>
    <n v="1235"/>
    <n v="6.7743055555547471"/>
    <n v="5.8845268839573132E-2"/>
    <n v="1.0023040170256026E-3"/>
  </r>
  <r>
    <x v="0"/>
    <s v="ON"/>
    <n v="2"/>
    <n v="27"/>
    <n v="43"/>
    <s v="3 aug 12; 1235"/>
    <n v="0"/>
    <n v="43"/>
    <n v="13.106400000000001"/>
    <s v="Center"/>
    <s v="no"/>
    <n v="420"/>
    <s v="ON420"/>
    <n v="11"/>
    <n v="12"/>
    <n v="12"/>
    <n v="11"/>
    <n v="61"/>
    <n v="56"/>
    <n v="61"/>
    <n v="55"/>
    <n v="1.1499999999999999"/>
    <n v="5.8250000000000002"/>
    <n v="60.725624999999994"/>
    <n v="176.37"/>
    <n v="136.16999999999999"/>
    <n v="128.69"/>
    <n v="124.3"/>
    <n v="120.31"/>
    <n v="115.75"/>
    <n v="117.27"/>
    <n v="117.77666666666666"/>
    <n v="0.3322182532932661"/>
    <d v="2012-07-27T18:00:00"/>
    <n v="1800"/>
    <d v="2012-08-03T12:35:00"/>
    <n v="1235"/>
    <n v="6.7743055555547471"/>
    <n v="4.904093129086215E-2"/>
    <n v="8.0758215812290371E-4"/>
  </r>
  <r>
    <x v="0"/>
    <s v="ON"/>
    <n v="2"/>
    <n v="28"/>
    <n v="42"/>
    <s v="3 aug 12; 1235"/>
    <n v="0"/>
    <n v="42"/>
    <n v="12.801600000000001"/>
    <s v="North"/>
    <s v="no"/>
    <n v="419"/>
    <s v="ON419"/>
    <n v="11"/>
    <n v="12"/>
    <n v="11"/>
    <n v="12"/>
    <n v="55"/>
    <n v="57"/>
    <n v="55"/>
    <n v="57"/>
    <n v="1.1499999999999999"/>
    <n v="5.6"/>
    <n v="57.11999999999999"/>
    <n v="163.11000000000001"/>
    <n v="122.09"/>
    <n v="116"/>
    <n v="111.78"/>
    <n v="108"/>
    <n v="103.33"/>
    <n v="104.71"/>
    <n v="105.34666666666665"/>
    <n v="0.35413728976355441"/>
    <d v="2012-07-27T18:00:00"/>
    <n v="1800"/>
    <d v="2012-08-03T12:35:00"/>
    <n v="1235"/>
    <n v="6.7743055555547471"/>
    <n v="5.2276545080428415E-2"/>
    <n v="9.1520562115595977E-4"/>
  </r>
  <r>
    <x v="0"/>
    <s v="SC"/>
    <n v="1"/>
    <n v="29"/>
    <n v="43"/>
    <s v="3 aug 12; 1350"/>
    <n v="1"/>
    <n v="42"/>
    <n v="12.801600000000001"/>
    <s v="South"/>
    <s v="no"/>
    <n v="422"/>
    <s v="SC422"/>
    <n v="12"/>
    <n v="12"/>
    <n v="13"/>
    <n v="12"/>
    <n v="60"/>
    <n v="55"/>
    <n v="60"/>
    <n v="55"/>
    <n v="1.2250000000000001"/>
    <n v="5.75"/>
    <n v="61.237499999999997"/>
    <n v="172.09"/>
    <n v="101.06"/>
    <n v="95.98"/>
    <n v="92.8"/>
    <n v="88.95"/>
    <n v="85.17"/>
    <n v="86.74"/>
    <n v="86.953333333333333"/>
    <n v="0.49472175412090574"/>
    <d v="2012-07-27T18:30:00"/>
    <n v="1830"/>
    <d v="2012-08-03T13:50:00"/>
    <n v="1350"/>
    <n v="6.8055555555547471"/>
    <n v="7.269380876879479E-2"/>
    <n v="1.1870799553997924E-3"/>
  </r>
  <r>
    <x v="0"/>
    <s v="SC"/>
    <n v="1"/>
    <n v="30"/>
    <n v="39"/>
    <s v="3 aug 12; 1350"/>
    <n v="1"/>
    <n v="38"/>
    <n v="11.5824"/>
    <s v="Center"/>
    <s v="no"/>
    <n v="423"/>
    <s v="SC423"/>
    <n v="13"/>
    <n v="12"/>
    <n v="12"/>
    <n v="13"/>
    <n v="59"/>
    <n v="55"/>
    <n v="58"/>
    <n v="55"/>
    <n v="1.25"/>
    <n v="5.6749999999999998"/>
    <n v="60.580624999999998"/>
    <n v="161.65"/>
    <n v="92.48"/>
    <n v="88.12"/>
    <n v="84.44"/>
    <n v="82.2"/>
    <n v="80.22"/>
    <n v="81.72"/>
    <n v="81.38000000000001"/>
    <n v="0.49656665635632535"/>
    <d v="2012-07-27T18:30:00"/>
    <n v="1830"/>
    <d v="2012-08-03T13:50:00"/>
    <n v="1350"/>
    <n v="6.8055555555547471"/>
    <n v="7.2964896444203411E-2"/>
    <n v="1.2044262739812179E-3"/>
  </r>
  <r>
    <x v="0"/>
    <s v="SC"/>
    <n v="1"/>
    <n v="15"/>
    <n v="43"/>
    <s v="3 aug 12; 1350"/>
    <n v="1"/>
    <n v="42"/>
    <n v="12.801600000000001"/>
    <s v="North"/>
    <s v="no"/>
    <n v="424"/>
    <s v="SC424"/>
    <n v="13"/>
    <n v="12"/>
    <n v="11"/>
    <n v="12"/>
    <n v="61"/>
    <n v="55"/>
    <n v="61"/>
    <n v="55"/>
    <n v="1.2"/>
    <n v="5.8"/>
    <n v="61.480000000000004"/>
    <n v="176.05"/>
    <n v="120.81"/>
    <n v="115.16"/>
    <n v="111.61"/>
    <n v="108"/>
    <n v="103.58"/>
    <n v="104.42"/>
    <n v="105.33333333333333"/>
    <n v="0.40168512733125067"/>
    <d v="2012-07-27T18:30:00"/>
    <n v="1830"/>
    <d v="2012-08-03T13:50:00"/>
    <n v="1350"/>
    <n v="6.8055555555547471"/>
    <n v="5.9023120750721393E-2"/>
    <n v="9.6003774805987951E-4"/>
  </r>
  <r>
    <x v="0"/>
    <s v="PG"/>
    <n v="1"/>
    <n v="31"/>
    <n v="51"/>
    <s v="3 aug 12; 1315"/>
    <n v="0"/>
    <n v="51"/>
    <n v="15.5448"/>
    <s v="North"/>
    <s v="no"/>
    <n v="425"/>
    <s v="PG425"/>
    <n v="11"/>
    <n v="10"/>
    <n v="10"/>
    <n v="11"/>
    <n v="60"/>
    <n v="55"/>
    <n v="60"/>
    <n v="56"/>
    <n v="1.05"/>
    <n v="5.7750000000000004"/>
    <n v="57.605625000000003"/>
    <n v="169.49"/>
    <n v="92.38"/>
    <n v="87.25"/>
    <n v="83.4"/>
    <n v="81.47"/>
    <n v="78.61"/>
    <n v="80.17"/>
    <n v="80.083333333333329"/>
    <n v="0.52750408087006118"/>
    <d v="2012-07-27T19:00:00"/>
    <n v="1900"/>
    <d v="2012-08-03T13:15:00"/>
    <n v="1315"/>
    <n v="6.7604166666715173"/>
    <n v="7.8028338618627943E-2"/>
    <n v="1.354526378606741E-3"/>
  </r>
  <r>
    <x v="0"/>
    <s v="PG"/>
    <n v="1"/>
    <n v="32"/>
    <n v="43"/>
    <s v="3 aug 12; 1315"/>
    <n v="0"/>
    <n v="43"/>
    <n v="13.106400000000001"/>
    <s v="Center"/>
    <s v="no"/>
    <n v="426"/>
    <s v="PG426"/>
    <n v="13"/>
    <n v="12"/>
    <n v="13"/>
    <n v="13"/>
    <n v="60"/>
    <n v="55"/>
    <n v="61"/>
    <n v="55"/>
    <n v="1.2749999999999999"/>
    <n v="5.7750000000000004"/>
    <n v="62.803125000000001"/>
    <n v="171.77"/>
    <n v="75.12"/>
    <n v="70.84"/>
    <n v="68.150000000000006"/>
    <n v="66.86"/>
    <n v="64.75"/>
    <n v="65.73"/>
    <n v="65.780000000000015"/>
    <n v="0.61704604995051515"/>
    <d v="2012-07-27T19:00:00"/>
    <n v="1900"/>
    <d v="2012-08-03T13:15:00"/>
    <n v="1315"/>
    <n v="6.7604166666715173"/>
    <n v="9.1273375647468333E-2"/>
    <n v="1.4533253822555539E-3"/>
  </r>
  <r>
    <x v="0"/>
    <s v="PG"/>
    <n v="1"/>
    <n v="33"/>
    <n v="47"/>
    <s v="3 aug 12; 1315"/>
    <n v="0"/>
    <n v="47"/>
    <n v="14.325600000000001"/>
    <s v="South"/>
    <s v="no"/>
    <n v="427"/>
    <s v="PG427"/>
    <n v="10"/>
    <n v="12"/>
    <n v="12"/>
    <n v="11"/>
    <n v="60"/>
    <n v="55"/>
    <n v="60"/>
    <n v="55"/>
    <n v="1.125"/>
    <n v="5.75"/>
    <n v="58.9375"/>
    <n v="164.25"/>
    <n v="28.95"/>
    <n v="26.52"/>
    <n v="26.15"/>
    <n v="26.1"/>
    <n v="24.87"/>
    <n v="25.31"/>
    <n v="25.426666666666666"/>
    <n v="0.84519533231861999"/>
    <d v="2012-07-27T19:00:00"/>
    <n v="1900"/>
    <d v="2012-08-03T13:15:00"/>
    <n v="1315"/>
    <n v="6.7604166666715173"/>
    <n v="0.12502118937215609"/>
    <n v="2.1212502968764556E-3"/>
  </r>
  <r>
    <x v="0"/>
    <s v="TI"/>
    <n v="1"/>
    <n v="34"/>
    <n v="48"/>
    <s v="12 july 12; 2000"/>
    <n v="6"/>
    <n v="42"/>
    <n v="12.801600000000001"/>
    <s v="South"/>
    <s v="yes"/>
    <n v="428"/>
    <s v="TI428"/>
    <n v="13"/>
    <n v="13"/>
    <n v="13"/>
    <n v="12"/>
    <n v="61"/>
    <n v="55"/>
    <n v="61"/>
    <n v="55"/>
    <n v="1.2749999999999999"/>
    <n v="5.8"/>
    <n v="63.22"/>
    <n v="178.36"/>
    <n v="98.68"/>
    <n v="94.15"/>
    <n v="88.92"/>
    <n v="84.98"/>
    <n v="86.5"/>
    <n v="86.82"/>
    <n v="86.100000000000009"/>
    <n v="0.51726844583987441"/>
    <d v="2012-07-27T19:45:00"/>
    <n v="1945"/>
    <d v="2012-08-04T14:15:00"/>
    <n v="1415"/>
    <n v="7.7708333333357587"/>
    <n v="6.6565376408327673E-2"/>
    <n v="1.0529164253136297E-3"/>
  </r>
  <r>
    <x v="0"/>
    <s v="TI"/>
    <n v="1"/>
    <n v="35"/>
    <n v="48"/>
    <s v="12 july 12; 2000"/>
    <n v="6"/>
    <n v="42"/>
    <n v="12.801600000000001"/>
    <s v="Center"/>
    <s v="no"/>
    <n v="429"/>
    <s v="TI429"/>
    <n v="12"/>
    <n v="12"/>
    <n v="12"/>
    <n v="12"/>
    <n v="59"/>
    <n v="55"/>
    <n v="60"/>
    <n v="55"/>
    <n v="1.2"/>
    <n v="5.7249999999999996"/>
    <n v="60.255624999999995"/>
    <n v="165.62"/>
    <n v="77.61"/>
    <n v="73.75"/>
    <n v="69.37"/>
    <n v="66.94"/>
    <n v="68.5"/>
    <n v="68.52"/>
    <n v="67.986666666666665"/>
    <n v="0.5895020730185565"/>
    <d v="2012-07-27T19:45:00"/>
    <n v="1945"/>
    <d v="2012-08-04T14:15:00"/>
    <n v="1415"/>
    <n v="7.7708333333357587"/>
    <n v="7.5860856581452765E-2"/>
    <n v="1.2589838140663677E-3"/>
  </r>
  <r>
    <x v="0"/>
    <s v="TI"/>
    <n v="1"/>
    <n v="36"/>
    <n v="50"/>
    <s v="12 july 12; 2000"/>
    <n v="6"/>
    <n v="44"/>
    <n v="13.411200000000001"/>
    <s v="North"/>
    <s v="no"/>
    <n v="430"/>
    <s v="TI430"/>
    <n v="12"/>
    <n v="11"/>
    <n v="13"/>
    <n v="13"/>
    <n v="59"/>
    <n v="55"/>
    <n v="59"/>
    <n v="55"/>
    <n v="1.2250000000000001"/>
    <n v="5.7"/>
    <n v="60.42"/>
    <n v="163.92"/>
    <n v="81.41"/>
    <n v="77.23"/>
    <n v="73.510000000000005"/>
    <n v="71.91"/>
    <n v="73.36"/>
    <n v="73.42"/>
    <n v="72.896666666666661"/>
    <n v="0.55529119895884171"/>
    <d v="2012-07-27T19:45:00"/>
    <n v="1945"/>
    <d v="2012-08-04T14:15:00"/>
    <n v="1415"/>
    <n v="7.7708333333357587"/>
    <n v="7.145838485259004E-2"/>
    <n v="1.1826942213272102E-3"/>
  </r>
  <r>
    <x v="1"/>
    <s v="RW"/>
    <n v="2"/>
    <n v="37"/>
    <n v="43"/>
    <s v="4 aug 12; 1245"/>
    <n v="0"/>
    <n v="43"/>
    <n v="13.106400000000001"/>
    <s v="North"/>
    <s v="yes"/>
    <n v="431"/>
    <s v="RW431"/>
    <n v="12"/>
    <n v="13"/>
    <n v="13"/>
    <n v="12"/>
    <n v="60"/>
    <n v="55"/>
    <n v="60"/>
    <n v="55"/>
    <n v="1.25"/>
    <n v="5.75"/>
    <n v="61.8125"/>
    <n v="165.73"/>
    <n v="143.65"/>
    <n v="138.54"/>
    <n v="131.74"/>
    <n v="125.1"/>
    <n v="125.72"/>
    <n v="125.69"/>
    <n v="125.50333333333333"/>
    <n v="0.24272410949536391"/>
    <d v="2012-07-28T17:35:00"/>
    <n v="1735"/>
    <d v="2012-08-04T12:45:00"/>
    <n v="1245"/>
    <n v="6.7986111111094942"/>
    <n v="3.5702014062656502E-2"/>
    <n v="5.7758566734328006E-4"/>
  </r>
  <r>
    <x v="1"/>
    <s v="RW"/>
    <n v="2"/>
    <n v="38"/>
    <n v="45"/>
    <s v="4 aug 12; 1245"/>
    <n v="0"/>
    <n v="45"/>
    <n v="13.716000000000001"/>
    <s v="Center"/>
    <s v="no"/>
    <n v="432"/>
    <s v="RW432"/>
    <n v="13"/>
    <n v="12"/>
    <n v="11"/>
    <n v="13"/>
    <n v="55"/>
    <n v="55"/>
    <n v="56"/>
    <n v="55"/>
    <n v="1.2250000000000001"/>
    <n v="5.5250000000000004"/>
    <n v="57.59812500000001"/>
    <n v="156.33000000000001"/>
    <n v="132.80000000000001"/>
    <n v="128.36000000000001"/>
    <n v="120.95"/>
    <n v="114.67"/>
    <n v="115.66"/>
    <n v="115.6"/>
    <n v="115.30999999999999"/>
    <n v="0.26239365444892226"/>
    <d v="2012-07-28T17:35:00"/>
    <n v="1735"/>
    <d v="2012-08-04T12:45:00"/>
    <n v="1245"/>
    <n v="6.7986111111094942"/>
    <n v="3.8595185128349127E-2"/>
    <n v="6.7007710977308932E-4"/>
  </r>
  <r>
    <x v="1"/>
    <s v="RW"/>
    <n v="2"/>
    <n v="39"/>
    <n v="41"/>
    <s v="4 aug 12; 1245"/>
    <n v="0"/>
    <n v="41"/>
    <n v="12.4968"/>
    <s v="South"/>
    <s v="no"/>
    <n v="433"/>
    <s v="RW433"/>
    <n v="12"/>
    <n v="12"/>
    <n v="12"/>
    <n v="13"/>
    <n v="55"/>
    <n v="60"/>
    <n v="55"/>
    <n v="58"/>
    <n v="1.2250000000000001"/>
    <n v="5.7"/>
    <n v="60.42"/>
    <n v="165.41"/>
    <n v="141.74"/>
    <n v="136.31"/>
    <n v="129.83000000000001"/>
    <n v="122.45"/>
    <n v="123.84"/>
    <n v="124.66"/>
    <n v="123.65000000000002"/>
    <n v="0.25246357535820069"/>
    <d v="2012-07-28T17:35:00"/>
    <n v="1735"/>
    <d v="2012-08-04T12:45:00"/>
    <n v="1245"/>
    <n v="6.7986111111094942"/>
    <n v="3.7134581053717614E-2"/>
    <n v="6.1460743220320441E-4"/>
  </r>
  <r>
    <x v="1"/>
    <s v="HH"/>
    <n v="2"/>
    <n v="40"/>
    <n v="48"/>
    <s v="29 july 12; 1215"/>
    <n v="2"/>
    <n v="46"/>
    <n v="14.020800000000001"/>
    <s v="West"/>
    <s v="yes"/>
    <n v="434"/>
    <s v="HH434"/>
    <n v="11"/>
    <n v="12"/>
    <n v="12"/>
    <n v="12"/>
    <n v="60"/>
    <n v="55"/>
    <n v="60"/>
    <n v="54"/>
    <n v="1.175"/>
    <n v="5.7249999999999996"/>
    <n v="59.683124999999997"/>
    <n v="168"/>
    <n v="137.09"/>
    <n v="132.78"/>
    <n v="127.28"/>
    <n v="119.17"/>
    <n v="119.16"/>
    <n v="119.12"/>
    <n v="119.14999999999999"/>
    <n v="0.2907738095238096"/>
    <d v="2012-07-28T18:35:00"/>
    <n v="1835"/>
    <d v="2012-08-04T13:30:00"/>
    <n v="1330"/>
    <n v="6.7881944444452529"/>
    <n v="4.2835221044934625E-2"/>
    <n v="7.177107607038778E-4"/>
  </r>
  <r>
    <x v="1"/>
    <s v="HH"/>
    <n v="2"/>
    <n v="41"/>
    <n v="36"/>
    <s v="29 july 12; 1215"/>
    <n v="2"/>
    <n v="34"/>
    <n v="10.363200000000001"/>
    <s v="Center"/>
    <s v="no"/>
    <n v="435"/>
    <s v="HH435"/>
    <n v="12"/>
    <n v="12"/>
    <n v="12"/>
    <n v="12"/>
    <n v="57"/>
    <n v="55"/>
    <n v="57"/>
    <n v="55"/>
    <n v="1.2"/>
    <n v="5.6"/>
    <n v="58.239999999999995"/>
    <n v="166.91"/>
    <n v="135.63"/>
    <n v="130.96"/>
    <n v="124"/>
    <n v="116.91"/>
    <n v="117.79"/>
    <n v="117.86"/>
    <n v="117.52"/>
    <n v="0.29590797435743815"/>
    <d v="2012-07-28T18:35:00"/>
    <n v="1835"/>
    <d v="2012-08-04T13:30:00"/>
    <n v="1330"/>
    <n v="6.7881944444452529"/>
    <n v="4.3591558370809226E-2"/>
    <n v="7.4848142807021345E-4"/>
  </r>
  <r>
    <x v="1"/>
    <s v="HH"/>
    <n v="2"/>
    <n v="42"/>
    <n v="39"/>
    <s v="29 july 12; 1215"/>
    <n v="2"/>
    <n v="37"/>
    <n v="11.277600000000001"/>
    <s v="East"/>
    <s v="no"/>
    <n v="436"/>
    <s v="HH436"/>
    <n v="13"/>
    <n v="13"/>
    <n v="12"/>
    <n v="13"/>
    <n v="61"/>
    <n v="55"/>
    <n v="61"/>
    <n v="55"/>
    <n v="1.2749999999999999"/>
    <n v="5.8"/>
    <n v="63.22"/>
    <n v="168.07"/>
    <n v="133.97999999999999"/>
    <n v="128.44"/>
    <n v="121.63"/>
    <n v="115.67"/>
    <n v="117.23"/>
    <n v="118.03"/>
    <n v="116.97666666666667"/>
    <n v="0.30400031732809735"/>
    <d v="2012-07-28T18:35:00"/>
    <n v="1835"/>
    <d v="2012-08-04T13:30:00"/>
    <n v="1330"/>
    <n v="6.7881944444452529"/>
    <n v="4.4783678460604402E-2"/>
    <n v="7.0837833692825695E-4"/>
  </r>
  <r>
    <x v="1"/>
    <s v="FI"/>
    <n v="2"/>
    <n v="43"/>
    <n v="53"/>
    <s v="6 aug 12; 915"/>
    <n v="6"/>
    <n v="47"/>
    <n v="14.325600000000001"/>
    <s v="South"/>
    <s v="yes"/>
    <n v="437"/>
    <s v="FI437"/>
    <n v="12"/>
    <n v="12"/>
    <n v="12"/>
    <n v="12"/>
    <n v="55"/>
    <n v="56"/>
    <n v="55"/>
    <n v="57"/>
    <n v="1.2"/>
    <n v="5.5750000000000002"/>
    <n v="57.840625000000003"/>
    <n v="161.66999999999999"/>
    <n v="96.5"/>
    <n v="90.33"/>
    <n v="87.48"/>
    <n v="87.36"/>
    <n v="87.39"/>
    <n v="87.42"/>
    <n v="87.39"/>
    <n v="0.45945444423826309"/>
    <d v="2012-07-28T19:35:00"/>
    <n v="1935"/>
    <d v="2012-08-06T09:15:00"/>
    <n v="915"/>
    <n v="8.5694444444452529"/>
    <n v="5.3615429473503763E-2"/>
    <n v="9.2695107415426028E-4"/>
  </r>
  <r>
    <x v="1"/>
    <s v="FI"/>
    <n v="2"/>
    <n v="44"/>
    <n v="58"/>
    <s v="6 aug 12; 915"/>
    <n v="6"/>
    <n v="52"/>
    <n v="15.849600000000001"/>
    <s v="South"/>
    <s v="no"/>
    <n v="438"/>
    <s v="FI438"/>
    <n v="12"/>
    <n v="12"/>
    <n v="13"/>
    <n v="13"/>
    <n v="61"/>
    <n v="55"/>
    <n v="59"/>
    <n v="54"/>
    <n v="1.25"/>
    <n v="5.7249999999999996"/>
    <n v="61.400624999999998"/>
    <n v="172.41"/>
    <n v="105.72"/>
    <n v="98.5"/>
    <n v="95.43"/>
    <n v="95.43"/>
    <n v="95.44"/>
    <n v="95.44"/>
    <n v="95.436666666666667"/>
    <n v="0.44645515534675095"/>
    <d v="2012-07-28T19:35:00"/>
    <n v="1935"/>
    <d v="2012-08-06T09:15:00"/>
    <n v="915"/>
    <n v="8.5694444444452529"/>
    <n v="5.2098494627168618E-2"/>
    <n v="8.485010474595107E-4"/>
  </r>
  <r>
    <x v="1"/>
    <s v="FI"/>
    <n v="2"/>
    <n v="45"/>
    <n v="49"/>
    <s v="6 aug 12; 915"/>
    <n v="6"/>
    <n v="43"/>
    <n v="13.106400000000001"/>
    <s v="North"/>
    <s v="no"/>
    <n v="439"/>
    <s v="FI439"/>
    <n v="12"/>
    <n v="13"/>
    <n v="13"/>
    <n v="13"/>
    <n v="55"/>
    <n v="58"/>
    <n v="55"/>
    <n v="57"/>
    <n v="1.2749999999999999"/>
    <n v="5.625"/>
    <n v="60.328125"/>
    <n v="165.8"/>
    <n v="85.1"/>
    <n v="80.59"/>
    <n v="79.72"/>
    <n v="80.540000000000006"/>
    <n v="80.569999999999993"/>
    <n v="80.58"/>
    <n v="80.563333333333333"/>
    <n v="0.51409328508242869"/>
    <d v="2012-07-28T19:35:00"/>
    <n v="1935"/>
    <d v="2012-08-06T09:15:00"/>
    <n v="915"/>
    <n v="8.5694444444452529"/>
    <n v="5.999143683295198E-2"/>
    <n v="9.9441905136206333E-4"/>
  </r>
  <r>
    <x v="1"/>
    <s v="WI"/>
    <n v="2"/>
    <n v="46"/>
    <n v="43"/>
    <s v="29 july 12; 1130"/>
    <n v="1"/>
    <n v="42"/>
    <n v="12.801600000000001"/>
    <s v="South"/>
    <s v="yes"/>
    <n v="440"/>
    <s v="WI440"/>
    <n v="14"/>
    <n v="12"/>
    <n v="13"/>
    <n v="13"/>
    <n v="59"/>
    <n v="56"/>
    <n v="60"/>
    <n v="55"/>
    <n v="1.3"/>
    <n v="5.75"/>
    <n v="62.962500000000006"/>
    <n v="169.08"/>
    <n v="122.06"/>
    <n v="115.46"/>
    <n v="107.42"/>
    <n v="107.31"/>
    <n v="107.19"/>
    <n v="107.21"/>
    <n v="107.23666666666666"/>
    <n v="0.36576374102988729"/>
    <d v="2012-07-28T20:20:00"/>
    <n v="2020"/>
    <d v="2012-08-05T10:00:00"/>
    <n v="1000"/>
    <n v="7.5694444444452529"/>
    <n v="4.8321081383759769E-2"/>
    <n v="7.6745811211053824E-4"/>
  </r>
  <r>
    <x v="1"/>
    <s v="WI"/>
    <n v="2"/>
    <n v="47"/>
    <n v="45"/>
    <s v="29 july 12; 1130"/>
    <n v="1"/>
    <n v="44"/>
    <n v="13.411200000000001"/>
    <s v="Center"/>
    <s v="no"/>
    <n v="441"/>
    <s v="WI441"/>
    <n v="11"/>
    <n v="13"/>
    <n v="13"/>
    <n v="11"/>
    <n v="60"/>
    <n v="55"/>
    <n v="60"/>
    <n v="54"/>
    <n v="1.2"/>
    <n v="5.7249999999999996"/>
    <n v="60.255624999999995"/>
    <n v="166.75"/>
    <n v="117.37"/>
    <n v="110.25"/>
    <n v="102.67"/>
    <n v="102.98"/>
    <n v="103.1"/>
    <n v="103.11"/>
    <n v="103.06333333333333"/>
    <n v="0.38192903548225887"/>
    <d v="2012-07-28T20:20:00"/>
    <n v="2020"/>
    <d v="2012-08-05T10:00:00"/>
    <n v="1000"/>
    <n v="7.5694444444452529"/>
    <n v="5.0456679916916887E-2"/>
    <n v="8.3737708997154859E-4"/>
  </r>
  <r>
    <x v="1"/>
    <s v="WI"/>
    <n v="2"/>
    <n v="48"/>
    <n v="39"/>
    <s v="29 july 12; 1130"/>
    <n v="1"/>
    <n v="38"/>
    <n v="11.5824"/>
    <s v="North"/>
    <s v="no"/>
    <n v="442"/>
    <s v="WI442"/>
    <n v="14"/>
    <n v="13"/>
    <n v="13"/>
    <n v="13"/>
    <n v="62"/>
    <n v="55"/>
    <n v="62"/>
    <n v="54"/>
    <n v="1.325"/>
    <n v="5.8250000000000002"/>
    <n v="64.803124999999994"/>
    <n v="184.85"/>
    <n v="136.97"/>
    <n v="128"/>
    <n v="120.06"/>
    <n v="120.29"/>
    <n v="120.64"/>
    <n v="120.68"/>
    <n v="120.53666666666668"/>
    <n v="0.34792173834640694"/>
    <d v="2012-07-28T20:20:00"/>
    <n v="2020"/>
    <d v="2012-08-05T10:00:00"/>
    <n v="1000"/>
    <n v="7.5694444444452529"/>
    <n v="4.5963972772364449E-2"/>
    <n v="7.0928636192104093E-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gridDropZones="1" multipleFieldFilters="0">
  <location ref="AZ1:BB5" firstHeaderRow="1" firstDataRow="2" firstDataCol="1"/>
  <pivotFields count="40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2" showAll="0"/>
    <pivotField showAll="0"/>
    <pivotField numFmtId="22" showAll="0"/>
    <pivotField showAll="0"/>
    <pivotField showAll="0"/>
    <pivotField showAll="0"/>
    <pivotField dataField="1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iss.day.cm2" fld="39" subtotal="average" baseField="0" baseItem="0"/>
    <dataField name="StdDev of Diss.day.cm2" fld="39" subtotal="stdDev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gridDropZones="1" multipleFieldFilters="0">
  <location ref="BE1:BG5" firstHeaderRow="1" firstDataRow="2" firstDataCol="1"/>
  <pivotFields count="39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2" showAll="0"/>
    <pivotField showAll="0"/>
    <pivotField numFmtId="22"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iss.day" fld="38" subtotal="average" baseField="0" baseItem="0"/>
    <dataField name="StdDev of Diss.day" fld="38" subtotal="stdDev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gridDropZones="1" multipleFieldFilters="0">
  <location ref="AT1:AV11" firstHeaderRow="1" firstDataRow="2" firstDataCol="1"/>
  <pivotFields count="44">
    <pivotField showAll="0"/>
    <pivotField axis="axisRow" showAll="0">
      <items count="9">
        <item x="6"/>
        <item x="5"/>
        <item x="0"/>
        <item x="2"/>
        <item x="4"/>
        <item x="1"/>
        <item x="3"/>
        <item x="7"/>
        <item t="default"/>
      </items>
    </pivotField>
    <pivotField showAll="0" defaultSubtota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2" showAll="0"/>
    <pivotField showAll="0"/>
    <pivotField numFmtId="22" showAll="0"/>
    <pivotField showAll="0"/>
    <pivotField showAll="0"/>
    <pivotField showAll="0"/>
    <pivotField dataField="1" showAll="0" defaultSubtota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iss.day.cm2" fld="39" subtotal="average" baseField="0" baseItem="0"/>
    <dataField name="StdDev of Diss.day.cm2" fld="39" subtotal="stdDev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gridDropZones="1" multipleFieldFilters="0">
  <location ref="A3:E20" firstHeaderRow="1" firstDataRow="2" firstDataCol="1"/>
  <pivotFields count="9">
    <pivotField axis="axisRow" showAll="0">
      <items count="16">
        <item x="3"/>
        <item x="2"/>
        <item x="11"/>
        <item x="10"/>
        <item x="12"/>
        <item x="1"/>
        <item x="8"/>
        <item x="6"/>
        <item x="4"/>
        <item x="9"/>
        <item x="7"/>
        <item x="13"/>
        <item x="0"/>
        <item x="5"/>
        <item x="14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curr.mean" fld="5" subtotal="average" baseField="0" baseItem="0"/>
    <dataField name="Average of curr.max" fld="6" subtotal="average" baseField="0" baseItem="0"/>
    <dataField name="StdDev of curr.mean" fld="5" subtotal="stdDev" baseField="0" baseItem="0"/>
    <dataField name="StdDev of curr.max" fld="6" subtotal="stdDev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BJ51"/>
  <sheetViews>
    <sheetView workbookViewId="0">
      <pane xSplit="2" ySplit="1" topLeftCell="AG2" activePane="bottomRight" state="frozen"/>
      <selection pane="topRight" activeCell="C1" sqref="C1"/>
      <selection pane="bottomLeft" activeCell="A2" sqref="A2"/>
      <selection pane="bottomRight" activeCell="AO31" sqref="AO31"/>
    </sheetView>
  </sheetViews>
  <sheetFormatPr baseColWidth="10" defaultRowHeight="15" x14ac:dyDescent="0"/>
  <cols>
    <col min="1" max="1" width="7.83203125" bestFit="1" customWidth="1"/>
    <col min="2" max="2" width="4.33203125" bestFit="1" customWidth="1"/>
    <col min="3" max="3" width="4.33203125" customWidth="1"/>
    <col min="4" max="4" width="6.5" bestFit="1" customWidth="1"/>
    <col min="5" max="5" width="10.1640625" bestFit="1" customWidth="1"/>
    <col min="6" max="6" width="16.1640625" bestFit="1" customWidth="1"/>
    <col min="7" max="7" width="4.6640625" bestFit="1" customWidth="1"/>
    <col min="8" max="8" width="14.5" style="1" bestFit="1" customWidth="1"/>
    <col min="9" max="9" width="14.83203125" style="1" bestFit="1" customWidth="1"/>
    <col min="10" max="10" width="11.1640625" bestFit="1" customWidth="1"/>
    <col min="11" max="11" width="7.5" bestFit="1" customWidth="1"/>
    <col min="12" max="12" width="8.33203125" bestFit="1" customWidth="1"/>
    <col min="13" max="13" width="4.83203125" bestFit="1" customWidth="1"/>
    <col min="14" max="14" width="4.5" bestFit="1" customWidth="1"/>
    <col min="15" max="15" width="4.33203125" bestFit="1" customWidth="1"/>
    <col min="16" max="16" width="5" bestFit="1" customWidth="1"/>
    <col min="17" max="17" width="4.5" bestFit="1" customWidth="1"/>
    <col min="18" max="20" width="4.1640625" bestFit="1" customWidth="1"/>
    <col min="21" max="21" width="8.5" bestFit="1" customWidth="1"/>
    <col min="22" max="22" width="10.5" bestFit="1" customWidth="1"/>
    <col min="23" max="25" width="12.1640625" bestFit="1" customWidth="1"/>
    <col min="26" max="26" width="12.1640625" customWidth="1"/>
    <col min="27" max="28" width="13.1640625" bestFit="1" customWidth="1"/>
    <col min="29" max="29" width="14.83203125" bestFit="1" customWidth="1"/>
    <col min="30" max="30" width="12.1640625" bestFit="1" customWidth="1"/>
    <col min="31" max="31" width="15" customWidth="1"/>
    <col min="32" max="32" width="12.1640625" bestFit="1" customWidth="1"/>
    <col min="33" max="33" width="12.83203125" bestFit="1" customWidth="1"/>
    <col min="34" max="34" width="13.1640625" bestFit="1" customWidth="1"/>
    <col min="35" max="35" width="17.33203125" bestFit="1" customWidth="1"/>
    <col min="36" max="36" width="17.33203125" customWidth="1"/>
    <col min="37" max="37" width="13.1640625" bestFit="1" customWidth="1"/>
    <col min="38" max="38" width="10.83203125" bestFit="1" customWidth="1"/>
    <col min="42" max="42" width="13" customWidth="1"/>
    <col min="43" max="43" width="17" bestFit="1" customWidth="1"/>
    <col min="44" max="44" width="16.1640625" bestFit="1" customWidth="1"/>
    <col min="46" max="46" width="13" customWidth="1"/>
    <col min="47" max="47" width="21.1640625" customWidth="1"/>
    <col min="48" max="48" width="20.1640625" customWidth="1"/>
    <col min="49" max="49" width="17" bestFit="1" customWidth="1"/>
    <col min="50" max="50" width="16.1640625" customWidth="1"/>
    <col min="51" max="51" width="16.1640625" bestFit="1" customWidth="1"/>
    <col min="52" max="52" width="13" customWidth="1"/>
    <col min="53" max="53" width="21.1640625" customWidth="1"/>
    <col min="54" max="54" width="20.1640625" customWidth="1"/>
    <col min="55" max="55" width="20.83203125" bestFit="1" customWidth="1"/>
    <col min="57" max="57" width="13" bestFit="1" customWidth="1"/>
    <col min="58" max="58" width="17.1640625" bestFit="1" customWidth="1"/>
    <col min="59" max="59" width="16.33203125" bestFit="1" customWidth="1"/>
  </cols>
  <sheetData>
    <row r="1" spans="1:62">
      <c r="A1" t="s">
        <v>12</v>
      </c>
      <c r="B1" t="s">
        <v>0</v>
      </c>
      <c r="C1" t="s">
        <v>106</v>
      </c>
      <c r="D1" t="s">
        <v>1</v>
      </c>
      <c r="E1" t="s">
        <v>6</v>
      </c>
      <c r="F1" t="s">
        <v>38</v>
      </c>
      <c r="G1" t="s">
        <v>5</v>
      </c>
      <c r="H1" s="1" t="s">
        <v>7</v>
      </c>
      <c r="I1" s="1" t="s">
        <v>109</v>
      </c>
      <c r="J1" s="1" t="s">
        <v>52</v>
      </c>
      <c r="K1" t="s">
        <v>35</v>
      </c>
      <c r="L1" t="s">
        <v>2</v>
      </c>
      <c r="M1" t="s">
        <v>69</v>
      </c>
      <c r="N1" t="s">
        <v>24</v>
      </c>
      <c r="O1" t="s">
        <v>25</v>
      </c>
      <c r="P1" t="s">
        <v>26</v>
      </c>
      <c r="Q1" t="s">
        <v>27</v>
      </c>
      <c r="R1" t="s">
        <v>21</v>
      </c>
      <c r="S1" t="s">
        <v>22</v>
      </c>
      <c r="T1" t="s">
        <v>23</v>
      </c>
      <c r="U1" t="s">
        <v>114</v>
      </c>
      <c r="V1" t="s">
        <v>107</v>
      </c>
      <c r="W1" t="s">
        <v>108</v>
      </c>
      <c r="X1" t="s">
        <v>28</v>
      </c>
      <c r="Y1" t="s">
        <v>29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95</v>
      </c>
      <c r="AG1" t="s">
        <v>96</v>
      </c>
      <c r="AH1" t="s">
        <v>3</v>
      </c>
      <c r="AI1" t="s">
        <v>19</v>
      </c>
      <c r="AJ1" t="s">
        <v>4</v>
      </c>
      <c r="AK1" t="s">
        <v>20</v>
      </c>
      <c r="AL1" t="s">
        <v>97</v>
      </c>
      <c r="AM1" t="s">
        <v>98</v>
      </c>
      <c r="AN1" t="s">
        <v>115</v>
      </c>
      <c r="AO1" t="s">
        <v>30</v>
      </c>
      <c r="AP1" t="s">
        <v>31</v>
      </c>
      <c r="AQ1" t="s">
        <v>33</v>
      </c>
      <c r="AR1" t="s">
        <v>34</v>
      </c>
      <c r="AU1" s="12" t="s">
        <v>103</v>
      </c>
      <c r="BA1" s="12" t="s">
        <v>103</v>
      </c>
      <c r="BF1" s="12" t="s">
        <v>103</v>
      </c>
    </row>
    <row r="2" spans="1:62">
      <c r="A2" t="s">
        <v>13</v>
      </c>
      <c r="B2" t="s">
        <v>8</v>
      </c>
      <c r="C2">
        <v>2</v>
      </c>
      <c r="D2" s="1">
        <v>26</v>
      </c>
      <c r="E2" s="1">
        <v>38</v>
      </c>
      <c r="F2" s="1" t="s">
        <v>59</v>
      </c>
      <c r="G2" s="1">
        <v>0</v>
      </c>
      <c r="H2" s="1">
        <f t="shared" ref="H2:H10" si="0">E2-G2</f>
        <v>38</v>
      </c>
      <c r="I2">
        <f>H2*0.3048</f>
        <v>11.5824</v>
      </c>
      <c r="J2" s="1" t="s">
        <v>53</v>
      </c>
      <c r="K2" s="1" t="s">
        <v>36</v>
      </c>
      <c r="L2">
        <v>421</v>
      </c>
      <c r="M2" t="str">
        <f t="shared" ref="M2:M25" si="1">CONCATENATE(B2,L2)</f>
        <v>ON421</v>
      </c>
      <c r="N2">
        <v>12</v>
      </c>
      <c r="O2">
        <v>12</v>
      </c>
      <c r="P2">
        <v>11</v>
      </c>
      <c r="Q2">
        <v>11</v>
      </c>
      <c r="R2">
        <v>60</v>
      </c>
      <c r="S2">
        <v>55</v>
      </c>
      <c r="T2">
        <v>59</v>
      </c>
      <c r="U2">
        <v>54</v>
      </c>
      <c r="V2">
        <f>(AVERAGE(N2:Q2))/10</f>
        <v>1.1499999999999999</v>
      </c>
      <c r="W2">
        <f>(AVERAGE(R2:U2))/10</f>
        <v>5.7</v>
      </c>
      <c r="X2">
        <f>(W2^2)+(W2*V2*4)</f>
        <v>58.71</v>
      </c>
      <c r="Y2">
        <v>165.18</v>
      </c>
      <c r="Z2">
        <v>114.93</v>
      </c>
      <c r="AA2">
        <v>109.31</v>
      </c>
      <c r="AB2">
        <v>105.33</v>
      </c>
      <c r="AC2">
        <v>101.34</v>
      </c>
      <c r="AD2">
        <v>97.55</v>
      </c>
      <c r="AE2">
        <v>99.11</v>
      </c>
      <c r="AF2" s="6">
        <f>AVERAGE(AC2:AE2)</f>
        <v>99.333333333333329</v>
      </c>
      <c r="AG2" s="6">
        <f>(Y2-AF2)/Y2</f>
        <v>0.3986358316180329</v>
      </c>
      <c r="AH2" s="7">
        <v>41117.75</v>
      </c>
      <c r="AI2" s="1">
        <v>1800</v>
      </c>
      <c r="AJ2" s="7">
        <v>41124.524305555555</v>
      </c>
      <c r="AK2" s="1">
        <v>1235</v>
      </c>
      <c r="AL2" s="1">
        <f>(AJ2-AH2)</f>
        <v>6.7743055555547471</v>
      </c>
      <c r="AM2" s="1">
        <f>AG2/AL2</f>
        <v>5.8845268839573132E-2</v>
      </c>
      <c r="AN2" s="1">
        <f>AM2/X2</f>
        <v>1.0023040170256026E-3</v>
      </c>
      <c r="AO2" s="1"/>
      <c r="AQ2" s="5">
        <v>41115</v>
      </c>
      <c r="AR2" s="5">
        <v>41115</v>
      </c>
      <c r="AT2" s="12" t="s">
        <v>100</v>
      </c>
      <c r="AU2" t="s">
        <v>116</v>
      </c>
      <c r="AV2" t="s">
        <v>117</v>
      </c>
      <c r="AW2" t="s">
        <v>105</v>
      </c>
      <c r="AZ2" s="12" t="s">
        <v>100</v>
      </c>
      <c r="BA2" t="s">
        <v>116</v>
      </c>
      <c r="BB2" t="s">
        <v>117</v>
      </c>
      <c r="BE2" s="12" t="s">
        <v>100</v>
      </c>
      <c r="BF2" t="s">
        <v>102</v>
      </c>
      <c r="BG2" t="s">
        <v>104</v>
      </c>
      <c r="BH2" t="s">
        <v>105</v>
      </c>
    </row>
    <row r="3" spans="1:62">
      <c r="A3" t="s">
        <v>13</v>
      </c>
      <c r="B3" t="s">
        <v>8</v>
      </c>
      <c r="C3">
        <v>2</v>
      </c>
      <c r="D3" s="1">
        <v>27</v>
      </c>
      <c r="E3" s="1">
        <v>43</v>
      </c>
      <c r="F3" s="1" t="s">
        <v>59</v>
      </c>
      <c r="G3" s="1">
        <v>0</v>
      </c>
      <c r="H3" s="1">
        <f t="shared" si="0"/>
        <v>43</v>
      </c>
      <c r="I3">
        <f t="shared" ref="I3:I25" si="2">H3*0.3048</f>
        <v>13.106400000000001</v>
      </c>
      <c r="J3" s="1" t="s">
        <v>54</v>
      </c>
      <c r="K3" s="1" t="s">
        <v>36</v>
      </c>
      <c r="L3">
        <v>420</v>
      </c>
      <c r="M3" t="str">
        <f t="shared" si="1"/>
        <v>ON420</v>
      </c>
      <c r="N3">
        <v>11</v>
      </c>
      <c r="O3">
        <v>12</v>
      </c>
      <c r="P3">
        <v>12</v>
      </c>
      <c r="Q3">
        <v>11</v>
      </c>
      <c r="R3">
        <v>61</v>
      </c>
      <c r="S3">
        <v>56</v>
      </c>
      <c r="T3">
        <v>61</v>
      </c>
      <c r="U3">
        <v>55</v>
      </c>
      <c r="V3">
        <f t="shared" ref="V3:V25" si="3">(AVERAGE(N3:Q3))/10</f>
        <v>1.1499999999999999</v>
      </c>
      <c r="W3">
        <f t="shared" ref="W3:W25" si="4">(AVERAGE(R3:U3))/10</f>
        <v>5.8250000000000002</v>
      </c>
      <c r="X3">
        <f t="shared" ref="X3:X25" si="5">(W3^2)+(W3*V3*4)</f>
        <v>60.725624999999994</v>
      </c>
      <c r="Y3">
        <v>176.37</v>
      </c>
      <c r="Z3">
        <v>136.16999999999999</v>
      </c>
      <c r="AA3">
        <v>128.69</v>
      </c>
      <c r="AB3">
        <v>124.3</v>
      </c>
      <c r="AC3">
        <v>120.31</v>
      </c>
      <c r="AD3">
        <v>115.75</v>
      </c>
      <c r="AE3">
        <v>117.27</v>
      </c>
      <c r="AF3" s="6">
        <f t="shared" ref="AF3:AF25" si="6">AVERAGE(AC3:AE3)</f>
        <v>117.77666666666666</v>
      </c>
      <c r="AG3" s="6">
        <f t="shared" ref="AG3:AG25" si="7">(Y3-AF3)/Y3</f>
        <v>0.3322182532932661</v>
      </c>
      <c r="AH3" s="7">
        <v>41117.75</v>
      </c>
      <c r="AI3" s="1">
        <v>1800</v>
      </c>
      <c r="AJ3" s="7">
        <v>41124.524305555555</v>
      </c>
      <c r="AK3" s="1">
        <v>1235</v>
      </c>
      <c r="AL3" s="1">
        <f t="shared" ref="AL3:AL19" si="8">(AJ3-AH3)</f>
        <v>6.7743055555547471</v>
      </c>
      <c r="AM3" s="1">
        <f t="shared" ref="AM3:AM19" si="9">AG3/AL3</f>
        <v>4.904093129086215E-2</v>
      </c>
      <c r="AN3" s="1">
        <f t="shared" ref="AN3:AN25" si="10">AM3/X3</f>
        <v>8.0758215812290371E-4</v>
      </c>
      <c r="AO3" s="1"/>
      <c r="AQ3" s="5">
        <v>41115</v>
      </c>
      <c r="AR3" s="5">
        <v>41115</v>
      </c>
      <c r="AT3" s="13" t="s">
        <v>16</v>
      </c>
      <c r="AU3" s="14">
        <v>9.2329039099194477E-4</v>
      </c>
      <c r="AV3" s="14">
        <v>7.3027846857466453E-5</v>
      </c>
      <c r="AW3">
        <f>AV3/(SQRT(3))</f>
        <v>4.2162647041497022E-5</v>
      </c>
      <c r="AZ3" s="13" t="s">
        <v>13</v>
      </c>
      <c r="BA3" s="14">
        <v>1.2083610243492761E-3</v>
      </c>
      <c r="BB3" s="14">
        <v>3.428860455173556E-4</v>
      </c>
      <c r="BE3" s="13">
        <v>1</v>
      </c>
      <c r="BF3" s="14">
        <v>7.9209927493815835E-2</v>
      </c>
      <c r="BG3" s="14">
        <v>1.925405604181955E-2</v>
      </c>
      <c r="BH3">
        <f>BG3/(SQRT(3))</f>
        <v>1.1116334438736658E-2</v>
      </c>
    </row>
    <row r="4" spans="1:62">
      <c r="A4" t="s">
        <v>13</v>
      </c>
      <c r="B4" t="s">
        <v>8</v>
      </c>
      <c r="C4">
        <v>2</v>
      </c>
      <c r="D4" s="1">
        <v>28</v>
      </c>
      <c r="E4" s="1">
        <v>42</v>
      </c>
      <c r="F4" s="1" t="s">
        <v>59</v>
      </c>
      <c r="G4" s="1">
        <v>0</v>
      </c>
      <c r="H4" s="1">
        <f t="shared" si="0"/>
        <v>42</v>
      </c>
      <c r="I4">
        <f t="shared" si="2"/>
        <v>12.801600000000001</v>
      </c>
      <c r="J4" s="1" t="s">
        <v>55</v>
      </c>
      <c r="K4" s="1" t="s">
        <v>36</v>
      </c>
      <c r="L4">
        <v>419</v>
      </c>
      <c r="M4" t="str">
        <f t="shared" si="1"/>
        <v>ON419</v>
      </c>
      <c r="N4">
        <v>11</v>
      </c>
      <c r="O4">
        <v>12</v>
      </c>
      <c r="P4">
        <v>11</v>
      </c>
      <c r="Q4">
        <v>12</v>
      </c>
      <c r="R4">
        <v>55</v>
      </c>
      <c r="S4">
        <v>57</v>
      </c>
      <c r="T4">
        <v>55</v>
      </c>
      <c r="U4">
        <v>57</v>
      </c>
      <c r="V4">
        <f t="shared" si="3"/>
        <v>1.1499999999999999</v>
      </c>
      <c r="W4">
        <f t="shared" si="4"/>
        <v>5.6</v>
      </c>
      <c r="X4">
        <f t="shared" si="5"/>
        <v>57.11999999999999</v>
      </c>
      <c r="Y4">
        <v>163.11000000000001</v>
      </c>
      <c r="Z4">
        <v>122.09</v>
      </c>
      <c r="AA4">
        <v>116</v>
      </c>
      <c r="AB4">
        <v>111.78</v>
      </c>
      <c r="AC4">
        <v>108</v>
      </c>
      <c r="AD4">
        <v>103.33</v>
      </c>
      <c r="AE4">
        <v>104.71</v>
      </c>
      <c r="AF4" s="6">
        <f t="shared" si="6"/>
        <v>105.34666666666665</v>
      </c>
      <c r="AG4" s="6">
        <f t="shared" si="7"/>
        <v>0.35413728976355441</v>
      </c>
      <c r="AH4" s="7">
        <v>41117.75</v>
      </c>
      <c r="AI4" s="1">
        <v>1800</v>
      </c>
      <c r="AJ4" s="7">
        <v>41124.524305555555</v>
      </c>
      <c r="AK4" s="1">
        <v>1235</v>
      </c>
      <c r="AL4" s="1">
        <f t="shared" si="8"/>
        <v>6.7743055555547471</v>
      </c>
      <c r="AM4" s="1">
        <f t="shared" si="9"/>
        <v>5.2276545080428415E-2</v>
      </c>
      <c r="AN4" s="1">
        <f t="shared" si="10"/>
        <v>9.1520562115595977E-4</v>
      </c>
      <c r="AO4" s="1"/>
      <c r="AQ4" s="5">
        <v>41115</v>
      </c>
      <c r="AR4" s="5">
        <v>41115</v>
      </c>
      <c r="AT4" s="13" t="s">
        <v>17</v>
      </c>
      <c r="AU4" s="14">
        <v>7.2485684190078277E-4</v>
      </c>
      <c r="AV4" s="14">
        <v>2.0984859712172655E-5</v>
      </c>
      <c r="AW4">
        <f t="shared" ref="AW4:AW10" si="11">AV4/(SQRT(3))</f>
        <v>1.2115614403729416E-5</v>
      </c>
      <c r="AZ4" s="13" t="s">
        <v>18</v>
      </c>
      <c r="BA4" s="14">
        <v>7.6006945600007368E-4</v>
      </c>
      <c r="BB4" s="14">
        <v>1.2297745837946841E-4</v>
      </c>
      <c r="BE4" s="13">
        <v>2</v>
      </c>
      <c r="BF4" s="14">
        <v>4.7550138555906715E-2</v>
      </c>
      <c r="BG4" s="14">
        <v>7.3220215568115142E-3</v>
      </c>
      <c r="BH4">
        <f>BG4/(SQRT(5))</f>
        <v>3.2745075867498768E-3</v>
      </c>
    </row>
    <row r="5" spans="1:62">
      <c r="A5" t="s">
        <v>13</v>
      </c>
      <c r="B5" t="s">
        <v>9</v>
      </c>
      <c r="C5">
        <v>1</v>
      </c>
      <c r="D5" s="1">
        <v>29</v>
      </c>
      <c r="E5" s="1">
        <v>43</v>
      </c>
      <c r="F5" s="1" t="s">
        <v>60</v>
      </c>
      <c r="G5" s="1">
        <v>1</v>
      </c>
      <c r="H5" s="1">
        <f t="shared" si="0"/>
        <v>42</v>
      </c>
      <c r="I5">
        <f t="shared" si="2"/>
        <v>12.801600000000001</v>
      </c>
      <c r="J5" s="1" t="s">
        <v>53</v>
      </c>
      <c r="K5" s="1" t="s">
        <v>36</v>
      </c>
      <c r="L5">
        <v>422</v>
      </c>
      <c r="M5" t="str">
        <f t="shared" si="1"/>
        <v>SC422</v>
      </c>
      <c r="N5">
        <v>12</v>
      </c>
      <c r="O5">
        <v>12</v>
      </c>
      <c r="P5">
        <v>13</v>
      </c>
      <c r="Q5">
        <v>12</v>
      </c>
      <c r="R5">
        <v>60</v>
      </c>
      <c r="S5">
        <v>55</v>
      </c>
      <c r="T5">
        <v>60</v>
      </c>
      <c r="U5">
        <v>55</v>
      </c>
      <c r="V5">
        <f t="shared" si="3"/>
        <v>1.2250000000000001</v>
      </c>
      <c r="W5">
        <f t="shared" si="4"/>
        <v>5.75</v>
      </c>
      <c r="X5">
        <f t="shared" si="5"/>
        <v>61.237499999999997</v>
      </c>
      <c r="Y5">
        <v>172.09</v>
      </c>
      <c r="Z5">
        <v>101.06</v>
      </c>
      <c r="AA5">
        <v>95.98</v>
      </c>
      <c r="AB5">
        <v>92.8</v>
      </c>
      <c r="AC5">
        <v>88.95</v>
      </c>
      <c r="AD5">
        <v>85.17</v>
      </c>
      <c r="AE5">
        <v>86.74</v>
      </c>
      <c r="AF5" s="6">
        <f t="shared" si="6"/>
        <v>86.953333333333333</v>
      </c>
      <c r="AG5" s="6">
        <f t="shared" si="7"/>
        <v>0.49472175412090574</v>
      </c>
      <c r="AH5" s="7">
        <v>41117.770833333336</v>
      </c>
      <c r="AI5" s="1">
        <v>1830</v>
      </c>
      <c r="AJ5" s="7">
        <v>41124.576388888891</v>
      </c>
      <c r="AK5" s="1">
        <v>1350</v>
      </c>
      <c r="AL5" s="1">
        <f t="shared" si="8"/>
        <v>6.8055555555547471</v>
      </c>
      <c r="AM5" s="1">
        <f t="shared" si="9"/>
        <v>7.269380876879479E-2</v>
      </c>
      <c r="AN5" s="1">
        <f t="shared" si="10"/>
        <v>1.1870799553997924E-3</v>
      </c>
      <c r="AO5" s="1"/>
      <c r="AQ5" s="1"/>
      <c r="AR5" s="1"/>
      <c r="AT5" s="13" t="s">
        <v>8</v>
      </c>
      <c r="AU5" s="14">
        <v>9.0836393210148869E-4</v>
      </c>
      <c r="AV5" s="14">
        <v>9.754105348759072E-5</v>
      </c>
      <c r="AW5">
        <f t="shared" si="11"/>
        <v>5.6315353488100192E-5</v>
      </c>
      <c r="AZ5" s="13" t="s">
        <v>101</v>
      </c>
      <c r="BA5" s="14">
        <v>9.8421524017467494E-4</v>
      </c>
      <c r="BB5" s="14">
        <v>3.4042360004775944E-4</v>
      </c>
      <c r="BE5" s="13" t="s">
        <v>101</v>
      </c>
      <c r="BF5" s="14">
        <v>5.9422559407622623E-2</v>
      </c>
      <c r="BG5" s="14">
        <v>2.0167227464810516E-2</v>
      </c>
    </row>
    <row r="6" spans="1:62">
      <c r="A6" t="s">
        <v>13</v>
      </c>
      <c r="B6" t="s">
        <v>9</v>
      </c>
      <c r="C6">
        <v>1</v>
      </c>
      <c r="D6" s="1">
        <v>30</v>
      </c>
      <c r="E6" s="1">
        <v>39</v>
      </c>
      <c r="F6" s="1" t="s">
        <v>60</v>
      </c>
      <c r="G6" s="1">
        <v>1</v>
      </c>
      <c r="H6" s="1">
        <f t="shared" si="0"/>
        <v>38</v>
      </c>
      <c r="I6">
        <f t="shared" si="2"/>
        <v>11.5824</v>
      </c>
      <c r="J6" s="1" t="s">
        <v>54</v>
      </c>
      <c r="K6" s="1" t="s">
        <v>36</v>
      </c>
      <c r="L6">
        <v>423</v>
      </c>
      <c r="M6" t="str">
        <f t="shared" si="1"/>
        <v>SC423</v>
      </c>
      <c r="N6">
        <v>13</v>
      </c>
      <c r="O6">
        <v>12</v>
      </c>
      <c r="P6">
        <v>12</v>
      </c>
      <c r="Q6">
        <v>13</v>
      </c>
      <c r="R6">
        <v>59</v>
      </c>
      <c r="S6">
        <v>55</v>
      </c>
      <c r="T6">
        <v>58</v>
      </c>
      <c r="U6">
        <v>55</v>
      </c>
      <c r="V6">
        <f t="shared" si="3"/>
        <v>1.25</v>
      </c>
      <c r="W6">
        <f t="shared" si="4"/>
        <v>5.6749999999999998</v>
      </c>
      <c r="X6">
        <f t="shared" si="5"/>
        <v>60.580624999999998</v>
      </c>
      <c r="Y6">
        <v>161.65</v>
      </c>
      <c r="Z6">
        <v>92.48</v>
      </c>
      <c r="AA6">
        <v>88.12</v>
      </c>
      <c r="AB6">
        <v>84.44</v>
      </c>
      <c r="AC6">
        <v>82.2</v>
      </c>
      <c r="AD6">
        <v>80.22</v>
      </c>
      <c r="AE6">
        <v>81.72</v>
      </c>
      <c r="AF6" s="6">
        <f t="shared" si="6"/>
        <v>81.38000000000001</v>
      </c>
      <c r="AG6" s="6">
        <f t="shared" si="7"/>
        <v>0.49656665635632535</v>
      </c>
      <c r="AH6" s="7">
        <v>41117.770833333336</v>
      </c>
      <c r="AI6" s="1">
        <v>1830</v>
      </c>
      <c r="AJ6" s="7">
        <v>41124.576388888891</v>
      </c>
      <c r="AK6" s="1">
        <v>1350</v>
      </c>
      <c r="AL6" s="1">
        <f t="shared" si="8"/>
        <v>6.8055555555547471</v>
      </c>
      <c r="AM6" s="1">
        <f t="shared" si="9"/>
        <v>7.2964896444203411E-2</v>
      </c>
      <c r="AN6" s="1">
        <f t="shared" si="10"/>
        <v>1.2044262739812179E-3</v>
      </c>
      <c r="AO6" s="1"/>
      <c r="AQ6" s="1"/>
      <c r="AR6" s="1"/>
      <c r="AT6" s="13" t="s">
        <v>10</v>
      </c>
      <c r="AU6" s="14">
        <v>1.6430340192462502E-3</v>
      </c>
      <c r="AV6" s="14">
        <v>4.1708322541594281E-4</v>
      </c>
      <c r="AW6">
        <f t="shared" si="11"/>
        <v>2.4080311246837196E-4</v>
      </c>
    </row>
    <row r="7" spans="1:62">
      <c r="A7" t="s">
        <v>13</v>
      </c>
      <c r="B7" t="s">
        <v>9</v>
      </c>
      <c r="C7">
        <v>1</v>
      </c>
      <c r="D7" s="1">
        <v>15</v>
      </c>
      <c r="E7" s="1">
        <v>43</v>
      </c>
      <c r="F7" s="1" t="s">
        <v>60</v>
      </c>
      <c r="G7" s="1">
        <v>1</v>
      </c>
      <c r="H7" s="1">
        <f t="shared" si="0"/>
        <v>42</v>
      </c>
      <c r="I7">
        <f t="shared" si="2"/>
        <v>12.801600000000001</v>
      </c>
      <c r="J7" s="1" t="s">
        <v>55</v>
      </c>
      <c r="K7" s="1" t="s">
        <v>36</v>
      </c>
      <c r="L7">
        <v>424</v>
      </c>
      <c r="M7" t="str">
        <f t="shared" si="1"/>
        <v>SC424</v>
      </c>
      <c r="N7">
        <v>13</v>
      </c>
      <c r="O7">
        <v>12</v>
      </c>
      <c r="P7">
        <v>11</v>
      </c>
      <c r="Q7">
        <v>12</v>
      </c>
      <c r="R7">
        <v>61</v>
      </c>
      <c r="S7">
        <v>55</v>
      </c>
      <c r="T7">
        <v>61</v>
      </c>
      <c r="U7">
        <v>55</v>
      </c>
      <c r="V7">
        <f t="shared" si="3"/>
        <v>1.2</v>
      </c>
      <c r="W7">
        <f t="shared" si="4"/>
        <v>5.8</v>
      </c>
      <c r="X7">
        <f t="shared" si="5"/>
        <v>61.480000000000004</v>
      </c>
      <c r="Y7">
        <v>176.05</v>
      </c>
      <c r="Z7">
        <v>120.81</v>
      </c>
      <c r="AA7">
        <v>115.16</v>
      </c>
      <c r="AB7">
        <v>111.61</v>
      </c>
      <c r="AC7">
        <v>108</v>
      </c>
      <c r="AD7">
        <v>103.58</v>
      </c>
      <c r="AE7">
        <v>104.42</v>
      </c>
      <c r="AF7" s="6">
        <f t="shared" si="6"/>
        <v>105.33333333333333</v>
      </c>
      <c r="AG7" s="6">
        <f t="shared" si="7"/>
        <v>0.40168512733125067</v>
      </c>
      <c r="AH7" s="7">
        <v>41117.770833333336</v>
      </c>
      <c r="AI7" s="1">
        <v>1830</v>
      </c>
      <c r="AJ7" s="7">
        <v>41124.576388888891</v>
      </c>
      <c r="AK7" s="1">
        <v>1350</v>
      </c>
      <c r="AL7" s="1">
        <f t="shared" si="8"/>
        <v>6.8055555555547471</v>
      </c>
      <c r="AM7" s="1">
        <f t="shared" si="9"/>
        <v>5.9023120750721393E-2</v>
      </c>
      <c r="AN7" s="1">
        <f t="shared" si="10"/>
        <v>9.6003774805987951E-4</v>
      </c>
      <c r="AO7" s="1"/>
      <c r="AP7" t="s">
        <v>32</v>
      </c>
      <c r="AQ7" s="1"/>
      <c r="AR7" s="1"/>
      <c r="AT7" s="13" t="s">
        <v>14</v>
      </c>
      <c r="AU7" s="14">
        <v>6.2075673643985797E-4</v>
      </c>
      <c r="AV7" s="14">
        <v>4.6551339267875209E-5</v>
      </c>
      <c r="AW7">
        <f t="shared" si="11"/>
        <v>2.687642825744535E-5</v>
      </c>
    </row>
    <row r="8" spans="1:62">
      <c r="A8" t="s">
        <v>13</v>
      </c>
      <c r="B8" t="s">
        <v>10</v>
      </c>
      <c r="C8">
        <v>1</v>
      </c>
      <c r="D8" s="1">
        <v>31</v>
      </c>
      <c r="E8" s="1">
        <v>51</v>
      </c>
      <c r="F8" s="1" t="s">
        <v>61</v>
      </c>
      <c r="G8" s="1">
        <v>0</v>
      </c>
      <c r="H8" s="1">
        <f t="shared" si="0"/>
        <v>51</v>
      </c>
      <c r="I8">
        <f t="shared" si="2"/>
        <v>15.5448</v>
      </c>
      <c r="J8" s="1" t="s">
        <v>55</v>
      </c>
      <c r="K8" s="1" t="s">
        <v>36</v>
      </c>
      <c r="L8">
        <v>425</v>
      </c>
      <c r="M8" t="str">
        <f t="shared" si="1"/>
        <v>PG425</v>
      </c>
      <c r="N8">
        <v>11</v>
      </c>
      <c r="O8">
        <v>10</v>
      </c>
      <c r="P8">
        <v>10</v>
      </c>
      <c r="Q8">
        <v>11</v>
      </c>
      <c r="R8">
        <v>60</v>
      </c>
      <c r="S8">
        <v>55</v>
      </c>
      <c r="T8">
        <v>60</v>
      </c>
      <c r="U8">
        <v>56</v>
      </c>
      <c r="V8">
        <f t="shared" si="3"/>
        <v>1.05</v>
      </c>
      <c r="W8">
        <f t="shared" si="4"/>
        <v>5.7750000000000004</v>
      </c>
      <c r="X8">
        <f t="shared" si="5"/>
        <v>57.605625000000003</v>
      </c>
      <c r="Y8">
        <v>169.49</v>
      </c>
      <c r="Z8">
        <v>92.38</v>
      </c>
      <c r="AA8">
        <v>87.25</v>
      </c>
      <c r="AB8">
        <v>83.4</v>
      </c>
      <c r="AC8">
        <v>81.47</v>
      </c>
      <c r="AD8">
        <v>78.61</v>
      </c>
      <c r="AE8">
        <v>80.17</v>
      </c>
      <c r="AF8" s="6">
        <f t="shared" si="6"/>
        <v>80.083333333333329</v>
      </c>
      <c r="AG8" s="6">
        <f t="shared" si="7"/>
        <v>0.52750408087006118</v>
      </c>
      <c r="AH8" s="7">
        <v>41117.791666666664</v>
      </c>
      <c r="AI8" s="1">
        <v>1900</v>
      </c>
      <c r="AJ8" s="7">
        <v>41124.552083333336</v>
      </c>
      <c r="AK8" s="1">
        <v>1315</v>
      </c>
      <c r="AL8" s="1">
        <f t="shared" si="8"/>
        <v>6.7604166666715173</v>
      </c>
      <c r="AM8" s="1">
        <f t="shared" si="9"/>
        <v>7.8028338618627943E-2</v>
      </c>
      <c r="AN8" s="1">
        <f t="shared" si="10"/>
        <v>1.354526378606741E-3</v>
      </c>
      <c r="AO8" s="1"/>
      <c r="AQ8" s="1"/>
      <c r="AR8" s="1"/>
      <c r="AT8" s="13" t="s">
        <v>9</v>
      </c>
      <c r="AU8" s="14">
        <v>1.1171813258136301E-3</v>
      </c>
      <c r="AV8" s="14">
        <v>1.3636642443805048E-4</v>
      </c>
      <c r="AW8">
        <f t="shared" si="11"/>
        <v>7.8731191857735213E-5</v>
      </c>
    </row>
    <row r="9" spans="1:62">
      <c r="A9" t="s">
        <v>13</v>
      </c>
      <c r="B9" t="s">
        <v>10</v>
      </c>
      <c r="C9">
        <v>1</v>
      </c>
      <c r="D9" s="1">
        <v>32</v>
      </c>
      <c r="E9" s="1">
        <v>43</v>
      </c>
      <c r="F9" s="1" t="s">
        <v>61</v>
      </c>
      <c r="G9" s="1">
        <v>0</v>
      </c>
      <c r="H9" s="1">
        <f t="shared" si="0"/>
        <v>43</v>
      </c>
      <c r="I9">
        <f t="shared" si="2"/>
        <v>13.106400000000001</v>
      </c>
      <c r="J9" s="1" t="s">
        <v>54</v>
      </c>
      <c r="K9" s="1" t="s">
        <v>36</v>
      </c>
      <c r="L9">
        <v>426</v>
      </c>
      <c r="M9" t="str">
        <f t="shared" si="1"/>
        <v>PG426</v>
      </c>
      <c r="N9">
        <v>13</v>
      </c>
      <c r="O9">
        <v>12</v>
      </c>
      <c r="P9">
        <v>13</v>
      </c>
      <c r="Q9">
        <v>13</v>
      </c>
      <c r="R9">
        <v>60</v>
      </c>
      <c r="S9">
        <v>55</v>
      </c>
      <c r="T9">
        <v>61</v>
      </c>
      <c r="U9">
        <v>55</v>
      </c>
      <c r="V9">
        <f t="shared" si="3"/>
        <v>1.2749999999999999</v>
      </c>
      <c r="W9">
        <f t="shared" si="4"/>
        <v>5.7750000000000004</v>
      </c>
      <c r="X9">
        <f t="shared" si="5"/>
        <v>62.803125000000001</v>
      </c>
      <c r="Y9">
        <v>171.77</v>
      </c>
      <c r="Z9">
        <v>75.12</v>
      </c>
      <c r="AA9">
        <v>70.84</v>
      </c>
      <c r="AB9">
        <v>68.150000000000006</v>
      </c>
      <c r="AC9">
        <v>66.86</v>
      </c>
      <c r="AD9">
        <v>64.75</v>
      </c>
      <c r="AE9">
        <v>65.73</v>
      </c>
      <c r="AF9" s="6">
        <f t="shared" si="6"/>
        <v>65.780000000000015</v>
      </c>
      <c r="AG9" s="6">
        <f t="shared" si="7"/>
        <v>0.61704604995051515</v>
      </c>
      <c r="AH9" s="7">
        <v>41117.791666666664</v>
      </c>
      <c r="AI9" s="1">
        <v>1900</v>
      </c>
      <c r="AJ9" s="7">
        <v>41124.552083333336</v>
      </c>
      <c r="AK9" s="1">
        <v>1315</v>
      </c>
      <c r="AL9" s="1">
        <f t="shared" si="8"/>
        <v>6.7604166666715173</v>
      </c>
      <c r="AM9" s="1">
        <f t="shared" si="9"/>
        <v>9.1273375647468333E-2</v>
      </c>
      <c r="AN9" s="1">
        <f t="shared" si="10"/>
        <v>1.4533253822555539E-3</v>
      </c>
      <c r="AO9" s="1"/>
      <c r="AQ9" s="1"/>
      <c r="AR9" s="1"/>
      <c r="AT9" s="13" t="s">
        <v>11</v>
      </c>
      <c r="AU9" s="14">
        <v>1.1648648202357357E-3</v>
      </c>
      <c r="AV9" s="14">
        <v>1.0418424945405059E-4</v>
      </c>
      <c r="AW9">
        <f t="shared" si="11"/>
        <v>6.0150804467615229E-5</v>
      </c>
    </row>
    <row r="10" spans="1:62">
      <c r="A10" t="s">
        <v>13</v>
      </c>
      <c r="B10" t="s">
        <v>10</v>
      </c>
      <c r="C10">
        <v>1</v>
      </c>
      <c r="D10" s="1">
        <v>33</v>
      </c>
      <c r="E10" s="1">
        <v>47</v>
      </c>
      <c r="F10" s="1" t="s">
        <v>61</v>
      </c>
      <c r="G10" s="1">
        <v>0</v>
      </c>
      <c r="H10" s="1">
        <f t="shared" si="0"/>
        <v>47</v>
      </c>
      <c r="I10">
        <f t="shared" si="2"/>
        <v>14.325600000000001</v>
      </c>
      <c r="J10" s="1" t="s">
        <v>53</v>
      </c>
      <c r="K10" s="1" t="s">
        <v>36</v>
      </c>
      <c r="L10">
        <v>427</v>
      </c>
      <c r="M10" t="str">
        <f t="shared" si="1"/>
        <v>PG427</v>
      </c>
      <c r="N10">
        <v>10</v>
      </c>
      <c r="O10">
        <v>12</v>
      </c>
      <c r="P10">
        <v>12</v>
      </c>
      <c r="Q10">
        <v>11</v>
      </c>
      <c r="R10">
        <v>60</v>
      </c>
      <c r="S10">
        <v>55</v>
      </c>
      <c r="T10">
        <v>60</v>
      </c>
      <c r="U10">
        <v>55</v>
      </c>
      <c r="V10">
        <f t="shared" si="3"/>
        <v>1.125</v>
      </c>
      <c r="W10">
        <f t="shared" si="4"/>
        <v>5.75</v>
      </c>
      <c r="X10">
        <f t="shared" si="5"/>
        <v>58.9375</v>
      </c>
      <c r="Y10">
        <v>164.25</v>
      </c>
      <c r="Z10">
        <v>28.95</v>
      </c>
      <c r="AA10">
        <v>26.52</v>
      </c>
      <c r="AB10">
        <v>26.15</v>
      </c>
      <c r="AC10">
        <v>26.1</v>
      </c>
      <c r="AD10">
        <v>24.87</v>
      </c>
      <c r="AE10">
        <v>25.31</v>
      </c>
      <c r="AF10" s="6">
        <f t="shared" si="6"/>
        <v>25.426666666666666</v>
      </c>
      <c r="AG10" s="6">
        <f t="shared" si="7"/>
        <v>0.84519533231861999</v>
      </c>
      <c r="AH10" s="7">
        <v>41117.791666666664</v>
      </c>
      <c r="AI10" s="1">
        <v>1900</v>
      </c>
      <c r="AJ10" s="7">
        <v>41124.552083333336</v>
      </c>
      <c r="AK10" s="1">
        <v>1315</v>
      </c>
      <c r="AL10" s="1">
        <f t="shared" si="8"/>
        <v>6.7604166666715173</v>
      </c>
      <c r="AM10" s="1">
        <f t="shared" si="9"/>
        <v>0.12502118937215609</v>
      </c>
      <c r="AN10" s="1">
        <f t="shared" si="10"/>
        <v>2.1212502968764556E-3</v>
      </c>
      <c r="AO10" s="1"/>
      <c r="AQ10" s="1"/>
      <c r="AR10" s="1"/>
      <c r="AT10" s="13" t="s">
        <v>15</v>
      </c>
      <c r="AU10" s="14">
        <v>7.7137385466770922E-4</v>
      </c>
      <c r="AV10" s="14">
        <v>6.4135079581753115E-5</v>
      </c>
      <c r="AW10">
        <f t="shared" si="11"/>
        <v>3.7028405461023235E-5</v>
      </c>
    </row>
    <row r="11" spans="1:62">
      <c r="A11" t="s">
        <v>13</v>
      </c>
      <c r="B11" t="s">
        <v>11</v>
      </c>
      <c r="C11">
        <v>1</v>
      </c>
      <c r="D11" s="1">
        <v>34</v>
      </c>
      <c r="E11" s="1">
        <v>48</v>
      </c>
      <c r="F11" s="1" t="s">
        <v>58</v>
      </c>
      <c r="G11" s="1">
        <v>6</v>
      </c>
      <c r="H11" s="1">
        <f t="shared" ref="H11:H16" si="12">E11-G11</f>
        <v>42</v>
      </c>
      <c r="I11">
        <f t="shared" si="2"/>
        <v>12.801600000000001</v>
      </c>
      <c r="J11" s="1" t="s">
        <v>53</v>
      </c>
      <c r="K11" s="1" t="s">
        <v>37</v>
      </c>
      <c r="L11">
        <v>428</v>
      </c>
      <c r="M11" t="str">
        <f t="shared" si="1"/>
        <v>TI428</v>
      </c>
      <c r="N11">
        <v>13</v>
      </c>
      <c r="O11">
        <v>13</v>
      </c>
      <c r="P11">
        <v>13</v>
      </c>
      <c r="Q11">
        <v>12</v>
      </c>
      <c r="R11">
        <v>61</v>
      </c>
      <c r="S11">
        <v>55</v>
      </c>
      <c r="T11">
        <v>61</v>
      </c>
      <c r="U11">
        <v>55</v>
      </c>
      <c r="V11">
        <f t="shared" si="3"/>
        <v>1.2749999999999999</v>
      </c>
      <c r="W11">
        <f t="shared" si="4"/>
        <v>5.8</v>
      </c>
      <c r="X11">
        <f t="shared" si="5"/>
        <v>63.22</v>
      </c>
      <c r="Y11">
        <v>178.36</v>
      </c>
      <c r="Z11">
        <v>98.68</v>
      </c>
      <c r="AA11">
        <v>94.15</v>
      </c>
      <c r="AB11">
        <v>88.92</v>
      </c>
      <c r="AC11">
        <v>84.98</v>
      </c>
      <c r="AD11">
        <v>86.5</v>
      </c>
      <c r="AE11">
        <v>86.82</v>
      </c>
      <c r="AF11" s="6">
        <f t="shared" si="6"/>
        <v>86.100000000000009</v>
      </c>
      <c r="AG11" s="6">
        <f t="shared" si="7"/>
        <v>0.51726844583987441</v>
      </c>
      <c r="AH11" s="7">
        <v>41117.822916666664</v>
      </c>
      <c r="AI11" s="1">
        <v>1945</v>
      </c>
      <c r="AJ11" s="7">
        <v>41125.59375</v>
      </c>
      <c r="AK11" s="1">
        <v>1415</v>
      </c>
      <c r="AL11" s="1">
        <f t="shared" si="8"/>
        <v>7.7708333333357587</v>
      </c>
      <c r="AM11" s="1">
        <f t="shared" si="9"/>
        <v>6.6565376408327673E-2</v>
      </c>
      <c r="AN11" s="1">
        <f t="shared" si="10"/>
        <v>1.0529164253136297E-3</v>
      </c>
      <c r="AO11" s="1"/>
      <c r="AQ11" s="1"/>
      <c r="AR11" s="1"/>
      <c r="AT11" s="13" t="s">
        <v>101</v>
      </c>
      <c r="AU11" s="14">
        <v>9.8421524017467494E-4</v>
      </c>
      <c r="AV11" s="14">
        <v>3.4042360004775944E-4</v>
      </c>
    </row>
    <row r="12" spans="1:62">
      <c r="A12" t="s">
        <v>13</v>
      </c>
      <c r="B12" t="s">
        <v>11</v>
      </c>
      <c r="C12">
        <v>1</v>
      </c>
      <c r="D12" s="1">
        <v>35</v>
      </c>
      <c r="E12" s="1">
        <v>48</v>
      </c>
      <c r="F12" s="1" t="s">
        <v>58</v>
      </c>
      <c r="G12" s="1">
        <v>6</v>
      </c>
      <c r="H12" s="1">
        <f t="shared" si="12"/>
        <v>42</v>
      </c>
      <c r="I12">
        <f t="shared" si="2"/>
        <v>12.801600000000001</v>
      </c>
      <c r="J12" s="1" t="s">
        <v>54</v>
      </c>
      <c r="K12" s="1" t="s">
        <v>36</v>
      </c>
      <c r="L12">
        <v>429</v>
      </c>
      <c r="M12" t="str">
        <f t="shared" si="1"/>
        <v>TI429</v>
      </c>
      <c r="N12">
        <v>12</v>
      </c>
      <c r="O12">
        <v>12</v>
      </c>
      <c r="P12">
        <v>12</v>
      </c>
      <c r="Q12">
        <v>12</v>
      </c>
      <c r="R12">
        <v>59</v>
      </c>
      <c r="S12">
        <v>55</v>
      </c>
      <c r="T12">
        <v>60</v>
      </c>
      <c r="U12">
        <v>55</v>
      </c>
      <c r="V12">
        <f t="shared" si="3"/>
        <v>1.2</v>
      </c>
      <c r="W12">
        <f t="shared" si="4"/>
        <v>5.7249999999999996</v>
      </c>
      <c r="X12">
        <f t="shared" si="5"/>
        <v>60.255624999999995</v>
      </c>
      <c r="Y12">
        <v>165.62</v>
      </c>
      <c r="Z12">
        <v>77.61</v>
      </c>
      <c r="AA12">
        <v>73.75</v>
      </c>
      <c r="AB12">
        <v>69.37</v>
      </c>
      <c r="AC12">
        <v>66.94</v>
      </c>
      <c r="AD12">
        <v>68.5</v>
      </c>
      <c r="AE12">
        <v>68.52</v>
      </c>
      <c r="AF12" s="6">
        <f t="shared" si="6"/>
        <v>67.986666666666665</v>
      </c>
      <c r="AG12" s="6">
        <f t="shared" si="7"/>
        <v>0.5895020730185565</v>
      </c>
      <c r="AH12" s="7">
        <v>41117.822916666664</v>
      </c>
      <c r="AI12" s="1">
        <v>1945</v>
      </c>
      <c r="AJ12" s="7">
        <v>41125.59375</v>
      </c>
      <c r="AK12" s="1">
        <v>1415</v>
      </c>
      <c r="AL12" s="1">
        <f t="shared" si="8"/>
        <v>7.7708333333357587</v>
      </c>
      <c r="AM12" s="1">
        <f t="shared" si="9"/>
        <v>7.5860856581452765E-2</v>
      </c>
      <c r="AN12" s="1">
        <f t="shared" si="10"/>
        <v>1.2589838140663677E-3</v>
      </c>
      <c r="AO12" s="1"/>
      <c r="AQ12" s="1"/>
      <c r="AR12" s="1"/>
    </row>
    <row r="13" spans="1:62">
      <c r="A13" t="s">
        <v>13</v>
      </c>
      <c r="B13" t="s">
        <v>11</v>
      </c>
      <c r="C13">
        <v>1</v>
      </c>
      <c r="D13" s="1">
        <v>36</v>
      </c>
      <c r="E13" s="1">
        <v>50</v>
      </c>
      <c r="F13" s="1" t="s">
        <v>58</v>
      </c>
      <c r="G13" s="1">
        <v>6</v>
      </c>
      <c r="H13" s="1">
        <f t="shared" si="12"/>
        <v>44</v>
      </c>
      <c r="I13">
        <f t="shared" si="2"/>
        <v>13.411200000000001</v>
      </c>
      <c r="J13" s="1" t="s">
        <v>55</v>
      </c>
      <c r="K13" s="1" t="s">
        <v>36</v>
      </c>
      <c r="L13">
        <v>430</v>
      </c>
      <c r="M13" t="str">
        <f t="shared" si="1"/>
        <v>TI430</v>
      </c>
      <c r="N13">
        <v>12</v>
      </c>
      <c r="O13">
        <v>11</v>
      </c>
      <c r="P13">
        <v>13</v>
      </c>
      <c r="Q13">
        <v>13</v>
      </c>
      <c r="R13">
        <v>59</v>
      </c>
      <c r="S13">
        <v>55</v>
      </c>
      <c r="T13">
        <v>59</v>
      </c>
      <c r="U13">
        <v>55</v>
      </c>
      <c r="V13">
        <f t="shared" si="3"/>
        <v>1.2250000000000001</v>
      </c>
      <c r="W13">
        <f t="shared" si="4"/>
        <v>5.7</v>
      </c>
      <c r="X13">
        <f t="shared" si="5"/>
        <v>60.42</v>
      </c>
      <c r="Y13">
        <v>163.92</v>
      </c>
      <c r="Z13">
        <v>81.41</v>
      </c>
      <c r="AA13">
        <v>77.23</v>
      </c>
      <c r="AB13">
        <v>73.510000000000005</v>
      </c>
      <c r="AC13">
        <v>71.91</v>
      </c>
      <c r="AD13">
        <v>73.36</v>
      </c>
      <c r="AE13">
        <v>73.42</v>
      </c>
      <c r="AF13" s="6">
        <f t="shared" si="6"/>
        <v>72.896666666666661</v>
      </c>
      <c r="AG13" s="6">
        <f t="shared" si="7"/>
        <v>0.55529119895884171</v>
      </c>
      <c r="AH13" s="7">
        <v>41117.822916666664</v>
      </c>
      <c r="AI13" s="1">
        <v>1945</v>
      </c>
      <c r="AJ13" s="7">
        <v>41125.59375</v>
      </c>
      <c r="AK13" s="1">
        <v>1415</v>
      </c>
      <c r="AL13" s="1">
        <f t="shared" si="8"/>
        <v>7.7708333333357587</v>
      </c>
      <c r="AM13" s="1">
        <f t="shared" si="9"/>
        <v>7.145838485259004E-2</v>
      </c>
      <c r="AN13" s="1">
        <f t="shared" si="10"/>
        <v>1.1826942213272102E-3</v>
      </c>
      <c r="AO13" s="1"/>
      <c r="AQ13" s="1"/>
      <c r="AR13" s="1"/>
    </row>
    <row r="14" spans="1:62" s="8" customFormat="1">
      <c r="A14" s="8" t="s">
        <v>18</v>
      </c>
      <c r="B14" s="8" t="s">
        <v>14</v>
      </c>
      <c r="C14" s="8">
        <v>2</v>
      </c>
      <c r="D14" s="9">
        <v>37</v>
      </c>
      <c r="E14" s="9">
        <v>43</v>
      </c>
      <c r="F14" s="9" t="s">
        <v>62</v>
      </c>
      <c r="G14" s="9">
        <v>0</v>
      </c>
      <c r="H14" s="9">
        <f t="shared" si="12"/>
        <v>43</v>
      </c>
      <c r="I14">
        <f t="shared" si="2"/>
        <v>13.106400000000001</v>
      </c>
      <c r="J14" s="9" t="s">
        <v>55</v>
      </c>
      <c r="K14" s="9" t="s">
        <v>37</v>
      </c>
      <c r="L14" s="8">
        <v>431</v>
      </c>
      <c r="M14" s="8" t="str">
        <f t="shared" si="1"/>
        <v>RW431</v>
      </c>
      <c r="N14" s="8">
        <v>12</v>
      </c>
      <c r="O14" s="8">
        <v>13</v>
      </c>
      <c r="P14" s="8">
        <v>13</v>
      </c>
      <c r="Q14" s="8">
        <v>12</v>
      </c>
      <c r="R14" s="8">
        <v>60</v>
      </c>
      <c r="S14" s="8">
        <v>55</v>
      </c>
      <c r="T14" s="8">
        <v>60</v>
      </c>
      <c r="U14" s="8">
        <v>55</v>
      </c>
      <c r="V14">
        <f t="shared" si="3"/>
        <v>1.25</v>
      </c>
      <c r="W14">
        <f t="shared" si="4"/>
        <v>5.75</v>
      </c>
      <c r="X14">
        <f t="shared" si="5"/>
        <v>61.8125</v>
      </c>
      <c r="Y14" s="8">
        <v>165.73</v>
      </c>
      <c r="Z14" s="8">
        <v>143.65</v>
      </c>
      <c r="AA14" s="8">
        <v>138.54</v>
      </c>
      <c r="AB14" s="8">
        <v>131.74</v>
      </c>
      <c r="AC14" s="8">
        <v>125.1</v>
      </c>
      <c r="AD14" s="8">
        <v>125.72</v>
      </c>
      <c r="AE14" s="8">
        <v>125.69</v>
      </c>
      <c r="AF14" s="10">
        <f t="shared" si="6"/>
        <v>125.50333333333333</v>
      </c>
      <c r="AG14" s="10">
        <f t="shared" si="7"/>
        <v>0.24272410949536391</v>
      </c>
      <c r="AH14" s="11">
        <v>41118.732638888891</v>
      </c>
      <c r="AI14" s="9">
        <v>1735</v>
      </c>
      <c r="AJ14" s="11">
        <v>41125.53125</v>
      </c>
      <c r="AK14" s="9">
        <v>1245</v>
      </c>
      <c r="AL14" s="9">
        <f t="shared" si="8"/>
        <v>6.7986111111094942</v>
      </c>
      <c r="AM14" s="9">
        <f t="shared" si="9"/>
        <v>3.5702014062656502E-2</v>
      </c>
      <c r="AN14" s="1">
        <f t="shared" si="10"/>
        <v>5.7758566734328006E-4</v>
      </c>
      <c r="AO14" s="9"/>
      <c r="AQ14" s="9"/>
      <c r="AR14" s="9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</row>
    <row r="15" spans="1:62" s="8" customFormat="1">
      <c r="A15" s="8" t="s">
        <v>18</v>
      </c>
      <c r="B15" s="8" t="s">
        <v>14</v>
      </c>
      <c r="C15" s="8">
        <v>2</v>
      </c>
      <c r="D15" s="9">
        <v>38</v>
      </c>
      <c r="E15" s="9">
        <v>45</v>
      </c>
      <c r="F15" s="9" t="s">
        <v>62</v>
      </c>
      <c r="G15" s="9">
        <v>0</v>
      </c>
      <c r="H15" s="9">
        <f t="shared" si="12"/>
        <v>45</v>
      </c>
      <c r="I15">
        <f t="shared" si="2"/>
        <v>13.716000000000001</v>
      </c>
      <c r="J15" s="9" t="s">
        <v>54</v>
      </c>
      <c r="K15" s="9" t="s">
        <v>36</v>
      </c>
      <c r="L15" s="8">
        <v>432</v>
      </c>
      <c r="M15" s="8" t="str">
        <f t="shared" si="1"/>
        <v>RW432</v>
      </c>
      <c r="N15" s="8">
        <v>13</v>
      </c>
      <c r="O15" s="8">
        <v>12</v>
      </c>
      <c r="P15" s="8">
        <v>11</v>
      </c>
      <c r="Q15" s="8">
        <v>13</v>
      </c>
      <c r="R15" s="8">
        <v>55</v>
      </c>
      <c r="S15" s="8">
        <v>55</v>
      </c>
      <c r="T15" s="8">
        <v>56</v>
      </c>
      <c r="U15" s="8">
        <v>55</v>
      </c>
      <c r="V15">
        <f t="shared" si="3"/>
        <v>1.2250000000000001</v>
      </c>
      <c r="W15">
        <f t="shared" si="4"/>
        <v>5.5250000000000004</v>
      </c>
      <c r="X15">
        <f t="shared" si="5"/>
        <v>57.59812500000001</v>
      </c>
      <c r="Y15" s="8">
        <v>156.33000000000001</v>
      </c>
      <c r="Z15" s="8">
        <v>132.80000000000001</v>
      </c>
      <c r="AA15" s="8">
        <v>128.36000000000001</v>
      </c>
      <c r="AB15" s="8">
        <v>120.95</v>
      </c>
      <c r="AC15" s="8">
        <v>114.67</v>
      </c>
      <c r="AD15" s="8">
        <v>115.66</v>
      </c>
      <c r="AE15" s="8">
        <v>115.6</v>
      </c>
      <c r="AF15" s="10">
        <f t="shared" si="6"/>
        <v>115.30999999999999</v>
      </c>
      <c r="AG15" s="10">
        <f t="shared" si="7"/>
        <v>0.26239365444892226</v>
      </c>
      <c r="AH15" s="11">
        <v>41118.732638888891</v>
      </c>
      <c r="AI15" s="9">
        <v>1735</v>
      </c>
      <c r="AJ15" s="11">
        <v>41125.53125</v>
      </c>
      <c r="AK15" s="9">
        <v>1245</v>
      </c>
      <c r="AL15" s="9">
        <f t="shared" si="8"/>
        <v>6.7986111111094942</v>
      </c>
      <c r="AM15" s="9">
        <f t="shared" si="9"/>
        <v>3.8595185128349127E-2</v>
      </c>
      <c r="AN15" s="1">
        <f t="shared" si="10"/>
        <v>6.7007710977308932E-4</v>
      </c>
      <c r="AO15" s="9"/>
      <c r="AQ15" s="9"/>
      <c r="AR15" s="9"/>
      <c r="AT15"/>
      <c r="AU15"/>
      <c r="AV15"/>
    </row>
    <row r="16" spans="1:62" s="8" customFormat="1">
      <c r="A16" s="8" t="s">
        <v>18</v>
      </c>
      <c r="B16" s="8" t="s">
        <v>14</v>
      </c>
      <c r="C16" s="8">
        <v>2</v>
      </c>
      <c r="D16" s="9">
        <v>39</v>
      </c>
      <c r="E16" s="9">
        <v>41</v>
      </c>
      <c r="F16" s="9" t="s">
        <v>62</v>
      </c>
      <c r="G16" s="9">
        <v>0</v>
      </c>
      <c r="H16" s="9">
        <f t="shared" si="12"/>
        <v>41</v>
      </c>
      <c r="I16">
        <f t="shared" si="2"/>
        <v>12.4968</v>
      </c>
      <c r="J16" s="9" t="s">
        <v>53</v>
      </c>
      <c r="K16" s="9" t="s">
        <v>36</v>
      </c>
      <c r="L16" s="8">
        <v>433</v>
      </c>
      <c r="M16" s="8" t="str">
        <f t="shared" si="1"/>
        <v>RW433</v>
      </c>
      <c r="N16" s="8">
        <v>12</v>
      </c>
      <c r="O16" s="8">
        <v>12</v>
      </c>
      <c r="P16" s="8">
        <v>12</v>
      </c>
      <c r="Q16" s="8">
        <v>13</v>
      </c>
      <c r="R16" s="8">
        <v>55</v>
      </c>
      <c r="S16" s="8">
        <v>60</v>
      </c>
      <c r="T16" s="8">
        <v>55</v>
      </c>
      <c r="U16" s="8">
        <v>58</v>
      </c>
      <c r="V16">
        <f t="shared" si="3"/>
        <v>1.2250000000000001</v>
      </c>
      <c r="W16">
        <f t="shared" si="4"/>
        <v>5.7</v>
      </c>
      <c r="X16">
        <f t="shared" si="5"/>
        <v>60.42</v>
      </c>
      <c r="Y16" s="8">
        <v>165.41</v>
      </c>
      <c r="Z16" s="8">
        <v>141.74</v>
      </c>
      <c r="AA16" s="8">
        <v>136.31</v>
      </c>
      <c r="AB16" s="8">
        <v>129.83000000000001</v>
      </c>
      <c r="AC16" s="8">
        <v>122.45</v>
      </c>
      <c r="AD16" s="8">
        <v>123.84</v>
      </c>
      <c r="AE16" s="8">
        <v>124.66</v>
      </c>
      <c r="AF16" s="10">
        <f t="shared" si="6"/>
        <v>123.65000000000002</v>
      </c>
      <c r="AG16" s="10">
        <f t="shared" si="7"/>
        <v>0.25246357535820069</v>
      </c>
      <c r="AH16" s="11">
        <v>41118.732638888891</v>
      </c>
      <c r="AI16" s="9">
        <v>1735</v>
      </c>
      <c r="AJ16" s="11">
        <v>41125.53125</v>
      </c>
      <c r="AK16" s="9">
        <v>1245</v>
      </c>
      <c r="AL16" s="9">
        <f t="shared" si="8"/>
        <v>6.7986111111094942</v>
      </c>
      <c r="AM16" s="9">
        <f t="shared" si="9"/>
        <v>3.7134581053717614E-2</v>
      </c>
      <c r="AN16" s="1">
        <f t="shared" si="10"/>
        <v>6.1460743220320441E-4</v>
      </c>
      <c r="AO16" s="9"/>
      <c r="AQ16" s="9"/>
      <c r="AR16" s="9"/>
      <c r="AT16"/>
      <c r="AU16"/>
      <c r="AV16"/>
    </row>
    <row r="17" spans="1:48" s="8" customFormat="1">
      <c r="A17" s="8" t="s">
        <v>18</v>
      </c>
      <c r="B17" s="8" t="s">
        <v>17</v>
      </c>
      <c r="C17" s="8">
        <v>2</v>
      </c>
      <c r="D17" s="9">
        <v>40</v>
      </c>
      <c r="E17" s="9">
        <v>48</v>
      </c>
      <c r="F17" s="9" t="s">
        <v>51</v>
      </c>
      <c r="G17" s="9">
        <v>2</v>
      </c>
      <c r="H17" s="9">
        <f>E17-G17</f>
        <v>46</v>
      </c>
      <c r="I17">
        <f t="shared" si="2"/>
        <v>14.020800000000001</v>
      </c>
      <c r="J17" s="9" t="s">
        <v>56</v>
      </c>
      <c r="K17" s="9" t="s">
        <v>37</v>
      </c>
      <c r="L17" s="8">
        <v>434</v>
      </c>
      <c r="M17" s="8" t="str">
        <f t="shared" si="1"/>
        <v>HH434</v>
      </c>
      <c r="N17" s="8">
        <v>11</v>
      </c>
      <c r="O17" s="8">
        <v>12</v>
      </c>
      <c r="P17" s="8">
        <v>12</v>
      </c>
      <c r="Q17" s="8">
        <v>12</v>
      </c>
      <c r="R17" s="8">
        <v>60</v>
      </c>
      <c r="S17" s="8">
        <v>55</v>
      </c>
      <c r="T17" s="8">
        <v>60</v>
      </c>
      <c r="U17" s="8">
        <v>54</v>
      </c>
      <c r="V17">
        <f t="shared" si="3"/>
        <v>1.175</v>
      </c>
      <c r="W17">
        <f t="shared" si="4"/>
        <v>5.7249999999999996</v>
      </c>
      <c r="X17">
        <f t="shared" si="5"/>
        <v>59.683124999999997</v>
      </c>
      <c r="Y17" s="8">
        <v>168</v>
      </c>
      <c r="Z17" s="8">
        <v>137.09</v>
      </c>
      <c r="AA17" s="8">
        <v>132.78</v>
      </c>
      <c r="AB17" s="8">
        <v>127.28</v>
      </c>
      <c r="AC17" s="8">
        <v>119.17</v>
      </c>
      <c r="AD17" s="8">
        <v>119.16</v>
      </c>
      <c r="AE17" s="8">
        <v>119.12</v>
      </c>
      <c r="AF17" s="10">
        <f t="shared" si="6"/>
        <v>119.14999999999999</v>
      </c>
      <c r="AG17" s="10">
        <f t="shared" si="7"/>
        <v>0.2907738095238096</v>
      </c>
      <c r="AH17" s="11">
        <v>41118.774305555555</v>
      </c>
      <c r="AI17" s="9">
        <v>1835</v>
      </c>
      <c r="AJ17" s="11">
        <v>41125.5625</v>
      </c>
      <c r="AK17" s="9">
        <v>1330</v>
      </c>
      <c r="AL17" s="9">
        <f t="shared" si="8"/>
        <v>6.7881944444452529</v>
      </c>
      <c r="AM17" s="9">
        <f t="shared" si="9"/>
        <v>4.2835221044934625E-2</v>
      </c>
      <c r="AN17" s="1">
        <f t="shared" si="10"/>
        <v>7.177107607038778E-4</v>
      </c>
      <c r="AO17" s="9"/>
      <c r="AQ17" s="9"/>
      <c r="AR17" s="9"/>
      <c r="AT17"/>
      <c r="AU17"/>
      <c r="AV17"/>
    </row>
    <row r="18" spans="1:48" s="8" customFormat="1">
      <c r="A18" s="8" t="s">
        <v>18</v>
      </c>
      <c r="B18" s="8" t="s">
        <v>17</v>
      </c>
      <c r="C18" s="8">
        <v>2</v>
      </c>
      <c r="D18" s="9">
        <v>41</v>
      </c>
      <c r="E18" s="9">
        <v>36</v>
      </c>
      <c r="F18" s="9" t="s">
        <v>51</v>
      </c>
      <c r="G18" s="9">
        <v>2</v>
      </c>
      <c r="H18" s="9">
        <f>E18-G18</f>
        <v>34</v>
      </c>
      <c r="I18">
        <f t="shared" si="2"/>
        <v>10.363200000000001</v>
      </c>
      <c r="J18" s="9" t="s">
        <v>54</v>
      </c>
      <c r="K18" s="9" t="s">
        <v>36</v>
      </c>
      <c r="L18" s="8">
        <v>435</v>
      </c>
      <c r="M18" s="8" t="str">
        <f t="shared" si="1"/>
        <v>HH435</v>
      </c>
      <c r="N18" s="8">
        <v>12</v>
      </c>
      <c r="O18" s="8">
        <v>12</v>
      </c>
      <c r="P18" s="8">
        <v>12</v>
      </c>
      <c r="Q18" s="8">
        <v>12</v>
      </c>
      <c r="R18" s="8">
        <v>57</v>
      </c>
      <c r="S18" s="8">
        <v>55</v>
      </c>
      <c r="T18" s="8">
        <v>57</v>
      </c>
      <c r="U18" s="8">
        <v>55</v>
      </c>
      <c r="V18">
        <f t="shared" si="3"/>
        <v>1.2</v>
      </c>
      <c r="W18">
        <f t="shared" si="4"/>
        <v>5.6</v>
      </c>
      <c r="X18">
        <f t="shared" si="5"/>
        <v>58.239999999999995</v>
      </c>
      <c r="Y18" s="8">
        <v>166.91</v>
      </c>
      <c r="Z18" s="8">
        <v>135.63</v>
      </c>
      <c r="AA18" s="8">
        <v>130.96</v>
      </c>
      <c r="AB18" s="8">
        <v>124</v>
      </c>
      <c r="AC18" s="8">
        <v>116.91</v>
      </c>
      <c r="AD18" s="8">
        <v>117.79</v>
      </c>
      <c r="AE18" s="8">
        <v>117.86</v>
      </c>
      <c r="AF18" s="10">
        <f t="shared" si="6"/>
        <v>117.52</v>
      </c>
      <c r="AG18" s="10">
        <f t="shared" si="7"/>
        <v>0.29590797435743815</v>
      </c>
      <c r="AH18" s="11">
        <v>41118.774305555555</v>
      </c>
      <c r="AI18" s="9">
        <v>1835</v>
      </c>
      <c r="AJ18" s="11">
        <v>41125.5625</v>
      </c>
      <c r="AK18" s="9">
        <v>1330</v>
      </c>
      <c r="AL18" s="9">
        <f t="shared" si="8"/>
        <v>6.7881944444452529</v>
      </c>
      <c r="AM18" s="9">
        <f t="shared" si="9"/>
        <v>4.3591558370809226E-2</v>
      </c>
      <c r="AN18" s="1">
        <f t="shared" si="10"/>
        <v>7.4848142807021345E-4</v>
      </c>
      <c r="AO18" s="9"/>
      <c r="AQ18" s="9"/>
      <c r="AR18" s="9"/>
      <c r="AT18"/>
      <c r="AU18"/>
      <c r="AV18"/>
    </row>
    <row r="19" spans="1:48" s="8" customFormat="1">
      <c r="A19" s="8" t="s">
        <v>18</v>
      </c>
      <c r="B19" s="8" t="s">
        <v>17</v>
      </c>
      <c r="C19" s="8">
        <v>2</v>
      </c>
      <c r="D19" s="9">
        <v>42</v>
      </c>
      <c r="E19" s="9">
        <v>39</v>
      </c>
      <c r="F19" s="9" t="s">
        <v>51</v>
      </c>
      <c r="G19" s="9">
        <v>2</v>
      </c>
      <c r="H19" s="9">
        <f t="shared" ref="H19:H25" si="13">E19-G19</f>
        <v>37</v>
      </c>
      <c r="I19">
        <f t="shared" si="2"/>
        <v>11.277600000000001</v>
      </c>
      <c r="J19" s="9" t="s">
        <v>57</v>
      </c>
      <c r="K19" s="9" t="s">
        <v>36</v>
      </c>
      <c r="L19" s="8">
        <v>436</v>
      </c>
      <c r="M19" s="8" t="str">
        <f t="shared" si="1"/>
        <v>HH436</v>
      </c>
      <c r="N19" s="8">
        <v>13</v>
      </c>
      <c r="O19" s="8">
        <v>13</v>
      </c>
      <c r="P19" s="8">
        <v>12</v>
      </c>
      <c r="Q19" s="8">
        <v>13</v>
      </c>
      <c r="R19" s="8">
        <v>61</v>
      </c>
      <c r="S19" s="8">
        <v>55</v>
      </c>
      <c r="T19" s="8">
        <v>61</v>
      </c>
      <c r="U19" s="8">
        <v>55</v>
      </c>
      <c r="V19">
        <f t="shared" si="3"/>
        <v>1.2749999999999999</v>
      </c>
      <c r="W19">
        <f t="shared" si="4"/>
        <v>5.8</v>
      </c>
      <c r="X19">
        <f t="shared" si="5"/>
        <v>63.22</v>
      </c>
      <c r="Y19" s="8">
        <v>168.07</v>
      </c>
      <c r="Z19" s="8">
        <v>133.97999999999999</v>
      </c>
      <c r="AA19" s="8">
        <v>128.44</v>
      </c>
      <c r="AB19" s="8">
        <v>121.63</v>
      </c>
      <c r="AC19" s="8">
        <v>115.67</v>
      </c>
      <c r="AD19" s="8">
        <v>117.23</v>
      </c>
      <c r="AE19" s="8">
        <v>118.03</v>
      </c>
      <c r="AF19" s="10">
        <f t="shared" si="6"/>
        <v>116.97666666666667</v>
      </c>
      <c r="AG19" s="10">
        <f t="shared" si="7"/>
        <v>0.30400031732809735</v>
      </c>
      <c r="AH19" s="11">
        <v>41118.774305555555</v>
      </c>
      <c r="AI19" s="9">
        <v>1835</v>
      </c>
      <c r="AJ19" s="11">
        <v>41125.5625</v>
      </c>
      <c r="AK19" s="9">
        <v>1330</v>
      </c>
      <c r="AL19" s="9">
        <f t="shared" si="8"/>
        <v>6.7881944444452529</v>
      </c>
      <c r="AM19" s="9">
        <f t="shared" si="9"/>
        <v>4.4783678460604402E-2</v>
      </c>
      <c r="AN19" s="1">
        <f t="shared" si="10"/>
        <v>7.0837833692825695E-4</v>
      </c>
      <c r="AO19" s="9"/>
      <c r="AQ19" s="9"/>
      <c r="AR19" s="9"/>
      <c r="AT19"/>
      <c r="AU19"/>
      <c r="AV19"/>
    </row>
    <row r="20" spans="1:48" s="8" customFormat="1">
      <c r="A20" s="8" t="s">
        <v>18</v>
      </c>
      <c r="B20" s="8" t="s">
        <v>16</v>
      </c>
      <c r="C20" s="8">
        <v>2</v>
      </c>
      <c r="D20" s="9">
        <v>43</v>
      </c>
      <c r="E20" s="9">
        <v>53</v>
      </c>
      <c r="F20" s="9" t="s">
        <v>110</v>
      </c>
      <c r="G20" s="9">
        <v>6</v>
      </c>
      <c r="H20" s="9">
        <f t="shared" si="13"/>
        <v>47</v>
      </c>
      <c r="I20">
        <f t="shared" si="2"/>
        <v>14.325600000000001</v>
      </c>
      <c r="J20" s="9" t="s">
        <v>53</v>
      </c>
      <c r="K20" s="9" t="s">
        <v>37</v>
      </c>
      <c r="L20" s="8">
        <v>437</v>
      </c>
      <c r="M20" s="8" t="str">
        <f t="shared" si="1"/>
        <v>FI437</v>
      </c>
      <c r="N20" s="8">
        <v>12</v>
      </c>
      <c r="O20" s="8">
        <v>12</v>
      </c>
      <c r="P20" s="8">
        <v>12</v>
      </c>
      <c r="Q20" s="8">
        <v>12</v>
      </c>
      <c r="R20" s="8">
        <v>55</v>
      </c>
      <c r="S20" s="8">
        <v>56</v>
      </c>
      <c r="T20" s="8">
        <v>55</v>
      </c>
      <c r="U20" s="8">
        <v>57</v>
      </c>
      <c r="V20">
        <f t="shared" si="3"/>
        <v>1.2</v>
      </c>
      <c r="W20">
        <f t="shared" si="4"/>
        <v>5.5750000000000002</v>
      </c>
      <c r="X20">
        <f t="shared" si="5"/>
        <v>57.840625000000003</v>
      </c>
      <c r="Y20" s="8">
        <v>161.66999999999999</v>
      </c>
      <c r="Z20" s="8">
        <v>96.5</v>
      </c>
      <c r="AA20" s="8">
        <v>90.33</v>
      </c>
      <c r="AB20" s="8">
        <v>87.48</v>
      </c>
      <c r="AC20" s="8">
        <v>87.36</v>
      </c>
      <c r="AD20" s="8">
        <v>87.39</v>
      </c>
      <c r="AE20" s="8">
        <v>87.42</v>
      </c>
      <c r="AF20" s="10">
        <f t="shared" si="6"/>
        <v>87.39</v>
      </c>
      <c r="AG20" s="10">
        <f t="shared" si="7"/>
        <v>0.45945444423826309</v>
      </c>
      <c r="AH20" s="11">
        <v>41118.815972222219</v>
      </c>
      <c r="AI20" s="9">
        <v>1935</v>
      </c>
      <c r="AJ20" s="11">
        <v>41127.385416666664</v>
      </c>
      <c r="AK20" s="9">
        <v>915</v>
      </c>
      <c r="AL20" s="9">
        <f t="shared" ref="AL20:AL25" si="14">(AJ20-AH20)</f>
        <v>8.5694444444452529</v>
      </c>
      <c r="AM20" s="9">
        <f t="shared" ref="AM20:AM25" si="15">AG20/AL20</f>
        <v>5.3615429473503763E-2</v>
      </c>
      <c r="AN20" s="1">
        <f t="shared" si="10"/>
        <v>9.2695107415426028E-4</v>
      </c>
      <c r="AO20" s="9"/>
      <c r="AQ20" s="9"/>
      <c r="AR20" s="9"/>
    </row>
    <row r="21" spans="1:48" s="8" customFormat="1">
      <c r="A21" s="8" t="s">
        <v>18</v>
      </c>
      <c r="B21" s="8" t="s">
        <v>16</v>
      </c>
      <c r="C21" s="8">
        <v>2</v>
      </c>
      <c r="D21" s="9">
        <v>44</v>
      </c>
      <c r="E21" s="9">
        <v>58</v>
      </c>
      <c r="F21" s="9" t="s">
        <v>110</v>
      </c>
      <c r="G21" s="9">
        <v>6</v>
      </c>
      <c r="H21" s="9">
        <f t="shared" si="13"/>
        <v>52</v>
      </c>
      <c r="I21">
        <f t="shared" si="2"/>
        <v>15.849600000000001</v>
      </c>
      <c r="J21" s="9" t="s">
        <v>53</v>
      </c>
      <c r="K21" s="9" t="s">
        <v>36</v>
      </c>
      <c r="L21" s="8">
        <v>438</v>
      </c>
      <c r="M21" s="8" t="str">
        <f t="shared" si="1"/>
        <v>FI438</v>
      </c>
      <c r="N21" s="8">
        <v>12</v>
      </c>
      <c r="O21" s="8">
        <v>12</v>
      </c>
      <c r="P21" s="8">
        <v>13</v>
      </c>
      <c r="Q21" s="8">
        <v>13</v>
      </c>
      <c r="R21" s="8">
        <v>61</v>
      </c>
      <c r="S21" s="8">
        <v>55</v>
      </c>
      <c r="T21" s="8">
        <v>59</v>
      </c>
      <c r="U21" s="8">
        <v>54</v>
      </c>
      <c r="V21">
        <f t="shared" si="3"/>
        <v>1.25</v>
      </c>
      <c r="W21">
        <f t="shared" si="4"/>
        <v>5.7249999999999996</v>
      </c>
      <c r="X21">
        <f t="shared" si="5"/>
        <v>61.400624999999998</v>
      </c>
      <c r="Y21" s="8">
        <v>172.41</v>
      </c>
      <c r="Z21" s="8">
        <v>105.72</v>
      </c>
      <c r="AA21" s="8">
        <v>98.5</v>
      </c>
      <c r="AB21" s="8">
        <v>95.43</v>
      </c>
      <c r="AC21" s="8">
        <v>95.43</v>
      </c>
      <c r="AD21" s="8">
        <v>95.44</v>
      </c>
      <c r="AE21" s="8">
        <v>95.44</v>
      </c>
      <c r="AF21" s="10">
        <f t="shared" si="6"/>
        <v>95.436666666666667</v>
      </c>
      <c r="AG21" s="10">
        <f t="shared" si="7"/>
        <v>0.44645515534675095</v>
      </c>
      <c r="AH21" s="11">
        <v>41118.815972222219</v>
      </c>
      <c r="AI21" s="9">
        <v>1935</v>
      </c>
      <c r="AJ21" s="11">
        <v>41127.385416666664</v>
      </c>
      <c r="AK21" s="9">
        <v>915</v>
      </c>
      <c r="AL21" s="9">
        <f t="shared" si="14"/>
        <v>8.5694444444452529</v>
      </c>
      <c r="AM21" s="9">
        <f t="shared" si="15"/>
        <v>5.2098494627168618E-2</v>
      </c>
      <c r="AN21" s="1">
        <f t="shared" si="10"/>
        <v>8.485010474595107E-4</v>
      </c>
      <c r="AO21" s="9"/>
      <c r="AQ21" s="9"/>
      <c r="AR21" s="9"/>
    </row>
    <row r="22" spans="1:48" s="8" customFormat="1">
      <c r="A22" s="8" t="s">
        <v>18</v>
      </c>
      <c r="B22" s="8" t="s">
        <v>16</v>
      </c>
      <c r="C22" s="8">
        <v>2</v>
      </c>
      <c r="D22" s="9">
        <v>45</v>
      </c>
      <c r="E22" s="9">
        <v>49</v>
      </c>
      <c r="F22" s="9" t="s">
        <v>110</v>
      </c>
      <c r="G22" s="9">
        <v>6</v>
      </c>
      <c r="H22" s="9">
        <f t="shared" si="13"/>
        <v>43</v>
      </c>
      <c r="I22">
        <f t="shared" si="2"/>
        <v>13.106400000000001</v>
      </c>
      <c r="J22" s="9" t="s">
        <v>55</v>
      </c>
      <c r="K22" s="9" t="s">
        <v>36</v>
      </c>
      <c r="L22" s="8">
        <v>439</v>
      </c>
      <c r="M22" s="8" t="str">
        <f t="shared" si="1"/>
        <v>FI439</v>
      </c>
      <c r="N22" s="8">
        <v>12</v>
      </c>
      <c r="O22" s="8">
        <v>13</v>
      </c>
      <c r="P22" s="8">
        <v>13</v>
      </c>
      <c r="Q22" s="8">
        <v>13</v>
      </c>
      <c r="R22" s="8">
        <v>55</v>
      </c>
      <c r="S22" s="8">
        <v>58</v>
      </c>
      <c r="T22" s="8">
        <v>55</v>
      </c>
      <c r="U22" s="8">
        <v>57</v>
      </c>
      <c r="V22">
        <f t="shared" si="3"/>
        <v>1.2749999999999999</v>
      </c>
      <c r="W22">
        <f t="shared" si="4"/>
        <v>5.625</v>
      </c>
      <c r="X22">
        <f t="shared" si="5"/>
        <v>60.328125</v>
      </c>
      <c r="Y22" s="8">
        <v>165.8</v>
      </c>
      <c r="Z22" s="8">
        <v>85.1</v>
      </c>
      <c r="AA22" s="8">
        <v>80.59</v>
      </c>
      <c r="AB22" s="8">
        <v>79.72</v>
      </c>
      <c r="AC22" s="8">
        <v>80.540000000000006</v>
      </c>
      <c r="AD22" s="8">
        <v>80.569999999999993</v>
      </c>
      <c r="AE22" s="8">
        <v>80.58</v>
      </c>
      <c r="AF22" s="10">
        <f t="shared" si="6"/>
        <v>80.563333333333333</v>
      </c>
      <c r="AG22" s="10">
        <f t="shared" si="7"/>
        <v>0.51409328508242869</v>
      </c>
      <c r="AH22" s="11">
        <v>41118.815972222219</v>
      </c>
      <c r="AI22" s="9">
        <v>1935</v>
      </c>
      <c r="AJ22" s="11">
        <v>41127.385416666664</v>
      </c>
      <c r="AK22" s="9">
        <v>915</v>
      </c>
      <c r="AL22" s="9">
        <f t="shared" si="14"/>
        <v>8.5694444444452529</v>
      </c>
      <c r="AM22" s="9">
        <f t="shared" si="15"/>
        <v>5.999143683295198E-2</v>
      </c>
      <c r="AN22" s="1">
        <f t="shared" si="10"/>
        <v>9.9441905136206333E-4</v>
      </c>
      <c r="AO22" s="9"/>
      <c r="AQ22" s="9"/>
      <c r="AR22" s="9"/>
    </row>
    <row r="23" spans="1:48" s="8" customFormat="1">
      <c r="A23" s="8" t="s">
        <v>18</v>
      </c>
      <c r="B23" s="8" t="s">
        <v>15</v>
      </c>
      <c r="C23" s="8">
        <v>2</v>
      </c>
      <c r="D23" s="9">
        <v>46</v>
      </c>
      <c r="E23" s="9">
        <v>43</v>
      </c>
      <c r="F23" s="9" t="s">
        <v>50</v>
      </c>
      <c r="G23" s="9">
        <v>1</v>
      </c>
      <c r="H23" s="9">
        <f t="shared" si="13"/>
        <v>42</v>
      </c>
      <c r="I23">
        <f t="shared" si="2"/>
        <v>12.801600000000001</v>
      </c>
      <c r="J23" s="9" t="s">
        <v>53</v>
      </c>
      <c r="K23" s="9" t="s">
        <v>37</v>
      </c>
      <c r="L23" s="8">
        <v>440</v>
      </c>
      <c r="M23" s="8" t="str">
        <f t="shared" si="1"/>
        <v>WI440</v>
      </c>
      <c r="N23" s="8">
        <v>14</v>
      </c>
      <c r="O23" s="8">
        <v>12</v>
      </c>
      <c r="P23" s="8">
        <v>13</v>
      </c>
      <c r="Q23" s="8">
        <v>13</v>
      </c>
      <c r="R23" s="8">
        <v>59</v>
      </c>
      <c r="S23" s="8">
        <v>56</v>
      </c>
      <c r="T23" s="8">
        <v>60</v>
      </c>
      <c r="U23" s="8">
        <v>55</v>
      </c>
      <c r="V23">
        <f t="shared" si="3"/>
        <v>1.3</v>
      </c>
      <c r="W23">
        <f t="shared" si="4"/>
        <v>5.75</v>
      </c>
      <c r="X23">
        <f t="shared" si="5"/>
        <v>62.962500000000006</v>
      </c>
      <c r="Y23" s="8">
        <v>169.08</v>
      </c>
      <c r="Z23" s="8">
        <v>122.06</v>
      </c>
      <c r="AA23" s="8">
        <v>115.46</v>
      </c>
      <c r="AB23" s="8">
        <v>107.42</v>
      </c>
      <c r="AC23" s="8">
        <v>107.31</v>
      </c>
      <c r="AD23" s="8">
        <v>107.19</v>
      </c>
      <c r="AE23" s="8">
        <v>107.21</v>
      </c>
      <c r="AF23" s="10">
        <f t="shared" si="6"/>
        <v>107.23666666666666</v>
      </c>
      <c r="AG23" s="10">
        <f t="shared" si="7"/>
        <v>0.36576374102988729</v>
      </c>
      <c r="AH23" s="11">
        <v>41118.847222222219</v>
      </c>
      <c r="AI23" s="9">
        <v>2020</v>
      </c>
      <c r="AJ23" s="11">
        <v>41126.416666666664</v>
      </c>
      <c r="AK23" s="9">
        <v>1000</v>
      </c>
      <c r="AL23" s="9">
        <f t="shared" si="14"/>
        <v>7.5694444444452529</v>
      </c>
      <c r="AM23" s="9">
        <f t="shared" si="15"/>
        <v>4.8321081383759769E-2</v>
      </c>
      <c r="AN23" s="1">
        <f t="shared" si="10"/>
        <v>7.6745811211053824E-4</v>
      </c>
      <c r="AO23" s="9"/>
      <c r="AQ23" s="9"/>
      <c r="AR23" s="9"/>
    </row>
    <row r="24" spans="1:48" s="8" customFormat="1">
      <c r="A24" s="8" t="s">
        <v>18</v>
      </c>
      <c r="B24" s="8" t="s">
        <v>15</v>
      </c>
      <c r="C24" s="8">
        <v>2</v>
      </c>
      <c r="D24" s="9">
        <v>47</v>
      </c>
      <c r="E24" s="9">
        <v>45</v>
      </c>
      <c r="F24" s="9" t="s">
        <v>50</v>
      </c>
      <c r="G24" s="9">
        <v>1</v>
      </c>
      <c r="H24" s="9">
        <f t="shared" si="13"/>
        <v>44</v>
      </c>
      <c r="I24">
        <f t="shared" si="2"/>
        <v>13.411200000000001</v>
      </c>
      <c r="J24" s="9" t="s">
        <v>54</v>
      </c>
      <c r="K24" s="9" t="s">
        <v>36</v>
      </c>
      <c r="L24" s="8">
        <v>441</v>
      </c>
      <c r="M24" s="8" t="str">
        <f t="shared" si="1"/>
        <v>WI441</v>
      </c>
      <c r="N24" s="8">
        <v>11</v>
      </c>
      <c r="O24" s="8">
        <v>13</v>
      </c>
      <c r="P24" s="8">
        <v>13</v>
      </c>
      <c r="Q24" s="8">
        <v>11</v>
      </c>
      <c r="R24" s="8">
        <v>60</v>
      </c>
      <c r="S24" s="8">
        <v>55</v>
      </c>
      <c r="T24" s="8">
        <v>60</v>
      </c>
      <c r="U24" s="8">
        <v>54</v>
      </c>
      <c r="V24">
        <f t="shared" si="3"/>
        <v>1.2</v>
      </c>
      <c r="W24">
        <f t="shared" si="4"/>
        <v>5.7249999999999996</v>
      </c>
      <c r="X24">
        <f t="shared" si="5"/>
        <v>60.255624999999995</v>
      </c>
      <c r="Y24" s="8">
        <v>166.75</v>
      </c>
      <c r="Z24" s="8">
        <v>117.37</v>
      </c>
      <c r="AA24" s="8">
        <v>110.25</v>
      </c>
      <c r="AB24" s="8">
        <v>102.67</v>
      </c>
      <c r="AC24" s="8">
        <v>102.98</v>
      </c>
      <c r="AD24" s="8">
        <v>103.1</v>
      </c>
      <c r="AE24" s="8">
        <v>103.11</v>
      </c>
      <c r="AF24" s="10">
        <f t="shared" si="6"/>
        <v>103.06333333333333</v>
      </c>
      <c r="AG24" s="10">
        <f t="shared" si="7"/>
        <v>0.38192903548225887</v>
      </c>
      <c r="AH24" s="11">
        <v>41118.847222222219</v>
      </c>
      <c r="AI24" s="9">
        <v>2020</v>
      </c>
      <c r="AJ24" s="11">
        <v>41126.416666666664</v>
      </c>
      <c r="AK24" s="9">
        <v>1000</v>
      </c>
      <c r="AL24" s="9">
        <f t="shared" si="14"/>
        <v>7.5694444444452529</v>
      </c>
      <c r="AM24" s="9">
        <f t="shared" si="15"/>
        <v>5.0456679916916887E-2</v>
      </c>
      <c r="AN24" s="1">
        <f t="shared" si="10"/>
        <v>8.3737708997154859E-4</v>
      </c>
      <c r="AO24" s="9"/>
      <c r="AP24" s="8" t="s">
        <v>99</v>
      </c>
      <c r="AQ24" s="9"/>
      <c r="AR24" s="9"/>
    </row>
    <row r="25" spans="1:48" s="8" customFormat="1">
      <c r="A25" s="8" t="s">
        <v>18</v>
      </c>
      <c r="B25" s="8" t="s">
        <v>15</v>
      </c>
      <c r="C25" s="8">
        <v>2</v>
      </c>
      <c r="D25" s="9">
        <v>48</v>
      </c>
      <c r="E25" s="9">
        <v>39</v>
      </c>
      <c r="F25" s="9" t="s">
        <v>50</v>
      </c>
      <c r="G25" s="9">
        <v>1</v>
      </c>
      <c r="H25" s="9">
        <f t="shared" si="13"/>
        <v>38</v>
      </c>
      <c r="I25">
        <f t="shared" si="2"/>
        <v>11.5824</v>
      </c>
      <c r="J25" s="9" t="s">
        <v>55</v>
      </c>
      <c r="K25" s="9" t="s">
        <v>36</v>
      </c>
      <c r="L25" s="8">
        <v>442</v>
      </c>
      <c r="M25" s="8" t="str">
        <f t="shared" si="1"/>
        <v>WI442</v>
      </c>
      <c r="N25" s="8">
        <v>14</v>
      </c>
      <c r="O25" s="8">
        <v>13</v>
      </c>
      <c r="P25" s="8">
        <v>13</v>
      </c>
      <c r="Q25" s="8">
        <v>13</v>
      </c>
      <c r="R25" s="8">
        <v>62</v>
      </c>
      <c r="S25" s="8">
        <v>55</v>
      </c>
      <c r="T25" s="8">
        <v>62</v>
      </c>
      <c r="U25" s="8">
        <v>54</v>
      </c>
      <c r="V25">
        <f t="shared" si="3"/>
        <v>1.325</v>
      </c>
      <c r="W25">
        <f t="shared" si="4"/>
        <v>5.8250000000000002</v>
      </c>
      <c r="X25">
        <f t="shared" si="5"/>
        <v>64.803124999999994</v>
      </c>
      <c r="Y25" s="8">
        <v>184.85</v>
      </c>
      <c r="Z25" s="8">
        <v>136.97</v>
      </c>
      <c r="AA25" s="8">
        <v>128</v>
      </c>
      <c r="AB25" s="8">
        <v>120.06</v>
      </c>
      <c r="AC25" s="8">
        <v>120.29</v>
      </c>
      <c r="AD25" s="8">
        <v>120.64</v>
      </c>
      <c r="AE25" s="8">
        <v>120.68</v>
      </c>
      <c r="AF25" s="10">
        <f t="shared" si="6"/>
        <v>120.53666666666668</v>
      </c>
      <c r="AG25" s="10">
        <f t="shared" si="7"/>
        <v>0.34792173834640694</v>
      </c>
      <c r="AH25" s="11">
        <v>41118.847222222219</v>
      </c>
      <c r="AI25" s="9">
        <v>2020</v>
      </c>
      <c r="AJ25" s="11">
        <v>41126.416666666664</v>
      </c>
      <c r="AK25" s="9">
        <v>1000</v>
      </c>
      <c r="AL25" s="9">
        <f t="shared" si="14"/>
        <v>7.5694444444452529</v>
      </c>
      <c r="AM25" s="9">
        <f t="shared" si="15"/>
        <v>4.5963972772364449E-2</v>
      </c>
      <c r="AN25" s="1">
        <f t="shared" si="10"/>
        <v>7.0928636192104093E-4</v>
      </c>
      <c r="AO25" s="9"/>
      <c r="AQ25" s="9"/>
      <c r="AR25" s="9"/>
    </row>
    <row r="26" spans="1:48">
      <c r="D26" s="1"/>
      <c r="E26" s="1"/>
      <c r="F26" s="1"/>
      <c r="G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 t="s">
        <v>94</v>
      </c>
      <c r="AC26" s="1"/>
      <c r="AD26" s="1"/>
      <c r="AE26" s="1"/>
      <c r="AF26" s="1"/>
      <c r="AG26" s="1"/>
      <c r="AH26" s="1"/>
      <c r="AK26" s="1"/>
      <c r="AL26" s="1"/>
    </row>
    <row r="27" spans="1:48">
      <c r="D27" s="1"/>
      <c r="E27" s="1"/>
      <c r="F27" s="1"/>
      <c r="G27" s="1"/>
      <c r="J27" s="1"/>
      <c r="K27" s="1"/>
      <c r="L27" t="s">
        <v>69</v>
      </c>
      <c r="M27" t="s">
        <v>29</v>
      </c>
      <c r="N27" t="s">
        <v>63</v>
      </c>
      <c r="O27" t="s">
        <v>64</v>
      </c>
      <c r="P27" t="s">
        <v>65</v>
      </c>
      <c r="Q27" t="s">
        <v>66</v>
      </c>
      <c r="R27" t="s">
        <v>67</v>
      </c>
      <c r="S27" t="s">
        <v>68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K27" s="1" t="s">
        <v>28</v>
      </c>
      <c r="AL27" s="1" t="s">
        <v>98</v>
      </c>
    </row>
    <row r="28" spans="1:48">
      <c r="D28" s="1"/>
      <c r="E28" s="1"/>
      <c r="F28" s="1"/>
      <c r="G28" s="1"/>
      <c r="J28" s="1"/>
      <c r="K28" s="1"/>
      <c r="L28" t="s">
        <v>70</v>
      </c>
      <c r="M28">
        <v>165.18</v>
      </c>
      <c r="N28">
        <v>114.93</v>
      </c>
      <c r="O28">
        <v>109.31</v>
      </c>
      <c r="P28">
        <v>105.33</v>
      </c>
      <c r="Q28">
        <v>101.34</v>
      </c>
      <c r="R28">
        <v>97.55</v>
      </c>
      <c r="S28">
        <v>99.11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K28" s="1">
        <v>58.71</v>
      </c>
      <c r="AL28" s="1">
        <v>5.8845268839573132E-2</v>
      </c>
    </row>
    <row r="29" spans="1:48">
      <c r="L29" t="s">
        <v>71</v>
      </c>
      <c r="M29">
        <v>176.37</v>
      </c>
      <c r="N29">
        <v>136.16999999999999</v>
      </c>
      <c r="O29">
        <v>128.69</v>
      </c>
      <c r="P29">
        <v>124.3</v>
      </c>
      <c r="Q29">
        <v>120.31</v>
      </c>
      <c r="R29">
        <v>115.75</v>
      </c>
      <c r="S29">
        <v>117.27</v>
      </c>
      <c r="AK29">
        <v>60.725624999999994</v>
      </c>
      <c r="AL29">
        <v>4.904093129086215E-2</v>
      </c>
    </row>
    <row r="30" spans="1:48">
      <c r="I30" s="1" t="s">
        <v>111</v>
      </c>
      <c r="J30">
        <f>AVERAGE(N2:Q25)</f>
        <v>12.15625</v>
      </c>
      <c r="L30" t="s">
        <v>72</v>
      </c>
      <c r="M30">
        <v>163.11000000000001</v>
      </c>
      <c r="N30">
        <v>122.09</v>
      </c>
      <c r="O30">
        <v>116</v>
      </c>
      <c r="P30">
        <v>111.78</v>
      </c>
      <c r="Q30">
        <v>108</v>
      </c>
      <c r="R30">
        <v>103.33</v>
      </c>
      <c r="S30">
        <v>104.71</v>
      </c>
      <c r="AK30">
        <v>57.11999999999999</v>
      </c>
      <c r="AL30">
        <v>5.2276545080428415E-2</v>
      </c>
    </row>
    <row r="31" spans="1:48">
      <c r="I31" s="1" t="s">
        <v>112</v>
      </c>
      <c r="J31">
        <f>AVERAGE(R2:R25,T2:T25)</f>
        <v>58.958333333333336</v>
      </c>
      <c r="L31" t="s">
        <v>73</v>
      </c>
      <c r="M31">
        <v>172.09</v>
      </c>
      <c r="N31">
        <v>101.06</v>
      </c>
      <c r="O31">
        <v>95.98</v>
      </c>
      <c r="P31">
        <v>92.8</v>
      </c>
      <c r="Q31">
        <v>88.95</v>
      </c>
      <c r="R31">
        <v>85.17</v>
      </c>
      <c r="S31">
        <v>86.74</v>
      </c>
      <c r="AK31">
        <v>61.237499999999997</v>
      </c>
      <c r="AL31">
        <v>7.269380876879479E-2</v>
      </c>
    </row>
    <row r="32" spans="1:48">
      <c r="I32" s="1" t="s">
        <v>113</v>
      </c>
      <c r="J32">
        <f>AVERAGE(S2:S25,U2:U25)</f>
        <v>55.375</v>
      </c>
      <c r="L32" t="s">
        <v>74</v>
      </c>
      <c r="M32">
        <v>161.65</v>
      </c>
      <c r="N32">
        <v>92.48</v>
      </c>
      <c r="O32">
        <v>88.12</v>
      </c>
      <c r="P32">
        <v>84.44</v>
      </c>
      <c r="Q32">
        <v>82.2</v>
      </c>
      <c r="R32">
        <v>80.22</v>
      </c>
      <c r="S32">
        <v>81.72</v>
      </c>
      <c r="AK32">
        <v>60.580624999999998</v>
      </c>
      <c r="AL32">
        <v>7.2964896444203411E-2</v>
      </c>
    </row>
    <row r="33" spans="12:38">
      <c r="L33" t="s">
        <v>75</v>
      </c>
      <c r="M33">
        <v>176.05</v>
      </c>
      <c r="N33">
        <v>120.81</v>
      </c>
      <c r="O33">
        <v>115.16</v>
      </c>
      <c r="P33">
        <v>111.61</v>
      </c>
      <c r="Q33">
        <v>108</v>
      </c>
      <c r="R33">
        <v>103.58</v>
      </c>
      <c r="S33">
        <v>104.42</v>
      </c>
      <c r="AK33">
        <v>61.480000000000004</v>
      </c>
      <c r="AL33">
        <v>5.9023120750721393E-2</v>
      </c>
    </row>
    <row r="34" spans="12:38">
      <c r="L34" t="s">
        <v>76</v>
      </c>
      <c r="M34">
        <v>169.49</v>
      </c>
      <c r="N34">
        <v>92.38</v>
      </c>
      <c r="O34">
        <v>87.25</v>
      </c>
      <c r="P34">
        <v>83.4</v>
      </c>
      <c r="Q34">
        <v>81.47</v>
      </c>
      <c r="R34">
        <v>78.61</v>
      </c>
      <c r="S34">
        <v>80.17</v>
      </c>
      <c r="AK34">
        <v>57.605625000000003</v>
      </c>
      <c r="AL34">
        <v>7.8028338618627943E-2</v>
      </c>
    </row>
    <row r="35" spans="12:38">
      <c r="L35" t="s">
        <v>77</v>
      </c>
      <c r="M35">
        <v>171.77</v>
      </c>
      <c r="N35">
        <v>75.12</v>
      </c>
      <c r="O35">
        <v>70.84</v>
      </c>
      <c r="P35">
        <v>68.150000000000006</v>
      </c>
      <c r="Q35">
        <v>66.86</v>
      </c>
      <c r="R35">
        <v>64.75</v>
      </c>
      <c r="S35">
        <v>65.73</v>
      </c>
      <c r="AK35">
        <v>62.803125000000001</v>
      </c>
      <c r="AL35">
        <v>9.1273375647468333E-2</v>
      </c>
    </row>
    <row r="36" spans="12:38">
      <c r="L36" t="s">
        <v>78</v>
      </c>
      <c r="M36">
        <v>164.25</v>
      </c>
      <c r="N36">
        <v>28.95</v>
      </c>
      <c r="O36">
        <v>26.52</v>
      </c>
      <c r="P36">
        <v>26.15</v>
      </c>
      <c r="Q36">
        <v>26.1</v>
      </c>
      <c r="R36">
        <v>24.87</v>
      </c>
      <c r="S36">
        <v>25.31</v>
      </c>
      <c r="AK36">
        <v>58.9375</v>
      </c>
      <c r="AL36">
        <v>0.12502118937215609</v>
      </c>
    </row>
    <row r="37" spans="12:38">
      <c r="L37" t="s">
        <v>79</v>
      </c>
      <c r="M37">
        <v>178.36</v>
      </c>
      <c r="N37">
        <v>98.68</v>
      </c>
      <c r="O37">
        <v>94.15</v>
      </c>
      <c r="P37">
        <v>88.92</v>
      </c>
      <c r="Q37">
        <v>84.98</v>
      </c>
      <c r="R37">
        <v>86.5</v>
      </c>
      <c r="S37">
        <v>86.82</v>
      </c>
      <c r="AK37">
        <v>63.22</v>
      </c>
      <c r="AL37">
        <v>6.6565376408327673E-2</v>
      </c>
    </row>
    <row r="38" spans="12:38">
      <c r="L38" t="s">
        <v>80</v>
      </c>
      <c r="M38">
        <v>165.62</v>
      </c>
      <c r="N38">
        <v>77.61</v>
      </c>
      <c r="O38">
        <v>73.75</v>
      </c>
      <c r="P38">
        <v>69.37</v>
      </c>
      <c r="Q38">
        <v>66.94</v>
      </c>
      <c r="R38">
        <v>68.5</v>
      </c>
      <c r="S38">
        <v>68.52</v>
      </c>
      <c r="AK38">
        <v>60.255624999999995</v>
      </c>
      <c r="AL38">
        <v>7.5860856581452765E-2</v>
      </c>
    </row>
    <row r="39" spans="12:38">
      <c r="L39" t="s">
        <v>81</v>
      </c>
      <c r="M39">
        <v>163.92</v>
      </c>
      <c r="N39">
        <v>81.41</v>
      </c>
      <c r="O39">
        <v>77.23</v>
      </c>
      <c r="P39">
        <v>73.510000000000005</v>
      </c>
      <c r="Q39">
        <v>71.91</v>
      </c>
      <c r="R39">
        <v>73.36</v>
      </c>
      <c r="S39">
        <v>73.42</v>
      </c>
      <c r="AK39">
        <v>60.42</v>
      </c>
      <c r="AL39">
        <v>7.145838485259004E-2</v>
      </c>
    </row>
    <row r="40" spans="12:38">
      <c r="L40" t="s">
        <v>82</v>
      </c>
      <c r="M40">
        <v>165.73</v>
      </c>
      <c r="N40">
        <v>143.65</v>
      </c>
      <c r="O40">
        <v>138.54</v>
      </c>
      <c r="P40">
        <v>131.74</v>
      </c>
      <c r="Q40">
        <v>125.1</v>
      </c>
      <c r="R40">
        <v>125.72</v>
      </c>
      <c r="S40">
        <v>125.69</v>
      </c>
      <c r="AK40">
        <v>61.8125</v>
      </c>
      <c r="AL40">
        <v>3.5702014062656502E-2</v>
      </c>
    </row>
    <row r="41" spans="12:38">
      <c r="L41" t="s">
        <v>83</v>
      </c>
      <c r="M41">
        <v>156.33000000000001</v>
      </c>
      <c r="N41">
        <v>132.80000000000001</v>
      </c>
      <c r="O41">
        <v>128.36000000000001</v>
      </c>
      <c r="P41">
        <v>120.95</v>
      </c>
      <c r="Q41">
        <v>114.67</v>
      </c>
      <c r="R41">
        <v>115.66</v>
      </c>
      <c r="S41">
        <v>115.6</v>
      </c>
      <c r="AK41">
        <v>57.59812500000001</v>
      </c>
      <c r="AL41">
        <v>3.8595185128349127E-2</v>
      </c>
    </row>
    <row r="42" spans="12:38">
      <c r="L42" t="s">
        <v>84</v>
      </c>
      <c r="M42">
        <v>165.41</v>
      </c>
      <c r="N42">
        <v>141.74</v>
      </c>
      <c r="O42">
        <v>136.31</v>
      </c>
      <c r="P42">
        <v>129.83000000000001</v>
      </c>
      <c r="Q42">
        <v>122.45</v>
      </c>
      <c r="R42">
        <v>123.84</v>
      </c>
      <c r="S42">
        <v>124.66</v>
      </c>
      <c r="AK42">
        <v>60.42</v>
      </c>
      <c r="AL42">
        <v>3.7134581053717614E-2</v>
      </c>
    </row>
    <row r="43" spans="12:38">
      <c r="L43" t="s">
        <v>85</v>
      </c>
      <c r="M43">
        <v>168</v>
      </c>
      <c r="N43">
        <v>137.09</v>
      </c>
      <c r="O43">
        <v>132.78</v>
      </c>
      <c r="P43">
        <v>127.28</v>
      </c>
      <c r="Q43">
        <v>119.17</v>
      </c>
      <c r="R43">
        <v>119.16</v>
      </c>
      <c r="S43">
        <v>119.12</v>
      </c>
      <c r="AK43">
        <v>59.683124999999997</v>
      </c>
      <c r="AL43">
        <v>4.2835221044934625E-2</v>
      </c>
    </row>
    <row r="44" spans="12:38">
      <c r="L44" t="s">
        <v>86</v>
      </c>
      <c r="M44">
        <v>166.91</v>
      </c>
      <c r="N44">
        <v>135.63</v>
      </c>
      <c r="O44">
        <v>130.96</v>
      </c>
      <c r="P44">
        <v>124</v>
      </c>
      <c r="Q44">
        <v>116.91</v>
      </c>
      <c r="R44">
        <v>117.79</v>
      </c>
      <c r="S44">
        <v>117.86</v>
      </c>
      <c r="AK44">
        <v>58.239999999999995</v>
      </c>
      <c r="AL44">
        <v>4.3591558370809226E-2</v>
      </c>
    </row>
    <row r="45" spans="12:38">
      <c r="L45" t="s">
        <v>87</v>
      </c>
      <c r="M45">
        <v>168.07</v>
      </c>
      <c r="N45">
        <v>133.97999999999999</v>
      </c>
      <c r="O45">
        <v>128.44</v>
      </c>
      <c r="P45">
        <v>121.63</v>
      </c>
      <c r="Q45">
        <v>115.67</v>
      </c>
      <c r="R45">
        <v>117.23</v>
      </c>
      <c r="S45">
        <v>118.03</v>
      </c>
      <c r="AK45">
        <v>63.22</v>
      </c>
      <c r="AL45">
        <v>4.4783678460604402E-2</v>
      </c>
    </row>
    <row r="46" spans="12:38">
      <c r="L46" t="s">
        <v>88</v>
      </c>
      <c r="M46">
        <v>161.66999999999999</v>
      </c>
      <c r="N46">
        <v>96.5</v>
      </c>
      <c r="O46">
        <v>90.33</v>
      </c>
      <c r="P46">
        <v>87.48</v>
      </c>
      <c r="Q46">
        <v>87.36</v>
      </c>
      <c r="R46">
        <v>87.39</v>
      </c>
      <c r="S46">
        <v>87.42</v>
      </c>
      <c r="AK46">
        <v>57.840625000000003</v>
      </c>
      <c r="AL46">
        <v>5.2907988780715912E-2</v>
      </c>
    </row>
    <row r="47" spans="12:38">
      <c r="L47" t="s">
        <v>89</v>
      </c>
      <c r="M47">
        <v>172.41</v>
      </c>
      <c r="N47">
        <v>105.72</v>
      </c>
      <c r="O47">
        <v>98.5</v>
      </c>
      <c r="P47">
        <v>95.43</v>
      </c>
      <c r="Q47">
        <v>95.43</v>
      </c>
      <c r="R47">
        <v>95.44</v>
      </c>
      <c r="S47">
        <v>95.44</v>
      </c>
      <c r="AK47">
        <v>61.400624999999998</v>
      </c>
      <c r="AL47">
        <v>5.1411069468139302E-2</v>
      </c>
    </row>
    <row r="48" spans="12:38">
      <c r="L48" t="s">
        <v>90</v>
      </c>
      <c r="M48">
        <v>165.8</v>
      </c>
      <c r="N48">
        <v>85.1</v>
      </c>
      <c r="O48">
        <v>80.59</v>
      </c>
      <c r="P48">
        <v>79.72</v>
      </c>
      <c r="Q48">
        <v>80.540000000000006</v>
      </c>
      <c r="R48">
        <v>80.569999999999993</v>
      </c>
      <c r="S48">
        <v>80.58</v>
      </c>
      <c r="AK48">
        <v>60.328125</v>
      </c>
      <c r="AL48">
        <v>5.9199866494875783E-2</v>
      </c>
    </row>
    <row r="49" spans="12:38">
      <c r="L49" t="s">
        <v>91</v>
      </c>
      <c r="M49">
        <v>169.08</v>
      </c>
      <c r="N49">
        <v>122.06</v>
      </c>
      <c r="O49">
        <v>115.46</v>
      </c>
      <c r="P49">
        <v>107.42</v>
      </c>
      <c r="Q49">
        <v>107.31</v>
      </c>
      <c r="R49">
        <v>107.19</v>
      </c>
      <c r="S49">
        <v>107.21</v>
      </c>
      <c r="AK49">
        <v>62.962500000000006</v>
      </c>
      <c r="AL49">
        <v>4.7794899009329865E-2</v>
      </c>
    </row>
    <row r="50" spans="12:38">
      <c r="L50" t="s">
        <v>92</v>
      </c>
      <c r="M50">
        <v>166.75</v>
      </c>
      <c r="N50">
        <v>117.37</v>
      </c>
      <c r="O50">
        <v>110.25</v>
      </c>
      <c r="P50">
        <v>102.67</v>
      </c>
      <c r="Q50">
        <v>102.98</v>
      </c>
      <c r="R50">
        <v>103.1</v>
      </c>
      <c r="S50">
        <v>103.11</v>
      </c>
      <c r="AK50">
        <v>60.255624999999995</v>
      </c>
      <c r="AL50">
        <v>4.9907242386045408E-2</v>
      </c>
    </row>
    <row r="51" spans="12:38">
      <c r="L51" t="s">
        <v>93</v>
      </c>
      <c r="M51">
        <v>184.85</v>
      </c>
      <c r="N51">
        <v>136.97</v>
      </c>
      <c r="O51">
        <v>128</v>
      </c>
      <c r="P51">
        <v>120.06</v>
      </c>
      <c r="Q51">
        <v>120.29</v>
      </c>
      <c r="R51">
        <v>120.64</v>
      </c>
      <c r="S51">
        <v>120.68</v>
      </c>
      <c r="AK51">
        <v>64.803124999999994</v>
      </c>
      <c r="AL51">
        <v>4.5463457642342497E-2</v>
      </c>
    </row>
  </sheetData>
  <phoneticPr fontId="3" type="noConversion"/>
  <pageMargins left="0.75" right="0.75" top="1" bottom="1" header="0.5" footer="0.5"/>
  <pageSetup scale="38" orientation="landscape" horizontalDpi="4294967292" verticalDpi="4294967292"/>
  <drawing r:id="rId4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>
      <selection activeCell="T1" sqref="T1:T25"/>
    </sheetView>
  </sheetViews>
  <sheetFormatPr baseColWidth="10" defaultRowHeight="15" x14ac:dyDescent="0"/>
  <cols>
    <col min="1" max="1" width="7.83203125" bestFit="1" customWidth="1"/>
    <col min="2" max="2" width="4.33203125" bestFit="1" customWidth="1"/>
    <col min="3" max="3" width="6.83203125" bestFit="1" customWidth="1"/>
    <col min="4" max="4" width="6.5" bestFit="1" customWidth="1"/>
    <col min="5" max="5" width="14.5" bestFit="1" customWidth="1"/>
    <col min="6" max="6" width="7.5" bestFit="1" customWidth="1"/>
    <col min="7" max="7" width="8.1640625" bestFit="1" customWidth="1"/>
    <col min="8" max="8" width="10.1640625" bestFit="1" customWidth="1"/>
    <col min="9" max="9" width="10.5" bestFit="1" customWidth="1"/>
    <col min="10" max="13" width="12.1640625" bestFit="1" customWidth="1"/>
    <col min="14" max="15" width="13.1640625" bestFit="1" customWidth="1"/>
    <col min="16" max="16" width="14.83203125" bestFit="1" customWidth="1"/>
    <col min="17" max="19" width="12.1640625" bestFit="1" customWidth="1"/>
  </cols>
  <sheetData>
    <row r="1" spans="1:20">
      <c r="A1" t="s">
        <v>12</v>
      </c>
      <c r="B1" t="s">
        <v>0</v>
      </c>
      <c r="C1" t="s">
        <v>106</v>
      </c>
      <c r="D1" t="s">
        <v>1</v>
      </c>
      <c r="E1" t="s">
        <v>7</v>
      </c>
      <c r="F1" t="s">
        <v>2</v>
      </c>
      <c r="G1" t="s">
        <v>69</v>
      </c>
      <c r="H1" t="s">
        <v>28</v>
      </c>
      <c r="I1" t="s">
        <v>29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95</v>
      </c>
      <c r="Q1" t="s">
        <v>96</v>
      </c>
      <c r="R1" t="s">
        <v>97</v>
      </c>
      <c r="S1" t="s">
        <v>98</v>
      </c>
      <c r="T1" t="s">
        <v>115</v>
      </c>
    </row>
    <row r="2" spans="1:20">
      <c r="A2" t="s">
        <v>13</v>
      </c>
      <c r="B2" t="s">
        <v>8</v>
      </c>
      <c r="C2">
        <v>2</v>
      </c>
      <c r="D2" s="1">
        <v>26</v>
      </c>
      <c r="E2">
        <v>38</v>
      </c>
      <c r="F2">
        <v>421</v>
      </c>
      <c r="G2" t="s">
        <v>70</v>
      </c>
      <c r="H2">
        <v>58.71</v>
      </c>
      <c r="I2">
        <v>165.18</v>
      </c>
      <c r="J2">
        <v>114.93</v>
      </c>
      <c r="K2">
        <v>109.31</v>
      </c>
      <c r="L2">
        <v>105.33</v>
      </c>
      <c r="M2">
        <v>101.34</v>
      </c>
      <c r="N2">
        <v>97.55</v>
      </c>
      <c r="O2">
        <v>99.11</v>
      </c>
      <c r="P2">
        <v>99.333333333333329</v>
      </c>
      <c r="Q2">
        <v>0.3986358316180329</v>
      </c>
      <c r="R2">
        <v>6.7743055555547471</v>
      </c>
      <c r="S2">
        <v>5.8845268839573132E-2</v>
      </c>
      <c r="T2">
        <v>1.0023040170256026E-3</v>
      </c>
    </row>
    <row r="3" spans="1:20">
      <c r="A3" t="s">
        <v>13</v>
      </c>
      <c r="B3" t="s">
        <v>8</v>
      </c>
      <c r="C3">
        <v>2</v>
      </c>
      <c r="D3" s="1">
        <v>27</v>
      </c>
      <c r="E3">
        <v>43</v>
      </c>
      <c r="F3">
        <v>420</v>
      </c>
      <c r="G3" t="s">
        <v>71</v>
      </c>
      <c r="H3">
        <v>60.725624999999994</v>
      </c>
      <c r="I3">
        <v>176.37</v>
      </c>
      <c r="J3">
        <v>136.16999999999999</v>
      </c>
      <c r="K3">
        <v>128.69</v>
      </c>
      <c r="L3">
        <v>124.3</v>
      </c>
      <c r="M3">
        <v>120.31</v>
      </c>
      <c r="N3">
        <v>115.75</v>
      </c>
      <c r="O3">
        <v>117.27</v>
      </c>
      <c r="P3">
        <v>117.77666666666666</v>
      </c>
      <c r="Q3">
        <v>0.3322182532932661</v>
      </c>
      <c r="R3">
        <v>6.7743055555547471</v>
      </c>
      <c r="S3">
        <v>4.904093129086215E-2</v>
      </c>
      <c r="T3">
        <v>8.0758215812290371E-4</v>
      </c>
    </row>
    <row r="4" spans="1:20">
      <c r="A4" t="s">
        <v>13</v>
      </c>
      <c r="B4" t="s">
        <v>8</v>
      </c>
      <c r="C4">
        <v>2</v>
      </c>
      <c r="D4" s="1">
        <v>28</v>
      </c>
      <c r="E4">
        <v>42</v>
      </c>
      <c r="F4">
        <v>419</v>
      </c>
      <c r="G4" t="s">
        <v>72</v>
      </c>
      <c r="H4">
        <v>57.11999999999999</v>
      </c>
      <c r="I4">
        <v>163.11000000000001</v>
      </c>
      <c r="J4">
        <v>122.09</v>
      </c>
      <c r="K4">
        <v>116</v>
      </c>
      <c r="L4">
        <v>111.78</v>
      </c>
      <c r="M4">
        <v>108</v>
      </c>
      <c r="N4">
        <v>103.33</v>
      </c>
      <c r="O4">
        <v>104.71</v>
      </c>
      <c r="P4">
        <v>105.34666666666665</v>
      </c>
      <c r="Q4">
        <v>0.35413728976355441</v>
      </c>
      <c r="R4">
        <v>6.7743055555547471</v>
      </c>
      <c r="S4">
        <v>5.2276545080428415E-2</v>
      </c>
      <c r="T4">
        <v>9.1520562115595977E-4</v>
      </c>
    </row>
    <row r="5" spans="1:20">
      <c r="A5" t="s">
        <v>13</v>
      </c>
      <c r="B5" t="s">
        <v>9</v>
      </c>
      <c r="C5">
        <v>1</v>
      </c>
      <c r="D5" s="1">
        <v>29</v>
      </c>
      <c r="E5">
        <v>42</v>
      </c>
      <c r="F5">
        <v>422</v>
      </c>
      <c r="G5" t="s">
        <v>73</v>
      </c>
      <c r="H5">
        <v>61.237499999999997</v>
      </c>
      <c r="I5">
        <v>172.09</v>
      </c>
      <c r="J5">
        <v>101.06</v>
      </c>
      <c r="K5">
        <v>95.98</v>
      </c>
      <c r="L5">
        <v>92.8</v>
      </c>
      <c r="M5">
        <v>88.95</v>
      </c>
      <c r="N5">
        <v>85.17</v>
      </c>
      <c r="O5">
        <v>86.74</v>
      </c>
      <c r="P5">
        <v>86.953333333333333</v>
      </c>
      <c r="Q5">
        <v>0.49472175412090574</v>
      </c>
      <c r="R5">
        <v>6.8055555555547471</v>
      </c>
      <c r="S5">
        <v>7.269380876879479E-2</v>
      </c>
      <c r="T5">
        <v>1.1870799553997924E-3</v>
      </c>
    </row>
    <row r="6" spans="1:20">
      <c r="A6" t="s">
        <v>13</v>
      </c>
      <c r="B6" t="s">
        <v>9</v>
      </c>
      <c r="C6">
        <v>1</v>
      </c>
      <c r="D6" s="1">
        <v>30</v>
      </c>
      <c r="E6">
        <v>38</v>
      </c>
      <c r="F6">
        <v>423</v>
      </c>
      <c r="G6" t="s">
        <v>74</v>
      </c>
      <c r="H6">
        <v>60.580624999999998</v>
      </c>
      <c r="I6">
        <v>161.65</v>
      </c>
      <c r="J6">
        <v>92.48</v>
      </c>
      <c r="K6">
        <v>88.12</v>
      </c>
      <c r="L6">
        <v>84.44</v>
      </c>
      <c r="M6">
        <v>82.2</v>
      </c>
      <c r="N6">
        <v>80.22</v>
      </c>
      <c r="O6">
        <v>81.72</v>
      </c>
      <c r="P6">
        <v>81.38000000000001</v>
      </c>
      <c r="Q6">
        <v>0.49656665635632535</v>
      </c>
      <c r="R6">
        <v>6.8055555555547471</v>
      </c>
      <c r="S6">
        <v>7.2964896444203411E-2</v>
      </c>
      <c r="T6">
        <v>1.2044262739812179E-3</v>
      </c>
    </row>
    <row r="7" spans="1:20">
      <c r="A7" t="s">
        <v>13</v>
      </c>
      <c r="B7" t="s">
        <v>9</v>
      </c>
      <c r="C7">
        <v>1</v>
      </c>
      <c r="D7" s="1">
        <v>15</v>
      </c>
      <c r="E7">
        <v>42</v>
      </c>
      <c r="F7">
        <v>424</v>
      </c>
      <c r="G7" t="s">
        <v>75</v>
      </c>
      <c r="H7">
        <v>61.480000000000004</v>
      </c>
      <c r="I7">
        <v>176.05</v>
      </c>
      <c r="J7">
        <v>120.81</v>
      </c>
      <c r="K7">
        <v>115.16</v>
      </c>
      <c r="L7">
        <v>111.61</v>
      </c>
      <c r="M7">
        <v>108</v>
      </c>
      <c r="N7">
        <v>103.58</v>
      </c>
      <c r="O7">
        <v>104.42</v>
      </c>
      <c r="P7">
        <v>105.33333333333333</v>
      </c>
      <c r="Q7">
        <v>0.40168512733125067</v>
      </c>
      <c r="R7">
        <v>6.8055555555547471</v>
      </c>
      <c r="S7">
        <v>5.9023120750721393E-2</v>
      </c>
      <c r="T7">
        <v>9.6003774805987951E-4</v>
      </c>
    </row>
    <row r="8" spans="1:20">
      <c r="A8" t="s">
        <v>13</v>
      </c>
      <c r="B8" t="s">
        <v>10</v>
      </c>
      <c r="C8">
        <v>1</v>
      </c>
      <c r="D8" s="1">
        <v>31</v>
      </c>
      <c r="E8">
        <v>51</v>
      </c>
      <c r="F8">
        <v>425</v>
      </c>
      <c r="G8" t="s">
        <v>76</v>
      </c>
      <c r="H8">
        <v>57.605625000000003</v>
      </c>
      <c r="I8">
        <v>169.49</v>
      </c>
      <c r="J8">
        <v>92.38</v>
      </c>
      <c r="K8">
        <v>87.25</v>
      </c>
      <c r="L8">
        <v>83.4</v>
      </c>
      <c r="M8">
        <v>81.47</v>
      </c>
      <c r="N8">
        <v>78.61</v>
      </c>
      <c r="O8">
        <v>80.17</v>
      </c>
      <c r="P8">
        <v>80.083333333333329</v>
      </c>
      <c r="Q8">
        <v>0.52750408087006118</v>
      </c>
      <c r="R8">
        <v>6.7604166666715173</v>
      </c>
      <c r="S8">
        <v>7.8028338618627943E-2</v>
      </c>
      <c r="T8">
        <v>1.354526378606741E-3</v>
      </c>
    </row>
    <row r="9" spans="1:20">
      <c r="A9" t="s">
        <v>13</v>
      </c>
      <c r="B9" t="s">
        <v>10</v>
      </c>
      <c r="C9">
        <v>1</v>
      </c>
      <c r="D9" s="1">
        <v>32</v>
      </c>
      <c r="E9">
        <v>43</v>
      </c>
      <c r="F9">
        <v>426</v>
      </c>
      <c r="G9" t="s">
        <v>77</v>
      </c>
      <c r="H9">
        <v>62.803125000000001</v>
      </c>
      <c r="I9">
        <v>171.77</v>
      </c>
      <c r="J9">
        <v>75.12</v>
      </c>
      <c r="K9">
        <v>70.84</v>
      </c>
      <c r="L9">
        <v>68.150000000000006</v>
      </c>
      <c r="M9">
        <v>66.86</v>
      </c>
      <c r="N9">
        <v>64.75</v>
      </c>
      <c r="O9">
        <v>65.73</v>
      </c>
      <c r="P9">
        <v>65.780000000000015</v>
      </c>
      <c r="Q9">
        <v>0.61704604995051515</v>
      </c>
      <c r="R9">
        <v>6.7604166666715173</v>
      </c>
      <c r="S9">
        <v>9.1273375647468333E-2</v>
      </c>
      <c r="T9">
        <v>1.4533253822555539E-3</v>
      </c>
    </row>
    <row r="10" spans="1:20">
      <c r="A10" t="s">
        <v>13</v>
      </c>
      <c r="B10" t="s">
        <v>10</v>
      </c>
      <c r="C10">
        <v>1</v>
      </c>
      <c r="D10" s="1">
        <v>33</v>
      </c>
      <c r="E10">
        <v>47</v>
      </c>
      <c r="F10">
        <v>427</v>
      </c>
      <c r="G10" t="s">
        <v>78</v>
      </c>
      <c r="H10">
        <v>58.9375</v>
      </c>
      <c r="I10">
        <v>164.25</v>
      </c>
      <c r="J10">
        <v>28.95</v>
      </c>
      <c r="K10">
        <v>26.52</v>
      </c>
      <c r="L10">
        <v>26.15</v>
      </c>
      <c r="M10">
        <v>26.1</v>
      </c>
      <c r="N10">
        <v>24.87</v>
      </c>
      <c r="O10">
        <v>25.31</v>
      </c>
      <c r="P10">
        <v>25.426666666666666</v>
      </c>
      <c r="Q10">
        <v>0.84519533231861999</v>
      </c>
      <c r="R10">
        <v>6.7604166666715173</v>
      </c>
      <c r="S10">
        <v>0.12502118937215609</v>
      </c>
      <c r="T10">
        <v>2.1212502968764556E-3</v>
      </c>
    </row>
    <row r="11" spans="1:20">
      <c r="A11" t="s">
        <v>13</v>
      </c>
      <c r="B11" t="s">
        <v>11</v>
      </c>
      <c r="C11">
        <v>1</v>
      </c>
      <c r="D11" s="1">
        <v>34</v>
      </c>
      <c r="E11">
        <v>42</v>
      </c>
      <c r="F11">
        <v>428</v>
      </c>
      <c r="G11" t="s">
        <v>79</v>
      </c>
      <c r="H11">
        <v>63.22</v>
      </c>
      <c r="I11">
        <v>178.36</v>
      </c>
      <c r="J11">
        <v>98.68</v>
      </c>
      <c r="K11">
        <v>94.15</v>
      </c>
      <c r="L11">
        <v>88.92</v>
      </c>
      <c r="M11">
        <v>84.98</v>
      </c>
      <c r="N11">
        <v>86.5</v>
      </c>
      <c r="O11">
        <v>86.82</v>
      </c>
      <c r="P11">
        <v>86.100000000000009</v>
      </c>
      <c r="Q11">
        <v>0.51726844583987441</v>
      </c>
      <c r="R11">
        <v>7.7708333333357587</v>
      </c>
      <c r="S11">
        <v>6.6565376408327673E-2</v>
      </c>
      <c r="T11">
        <v>1.0529164253136297E-3</v>
      </c>
    </row>
    <row r="12" spans="1:20">
      <c r="A12" t="s">
        <v>13</v>
      </c>
      <c r="B12" t="s">
        <v>11</v>
      </c>
      <c r="C12">
        <v>1</v>
      </c>
      <c r="D12" s="1">
        <v>35</v>
      </c>
      <c r="E12">
        <v>42</v>
      </c>
      <c r="F12">
        <v>429</v>
      </c>
      <c r="G12" t="s">
        <v>80</v>
      </c>
      <c r="H12">
        <v>60.255624999999995</v>
      </c>
      <c r="I12">
        <v>165.62</v>
      </c>
      <c r="J12">
        <v>77.61</v>
      </c>
      <c r="K12">
        <v>73.75</v>
      </c>
      <c r="L12">
        <v>69.37</v>
      </c>
      <c r="M12">
        <v>66.94</v>
      </c>
      <c r="N12">
        <v>68.5</v>
      </c>
      <c r="O12">
        <v>68.52</v>
      </c>
      <c r="P12">
        <v>67.986666666666665</v>
      </c>
      <c r="Q12">
        <v>0.5895020730185565</v>
      </c>
      <c r="R12">
        <v>7.7708333333357587</v>
      </c>
      <c r="S12">
        <v>7.5860856581452765E-2</v>
      </c>
      <c r="T12">
        <v>1.2589838140663677E-3</v>
      </c>
    </row>
    <row r="13" spans="1:20">
      <c r="A13" t="s">
        <v>13</v>
      </c>
      <c r="B13" t="s">
        <v>11</v>
      </c>
      <c r="C13">
        <v>1</v>
      </c>
      <c r="D13" s="1">
        <v>36</v>
      </c>
      <c r="E13">
        <v>44</v>
      </c>
      <c r="F13">
        <v>430</v>
      </c>
      <c r="G13" t="s">
        <v>81</v>
      </c>
      <c r="H13">
        <v>60.42</v>
      </c>
      <c r="I13">
        <v>163.92</v>
      </c>
      <c r="J13">
        <v>81.41</v>
      </c>
      <c r="K13">
        <v>77.23</v>
      </c>
      <c r="L13">
        <v>73.510000000000005</v>
      </c>
      <c r="M13">
        <v>71.91</v>
      </c>
      <c r="N13">
        <v>73.36</v>
      </c>
      <c r="O13">
        <v>73.42</v>
      </c>
      <c r="P13">
        <v>72.896666666666661</v>
      </c>
      <c r="Q13">
        <v>0.55529119895884171</v>
      </c>
      <c r="R13">
        <v>7.7708333333357587</v>
      </c>
      <c r="S13">
        <v>7.145838485259004E-2</v>
      </c>
      <c r="T13">
        <v>1.1826942213272102E-3</v>
      </c>
    </row>
    <row r="14" spans="1:20">
      <c r="A14" s="8" t="s">
        <v>18</v>
      </c>
      <c r="B14" s="8" t="s">
        <v>14</v>
      </c>
      <c r="C14" s="8">
        <v>2</v>
      </c>
      <c r="D14" s="9">
        <v>37</v>
      </c>
      <c r="E14">
        <v>43</v>
      </c>
      <c r="F14">
        <v>431</v>
      </c>
      <c r="G14" t="s">
        <v>82</v>
      </c>
      <c r="H14">
        <v>61.8125</v>
      </c>
      <c r="I14">
        <v>165.73</v>
      </c>
      <c r="J14" s="8">
        <v>143.65</v>
      </c>
      <c r="K14" s="8">
        <v>138.54</v>
      </c>
      <c r="L14" s="8">
        <v>131.74</v>
      </c>
      <c r="M14" s="8">
        <v>125.1</v>
      </c>
      <c r="N14" s="8">
        <v>125.72</v>
      </c>
      <c r="O14" s="8">
        <v>125.69</v>
      </c>
      <c r="P14">
        <v>125.50333333333333</v>
      </c>
      <c r="Q14">
        <v>0.24272410949536391</v>
      </c>
      <c r="R14">
        <v>6.7986111111094942</v>
      </c>
      <c r="S14">
        <v>3.5702014062656502E-2</v>
      </c>
      <c r="T14">
        <v>5.7758566734328006E-4</v>
      </c>
    </row>
    <row r="15" spans="1:20">
      <c r="A15" s="8" t="s">
        <v>18</v>
      </c>
      <c r="B15" s="8" t="s">
        <v>14</v>
      </c>
      <c r="C15" s="8">
        <v>2</v>
      </c>
      <c r="D15" s="9">
        <v>38</v>
      </c>
      <c r="E15">
        <v>45</v>
      </c>
      <c r="F15">
        <v>432</v>
      </c>
      <c r="G15" t="s">
        <v>83</v>
      </c>
      <c r="H15">
        <v>57.59812500000001</v>
      </c>
      <c r="I15">
        <v>156.33000000000001</v>
      </c>
      <c r="J15" s="8">
        <v>132.80000000000001</v>
      </c>
      <c r="K15" s="8">
        <v>128.36000000000001</v>
      </c>
      <c r="L15" s="8">
        <v>120.95</v>
      </c>
      <c r="M15" s="8">
        <v>114.67</v>
      </c>
      <c r="N15" s="8">
        <v>115.66</v>
      </c>
      <c r="O15" s="8">
        <v>115.6</v>
      </c>
      <c r="P15">
        <v>115.30999999999999</v>
      </c>
      <c r="Q15">
        <v>0.26239365444892226</v>
      </c>
      <c r="R15">
        <v>6.7986111111094942</v>
      </c>
      <c r="S15">
        <v>3.8595185128349127E-2</v>
      </c>
      <c r="T15">
        <v>6.7007710977308932E-4</v>
      </c>
    </row>
    <row r="16" spans="1:20">
      <c r="A16" s="8" t="s">
        <v>18</v>
      </c>
      <c r="B16" s="8" t="s">
        <v>14</v>
      </c>
      <c r="C16" s="8">
        <v>2</v>
      </c>
      <c r="D16" s="9">
        <v>39</v>
      </c>
      <c r="E16">
        <v>41</v>
      </c>
      <c r="F16">
        <v>433</v>
      </c>
      <c r="G16" t="s">
        <v>84</v>
      </c>
      <c r="H16">
        <v>60.42</v>
      </c>
      <c r="I16">
        <v>165.41</v>
      </c>
      <c r="J16" s="8">
        <v>141.74</v>
      </c>
      <c r="K16" s="8">
        <v>136.31</v>
      </c>
      <c r="L16" s="8">
        <v>129.83000000000001</v>
      </c>
      <c r="M16" s="8">
        <v>122.45</v>
      </c>
      <c r="N16" s="8">
        <v>123.84</v>
      </c>
      <c r="O16" s="8">
        <v>124.66</v>
      </c>
      <c r="P16">
        <v>123.65000000000002</v>
      </c>
      <c r="Q16">
        <v>0.25246357535820069</v>
      </c>
      <c r="R16">
        <v>6.7986111111094942</v>
      </c>
      <c r="S16">
        <v>3.7134581053717614E-2</v>
      </c>
      <c r="T16">
        <v>6.1460743220320441E-4</v>
      </c>
    </row>
    <row r="17" spans="1:20">
      <c r="A17" s="8" t="s">
        <v>18</v>
      </c>
      <c r="B17" s="8" t="s">
        <v>17</v>
      </c>
      <c r="C17" s="8">
        <v>2</v>
      </c>
      <c r="D17" s="9">
        <v>40</v>
      </c>
      <c r="E17">
        <v>46</v>
      </c>
      <c r="F17">
        <v>434</v>
      </c>
      <c r="G17" t="s">
        <v>85</v>
      </c>
      <c r="H17">
        <v>59.683124999999997</v>
      </c>
      <c r="I17">
        <v>168</v>
      </c>
      <c r="J17" s="8">
        <v>137.09</v>
      </c>
      <c r="K17" s="8">
        <v>132.78</v>
      </c>
      <c r="L17" s="8">
        <v>127.28</v>
      </c>
      <c r="M17" s="8">
        <v>119.17</v>
      </c>
      <c r="N17" s="8">
        <v>119.16</v>
      </c>
      <c r="O17" s="8">
        <v>119.12</v>
      </c>
      <c r="P17">
        <v>119.14999999999999</v>
      </c>
      <c r="Q17">
        <v>0.2907738095238096</v>
      </c>
      <c r="R17">
        <v>6.7881944444452529</v>
      </c>
      <c r="S17">
        <v>4.2835221044934625E-2</v>
      </c>
      <c r="T17">
        <v>7.177107607038778E-4</v>
      </c>
    </row>
    <row r="18" spans="1:20">
      <c r="A18" s="8" t="s">
        <v>18</v>
      </c>
      <c r="B18" s="8" t="s">
        <v>17</v>
      </c>
      <c r="C18" s="8">
        <v>2</v>
      </c>
      <c r="D18" s="9">
        <v>41</v>
      </c>
      <c r="E18">
        <v>34</v>
      </c>
      <c r="F18">
        <v>435</v>
      </c>
      <c r="G18" t="s">
        <v>86</v>
      </c>
      <c r="H18">
        <v>58.239999999999995</v>
      </c>
      <c r="I18">
        <v>166.91</v>
      </c>
      <c r="J18" s="8">
        <v>135.63</v>
      </c>
      <c r="K18" s="8">
        <v>130.96</v>
      </c>
      <c r="L18" s="8">
        <v>124</v>
      </c>
      <c r="M18" s="8">
        <v>116.91</v>
      </c>
      <c r="N18" s="8">
        <v>117.79</v>
      </c>
      <c r="O18" s="8">
        <v>117.86</v>
      </c>
      <c r="P18">
        <v>117.52</v>
      </c>
      <c r="Q18">
        <v>0.29590797435743815</v>
      </c>
      <c r="R18">
        <v>6.7881944444452529</v>
      </c>
      <c r="S18">
        <v>4.3591558370809226E-2</v>
      </c>
      <c r="T18">
        <v>7.4848142807021345E-4</v>
      </c>
    </row>
    <row r="19" spans="1:20">
      <c r="A19" s="8" t="s">
        <v>18</v>
      </c>
      <c r="B19" s="8" t="s">
        <v>17</v>
      </c>
      <c r="C19" s="8">
        <v>2</v>
      </c>
      <c r="D19" s="9">
        <v>42</v>
      </c>
      <c r="E19">
        <v>37</v>
      </c>
      <c r="F19">
        <v>436</v>
      </c>
      <c r="G19" t="s">
        <v>87</v>
      </c>
      <c r="H19">
        <v>63.22</v>
      </c>
      <c r="I19">
        <v>168.07</v>
      </c>
      <c r="J19" s="8">
        <v>133.97999999999999</v>
      </c>
      <c r="K19" s="8">
        <v>128.44</v>
      </c>
      <c r="L19" s="8">
        <v>121.63</v>
      </c>
      <c r="M19" s="8">
        <v>115.67</v>
      </c>
      <c r="N19" s="8">
        <v>117.23</v>
      </c>
      <c r="O19" s="8">
        <v>118.03</v>
      </c>
      <c r="P19">
        <v>116.97666666666667</v>
      </c>
      <c r="Q19">
        <v>0.30400031732809735</v>
      </c>
      <c r="R19">
        <v>6.7881944444452529</v>
      </c>
      <c r="S19">
        <v>4.4783678460604402E-2</v>
      </c>
      <c r="T19">
        <v>7.0837833692825695E-4</v>
      </c>
    </row>
    <row r="20" spans="1:20">
      <c r="A20" s="8" t="s">
        <v>18</v>
      </c>
      <c r="B20" s="8" t="s">
        <v>16</v>
      </c>
      <c r="C20" s="8">
        <v>2</v>
      </c>
      <c r="D20" s="9">
        <v>43</v>
      </c>
      <c r="E20" s="15">
        <v>47</v>
      </c>
      <c r="F20">
        <v>437</v>
      </c>
      <c r="G20" t="s">
        <v>88</v>
      </c>
      <c r="H20">
        <v>57.840625000000003</v>
      </c>
      <c r="I20">
        <v>161.66999999999999</v>
      </c>
      <c r="J20" s="8">
        <v>96.5</v>
      </c>
      <c r="K20" s="8">
        <v>90.33</v>
      </c>
      <c r="L20" s="8">
        <v>87.48</v>
      </c>
      <c r="M20" s="8">
        <v>87.36</v>
      </c>
      <c r="N20" s="8">
        <v>87.39</v>
      </c>
      <c r="O20" s="8">
        <v>87.42</v>
      </c>
      <c r="P20">
        <v>87.39</v>
      </c>
      <c r="Q20">
        <v>0.45945444423826309</v>
      </c>
      <c r="R20">
        <v>8.5694444444452529</v>
      </c>
      <c r="S20">
        <v>5.3615429473503763E-2</v>
      </c>
      <c r="T20">
        <v>9.2695107415426028E-4</v>
      </c>
    </row>
    <row r="21" spans="1:20">
      <c r="A21" s="8" t="s">
        <v>18</v>
      </c>
      <c r="B21" s="8" t="s">
        <v>16</v>
      </c>
      <c r="C21" s="8">
        <v>2</v>
      </c>
      <c r="D21" s="9">
        <v>44</v>
      </c>
      <c r="E21" s="15">
        <v>52</v>
      </c>
      <c r="F21">
        <v>438</v>
      </c>
      <c r="G21" t="s">
        <v>89</v>
      </c>
      <c r="H21">
        <v>61.400624999999998</v>
      </c>
      <c r="I21">
        <v>172.41</v>
      </c>
      <c r="J21" s="8">
        <v>105.72</v>
      </c>
      <c r="K21" s="8">
        <v>98.5</v>
      </c>
      <c r="L21" s="8">
        <v>95.43</v>
      </c>
      <c r="M21" s="8">
        <v>95.43</v>
      </c>
      <c r="N21" s="8">
        <v>95.44</v>
      </c>
      <c r="O21" s="8">
        <v>95.44</v>
      </c>
      <c r="P21">
        <v>95.436666666666667</v>
      </c>
      <c r="Q21">
        <v>0.44645515534675095</v>
      </c>
      <c r="R21">
        <v>8.5694444444452529</v>
      </c>
      <c r="S21">
        <v>5.2098494627168618E-2</v>
      </c>
      <c r="T21">
        <v>8.485010474595107E-4</v>
      </c>
    </row>
    <row r="22" spans="1:20">
      <c r="A22" s="8" t="s">
        <v>18</v>
      </c>
      <c r="B22" s="8" t="s">
        <v>16</v>
      </c>
      <c r="C22" s="8">
        <v>2</v>
      </c>
      <c r="D22" s="9">
        <v>45</v>
      </c>
      <c r="E22" s="15">
        <v>43</v>
      </c>
      <c r="F22">
        <v>439</v>
      </c>
      <c r="G22" t="s">
        <v>90</v>
      </c>
      <c r="H22">
        <v>60.328125</v>
      </c>
      <c r="I22">
        <v>165.8</v>
      </c>
      <c r="J22" s="8">
        <v>85.1</v>
      </c>
      <c r="K22" s="8">
        <v>80.59</v>
      </c>
      <c r="L22" s="8">
        <v>79.72</v>
      </c>
      <c r="M22" s="8">
        <v>80.540000000000006</v>
      </c>
      <c r="N22" s="8">
        <v>80.569999999999993</v>
      </c>
      <c r="O22" s="8">
        <v>80.58</v>
      </c>
      <c r="P22">
        <v>80.563333333333333</v>
      </c>
      <c r="Q22">
        <v>0.51409328508242869</v>
      </c>
      <c r="R22">
        <v>8.5694444444452529</v>
      </c>
      <c r="S22">
        <v>5.999143683295198E-2</v>
      </c>
      <c r="T22">
        <v>9.9441905136206333E-4</v>
      </c>
    </row>
    <row r="23" spans="1:20">
      <c r="A23" s="8" t="s">
        <v>18</v>
      </c>
      <c r="B23" s="8" t="s">
        <v>15</v>
      </c>
      <c r="C23" s="8">
        <v>2</v>
      </c>
      <c r="D23" s="9">
        <v>46</v>
      </c>
      <c r="E23">
        <v>42</v>
      </c>
      <c r="F23">
        <v>440</v>
      </c>
      <c r="G23" t="s">
        <v>91</v>
      </c>
      <c r="H23">
        <v>62.962500000000006</v>
      </c>
      <c r="I23">
        <v>169.08</v>
      </c>
      <c r="J23" s="8">
        <v>122.06</v>
      </c>
      <c r="K23" s="8">
        <v>115.46</v>
      </c>
      <c r="L23" s="8">
        <v>107.42</v>
      </c>
      <c r="M23" s="8">
        <v>107.31</v>
      </c>
      <c r="N23" s="8">
        <v>107.19</v>
      </c>
      <c r="O23" s="8">
        <v>107.21</v>
      </c>
      <c r="P23">
        <v>107.23666666666666</v>
      </c>
      <c r="Q23">
        <v>0.36576374102988729</v>
      </c>
      <c r="R23">
        <v>7.5694444444452529</v>
      </c>
      <c r="S23">
        <v>4.8321081383759769E-2</v>
      </c>
      <c r="T23">
        <v>7.6745811211053824E-4</v>
      </c>
    </row>
    <row r="24" spans="1:20">
      <c r="A24" s="8" t="s">
        <v>18</v>
      </c>
      <c r="B24" s="8" t="s">
        <v>15</v>
      </c>
      <c r="C24" s="8">
        <v>2</v>
      </c>
      <c r="D24" s="9">
        <v>47</v>
      </c>
      <c r="E24">
        <v>44</v>
      </c>
      <c r="F24">
        <v>441</v>
      </c>
      <c r="G24" t="s">
        <v>92</v>
      </c>
      <c r="H24">
        <v>60.255624999999995</v>
      </c>
      <c r="I24">
        <v>166.75</v>
      </c>
      <c r="J24" s="8">
        <v>117.37</v>
      </c>
      <c r="K24" s="8">
        <v>110.25</v>
      </c>
      <c r="L24" s="8">
        <v>102.67</v>
      </c>
      <c r="M24" s="8">
        <v>102.98</v>
      </c>
      <c r="N24" s="8">
        <v>103.1</v>
      </c>
      <c r="O24" s="8">
        <v>103.11</v>
      </c>
      <c r="P24">
        <v>103.06333333333333</v>
      </c>
      <c r="Q24">
        <v>0.38192903548225887</v>
      </c>
      <c r="R24">
        <v>7.5694444444452529</v>
      </c>
      <c r="S24">
        <v>5.0456679916916887E-2</v>
      </c>
      <c r="T24">
        <v>8.3737708997154859E-4</v>
      </c>
    </row>
    <row r="25" spans="1:20">
      <c r="A25" s="8" t="s">
        <v>18</v>
      </c>
      <c r="B25" s="8" t="s">
        <v>15</v>
      </c>
      <c r="C25" s="8">
        <v>2</v>
      </c>
      <c r="D25" s="9">
        <v>48</v>
      </c>
      <c r="E25">
        <v>38</v>
      </c>
      <c r="F25">
        <v>442</v>
      </c>
      <c r="G25" t="s">
        <v>93</v>
      </c>
      <c r="H25">
        <v>64.803124999999994</v>
      </c>
      <c r="I25">
        <v>184.85</v>
      </c>
      <c r="J25" s="8">
        <v>136.97</v>
      </c>
      <c r="K25" s="8">
        <v>128</v>
      </c>
      <c r="L25" s="8">
        <v>120.06</v>
      </c>
      <c r="M25" s="8">
        <v>120.29</v>
      </c>
      <c r="N25" s="8">
        <v>120.64</v>
      </c>
      <c r="O25" s="8">
        <v>120.68</v>
      </c>
      <c r="P25">
        <v>120.53666666666668</v>
      </c>
      <c r="Q25">
        <v>0.34792173834640694</v>
      </c>
      <c r="R25">
        <v>7.5694444444452529</v>
      </c>
      <c r="S25">
        <v>4.5963972772364449E-2</v>
      </c>
      <c r="T25">
        <v>7.0928636192104093E-4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>
      <selection activeCell="N21" sqref="N21"/>
    </sheetView>
  </sheetViews>
  <sheetFormatPr baseColWidth="10" defaultRowHeight="20" customHeight="1" x14ac:dyDescent="0"/>
  <cols>
    <col min="1" max="1" width="4.33203125" bestFit="1" customWidth="1"/>
    <col min="2" max="2" width="6.5" style="1" bestFit="1" customWidth="1"/>
    <col min="3" max="3" width="10.1640625" style="1" bestFit="1" customWidth="1"/>
    <col min="4" max="4" width="14.5" style="1" bestFit="1" customWidth="1"/>
    <col min="5" max="5" width="4.6640625" style="1" bestFit="1" customWidth="1"/>
    <col min="6" max="6" width="10" style="1" bestFit="1" customWidth="1"/>
    <col min="7" max="7" width="5.6640625" style="1" bestFit="1" customWidth="1"/>
    <col min="8" max="8" width="7.5" style="1" bestFit="1" customWidth="1"/>
    <col min="9" max="9" width="9.33203125" style="1" bestFit="1" customWidth="1"/>
    <col min="10" max="10" width="9.5" style="1" bestFit="1" customWidth="1"/>
    <col min="11" max="11" width="16.33203125" style="1" bestFit="1" customWidth="1"/>
    <col min="12" max="12" width="17.33203125" bestFit="1" customWidth="1"/>
  </cols>
  <sheetData>
    <row r="1" spans="1:12" ht="20" customHeight="1">
      <c r="A1" s="2" t="s">
        <v>0</v>
      </c>
      <c r="B1" s="3" t="s">
        <v>1</v>
      </c>
      <c r="C1" s="3" t="s">
        <v>6</v>
      </c>
      <c r="D1" s="3" t="s">
        <v>38</v>
      </c>
      <c r="E1" s="3" t="s">
        <v>5</v>
      </c>
      <c r="F1" s="3" t="s">
        <v>46</v>
      </c>
      <c r="G1" s="3" t="s">
        <v>45</v>
      </c>
      <c r="H1" s="3" t="s">
        <v>2</v>
      </c>
      <c r="I1" s="3" t="s">
        <v>3</v>
      </c>
      <c r="J1" s="3" t="s">
        <v>19</v>
      </c>
      <c r="K1" s="3" t="s">
        <v>49</v>
      </c>
      <c r="L1" s="2" t="s">
        <v>31</v>
      </c>
    </row>
    <row r="2" spans="1:12" ht="20" customHeight="1">
      <c r="A2" s="2" t="s">
        <v>8</v>
      </c>
      <c r="B2" s="3"/>
      <c r="C2" s="3"/>
      <c r="D2" s="3"/>
      <c r="E2" s="3"/>
      <c r="F2" s="3"/>
      <c r="G2" s="3" t="s">
        <v>36</v>
      </c>
      <c r="H2" s="3"/>
      <c r="I2" s="4">
        <v>41117</v>
      </c>
      <c r="J2" s="3">
        <v>1800</v>
      </c>
      <c r="K2" s="3"/>
      <c r="L2" s="2"/>
    </row>
    <row r="3" spans="1:12" ht="20" customHeight="1">
      <c r="A3" s="2" t="s">
        <v>8</v>
      </c>
      <c r="B3" s="3"/>
      <c r="C3" s="3"/>
      <c r="D3" s="3"/>
      <c r="E3" s="3"/>
      <c r="F3" s="3"/>
      <c r="G3" s="3" t="s">
        <v>36</v>
      </c>
      <c r="H3" s="3"/>
      <c r="I3" s="4">
        <v>41117</v>
      </c>
      <c r="J3" s="3">
        <v>1800</v>
      </c>
      <c r="K3" s="3"/>
      <c r="L3" s="2"/>
    </row>
    <row r="4" spans="1:12" ht="20" customHeight="1">
      <c r="A4" s="2" t="s">
        <v>8</v>
      </c>
      <c r="B4" s="3"/>
      <c r="C4" s="3"/>
      <c r="D4" s="3"/>
      <c r="E4" s="3"/>
      <c r="F4" s="3"/>
      <c r="G4" s="3" t="s">
        <v>36</v>
      </c>
      <c r="H4" s="3"/>
      <c r="I4" s="4">
        <v>41117</v>
      </c>
      <c r="J4" s="3">
        <v>1800</v>
      </c>
      <c r="K4" s="3"/>
      <c r="L4" s="2"/>
    </row>
    <row r="5" spans="1:12" ht="20" customHeight="1">
      <c r="A5" s="2" t="s">
        <v>9</v>
      </c>
      <c r="B5" s="3"/>
      <c r="C5" s="3"/>
      <c r="D5" s="3"/>
      <c r="E5" s="3"/>
      <c r="F5" s="3"/>
      <c r="G5" s="3" t="s">
        <v>36</v>
      </c>
      <c r="H5" s="3"/>
      <c r="I5" s="4">
        <v>41117</v>
      </c>
      <c r="J5" s="3">
        <v>1830</v>
      </c>
      <c r="K5" s="3"/>
      <c r="L5" s="2"/>
    </row>
    <row r="6" spans="1:12" ht="20" customHeight="1">
      <c r="A6" s="2" t="s">
        <v>9</v>
      </c>
      <c r="B6" s="3"/>
      <c r="C6" s="3"/>
      <c r="D6" s="3"/>
      <c r="E6" s="3"/>
      <c r="F6" s="3"/>
      <c r="G6" s="3" t="s">
        <v>36</v>
      </c>
      <c r="H6" s="3"/>
      <c r="I6" s="4">
        <v>41117</v>
      </c>
      <c r="J6" s="3">
        <v>1830</v>
      </c>
      <c r="K6" s="3"/>
      <c r="L6" s="2"/>
    </row>
    <row r="7" spans="1:12" ht="20" customHeight="1">
      <c r="A7" s="2" t="s">
        <v>9</v>
      </c>
      <c r="B7" s="3"/>
      <c r="C7" s="3"/>
      <c r="D7" s="3"/>
      <c r="E7" s="3"/>
      <c r="F7" s="3"/>
      <c r="G7" s="3" t="s">
        <v>36</v>
      </c>
      <c r="H7" s="3"/>
      <c r="I7" s="4">
        <v>41117</v>
      </c>
      <c r="J7" s="3">
        <v>1830</v>
      </c>
      <c r="K7" s="3"/>
      <c r="L7" s="2" t="s">
        <v>32</v>
      </c>
    </row>
    <row r="8" spans="1:12" ht="20" customHeight="1">
      <c r="A8" s="2" t="s">
        <v>10</v>
      </c>
      <c r="B8" s="3"/>
      <c r="C8" s="3"/>
      <c r="D8" s="3"/>
      <c r="E8" s="3"/>
      <c r="F8" s="3"/>
      <c r="G8" s="3" t="s">
        <v>36</v>
      </c>
      <c r="H8" s="3"/>
      <c r="I8" s="4">
        <v>41117</v>
      </c>
      <c r="J8" s="3">
        <v>1900</v>
      </c>
      <c r="K8" s="3"/>
      <c r="L8" s="2"/>
    </row>
    <row r="9" spans="1:12" ht="20" customHeight="1">
      <c r="A9" s="2" t="s">
        <v>10</v>
      </c>
      <c r="B9" s="3"/>
      <c r="C9" s="3"/>
      <c r="D9" s="3"/>
      <c r="E9" s="3"/>
      <c r="F9" s="3"/>
      <c r="G9" s="3" t="s">
        <v>36</v>
      </c>
      <c r="H9" s="3"/>
      <c r="I9" s="4">
        <v>41117</v>
      </c>
      <c r="J9" s="3">
        <v>1900</v>
      </c>
      <c r="K9" s="3"/>
      <c r="L9" s="2"/>
    </row>
    <row r="10" spans="1:12" ht="20" customHeight="1">
      <c r="A10" s="2" t="s">
        <v>10</v>
      </c>
      <c r="B10" s="3"/>
      <c r="C10" s="3"/>
      <c r="D10" s="3"/>
      <c r="E10" s="3"/>
      <c r="F10" s="3"/>
      <c r="G10" s="3" t="s">
        <v>36</v>
      </c>
      <c r="H10" s="3"/>
      <c r="I10" s="4">
        <v>41117</v>
      </c>
      <c r="J10" s="3">
        <v>1900</v>
      </c>
      <c r="K10" s="3"/>
      <c r="L10" s="2"/>
    </row>
    <row r="11" spans="1:12" ht="20" customHeight="1">
      <c r="A11" s="2" t="s">
        <v>11</v>
      </c>
      <c r="B11" s="3"/>
      <c r="C11" s="3">
        <v>48</v>
      </c>
      <c r="D11" s="3" t="s">
        <v>47</v>
      </c>
      <c r="E11" s="3">
        <v>6</v>
      </c>
      <c r="F11" s="3">
        <f t="shared" ref="F11:F13" si="0">C11-E11</f>
        <v>42</v>
      </c>
      <c r="G11" s="3" t="s">
        <v>37</v>
      </c>
      <c r="H11" s="3"/>
      <c r="I11" s="4">
        <v>41117</v>
      </c>
      <c r="J11" s="3">
        <v>1945</v>
      </c>
      <c r="K11" s="3"/>
      <c r="L11" s="2"/>
    </row>
    <row r="12" spans="1:12" ht="20" customHeight="1">
      <c r="A12" s="2" t="s">
        <v>11</v>
      </c>
      <c r="B12" s="3"/>
      <c r="C12" s="3">
        <v>48</v>
      </c>
      <c r="D12" s="3"/>
      <c r="E12" s="3">
        <v>6</v>
      </c>
      <c r="F12" s="3">
        <f t="shared" si="0"/>
        <v>42</v>
      </c>
      <c r="G12" s="3" t="s">
        <v>36</v>
      </c>
      <c r="H12" s="3"/>
      <c r="I12" s="4">
        <v>41117</v>
      </c>
      <c r="J12" s="3">
        <v>1945</v>
      </c>
      <c r="K12" s="3"/>
      <c r="L12" s="2"/>
    </row>
    <row r="13" spans="1:12" ht="20" customHeight="1">
      <c r="A13" s="2" t="s">
        <v>11</v>
      </c>
      <c r="B13" s="3"/>
      <c r="C13" s="3">
        <v>50</v>
      </c>
      <c r="D13" s="3"/>
      <c r="E13" s="3">
        <v>6</v>
      </c>
      <c r="F13" s="3">
        <f t="shared" si="0"/>
        <v>44</v>
      </c>
      <c r="G13" s="3" t="s">
        <v>36</v>
      </c>
      <c r="H13" s="3"/>
      <c r="I13" s="4">
        <v>41117</v>
      </c>
      <c r="J13" s="3">
        <v>1945</v>
      </c>
      <c r="K13" s="3"/>
      <c r="L13" s="2"/>
    </row>
    <row r="14" spans="1:12" ht="20" customHeight="1">
      <c r="A14" s="2" t="s">
        <v>14</v>
      </c>
      <c r="B14" s="3">
        <v>37</v>
      </c>
      <c r="C14" s="3"/>
      <c r="D14" s="3"/>
      <c r="E14" s="3"/>
      <c r="F14" s="3" t="s">
        <v>44</v>
      </c>
      <c r="G14" s="3" t="s">
        <v>37</v>
      </c>
      <c r="H14" s="3"/>
      <c r="I14" s="4">
        <v>41118</v>
      </c>
      <c r="J14" s="3">
        <v>1735</v>
      </c>
      <c r="K14" s="3"/>
      <c r="L14" s="2"/>
    </row>
    <row r="15" spans="1:12" ht="20" customHeight="1">
      <c r="A15" s="2" t="s">
        <v>14</v>
      </c>
      <c r="B15" s="3">
        <v>38</v>
      </c>
      <c r="C15" s="3"/>
      <c r="D15" s="3"/>
      <c r="E15" s="3"/>
      <c r="F15" s="3" t="s">
        <v>44</v>
      </c>
      <c r="G15" s="3" t="s">
        <v>36</v>
      </c>
      <c r="H15" s="3"/>
      <c r="I15" s="4">
        <v>41118</v>
      </c>
      <c r="J15" s="3">
        <v>1735</v>
      </c>
      <c r="K15" s="3"/>
      <c r="L15" s="2"/>
    </row>
    <row r="16" spans="1:12" ht="20" customHeight="1">
      <c r="A16" s="2" t="s">
        <v>14</v>
      </c>
      <c r="B16" s="3">
        <v>39</v>
      </c>
      <c r="C16" s="3"/>
      <c r="D16" s="3"/>
      <c r="E16" s="3"/>
      <c r="F16" s="3" t="s">
        <v>44</v>
      </c>
      <c r="G16" s="3" t="s">
        <v>36</v>
      </c>
      <c r="H16" s="3"/>
      <c r="I16" s="4">
        <v>41118</v>
      </c>
      <c r="J16" s="3">
        <v>1735</v>
      </c>
      <c r="K16" s="3"/>
      <c r="L16" s="2"/>
    </row>
    <row r="17" spans="1:12" ht="20" customHeight="1">
      <c r="A17" s="2" t="s">
        <v>17</v>
      </c>
      <c r="B17" s="3">
        <v>40</v>
      </c>
      <c r="C17" s="3">
        <v>51</v>
      </c>
      <c r="D17" s="3" t="s">
        <v>48</v>
      </c>
      <c r="E17" s="3">
        <v>6</v>
      </c>
      <c r="F17" s="3">
        <f>C17-E17</f>
        <v>45</v>
      </c>
      <c r="G17" s="3" t="s">
        <v>37</v>
      </c>
      <c r="H17" s="3"/>
      <c r="I17" s="4">
        <v>41118</v>
      </c>
      <c r="J17" s="3">
        <v>1835</v>
      </c>
      <c r="K17" s="3"/>
      <c r="L17" s="2"/>
    </row>
    <row r="18" spans="1:12" ht="20" customHeight="1">
      <c r="A18" s="2" t="s">
        <v>17</v>
      </c>
      <c r="B18" s="3"/>
      <c r="C18" s="3"/>
      <c r="D18" s="3"/>
      <c r="E18" s="3"/>
      <c r="F18" s="3" t="s">
        <v>39</v>
      </c>
      <c r="G18" s="3"/>
      <c r="H18" s="3"/>
      <c r="I18" s="4">
        <v>41118</v>
      </c>
      <c r="J18" s="3">
        <v>1835</v>
      </c>
      <c r="K18" s="3"/>
      <c r="L18" s="2"/>
    </row>
    <row r="19" spans="1:12" ht="20" customHeight="1">
      <c r="A19" s="2" t="s">
        <v>17</v>
      </c>
      <c r="B19" s="3"/>
      <c r="C19" s="3"/>
      <c r="D19" s="3"/>
      <c r="E19" s="3"/>
      <c r="F19" s="3" t="s">
        <v>40</v>
      </c>
      <c r="G19" s="3"/>
      <c r="H19" s="3"/>
      <c r="I19" s="4">
        <v>41118</v>
      </c>
      <c r="J19" s="3">
        <v>1835</v>
      </c>
      <c r="K19" s="3"/>
      <c r="L19" s="2"/>
    </row>
    <row r="20" spans="1:12" ht="20" customHeight="1">
      <c r="A20" s="2" t="s">
        <v>16</v>
      </c>
      <c r="B20" s="3">
        <v>43</v>
      </c>
      <c r="C20" s="3"/>
      <c r="D20" s="3"/>
      <c r="E20" s="3"/>
      <c r="F20" s="3" t="s">
        <v>41</v>
      </c>
      <c r="G20" s="3" t="s">
        <v>37</v>
      </c>
      <c r="H20" s="3"/>
      <c r="I20" s="4">
        <v>41118</v>
      </c>
      <c r="J20" s="3">
        <v>1935</v>
      </c>
      <c r="K20" s="3"/>
      <c r="L20" s="2"/>
    </row>
    <row r="21" spans="1:12" ht="20" customHeight="1">
      <c r="A21" s="2" t="s">
        <v>16</v>
      </c>
      <c r="B21" s="3">
        <v>44</v>
      </c>
      <c r="C21" s="3"/>
      <c r="D21" s="3"/>
      <c r="E21" s="3"/>
      <c r="F21" s="3" t="s">
        <v>41</v>
      </c>
      <c r="G21" s="3" t="s">
        <v>36</v>
      </c>
      <c r="H21" s="3"/>
      <c r="I21" s="4">
        <v>41118</v>
      </c>
      <c r="J21" s="3">
        <v>1935</v>
      </c>
      <c r="K21" s="3"/>
      <c r="L21" s="2"/>
    </row>
    <row r="22" spans="1:12" ht="20" customHeight="1">
      <c r="A22" s="2" t="s">
        <v>16</v>
      </c>
      <c r="B22" s="3">
        <v>45</v>
      </c>
      <c r="C22" s="3"/>
      <c r="D22" s="3"/>
      <c r="E22" s="3"/>
      <c r="F22" s="3" t="s">
        <v>42</v>
      </c>
      <c r="G22" s="3" t="s">
        <v>36</v>
      </c>
      <c r="H22" s="3"/>
      <c r="I22" s="4">
        <v>41118</v>
      </c>
      <c r="J22" s="3">
        <v>1935</v>
      </c>
      <c r="K22" s="3"/>
      <c r="L22" s="2"/>
    </row>
    <row r="23" spans="1:12" ht="20" customHeight="1">
      <c r="A23" s="2" t="s">
        <v>15</v>
      </c>
      <c r="B23" s="3">
        <v>46</v>
      </c>
      <c r="C23" s="3"/>
      <c r="D23" s="3"/>
      <c r="E23" s="3"/>
      <c r="F23" s="3" t="s">
        <v>43</v>
      </c>
      <c r="G23" s="3" t="s">
        <v>37</v>
      </c>
      <c r="H23" s="3"/>
      <c r="I23" s="4">
        <v>41118</v>
      </c>
      <c r="J23" s="3">
        <v>2020</v>
      </c>
      <c r="K23" s="3"/>
      <c r="L23" s="2"/>
    </row>
    <row r="24" spans="1:12" ht="20" customHeight="1">
      <c r="A24" s="2" t="s">
        <v>15</v>
      </c>
      <c r="B24" s="3">
        <v>47</v>
      </c>
      <c r="C24" s="3"/>
      <c r="D24" s="3"/>
      <c r="E24" s="3"/>
      <c r="F24" s="3" t="s">
        <v>43</v>
      </c>
      <c r="G24" s="3" t="s">
        <v>36</v>
      </c>
      <c r="H24" s="3"/>
      <c r="I24" s="4">
        <v>41118</v>
      </c>
      <c r="J24" s="3">
        <v>2020</v>
      </c>
      <c r="K24" s="3"/>
      <c r="L24" s="2"/>
    </row>
    <row r="25" spans="1:12" ht="20" customHeight="1">
      <c r="A25" s="2" t="s">
        <v>15</v>
      </c>
      <c r="B25" s="3"/>
      <c r="C25" s="3"/>
      <c r="D25" s="3"/>
      <c r="E25" s="3"/>
      <c r="F25" s="3" t="s">
        <v>43</v>
      </c>
      <c r="G25" s="3"/>
      <c r="H25" s="3"/>
      <c r="I25" s="4">
        <v>41118</v>
      </c>
      <c r="J25" s="3">
        <v>2020</v>
      </c>
      <c r="K25" s="3"/>
      <c r="L25" s="2"/>
    </row>
    <row r="27" spans="1:12" ht="20" customHeight="1">
      <c r="A27" s="2" t="s">
        <v>0</v>
      </c>
      <c r="B27" s="3" t="s">
        <v>1</v>
      </c>
      <c r="C27" s="3" t="s">
        <v>6</v>
      </c>
      <c r="D27" s="3" t="s">
        <v>38</v>
      </c>
      <c r="E27" s="3" t="s">
        <v>5</v>
      </c>
      <c r="F27" s="3" t="s">
        <v>46</v>
      </c>
      <c r="G27" s="3" t="s">
        <v>45</v>
      </c>
      <c r="H27" s="3" t="s">
        <v>2</v>
      </c>
      <c r="I27" s="3" t="s">
        <v>3</v>
      </c>
      <c r="J27" s="3" t="s">
        <v>19</v>
      </c>
      <c r="K27" s="3" t="s">
        <v>4</v>
      </c>
      <c r="L27" s="2" t="s">
        <v>31</v>
      </c>
    </row>
    <row r="28" spans="1:12" ht="20" customHeight="1">
      <c r="A28" s="2" t="s">
        <v>8</v>
      </c>
      <c r="B28" s="3"/>
      <c r="C28" s="3"/>
      <c r="D28" s="3"/>
      <c r="E28" s="3"/>
      <c r="F28" s="3"/>
      <c r="G28" s="3"/>
      <c r="H28" s="3"/>
      <c r="I28" s="4"/>
      <c r="J28" s="3"/>
      <c r="K28" s="3"/>
      <c r="L28" s="2"/>
    </row>
    <row r="29" spans="1:12" ht="20" customHeight="1">
      <c r="A29" s="2" t="s">
        <v>8</v>
      </c>
      <c r="B29" s="3"/>
      <c r="C29" s="3"/>
      <c r="D29" s="3"/>
      <c r="E29" s="3"/>
      <c r="F29" s="3"/>
      <c r="G29" s="3"/>
      <c r="H29" s="3"/>
      <c r="I29" s="4"/>
      <c r="J29" s="3"/>
      <c r="K29" s="3"/>
      <c r="L29" s="2"/>
    </row>
    <row r="30" spans="1:12" ht="20" customHeight="1">
      <c r="A30" s="2" t="s">
        <v>8</v>
      </c>
      <c r="B30" s="3"/>
      <c r="C30" s="3"/>
      <c r="D30" s="3"/>
      <c r="E30" s="3"/>
      <c r="F30" s="3"/>
      <c r="G30" s="3"/>
      <c r="H30" s="3"/>
      <c r="I30" s="4"/>
      <c r="J30" s="3"/>
      <c r="K30" s="3"/>
      <c r="L30" s="2"/>
    </row>
    <row r="31" spans="1:12" ht="20" customHeight="1">
      <c r="A31" s="2" t="s">
        <v>9</v>
      </c>
      <c r="B31" s="3"/>
      <c r="C31" s="3"/>
      <c r="D31" s="3"/>
      <c r="E31" s="3"/>
      <c r="F31" s="3"/>
      <c r="G31" s="3"/>
      <c r="H31" s="3"/>
      <c r="I31" s="4"/>
      <c r="J31" s="3"/>
      <c r="K31" s="3"/>
      <c r="L31" s="2"/>
    </row>
    <row r="32" spans="1:12" ht="20" customHeight="1">
      <c r="A32" s="2" t="s">
        <v>9</v>
      </c>
      <c r="B32" s="3"/>
      <c r="C32" s="3"/>
      <c r="D32" s="3"/>
      <c r="E32" s="3"/>
      <c r="F32" s="3"/>
      <c r="G32" s="3"/>
      <c r="H32" s="3"/>
      <c r="I32" s="4"/>
      <c r="J32" s="3"/>
      <c r="K32" s="3"/>
      <c r="L32" s="2"/>
    </row>
    <row r="33" spans="1:12" ht="20" customHeight="1">
      <c r="A33" s="2" t="s">
        <v>9</v>
      </c>
      <c r="B33" s="3"/>
      <c r="C33" s="3"/>
      <c r="D33" s="3"/>
      <c r="E33" s="3"/>
      <c r="F33" s="3"/>
      <c r="G33" s="3"/>
      <c r="H33" s="3"/>
      <c r="I33" s="4"/>
      <c r="J33" s="3"/>
      <c r="K33" s="3"/>
      <c r="L33" s="2"/>
    </row>
    <row r="34" spans="1:12" ht="20" customHeight="1">
      <c r="A34" s="2" t="s">
        <v>10</v>
      </c>
      <c r="B34" s="3"/>
      <c r="C34" s="3"/>
      <c r="D34" s="3"/>
      <c r="E34" s="3"/>
      <c r="F34" s="3"/>
      <c r="G34" s="3"/>
      <c r="H34" s="3"/>
      <c r="I34" s="4"/>
      <c r="J34" s="3"/>
      <c r="K34" s="3"/>
      <c r="L34" s="2"/>
    </row>
    <row r="35" spans="1:12" ht="20" customHeight="1">
      <c r="A35" s="2" t="s">
        <v>10</v>
      </c>
      <c r="B35" s="3"/>
      <c r="C35" s="3"/>
      <c r="D35" s="3"/>
      <c r="E35" s="3"/>
      <c r="F35" s="3"/>
      <c r="G35" s="3"/>
      <c r="H35" s="3"/>
      <c r="I35" s="4"/>
      <c r="J35" s="3"/>
      <c r="K35" s="3"/>
      <c r="L35" s="2"/>
    </row>
    <row r="36" spans="1:12" ht="20" customHeight="1">
      <c r="A36" s="2" t="s">
        <v>10</v>
      </c>
      <c r="B36" s="3"/>
      <c r="C36" s="3"/>
      <c r="D36" s="3"/>
      <c r="E36" s="3"/>
      <c r="F36" s="3"/>
      <c r="G36" s="3"/>
      <c r="H36" s="3"/>
      <c r="I36" s="4"/>
      <c r="J36" s="3"/>
      <c r="K36" s="3"/>
      <c r="L36" s="2"/>
    </row>
    <row r="37" spans="1:12" ht="20" customHeight="1">
      <c r="A37" s="2" t="s">
        <v>11</v>
      </c>
      <c r="B37" s="3"/>
      <c r="C37" s="3"/>
      <c r="D37" s="3"/>
      <c r="E37" s="3"/>
      <c r="F37" s="3"/>
      <c r="G37" s="3"/>
      <c r="H37" s="3"/>
      <c r="I37" s="4"/>
      <c r="J37" s="3"/>
      <c r="K37" s="3"/>
      <c r="L37" s="2"/>
    </row>
    <row r="38" spans="1:12" ht="20" customHeight="1">
      <c r="A38" s="2" t="s">
        <v>11</v>
      </c>
      <c r="B38" s="3"/>
      <c r="C38" s="3"/>
      <c r="D38" s="3"/>
      <c r="E38" s="3"/>
      <c r="F38" s="3"/>
      <c r="G38" s="3"/>
      <c r="H38" s="3"/>
      <c r="I38" s="4"/>
      <c r="J38" s="3"/>
      <c r="K38" s="3"/>
      <c r="L38" s="2"/>
    </row>
    <row r="39" spans="1:12" ht="20" customHeight="1">
      <c r="A39" s="2" t="s">
        <v>11</v>
      </c>
      <c r="B39" s="3"/>
      <c r="C39" s="3"/>
      <c r="D39" s="3"/>
      <c r="E39" s="3"/>
      <c r="F39" s="3"/>
      <c r="G39" s="3"/>
      <c r="H39" s="3"/>
      <c r="I39" s="4"/>
      <c r="J39" s="3"/>
      <c r="K39" s="3"/>
      <c r="L39" s="2"/>
    </row>
    <row r="40" spans="1:12" ht="20" customHeight="1">
      <c r="A40" s="2" t="s">
        <v>14</v>
      </c>
      <c r="B40" s="3">
        <v>37</v>
      </c>
      <c r="C40" s="3"/>
      <c r="D40" s="3"/>
      <c r="E40" s="3"/>
      <c r="F40" s="3"/>
      <c r="G40" s="3"/>
      <c r="H40" s="3"/>
      <c r="I40" s="4"/>
      <c r="J40" s="3"/>
      <c r="K40" s="3"/>
      <c r="L40" s="2"/>
    </row>
    <row r="41" spans="1:12" ht="20" customHeight="1">
      <c r="A41" s="2" t="s">
        <v>14</v>
      </c>
      <c r="B41" s="3">
        <v>38</v>
      </c>
      <c r="C41" s="3"/>
      <c r="D41" s="3"/>
      <c r="E41" s="3"/>
      <c r="F41" s="3"/>
      <c r="G41" s="3"/>
      <c r="H41" s="3"/>
      <c r="I41" s="4"/>
      <c r="J41" s="3"/>
      <c r="K41" s="3"/>
      <c r="L41" s="2"/>
    </row>
    <row r="42" spans="1:12" ht="20" customHeight="1">
      <c r="A42" s="2" t="s">
        <v>14</v>
      </c>
      <c r="B42" s="3">
        <v>39</v>
      </c>
      <c r="C42" s="3"/>
      <c r="D42" s="3"/>
      <c r="E42" s="3"/>
      <c r="F42" s="3"/>
      <c r="G42" s="3"/>
      <c r="H42" s="3"/>
      <c r="I42" s="4"/>
      <c r="J42" s="3"/>
      <c r="K42" s="3"/>
      <c r="L42" s="2"/>
    </row>
    <row r="43" spans="1:12" ht="20" customHeight="1">
      <c r="A43" s="2" t="s">
        <v>17</v>
      </c>
      <c r="B43" s="3">
        <v>40</v>
      </c>
      <c r="C43" s="3"/>
      <c r="D43" s="3"/>
      <c r="E43" s="3"/>
      <c r="F43" s="3"/>
      <c r="G43" s="3"/>
      <c r="H43" s="3"/>
      <c r="I43" s="4"/>
      <c r="J43" s="3"/>
      <c r="K43" s="3"/>
      <c r="L43" s="2"/>
    </row>
    <row r="44" spans="1:12" ht="20" customHeight="1">
      <c r="A44" s="2" t="s">
        <v>17</v>
      </c>
      <c r="B44" s="3"/>
      <c r="C44" s="3"/>
      <c r="D44" s="3"/>
      <c r="E44" s="3"/>
      <c r="F44" s="3"/>
      <c r="G44" s="3"/>
      <c r="H44" s="3"/>
      <c r="I44" s="4"/>
      <c r="J44" s="3"/>
      <c r="K44" s="3"/>
      <c r="L44" s="2"/>
    </row>
    <row r="45" spans="1:12" ht="20" customHeight="1">
      <c r="A45" s="2" t="s">
        <v>17</v>
      </c>
      <c r="B45" s="3"/>
      <c r="C45" s="3"/>
      <c r="D45" s="3"/>
      <c r="E45" s="3"/>
      <c r="F45" s="3"/>
      <c r="G45" s="3"/>
      <c r="H45" s="3"/>
      <c r="I45" s="4"/>
      <c r="J45" s="3"/>
      <c r="K45" s="3"/>
      <c r="L45" s="2"/>
    </row>
    <row r="46" spans="1:12" ht="20" customHeight="1">
      <c r="A46" s="2" t="s">
        <v>16</v>
      </c>
      <c r="B46" s="3">
        <v>43</v>
      </c>
      <c r="C46" s="3"/>
      <c r="D46" s="3"/>
      <c r="E46" s="3"/>
      <c r="F46" s="3"/>
      <c r="G46" s="3"/>
      <c r="H46" s="3"/>
      <c r="I46" s="4"/>
      <c r="J46" s="3"/>
      <c r="K46" s="3"/>
      <c r="L46" s="2"/>
    </row>
    <row r="47" spans="1:12" ht="20" customHeight="1">
      <c r="A47" s="2" t="s">
        <v>16</v>
      </c>
      <c r="B47" s="3">
        <v>44</v>
      </c>
      <c r="C47" s="3"/>
      <c r="D47" s="3"/>
      <c r="E47" s="3"/>
      <c r="F47" s="3"/>
      <c r="G47" s="3"/>
      <c r="H47" s="3"/>
      <c r="I47" s="4"/>
      <c r="J47" s="3"/>
      <c r="K47" s="3"/>
      <c r="L47" s="2"/>
    </row>
    <row r="48" spans="1:12" ht="20" customHeight="1">
      <c r="A48" s="2" t="s">
        <v>16</v>
      </c>
      <c r="B48" s="3">
        <v>45</v>
      </c>
      <c r="C48" s="3"/>
      <c r="D48" s="3"/>
      <c r="E48" s="3"/>
      <c r="F48" s="3"/>
      <c r="G48" s="3"/>
      <c r="H48" s="3"/>
      <c r="I48" s="4"/>
      <c r="J48" s="3"/>
      <c r="K48" s="3"/>
      <c r="L48" s="2"/>
    </row>
    <row r="49" spans="1:12" ht="20" customHeight="1">
      <c r="A49" s="2" t="s">
        <v>15</v>
      </c>
      <c r="B49" s="3">
        <v>46</v>
      </c>
      <c r="C49" s="3"/>
      <c r="D49" s="3"/>
      <c r="E49" s="3"/>
      <c r="F49" s="3"/>
      <c r="G49" s="3"/>
      <c r="H49" s="3"/>
      <c r="I49" s="4"/>
      <c r="J49" s="3"/>
      <c r="K49" s="3"/>
      <c r="L49" s="2"/>
    </row>
    <row r="50" spans="1:12" ht="20" customHeight="1">
      <c r="A50" s="2" t="s">
        <v>15</v>
      </c>
      <c r="B50" s="3">
        <v>47</v>
      </c>
      <c r="C50" s="3"/>
      <c r="D50" s="3"/>
      <c r="E50" s="3"/>
      <c r="F50" s="3"/>
      <c r="G50" s="3"/>
      <c r="H50" s="3"/>
      <c r="I50" s="4"/>
      <c r="J50" s="3"/>
      <c r="K50" s="3"/>
      <c r="L50" s="2"/>
    </row>
    <row r="51" spans="1:12" ht="20" customHeight="1">
      <c r="A51" s="2" t="s">
        <v>15</v>
      </c>
      <c r="B51" s="3"/>
      <c r="C51" s="3"/>
      <c r="D51" s="3"/>
      <c r="E51" s="3"/>
      <c r="F51" s="3"/>
      <c r="G51" s="3"/>
      <c r="H51" s="3"/>
      <c r="I51" s="4"/>
      <c r="J51" s="3"/>
      <c r="K51" s="3"/>
      <c r="L51" s="2"/>
    </row>
  </sheetData>
  <phoneticPr fontId="3" type="noConversion"/>
  <pageMargins left="0.5" right="0.5" top="0.5" bottom="0.5" header="0.5" footer="0.5"/>
  <pageSetup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"/>
  <sheetViews>
    <sheetView workbookViewId="0">
      <selection activeCell="AP43" sqref="AP43"/>
    </sheetView>
  </sheetViews>
  <sheetFormatPr baseColWidth="10" defaultRowHeight="15" x14ac:dyDescent="0"/>
  <cols>
    <col min="3" max="33" width="0" hidden="1" customWidth="1"/>
    <col min="34" max="34" width="12.83203125" bestFit="1" customWidth="1"/>
    <col min="36" max="36" width="12.1640625" bestFit="1" customWidth="1"/>
    <col min="40" max="40" width="12.1640625" bestFit="1" customWidth="1"/>
    <col min="42" max="42" width="13.33203125" bestFit="1" customWidth="1"/>
  </cols>
  <sheetData>
    <row r="1" spans="1:42">
      <c r="A1" t="s">
        <v>12</v>
      </c>
      <c r="B1" t="s">
        <v>0</v>
      </c>
      <c r="C1" t="s">
        <v>106</v>
      </c>
      <c r="D1" t="s">
        <v>1</v>
      </c>
      <c r="E1" t="s">
        <v>6</v>
      </c>
      <c r="F1" t="s">
        <v>38</v>
      </c>
      <c r="G1" t="s">
        <v>5</v>
      </c>
      <c r="H1" s="1" t="s">
        <v>7</v>
      </c>
      <c r="I1" s="1" t="s">
        <v>109</v>
      </c>
      <c r="J1" s="1" t="s">
        <v>52</v>
      </c>
      <c r="K1" t="s">
        <v>35</v>
      </c>
      <c r="L1" t="s">
        <v>2</v>
      </c>
      <c r="M1" t="s">
        <v>69</v>
      </c>
      <c r="N1" t="s">
        <v>24</v>
      </c>
      <c r="O1" t="s">
        <v>25</v>
      </c>
      <c r="P1" t="s">
        <v>26</v>
      </c>
      <c r="Q1" t="s">
        <v>27</v>
      </c>
      <c r="R1" t="s">
        <v>21</v>
      </c>
      <c r="S1" t="s">
        <v>22</v>
      </c>
      <c r="T1" t="s">
        <v>23</v>
      </c>
      <c r="U1" t="s">
        <v>114</v>
      </c>
      <c r="V1" t="s">
        <v>107</v>
      </c>
      <c r="W1" t="s">
        <v>108</v>
      </c>
      <c r="X1" t="s">
        <v>28</v>
      </c>
      <c r="Y1" t="s">
        <v>29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95</v>
      </c>
      <c r="AG1" t="s">
        <v>96</v>
      </c>
      <c r="AH1" t="s">
        <v>3</v>
      </c>
      <c r="AI1" t="s">
        <v>19</v>
      </c>
      <c r="AJ1" t="s">
        <v>4</v>
      </c>
      <c r="AK1" t="s">
        <v>20</v>
      </c>
      <c r="AL1" t="s">
        <v>97</v>
      </c>
      <c r="AM1" t="s">
        <v>98</v>
      </c>
      <c r="AN1" t="s">
        <v>115</v>
      </c>
      <c r="AO1" t="s">
        <v>118</v>
      </c>
      <c r="AP1" t="s">
        <v>119</v>
      </c>
    </row>
    <row r="2" spans="1:42">
      <c r="A2" t="s">
        <v>13</v>
      </c>
      <c r="B2" t="s">
        <v>8</v>
      </c>
      <c r="C2">
        <v>2</v>
      </c>
      <c r="D2" s="1">
        <v>26</v>
      </c>
      <c r="E2" s="1">
        <v>38</v>
      </c>
      <c r="F2" s="1" t="s">
        <v>59</v>
      </c>
      <c r="G2" s="1">
        <v>0</v>
      </c>
      <c r="H2" s="1">
        <f t="shared" ref="H2:H16" si="0">E2-G2</f>
        <v>38</v>
      </c>
      <c r="I2">
        <f>H2*0.3048</f>
        <v>11.5824</v>
      </c>
      <c r="J2" s="1" t="s">
        <v>53</v>
      </c>
      <c r="K2" s="1" t="s">
        <v>36</v>
      </c>
      <c r="L2">
        <v>421</v>
      </c>
      <c r="M2" t="str">
        <f t="shared" ref="M2:M25" si="1">CONCATENATE(B2,L2)</f>
        <v>ON421</v>
      </c>
      <c r="N2">
        <v>12</v>
      </c>
      <c r="O2">
        <v>12</v>
      </c>
      <c r="P2">
        <v>11</v>
      </c>
      <c r="Q2">
        <v>11</v>
      </c>
      <c r="R2">
        <v>60</v>
      </c>
      <c r="S2">
        <v>55</v>
      </c>
      <c r="T2">
        <v>59</v>
      </c>
      <c r="U2">
        <v>54</v>
      </c>
      <c r="V2">
        <f>(AVERAGE(N2:Q2))/10</f>
        <v>1.1499999999999999</v>
      </c>
      <c r="W2">
        <f>(AVERAGE(R2:U2))/10</f>
        <v>5.7</v>
      </c>
      <c r="X2">
        <f>(W2^2)+(W2*V2*4)</f>
        <v>58.71</v>
      </c>
      <c r="Y2">
        <v>165.18</v>
      </c>
      <c r="Z2">
        <v>114.93</v>
      </c>
      <c r="AA2">
        <v>109.31</v>
      </c>
      <c r="AB2">
        <v>105.33</v>
      </c>
      <c r="AC2">
        <v>101.34</v>
      </c>
      <c r="AD2">
        <v>97.55</v>
      </c>
      <c r="AE2">
        <v>99.11</v>
      </c>
      <c r="AF2" s="6">
        <f>AVERAGE(AC2:AE2)</f>
        <v>99.333333333333329</v>
      </c>
      <c r="AG2" s="6">
        <f>(Y2-AF2)/Y2</f>
        <v>0.3986358316180329</v>
      </c>
      <c r="AH2" s="7">
        <v>41117.75</v>
      </c>
      <c r="AI2" s="1">
        <v>1800</v>
      </c>
      <c r="AJ2" s="7">
        <v>41124.524305555555</v>
      </c>
      <c r="AK2" s="1">
        <v>1235</v>
      </c>
      <c r="AL2" s="1">
        <f>(AJ2-AH2)</f>
        <v>6.7743055555547471</v>
      </c>
      <c r="AM2" s="1">
        <f>AG2/AL2</f>
        <v>5.8845268839573132E-2</v>
      </c>
      <c r="AN2" s="1">
        <f>AM2/X2</f>
        <v>1.0023040170256026E-3</v>
      </c>
      <c r="AO2">
        <f>AN2*100</f>
        <v>0.10023040170256026</v>
      </c>
      <c r="AP2" t="s">
        <v>120</v>
      </c>
    </row>
    <row r="3" spans="1:42">
      <c r="A3" t="s">
        <v>13</v>
      </c>
      <c r="B3" t="s">
        <v>8</v>
      </c>
      <c r="C3">
        <v>2</v>
      </c>
      <c r="D3" s="1">
        <v>27</v>
      </c>
      <c r="E3" s="1">
        <v>43</v>
      </c>
      <c r="F3" s="1" t="s">
        <v>59</v>
      </c>
      <c r="G3" s="1">
        <v>0</v>
      </c>
      <c r="H3" s="1">
        <f t="shared" si="0"/>
        <v>43</v>
      </c>
      <c r="I3">
        <f t="shared" ref="I3:I25" si="2">H3*0.3048</f>
        <v>13.106400000000001</v>
      </c>
      <c r="J3" s="1" t="s">
        <v>54</v>
      </c>
      <c r="K3" s="1" t="s">
        <v>36</v>
      </c>
      <c r="L3">
        <v>420</v>
      </c>
      <c r="M3" t="str">
        <f t="shared" si="1"/>
        <v>ON420</v>
      </c>
      <c r="N3">
        <v>11</v>
      </c>
      <c r="O3">
        <v>12</v>
      </c>
      <c r="P3">
        <v>12</v>
      </c>
      <c r="Q3">
        <v>11</v>
      </c>
      <c r="R3">
        <v>61</v>
      </c>
      <c r="S3">
        <v>56</v>
      </c>
      <c r="T3">
        <v>61</v>
      </c>
      <c r="U3">
        <v>55</v>
      </c>
      <c r="V3">
        <f t="shared" ref="V3:V25" si="3">(AVERAGE(N3:Q3))/10</f>
        <v>1.1499999999999999</v>
      </c>
      <c r="W3">
        <f t="shared" ref="W3:W25" si="4">(AVERAGE(R3:U3))/10</f>
        <v>5.8250000000000002</v>
      </c>
      <c r="X3">
        <f t="shared" ref="X3:X25" si="5">(W3^2)+(W3*V3*4)</f>
        <v>60.725624999999994</v>
      </c>
      <c r="Y3">
        <v>176.37</v>
      </c>
      <c r="Z3">
        <v>136.16999999999999</v>
      </c>
      <c r="AA3">
        <v>128.69</v>
      </c>
      <c r="AB3">
        <v>124.3</v>
      </c>
      <c r="AC3">
        <v>120.31</v>
      </c>
      <c r="AD3">
        <v>115.75</v>
      </c>
      <c r="AE3">
        <v>117.27</v>
      </c>
      <c r="AF3" s="6">
        <f t="shared" ref="AF3:AF25" si="6">AVERAGE(AC3:AE3)</f>
        <v>117.77666666666666</v>
      </c>
      <c r="AG3" s="6">
        <f t="shared" ref="AG3:AG25" si="7">(Y3-AF3)/Y3</f>
        <v>0.3322182532932661</v>
      </c>
      <c r="AH3" s="7">
        <v>41117.75</v>
      </c>
      <c r="AI3" s="1">
        <v>1800</v>
      </c>
      <c r="AJ3" s="7">
        <v>41124.524305555555</v>
      </c>
      <c r="AK3" s="1">
        <v>1235</v>
      </c>
      <c r="AL3" s="1">
        <f t="shared" ref="AL3:AL25" si="8">(AJ3-AH3)</f>
        <v>6.7743055555547471</v>
      </c>
      <c r="AM3" s="1">
        <f t="shared" ref="AM3:AM25" si="9">AG3/AL3</f>
        <v>4.904093129086215E-2</v>
      </c>
      <c r="AN3" s="1">
        <f t="shared" ref="AN3:AN25" si="10">AM3/X3</f>
        <v>8.0758215812290371E-4</v>
      </c>
      <c r="AO3">
        <f t="shared" ref="AO3:AO25" si="11">AN3*100</f>
        <v>8.0758215812290368E-2</v>
      </c>
      <c r="AP3" t="s">
        <v>120</v>
      </c>
    </row>
    <row r="4" spans="1:42">
      <c r="A4" t="s">
        <v>13</v>
      </c>
      <c r="B4" t="s">
        <v>8</v>
      </c>
      <c r="C4">
        <v>2</v>
      </c>
      <c r="D4" s="1">
        <v>28</v>
      </c>
      <c r="E4" s="1">
        <v>42</v>
      </c>
      <c r="F4" s="1" t="s">
        <v>59</v>
      </c>
      <c r="G4" s="1">
        <v>0</v>
      </c>
      <c r="H4" s="1">
        <f t="shared" si="0"/>
        <v>42</v>
      </c>
      <c r="I4">
        <f t="shared" si="2"/>
        <v>12.801600000000001</v>
      </c>
      <c r="J4" s="1" t="s">
        <v>55</v>
      </c>
      <c r="K4" s="1" t="s">
        <v>36</v>
      </c>
      <c r="L4">
        <v>419</v>
      </c>
      <c r="M4" t="str">
        <f t="shared" si="1"/>
        <v>ON419</v>
      </c>
      <c r="N4">
        <v>11</v>
      </c>
      <c r="O4">
        <v>12</v>
      </c>
      <c r="P4">
        <v>11</v>
      </c>
      <c r="Q4">
        <v>12</v>
      </c>
      <c r="R4">
        <v>55</v>
      </c>
      <c r="S4">
        <v>57</v>
      </c>
      <c r="T4">
        <v>55</v>
      </c>
      <c r="U4">
        <v>57</v>
      </c>
      <c r="V4">
        <f t="shared" si="3"/>
        <v>1.1499999999999999</v>
      </c>
      <c r="W4">
        <f t="shared" si="4"/>
        <v>5.6</v>
      </c>
      <c r="X4">
        <f t="shared" si="5"/>
        <v>57.11999999999999</v>
      </c>
      <c r="Y4">
        <v>163.11000000000001</v>
      </c>
      <c r="Z4">
        <v>122.09</v>
      </c>
      <c r="AA4">
        <v>116</v>
      </c>
      <c r="AB4">
        <v>111.78</v>
      </c>
      <c r="AC4">
        <v>108</v>
      </c>
      <c r="AD4">
        <v>103.33</v>
      </c>
      <c r="AE4">
        <v>104.71</v>
      </c>
      <c r="AF4" s="6">
        <f t="shared" si="6"/>
        <v>105.34666666666665</v>
      </c>
      <c r="AG4" s="6">
        <f t="shared" si="7"/>
        <v>0.35413728976355441</v>
      </c>
      <c r="AH4" s="7">
        <v>41117.75</v>
      </c>
      <c r="AI4" s="1">
        <v>1800</v>
      </c>
      <c r="AJ4" s="7">
        <v>41124.524305555555</v>
      </c>
      <c r="AK4" s="1">
        <v>1235</v>
      </c>
      <c r="AL4" s="1">
        <f t="shared" si="8"/>
        <v>6.7743055555547471</v>
      </c>
      <c r="AM4" s="1">
        <f t="shared" si="9"/>
        <v>5.2276545080428415E-2</v>
      </c>
      <c r="AN4" s="1">
        <f t="shared" si="10"/>
        <v>9.1520562115595977E-4</v>
      </c>
      <c r="AO4">
        <f t="shared" si="11"/>
        <v>9.1520562115595977E-2</v>
      </c>
      <c r="AP4" t="s">
        <v>120</v>
      </c>
    </row>
    <row r="5" spans="1:42">
      <c r="A5" t="s">
        <v>13</v>
      </c>
      <c r="B5" t="s">
        <v>9</v>
      </c>
      <c r="C5">
        <v>1</v>
      </c>
      <c r="D5" s="1">
        <v>29</v>
      </c>
      <c r="E5" s="1">
        <v>43</v>
      </c>
      <c r="F5" s="1" t="s">
        <v>60</v>
      </c>
      <c r="G5" s="1">
        <v>1</v>
      </c>
      <c r="H5" s="1">
        <f t="shared" si="0"/>
        <v>42</v>
      </c>
      <c r="I5">
        <f t="shared" si="2"/>
        <v>12.801600000000001</v>
      </c>
      <c r="J5" s="1" t="s">
        <v>53</v>
      </c>
      <c r="K5" s="1" t="s">
        <v>36</v>
      </c>
      <c r="L5">
        <v>422</v>
      </c>
      <c r="M5" t="str">
        <f t="shared" si="1"/>
        <v>SC422</v>
      </c>
      <c r="N5">
        <v>12</v>
      </c>
      <c r="O5">
        <v>12</v>
      </c>
      <c r="P5">
        <v>13</v>
      </c>
      <c r="Q5">
        <v>12</v>
      </c>
      <c r="R5">
        <v>60</v>
      </c>
      <c r="S5">
        <v>55</v>
      </c>
      <c r="T5">
        <v>60</v>
      </c>
      <c r="U5">
        <v>55</v>
      </c>
      <c r="V5">
        <f t="shared" si="3"/>
        <v>1.2250000000000001</v>
      </c>
      <c r="W5">
        <f t="shared" si="4"/>
        <v>5.75</v>
      </c>
      <c r="X5">
        <f t="shared" si="5"/>
        <v>61.237499999999997</v>
      </c>
      <c r="Y5">
        <v>172.09</v>
      </c>
      <c r="Z5">
        <v>101.06</v>
      </c>
      <c r="AA5">
        <v>95.98</v>
      </c>
      <c r="AB5">
        <v>92.8</v>
      </c>
      <c r="AC5">
        <v>88.95</v>
      </c>
      <c r="AD5">
        <v>85.17</v>
      </c>
      <c r="AE5">
        <v>86.74</v>
      </c>
      <c r="AF5" s="6">
        <f t="shared" si="6"/>
        <v>86.953333333333333</v>
      </c>
      <c r="AG5" s="6">
        <f t="shared" si="7"/>
        <v>0.49472175412090574</v>
      </c>
      <c r="AH5" s="7">
        <v>41117.770833333336</v>
      </c>
      <c r="AI5" s="1">
        <v>1830</v>
      </c>
      <c r="AJ5" s="7">
        <v>41124.576388888891</v>
      </c>
      <c r="AK5" s="1">
        <v>1350</v>
      </c>
      <c r="AL5" s="1">
        <f t="shared" si="8"/>
        <v>6.8055555555547471</v>
      </c>
      <c r="AM5" s="1">
        <f t="shared" si="9"/>
        <v>7.269380876879479E-2</v>
      </c>
      <c r="AN5" s="1">
        <f t="shared" si="10"/>
        <v>1.1870799553997924E-3</v>
      </c>
      <c r="AO5">
        <f t="shared" si="11"/>
        <v>0.11870799553997924</v>
      </c>
      <c r="AP5" t="s">
        <v>121</v>
      </c>
    </row>
    <row r="6" spans="1:42">
      <c r="A6" t="s">
        <v>13</v>
      </c>
      <c r="B6" t="s">
        <v>9</v>
      </c>
      <c r="C6">
        <v>1</v>
      </c>
      <c r="D6" s="1">
        <v>30</v>
      </c>
      <c r="E6" s="1">
        <v>39</v>
      </c>
      <c r="F6" s="1" t="s">
        <v>60</v>
      </c>
      <c r="G6" s="1">
        <v>1</v>
      </c>
      <c r="H6" s="1">
        <f t="shared" si="0"/>
        <v>38</v>
      </c>
      <c r="I6">
        <f t="shared" si="2"/>
        <v>11.5824</v>
      </c>
      <c r="J6" s="1" t="s">
        <v>54</v>
      </c>
      <c r="K6" s="1" t="s">
        <v>36</v>
      </c>
      <c r="L6">
        <v>423</v>
      </c>
      <c r="M6" t="str">
        <f t="shared" si="1"/>
        <v>SC423</v>
      </c>
      <c r="N6">
        <v>13</v>
      </c>
      <c r="O6">
        <v>12</v>
      </c>
      <c r="P6">
        <v>12</v>
      </c>
      <c r="Q6">
        <v>13</v>
      </c>
      <c r="R6">
        <v>59</v>
      </c>
      <c r="S6">
        <v>55</v>
      </c>
      <c r="T6">
        <v>58</v>
      </c>
      <c r="U6">
        <v>55</v>
      </c>
      <c r="V6">
        <f t="shared" si="3"/>
        <v>1.25</v>
      </c>
      <c r="W6">
        <f t="shared" si="4"/>
        <v>5.6749999999999998</v>
      </c>
      <c r="X6">
        <f t="shared" si="5"/>
        <v>60.580624999999998</v>
      </c>
      <c r="Y6">
        <v>161.65</v>
      </c>
      <c r="Z6">
        <v>92.48</v>
      </c>
      <c r="AA6">
        <v>88.12</v>
      </c>
      <c r="AB6">
        <v>84.44</v>
      </c>
      <c r="AC6">
        <v>82.2</v>
      </c>
      <c r="AD6">
        <v>80.22</v>
      </c>
      <c r="AE6">
        <v>81.72</v>
      </c>
      <c r="AF6" s="6">
        <f t="shared" si="6"/>
        <v>81.38000000000001</v>
      </c>
      <c r="AG6" s="6">
        <f t="shared" si="7"/>
        <v>0.49656665635632535</v>
      </c>
      <c r="AH6" s="7">
        <v>41117.770833333336</v>
      </c>
      <c r="AI6" s="1">
        <v>1830</v>
      </c>
      <c r="AJ6" s="7">
        <v>41124.576388888891</v>
      </c>
      <c r="AK6" s="1">
        <v>1350</v>
      </c>
      <c r="AL6" s="1">
        <f t="shared" si="8"/>
        <v>6.8055555555547471</v>
      </c>
      <c r="AM6" s="1">
        <f t="shared" si="9"/>
        <v>7.2964896444203411E-2</v>
      </c>
      <c r="AN6" s="1">
        <f t="shared" si="10"/>
        <v>1.2044262739812179E-3</v>
      </c>
      <c r="AO6">
        <f t="shared" si="11"/>
        <v>0.1204426273981218</v>
      </c>
      <c r="AP6" t="s">
        <v>121</v>
      </c>
    </row>
    <row r="7" spans="1:42">
      <c r="A7" t="s">
        <v>13</v>
      </c>
      <c r="B7" t="s">
        <v>9</v>
      </c>
      <c r="C7">
        <v>1</v>
      </c>
      <c r="D7" s="1">
        <v>15</v>
      </c>
      <c r="E7" s="1">
        <v>43</v>
      </c>
      <c r="F7" s="1" t="s">
        <v>60</v>
      </c>
      <c r="G7" s="1">
        <v>1</v>
      </c>
      <c r="H7" s="1">
        <f t="shared" si="0"/>
        <v>42</v>
      </c>
      <c r="I7">
        <f t="shared" si="2"/>
        <v>12.801600000000001</v>
      </c>
      <c r="J7" s="1" t="s">
        <v>55</v>
      </c>
      <c r="K7" s="1" t="s">
        <v>36</v>
      </c>
      <c r="L7">
        <v>424</v>
      </c>
      <c r="M7" t="str">
        <f t="shared" si="1"/>
        <v>SC424</v>
      </c>
      <c r="N7">
        <v>13</v>
      </c>
      <c r="O7">
        <v>12</v>
      </c>
      <c r="P7">
        <v>11</v>
      </c>
      <c r="Q7">
        <v>12</v>
      </c>
      <c r="R7">
        <v>61</v>
      </c>
      <c r="S7">
        <v>55</v>
      </c>
      <c r="T7">
        <v>61</v>
      </c>
      <c r="U7">
        <v>55</v>
      </c>
      <c r="V7">
        <f t="shared" si="3"/>
        <v>1.2</v>
      </c>
      <c r="W7">
        <f t="shared" si="4"/>
        <v>5.8</v>
      </c>
      <c r="X7">
        <f t="shared" si="5"/>
        <v>61.480000000000004</v>
      </c>
      <c r="Y7">
        <v>176.05</v>
      </c>
      <c r="Z7">
        <v>120.81</v>
      </c>
      <c r="AA7">
        <v>115.16</v>
      </c>
      <c r="AB7">
        <v>111.61</v>
      </c>
      <c r="AC7">
        <v>108</v>
      </c>
      <c r="AD7">
        <v>103.58</v>
      </c>
      <c r="AE7">
        <v>104.42</v>
      </c>
      <c r="AF7" s="6">
        <f t="shared" si="6"/>
        <v>105.33333333333333</v>
      </c>
      <c r="AG7" s="6">
        <f t="shared" si="7"/>
        <v>0.40168512733125067</v>
      </c>
      <c r="AH7" s="7">
        <v>41117.770833333336</v>
      </c>
      <c r="AI7" s="1">
        <v>1830</v>
      </c>
      <c r="AJ7" s="7">
        <v>41124.576388888891</v>
      </c>
      <c r="AK7" s="1">
        <v>1350</v>
      </c>
      <c r="AL7" s="1">
        <f t="shared" si="8"/>
        <v>6.8055555555547471</v>
      </c>
      <c r="AM7" s="1">
        <f t="shared" si="9"/>
        <v>5.9023120750721393E-2</v>
      </c>
      <c r="AN7" s="1">
        <f t="shared" si="10"/>
        <v>9.6003774805987951E-4</v>
      </c>
      <c r="AO7">
        <f t="shared" si="11"/>
        <v>9.6003774805987957E-2</v>
      </c>
      <c r="AP7" t="s">
        <v>121</v>
      </c>
    </row>
    <row r="8" spans="1:42">
      <c r="A8" t="s">
        <v>13</v>
      </c>
      <c r="B8" t="s">
        <v>10</v>
      </c>
      <c r="C8">
        <v>1</v>
      </c>
      <c r="D8" s="1">
        <v>31</v>
      </c>
      <c r="E8" s="1">
        <v>51</v>
      </c>
      <c r="F8" s="1" t="s">
        <v>61</v>
      </c>
      <c r="G8" s="1">
        <v>0</v>
      </c>
      <c r="H8" s="1">
        <f t="shared" si="0"/>
        <v>51</v>
      </c>
      <c r="I8">
        <f t="shared" si="2"/>
        <v>15.5448</v>
      </c>
      <c r="J8" s="1" t="s">
        <v>55</v>
      </c>
      <c r="K8" s="1" t="s">
        <v>36</v>
      </c>
      <c r="L8">
        <v>425</v>
      </c>
      <c r="M8" t="str">
        <f t="shared" si="1"/>
        <v>PG425</v>
      </c>
      <c r="N8">
        <v>11</v>
      </c>
      <c r="O8">
        <v>10</v>
      </c>
      <c r="P8">
        <v>10</v>
      </c>
      <c r="Q8">
        <v>11</v>
      </c>
      <c r="R8">
        <v>60</v>
      </c>
      <c r="S8">
        <v>55</v>
      </c>
      <c r="T8">
        <v>60</v>
      </c>
      <c r="U8">
        <v>56</v>
      </c>
      <c r="V8">
        <f t="shared" si="3"/>
        <v>1.05</v>
      </c>
      <c r="W8">
        <f t="shared" si="4"/>
        <v>5.7750000000000004</v>
      </c>
      <c r="X8">
        <f t="shared" si="5"/>
        <v>57.605625000000003</v>
      </c>
      <c r="Y8">
        <v>169.49</v>
      </c>
      <c r="Z8">
        <v>92.38</v>
      </c>
      <c r="AA8">
        <v>87.25</v>
      </c>
      <c r="AB8">
        <v>83.4</v>
      </c>
      <c r="AC8">
        <v>81.47</v>
      </c>
      <c r="AD8">
        <v>78.61</v>
      </c>
      <c r="AE8">
        <v>80.17</v>
      </c>
      <c r="AF8" s="6">
        <f t="shared" si="6"/>
        <v>80.083333333333329</v>
      </c>
      <c r="AG8" s="6">
        <f t="shared" si="7"/>
        <v>0.52750408087006118</v>
      </c>
      <c r="AH8" s="7">
        <v>41117.791666666664</v>
      </c>
      <c r="AI8" s="1">
        <v>1900</v>
      </c>
      <c r="AJ8" s="7">
        <v>41124.552083333336</v>
      </c>
      <c r="AK8" s="1">
        <v>1315</v>
      </c>
      <c r="AL8" s="1">
        <f t="shared" si="8"/>
        <v>6.7604166666715173</v>
      </c>
      <c r="AM8" s="1">
        <f t="shared" si="9"/>
        <v>7.8028338618627943E-2</v>
      </c>
      <c r="AN8" s="1">
        <f t="shared" si="10"/>
        <v>1.354526378606741E-3</v>
      </c>
      <c r="AO8">
        <f t="shared" si="11"/>
        <v>0.1354526378606741</v>
      </c>
      <c r="AP8" t="s">
        <v>121</v>
      </c>
    </row>
    <row r="9" spans="1:42">
      <c r="A9" t="s">
        <v>13</v>
      </c>
      <c r="B9" t="s">
        <v>10</v>
      </c>
      <c r="C9">
        <v>1</v>
      </c>
      <c r="D9" s="1">
        <v>32</v>
      </c>
      <c r="E9" s="1">
        <v>43</v>
      </c>
      <c r="F9" s="1" t="s">
        <v>61</v>
      </c>
      <c r="G9" s="1">
        <v>0</v>
      </c>
      <c r="H9" s="1">
        <f t="shared" si="0"/>
        <v>43</v>
      </c>
      <c r="I9">
        <f t="shared" si="2"/>
        <v>13.106400000000001</v>
      </c>
      <c r="J9" s="1" t="s">
        <v>54</v>
      </c>
      <c r="K9" s="1" t="s">
        <v>36</v>
      </c>
      <c r="L9">
        <v>426</v>
      </c>
      <c r="M9" t="str">
        <f t="shared" si="1"/>
        <v>PG426</v>
      </c>
      <c r="N9">
        <v>13</v>
      </c>
      <c r="O9">
        <v>12</v>
      </c>
      <c r="P9">
        <v>13</v>
      </c>
      <c r="Q9">
        <v>13</v>
      </c>
      <c r="R9">
        <v>60</v>
      </c>
      <c r="S9">
        <v>55</v>
      </c>
      <c r="T9">
        <v>61</v>
      </c>
      <c r="U9">
        <v>55</v>
      </c>
      <c r="V9">
        <f t="shared" si="3"/>
        <v>1.2749999999999999</v>
      </c>
      <c r="W9">
        <f t="shared" si="4"/>
        <v>5.7750000000000004</v>
      </c>
      <c r="X9">
        <f t="shared" si="5"/>
        <v>62.803125000000001</v>
      </c>
      <c r="Y9">
        <v>171.77</v>
      </c>
      <c r="Z9">
        <v>75.12</v>
      </c>
      <c r="AA9">
        <v>70.84</v>
      </c>
      <c r="AB9">
        <v>68.150000000000006</v>
      </c>
      <c r="AC9">
        <v>66.86</v>
      </c>
      <c r="AD9">
        <v>64.75</v>
      </c>
      <c r="AE9">
        <v>65.73</v>
      </c>
      <c r="AF9" s="6">
        <f t="shared" si="6"/>
        <v>65.780000000000015</v>
      </c>
      <c r="AG9" s="6">
        <f t="shared" si="7"/>
        <v>0.61704604995051515</v>
      </c>
      <c r="AH9" s="7">
        <v>41117.791666666664</v>
      </c>
      <c r="AI9" s="1">
        <v>1900</v>
      </c>
      <c r="AJ9" s="7">
        <v>41124.552083333336</v>
      </c>
      <c r="AK9" s="1">
        <v>1315</v>
      </c>
      <c r="AL9" s="1">
        <f t="shared" si="8"/>
        <v>6.7604166666715173</v>
      </c>
      <c r="AM9" s="1">
        <f t="shared" si="9"/>
        <v>9.1273375647468333E-2</v>
      </c>
      <c r="AN9" s="1">
        <f t="shared" si="10"/>
        <v>1.4533253822555539E-3</v>
      </c>
      <c r="AO9">
        <f t="shared" si="11"/>
        <v>0.14533253822555539</v>
      </c>
      <c r="AP9" t="s">
        <v>121</v>
      </c>
    </row>
    <row r="10" spans="1:42">
      <c r="A10" t="s">
        <v>13</v>
      </c>
      <c r="B10" t="s">
        <v>10</v>
      </c>
      <c r="C10">
        <v>1</v>
      </c>
      <c r="D10" s="1">
        <v>33</v>
      </c>
      <c r="E10" s="1">
        <v>47</v>
      </c>
      <c r="F10" s="1" t="s">
        <v>61</v>
      </c>
      <c r="G10" s="1">
        <v>0</v>
      </c>
      <c r="H10" s="1">
        <f t="shared" si="0"/>
        <v>47</v>
      </c>
      <c r="I10">
        <f t="shared" si="2"/>
        <v>14.325600000000001</v>
      </c>
      <c r="J10" s="1" t="s">
        <v>53</v>
      </c>
      <c r="K10" s="1" t="s">
        <v>36</v>
      </c>
      <c r="L10">
        <v>427</v>
      </c>
      <c r="M10" t="str">
        <f t="shared" si="1"/>
        <v>PG427</v>
      </c>
      <c r="N10">
        <v>10</v>
      </c>
      <c r="O10">
        <v>12</v>
      </c>
      <c r="P10">
        <v>12</v>
      </c>
      <c r="Q10">
        <v>11</v>
      </c>
      <c r="R10">
        <v>60</v>
      </c>
      <c r="S10">
        <v>55</v>
      </c>
      <c r="T10">
        <v>60</v>
      </c>
      <c r="U10">
        <v>55</v>
      </c>
      <c r="V10">
        <f t="shared" si="3"/>
        <v>1.125</v>
      </c>
      <c r="W10">
        <f t="shared" si="4"/>
        <v>5.75</v>
      </c>
      <c r="X10">
        <f t="shared" si="5"/>
        <v>58.9375</v>
      </c>
      <c r="Y10">
        <v>164.25</v>
      </c>
      <c r="Z10">
        <v>28.95</v>
      </c>
      <c r="AA10">
        <v>26.52</v>
      </c>
      <c r="AB10">
        <v>26.15</v>
      </c>
      <c r="AC10">
        <v>26.1</v>
      </c>
      <c r="AD10">
        <v>24.87</v>
      </c>
      <c r="AE10">
        <v>25.31</v>
      </c>
      <c r="AF10" s="6">
        <f t="shared" si="6"/>
        <v>25.426666666666666</v>
      </c>
      <c r="AG10" s="6">
        <f t="shared" si="7"/>
        <v>0.84519533231861999</v>
      </c>
      <c r="AH10" s="7">
        <v>41117.791666666664</v>
      </c>
      <c r="AI10" s="1">
        <v>1900</v>
      </c>
      <c r="AJ10" s="7">
        <v>41124.552083333336</v>
      </c>
      <c r="AK10" s="1">
        <v>1315</v>
      </c>
      <c r="AL10" s="1">
        <f t="shared" si="8"/>
        <v>6.7604166666715173</v>
      </c>
      <c r="AM10" s="1">
        <f t="shared" si="9"/>
        <v>0.12502118937215609</v>
      </c>
      <c r="AN10" s="1">
        <f t="shared" si="10"/>
        <v>2.1212502968764556E-3</v>
      </c>
      <c r="AO10">
        <f t="shared" si="11"/>
        <v>0.21212502968764557</v>
      </c>
      <c r="AP10" t="s">
        <v>121</v>
      </c>
    </row>
    <row r="11" spans="1:42">
      <c r="A11" t="s">
        <v>13</v>
      </c>
      <c r="B11" t="s">
        <v>11</v>
      </c>
      <c r="C11">
        <v>1</v>
      </c>
      <c r="D11" s="1">
        <v>34</v>
      </c>
      <c r="E11" s="1">
        <v>48</v>
      </c>
      <c r="F11" s="1" t="s">
        <v>58</v>
      </c>
      <c r="G11" s="1">
        <v>6</v>
      </c>
      <c r="H11" s="1">
        <f t="shared" si="0"/>
        <v>42</v>
      </c>
      <c r="I11">
        <f t="shared" si="2"/>
        <v>12.801600000000001</v>
      </c>
      <c r="J11" s="1" t="s">
        <v>53</v>
      </c>
      <c r="K11" s="1" t="s">
        <v>37</v>
      </c>
      <c r="L11">
        <v>428</v>
      </c>
      <c r="M11" t="str">
        <f t="shared" si="1"/>
        <v>TI428</v>
      </c>
      <c r="N11">
        <v>13</v>
      </c>
      <c r="O11">
        <v>13</v>
      </c>
      <c r="P11">
        <v>13</v>
      </c>
      <c r="Q11">
        <v>12</v>
      </c>
      <c r="R11">
        <v>61</v>
      </c>
      <c r="S11">
        <v>55</v>
      </c>
      <c r="T11">
        <v>61</v>
      </c>
      <c r="U11">
        <v>55</v>
      </c>
      <c r="V11">
        <f t="shared" si="3"/>
        <v>1.2749999999999999</v>
      </c>
      <c r="W11">
        <f t="shared" si="4"/>
        <v>5.8</v>
      </c>
      <c r="X11">
        <f t="shared" si="5"/>
        <v>63.22</v>
      </c>
      <c r="Y11">
        <v>178.36</v>
      </c>
      <c r="Z11">
        <v>98.68</v>
      </c>
      <c r="AA11">
        <v>94.15</v>
      </c>
      <c r="AB11">
        <v>88.92</v>
      </c>
      <c r="AC11">
        <v>84.98</v>
      </c>
      <c r="AD11">
        <v>86.5</v>
      </c>
      <c r="AE11">
        <v>86.82</v>
      </c>
      <c r="AF11" s="6">
        <f t="shared" si="6"/>
        <v>86.100000000000009</v>
      </c>
      <c r="AG11" s="6">
        <f t="shared" si="7"/>
        <v>0.51726844583987441</v>
      </c>
      <c r="AH11" s="7">
        <v>41117.822916666664</v>
      </c>
      <c r="AI11" s="1">
        <v>1945</v>
      </c>
      <c r="AJ11" s="7">
        <v>41125.59375</v>
      </c>
      <c r="AK11" s="1">
        <v>1415</v>
      </c>
      <c r="AL11" s="1">
        <f t="shared" si="8"/>
        <v>7.7708333333357587</v>
      </c>
      <c r="AM11" s="1">
        <f t="shared" si="9"/>
        <v>6.6565376408327673E-2</v>
      </c>
      <c r="AN11" s="1">
        <f t="shared" si="10"/>
        <v>1.0529164253136297E-3</v>
      </c>
      <c r="AO11">
        <f t="shared" si="11"/>
        <v>0.10529164253136297</v>
      </c>
      <c r="AP11" t="s">
        <v>121</v>
      </c>
    </row>
    <row r="12" spans="1:42">
      <c r="A12" t="s">
        <v>13</v>
      </c>
      <c r="B12" t="s">
        <v>11</v>
      </c>
      <c r="C12">
        <v>1</v>
      </c>
      <c r="D12" s="1">
        <v>35</v>
      </c>
      <c r="E12" s="1">
        <v>48</v>
      </c>
      <c r="F12" s="1" t="s">
        <v>58</v>
      </c>
      <c r="G12" s="1">
        <v>6</v>
      </c>
      <c r="H12" s="1">
        <f t="shared" si="0"/>
        <v>42</v>
      </c>
      <c r="I12">
        <f t="shared" si="2"/>
        <v>12.801600000000001</v>
      </c>
      <c r="J12" s="1" t="s">
        <v>54</v>
      </c>
      <c r="K12" s="1" t="s">
        <v>36</v>
      </c>
      <c r="L12">
        <v>429</v>
      </c>
      <c r="M12" t="str">
        <f t="shared" si="1"/>
        <v>TI429</v>
      </c>
      <c r="N12">
        <v>12</v>
      </c>
      <c r="O12">
        <v>12</v>
      </c>
      <c r="P12">
        <v>12</v>
      </c>
      <c r="Q12">
        <v>12</v>
      </c>
      <c r="R12">
        <v>59</v>
      </c>
      <c r="S12">
        <v>55</v>
      </c>
      <c r="T12">
        <v>60</v>
      </c>
      <c r="U12">
        <v>55</v>
      </c>
      <c r="V12">
        <f t="shared" si="3"/>
        <v>1.2</v>
      </c>
      <c r="W12">
        <f t="shared" si="4"/>
        <v>5.7249999999999996</v>
      </c>
      <c r="X12">
        <f t="shared" si="5"/>
        <v>60.255624999999995</v>
      </c>
      <c r="Y12">
        <v>165.62</v>
      </c>
      <c r="Z12">
        <v>77.61</v>
      </c>
      <c r="AA12">
        <v>73.75</v>
      </c>
      <c r="AB12">
        <v>69.37</v>
      </c>
      <c r="AC12">
        <v>66.94</v>
      </c>
      <c r="AD12">
        <v>68.5</v>
      </c>
      <c r="AE12">
        <v>68.52</v>
      </c>
      <c r="AF12" s="6">
        <f t="shared" si="6"/>
        <v>67.986666666666665</v>
      </c>
      <c r="AG12" s="6">
        <f t="shared" si="7"/>
        <v>0.5895020730185565</v>
      </c>
      <c r="AH12" s="7">
        <v>41117.822916666664</v>
      </c>
      <c r="AI12" s="1">
        <v>1945</v>
      </c>
      <c r="AJ12" s="7">
        <v>41125.59375</v>
      </c>
      <c r="AK12" s="1">
        <v>1415</v>
      </c>
      <c r="AL12" s="1">
        <f t="shared" si="8"/>
        <v>7.7708333333357587</v>
      </c>
      <c r="AM12" s="1">
        <f t="shared" si="9"/>
        <v>7.5860856581452765E-2</v>
      </c>
      <c r="AN12" s="1">
        <f t="shared" si="10"/>
        <v>1.2589838140663677E-3</v>
      </c>
      <c r="AO12">
        <f t="shared" si="11"/>
        <v>0.12589838140663676</v>
      </c>
      <c r="AP12" t="s">
        <v>121</v>
      </c>
    </row>
    <row r="13" spans="1:42">
      <c r="A13" t="s">
        <v>13</v>
      </c>
      <c r="B13" t="s">
        <v>11</v>
      </c>
      <c r="C13">
        <v>1</v>
      </c>
      <c r="D13" s="1">
        <v>36</v>
      </c>
      <c r="E13" s="1">
        <v>50</v>
      </c>
      <c r="F13" s="1" t="s">
        <v>58</v>
      </c>
      <c r="G13" s="1">
        <v>6</v>
      </c>
      <c r="H13" s="1">
        <f t="shared" si="0"/>
        <v>44</v>
      </c>
      <c r="I13">
        <f t="shared" si="2"/>
        <v>13.411200000000001</v>
      </c>
      <c r="J13" s="1" t="s">
        <v>55</v>
      </c>
      <c r="K13" s="1" t="s">
        <v>36</v>
      </c>
      <c r="L13">
        <v>430</v>
      </c>
      <c r="M13" t="str">
        <f t="shared" si="1"/>
        <v>TI430</v>
      </c>
      <c r="N13">
        <v>12</v>
      </c>
      <c r="O13">
        <v>11</v>
      </c>
      <c r="P13">
        <v>13</v>
      </c>
      <c r="Q13">
        <v>13</v>
      </c>
      <c r="R13">
        <v>59</v>
      </c>
      <c r="S13">
        <v>55</v>
      </c>
      <c r="T13">
        <v>59</v>
      </c>
      <c r="U13">
        <v>55</v>
      </c>
      <c r="V13">
        <f t="shared" si="3"/>
        <v>1.2250000000000001</v>
      </c>
      <c r="W13">
        <f t="shared" si="4"/>
        <v>5.7</v>
      </c>
      <c r="X13">
        <f t="shared" si="5"/>
        <v>60.42</v>
      </c>
      <c r="Y13">
        <v>163.92</v>
      </c>
      <c r="Z13">
        <v>81.41</v>
      </c>
      <c r="AA13">
        <v>77.23</v>
      </c>
      <c r="AB13">
        <v>73.510000000000005</v>
      </c>
      <c r="AC13">
        <v>71.91</v>
      </c>
      <c r="AD13">
        <v>73.36</v>
      </c>
      <c r="AE13">
        <v>73.42</v>
      </c>
      <c r="AF13" s="6">
        <f t="shared" si="6"/>
        <v>72.896666666666661</v>
      </c>
      <c r="AG13" s="6">
        <f t="shared" si="7"/>
        <v>0.55529119895884171</v>
      </c>
      <c r="AH13" s="7">
        <v>41117.822916666664</v>
      </c>
      <c r="AI13" s="1">
        <v>1945</v>
      </c>
      <c r="AJ13" s="7">
        <v>41125.59375</v>
      </c>
      <c r="AK13" s="1">
        <v>1415</v>
      </c>
      <c r="AL13" s="1">
        <f t="shared" si="8"/>
        <v>7.7708333333357587</v>
      </c>
      <c r="AM13" s="1">
        <f t="shared" si="9"/>
        <v>7.145838485259004E-2</v>
      </c>
      <c r="AN13" s="1">
        <f t="shared" si="10"/>
        <v>1.1826942213272102E-3</v>
      </c>
      <c r="AO13">
        <f t="shared" si="11"/>
        <v>0.11826942213272103</v>
      </c>
      <c r="AP13" t="s">
        <v>121</v>
      </c>
    </row>
    <row r="14" spans="1:42">
      <c r="A14" s="8" t="s">
        <v>18</v>
      </c>
      <c r="B14" s="8" t="s">
        <v>14</v>
      </c>
      <c r="C14" s="8">
        <v>2</v>
      </c>
      <c r="D14" s="9">
        <v>37</v>
      </c>
      <c r="E14" s="9">
        <v>43</v>
      </c>
      <c r="F14" s="9" t="s">
        <v>62</v>
      </c>
      <c r="G14" s="9">
        <v>0</v>
      </c>
      <c r="H14" s="9">
        <f t="shared" si="0"/>
        <v>43</v>
      </c>
      <c r="I14">
        <f t="shared" si="2"/>
        <v>13.106400000000001</v>
      </c>
      <c r="J14" s="9" t="s">
        <v>55</v>
      </c>
      <c r="K14" s="9" t="s">
        <v>37</v>
      </c>
      <c r="L14" s="8">
        <v>431</v>
      </c>
      <c r="M14" s="8" t="str">
        <f t="shared" si="1"/>
        <v>RW431</v>
      </c>
      <c r="N14" s="8">
        <v>12</v>
      </c>
      <c r="O14" s="8">
        <v>13</v>
      </c>
      <c r="P14" s="8">
        <v>13</v>
      </c>
      <c r="Q14" s="8">
        <v>12</v>
      </c>
      <c r="R14" s="8">
        <v>60</v>
      </c>
      <c r="S14" s="8">
        <v>55</v>
      </c>
      <c r="T14" s="8">
        <v>60</v>
      </c>
      <c r="U14" s="8">
        <v>55</v>
      </c>
      <c r="V14">
        <f t="shared" si="3"/>
        <v>1.25</v>
      </c>
      <c r="W14">
        <f t="shared" si="4"/>
        <v>5.75</v>
      </c>
      <c r="X14">
        <f t="shared" si="5"/>
        <v>61.8125</v>
      </c>
      <c r="Y14" s="8">
        <v>165.73</v>
      </c>
      <c r="Z14" s="8">
        <v>143.65</v>
      </c>
      <c r="AA14" s="8">
        <v>138.54</v>
      </c>
      <c r="AB14" s="8">
        <v>131.74</v>
      </c>
      <c r="AC14" s="8">
        <v>125.1</v>
      </c>
      <c r="AD14" s="8">
        <v>125.72</v>
      </c>
      <c r="AE14" s="8">
        <v>125.69</v>
      </c>
      <c r="AF14" s="10">
        <f t="shared" si="6"/>
        <v>125.50333333333333</v>
      </c>
      <c r="AG14" s="10">
        <f t="shared" si="7"/>
        <v>0.24272410949536391</v>
      </c>
      <c r="AH14" s="11">
        <v>41118.732638888891</v>
      </c>
      <c r="AI14" s="9">
        <v>1735</v>
      </c>
      <c r="AJ14" s="11">
        <v>41125.53125</v>
      </c>
      <c r="AK14" s="9">
        <v>1245</v>
      </c>
      <c r="AL14" s="9">
        <f t="shared" si="8"/>
        <v>6.7986111111094942</v>
      </c>
      <c r="AM14" s="9">
        <f t="shared" si="9"/>
        <v>3.5702014062656502E-2</v>
      </c>
      <c r="AN14" s="1">
        <f t="shared" si="10"/>
        <v>5.7758566734328006E-4</v>
      </c>
      <c r="AO14">
        <f t="shared" si="11"/>
        <v>5.7758566734328005E-2</v>
      </c>
      <c r="AP14" t="s">
        <v>122</v>
      </c>
    </row>
    <row r="15" spans="1:42">
      <c r="A15" s="8" t="s">
        <v>18</v>
      </c>
      <c r="B15" s="8" t="s">
        <v>14</v>
      </c>
      <c r="C15" s="8">
        <v>2</v>
      </c>
      <c r="D15" s="9">
        <v>38</v>
      </c>
      <c r="E15" s="9">
        <v>45</v>
      </c>
      <c r="F15" s="9" t="s">
        <v>62</v>
      </c>
      <c r="G15" s="9">
        <v>0</v>
      </c>
      <c r="H15" s="9">
        <f t="shared" si="0"/>
        <v>45</v>
      </c>
      <c r="I15">
        <f t="shared" si="2"/>
        <v>13.716000000000001</v>
      </c>
      <c r="J15" s="9" t="s">
        <v>54</v>
      </c>
      <c r="K15" s="9" t="s">
        <v>36</v>
      </c>
      <c r="L15" s="8">
        <v>432</v>
      </c>
      <c r="M15" s="8" t="str">
        <f t="shared" si="1"/>
        <v>RW432</v>
      </c>
      <c r="N15" s="8">
        <v>13</v>
      </c>
      <c r="O15" s="8">
        <v>12</v>
      </c>
      <c r="P15" s="8">
        <v>11</v>
      </c>
      <c r="Q15" s="8">
        <v>13</v>
      </c>
      <c r="R15" s="8">
        <v>55</v>
      </c>
      <c r="S15" s="8">
        <v>55</v>
      </c>
      <c r="T15" s="8">
        <v>56</v>
      </c>
      <c r="U15" s="8">
        <v>55</v>
      </c>
      <c r="V15">
        <f t="shared" si="3"/>
        <v>1.2250000000000001</v>
      </c>
      <c r="W15">
        <f t="shared" si="4"/>
        <v>5.5250000000000004</v>
      </c>
      <c r="X15">
        <f t="shared" si="5"/>
        <v>57.59812500000001</v>
      </c>
      <c r="Y15" s="8">
        <v>156.33000000000001</v>
      </c>
      <c r="Z15" s="8">
        <v>132.80000000000001</v>
      </c>
      <c r="AA15" s="8">
        <v>128.36000000000001</v>
      </c>
      <c r="AB15" s="8">
        <v>120.95</v>
      </c>
      <c r="AC15" s="8">
        <v>114.67</v>
      </c>
      <c r="AD15" s="8">
        <v>115.66</v>
      </c>
      <c r="AE15" s="8">
        <v>115.6</v>
      </c>
      <c r="AF15" s="10">
        <f t="shared" si="6"/>
        <v>115.30999999999999</v>
      </c>
      <c r="AG15" s="10">
        <f t="shared" si="7"/>
        <v>0.26239365444892226</v>
      </c>
      <c r="AH15" s="11">
        <v>41118.732638888891</v>
      </c>
      <c r="AI15" s="9">
        <v>1735</v>
      </c>
      <c r="AJ15" s="11">
        <v>41125.53125</v>
      </c>
      <c r="AK15" s="9">
        <v>1245</v>
      </c>
      <c r="AL15" s="9">
        <f t="shared" si="8"/>
        <v>6.7986111111094942</v>
      </c>
      <c r="AM15" s="9">
        <f t="shared" si="9"/>
        <v>3.8595185128349127E-2</v>
      </c>
      <c r="AN15" s="1">
        <f t="shared" si="10"/>
        <v>6.7007710977308932E-4</v>
      </c>
      <c r="AO15">
        <f t="shared" si="11"/>
        <v>6.7007710977308926E-2</v>
      </c>
      <c r="AP15" t="s">
        <v>122</v>
      </c>
    </row>
    <row r="16" spans="1:42">
      <c r="A16" s="8" t="s">
        <v>18</v>
      </c>
      <c r="B16" s="8" t="s">
        <v>14</v>
      </c>
      <c r="C16" s="8">
        <v>2</v>
      </c>
      <c r="D16" s="9">
        <v>39</v>
      </c>
      <c r="E16" s="9">
        <v>41</v>
      </c>
      <c r="F16" s="9" t="s">
        <v>62</v>
      </c>
      <c r="G16" s="9">
        <v>0</v>
      </c>
      <c r="H16" s="9">
        <f t="shared" si="0"/>
        <v>41</v>
      </c>
      <c r="I16">
        <f t="shared" si="2"/>
        <v>12.4968</v>
      </c>
      <c r="J16" s="9" t="s">
        <v>53</v>
      </c>
      <c r="K16" s="9" t="s">
        <v>36</v>
      </c>
      <c r="L16" s="8">
        <v>433</v>
      </c>
      <c r="M16" s="8" t="str">
        <f t="shared" si="1"/>
        <v>RW433</v>
      </c>
      <c r="N16" s="8">
        <v>12</v>
      </c>
      <c r="O16" s="8">
        <v>12</v>
      </c>
      <c r="P16" s="8">
        <v>12</v>
      </c>
      <c r="Q16" s="8">
        <v>13</v>
      </c>
      <c r="R16" s="8">
        <v>55</v>
      </c>
      <c r="S16" s="8">
        <v>60</v>
      </c>
      <c r="T16" s="8">
        <v>55</v>
      </c>
      <c r="U16" s="8">
        <v>58</v>
      </c>
      <c r="V16">
        <f t="shared" si="3"/>
        <v>1.2250000000000001</v>
      </c>
      <c r="W16">
        <f t="shared" si="4"/>
        <v>5.7</v>
      </c>
      <c r="X16">
        <f t="shared" si="5"/>
        <v>60.42</v>
      </c>
      <c r="Y16" s="8">
        <v>165.41</v>
      </c>
      <c r="Z16" s="8">
        <v>141.74</v>
      </c>
      <c r="AA16" s="8">
        <v>136.31</v>
      </c>
      <c r="AB16" s="8">
        <v>129.83000000000001</v>
      </c>
      <c r="AC16" s="8">
        <v>122.45</v>
      </c>
      <c r="AD16" s="8">
        <v>123.84</v>
      </c>
      <c r="AE16" s="8">
        <v>124.66</v>
      </c>
      <c r="AF16" s="10">
        <f t="shared" si="6"/>
        <v>123.65000000000002</v>
      </c>
      <c r="AG16" s="10">
        <f t="shared" si="7"/>
        <v>0.25246357535820069</v>
      </c>
      <c r="AH16" s="11">
        <v>41118.732638888891</v>
      </c>
      <c r="AI16" s="9">
        <v>1735</v>
      </c>
      <c r="AJ16" s="11">
        <v>41125.53125</v>
      </c>
      <c r="AK16" s="9">
        <v>1245</v>
      </c>
      <c r="AL16" s="9">
        <f t="shared" si="8"/>
        <v>6.7986111111094942</v>
      </c>
      <c r="AM16" s="9">
        <f t="shared" si="9"/>
        <v>3.7134581053717614E-2</v>
      </c>
      <c r="AN16" s="1">
        <f t="shared" si="10"/>
        <v>6.1460743220320441E-4</v>
      </c>
      <c r="AO16">
        <f t="shared" si="11"/>
        <v>6.1460743220320441E-2</v>
      </c>
      <c r="AP16" t="s">
        <v>122</v>
      </c>
    </row>
    <row r="17" spans="1:42">
      <c r="A17" s="8" t="s">
        <v>18</v>
      </c>
      <c r="B17" s="8" t="s">
        <v>17</v>
      </c>
      <c r="C17" s="8">
        <v>2</v>
      </c>
      <c r="D17" s="9">
        <v>40</v>
      </c>
      <c r="E17" s="9">
        <v>48</v>
      </c>
      <c r="F17" s="9" t="s">
        <v>51</v>
      </c>
      <c r="G17" s="9">
        <v>2</v>
      </c>
      <c r="H17" s="9">
        <f>E17-G17</f>
        <v>46</v>
      </c>
      <c r="I17">
        <f t="shared" si="2"/>
        <v>14.020800000000001</v>
      </c>
      <c r="J17" s="9" t="s">
        <v>56</v>
      </c>
      <c r="K17" s="9" t="s">
        <v>37</v>
      </c>
      <c r="L17" s="8">
        <v>434</v>
      </c>
      <c r="M17" s="8" t="str">
        <f t="shared" si="1"/>
        <v>HH434</v>
      </c>
      <c r="N17" s="8">
        <v>11</v>
      </c>
      <c r="O17" s="8">
        <v>12</v>
      </c>
      <c r="P17" s="8">
        <v>12</v>
      </c>
      <c r="Q17" s="8">
        <v>12</v>
      </c>
      <c r="R17" s="8">
        <v>60</v>
      </c>
      <c r="S17" s="8">
        <v>55</v>
      </c>
      <c r="T17" s="8">
        <v>60</v>
      </c>
      <c r="U17" s="8">
        <v>54</v>
      </c>
      <c r="V17">
        <f t="shared" si="3"/>
        <v>1.175</v>
      </c>
      <c r="W17">
        <f t="shared" si="4"/>
        <v>5.7249999999999996</v>
      </c>
      <c r="X17">
        <f t="shared" si="5"/>
        <v>59.683124999999997</v>
      </c>
      <c r="Y17" s="8">
        <v>168</v>
      </c>
      <c r="Z17" s="8">
        <v>137.09</v>
      </c>
      <c r="AA17" s="8">
        <v>132.78</v>
      </c>
      <c r="AB17" s="8">
        <v>127.28</v>
      </c>
      <c r="AC17" s="8">
        <v>119.17</v>
      </c>
      <c r="AD17" s="8">
        <v>119.16</v>
      </c>
      <c r="AE17" s="8">
        <v>119.12</v>
      </c>
      <c r="AF17" s="10">
        <f t="shared" si="6"/>
        <v>119.14999999999999</v>
      </c>
      <c r="AG17" s="10">
        <f t="shared" si="7"/>
        <v>0.2907738095238096</v>
      </c>
      <c r="AH17" s="11">
        <v>41118.774305555555</v>
      </c>
      <c r="AI17" s="9">
        <v>1835</v>
      </c>
      <c r="AJ17" s="11">
        <v>41125.5625</v>
      </c>
      <c r="AK17" s="9">
        <v>1330</v>
      </c>
      <c r="AL17" s="9">
        <f t="shared" si="8"/>
        <v>6.7881944444452529</v>
      </c>
      <c r="AM17" s="9">
        <f t="shared" si="9"/>
        <v>4.2835221044934625E-2</v>
      </c>
      <c r="AN17" s="1">
        <f t="shared" si="10"/>
        <v>7.177107607038778E-4</v>
      </c>
      <c r="AO17">
        <f t="shared" si="11"/>
        <v>7.1771076070387782E-2</v>
      </c>
      <c r="AP17" t="s">
        <v>123</v>
      </c>
    </row>
    <row r="18" spans="1:42">
      <c r="A18" s="8" t="s">
        <v>18</v>
      </c>
      <c r="B18" s="8" t="s">
        <v>17</v>
      </c>
      <c r="C18" s="8">
        <v>2</v>
      </c>
      <c r="D18" s="9">
        <v>41</v>
      </c>
      <c r="E18" s="9">
        <v>36</v>
      </c>
      <c r="F18" s="9" t="s">
        <v>51</v>
      </c>
      <c r="G18" s="9">
        <v>2</v>
      </c>
      <c r="H18" s="9">
        <f>E18-G18</f>
        <v>34</v>
      </c>
      <c r="I18">
        <f t="shared" si="2"/>
        <v>10.363200000000001</v>
      </c>
      <c r="J18" s="9" t="s">
        <v>54</v>
      </c>
      <c r="K18" s="9" t="s">
        <v>36</v>
      </c>
      <c r="L18" s="8">
        <v>435</v>
      </c>
      <c r="M18" s="8" t="str">
        <f t="shared" si="1"/>
        <v>HH435</v>
      </c>
      <c r="N18" s="8">
        <v>12</v>
      </c>
      <c r="O18" s="8">
        <v>12</v>
      </c>
      <c r="P18" s="8">
        <v>12</v>
      </c>
      <c r="Q18" s="8">
        <v>12</v>
      </c>
      <c r="R18" s="8">
        <v>57</v>
      </c>
      <c r="S18" s="8">
        <v>55</v>
      </c>
      <c r="T18" s="8">
        <v>57</v>
      </c>
      <c r="U18" s="8">
        <v>55</v>
      </c>
      <c r="V18">
        <f t="shared" si="3"/>
        <v>1.2</v>
      </c>
      <c r="W18">
        <f t="shared" si="4"/>
        <v>5.6</v>
      </c>
      <c r="X18">
        <f t="shared" si="5"/>
        <v>58.239999999999995</v>
      </c>
      <c r="Y18" s="8">
        <v>166.91</v>
      </c>
      <c r="Z18" s="8">
        <v>135.63</v>
      </c>
      <c r="AA18" s="8">
        <v>130.96</v>
      </c>
      <c r="AB18" s="8">
        <v>124</v>
      </c>
      <c r="AC18" s="8">
        <v>116.91</v>
      </c>
      <c r="AD18" s="8">
        <v>117.79</v>
      </c>
      <c r="AE18" s="8">
        <v>117.86</v>
      </c>
      <c r="AF18" s="10">
        <f t="shared" si="6"/>
        <v>117.52</v>
      </c>
      <c r="AG18" s="10">
        <f t="shared" si="7"/>
        <v>0.29590797435743815</v>
      </c>
      <c r="AH18" s="11">
        <v>41118.774305555555</v>
      </c>
      <c r="AI18" s="9">
        <v>1835</v>
      </c>
      <c r="AJ18" s="11">
        <v>41125.5625</v>
      </c>
      <c r="AK18" s="9">
        <v>1330</v>
      </c>
      <c r="AL18" s="9">
        <f t="shared" si="8"/>
        <v>6.7881944444452529</v>
      </c>
      <c r="AM18" s="9">
        <f t="shared" si="9"/>
        <v>4.3591558370809226E-2</v>
      </c>
      <c r="AN18" s="1">
        <f t="shared" si="10"/>
        <v>7.4848142807021345E-4</v>
      </c>
      <c r="AO18">
        <f t="shared" si="11"/>
        <v>7.4848142807021345E-2</v>
      </c>
      <c r="AP18" t="s">
        <v>123</v>
      </c>
    </row>
    <row r="19" spans="1:42">
      <c r="A19" s="8" t="s">
        <v>18</v>
      </c>
      <c r="B19" s="8" t="s">
        <v>17</v>
      </c>
      <c r="C19" s="8">
        <v>2</v>
      </c>
      <c r="D19" s="9">
        <v>42</v>
      </c>
      <c r="E19" s="9">
        <v>39</v>
      </c>
      <c r="F19" s="9" t="s">
        <v>51</v>
      </c>
      <c r="G19" s="9">
        <v>2</v>
      </c>
      <c r="H19" s="9">
        <f t="shared" ref="H19:H25" si="12">E19-G19</f>
        <v>37</v>
      </c>
      <c r="I19">
        <f t="shared" si="2"/>
        <v>11.277600000000001</v>
      </c>
      <c r="J19" s="9" t="s">
        <v>57</v>
      </c>
      <c r="K19" s="9" t="s">
        <v>36</v>
      </c>
      <c r="L19" s="8">
        <v>436</v>
      </c>
      <c r="M19" s="8" t="str">
        <f t="shared" si="1"/>
        <v>HH436</v>
      </c>
      <c r="N19" s="8">
        <v>13</v>
      </c>
      <c r="O19" s="8">
        <v>13</v>
      </c>
      <c r="P19" s="8">
        <v>12</v>
      </c>
      <c r="Q19" s="8">
        <v>13</v>
      </c>
      <c r="R19" s="8">
        <v>61</v>
      </c>
      <c r="S19" s="8">
        <v>55</v>
      </c>
      <c r="T19" s="8">
        <v>61</v>
      </c>
      <c r="U19" s="8">
        <v>55</v>
      </c>
      <c r="V19">
        <f t="shared" si="3"/>
        <v>1.2749999999999999</v>
      </c>
      <c r="W19">
        <f t="shared" si="4"/>
        <v>5.8</v>
      </c>
      <c r="X19">
        <f t="shared" si="5"/>
        <v>63.22</v>
      </c>
      <c r="Y19" s="8">
        <v>168.07</v>
      </c>
      <c r="Z19" s="8">
        <v>133.97999999999999</v>
      </c>
      <c r="AA19" s="8">
        <v>128.44</v>
      </c>
      <c r="AB19" s="8">
        <v>121.63</v>
      </c>
      <c r="AC19" s="8">
        <v>115.67</v>
      </c>
      <c r="AD19" s="8">
        <v>117.23</v>
      </c>
      <c r="AE19" s="8">
        <v>118.03</v>
      </c>
      <c r="AF19" s="10">
        <f t="shared" si="6"/>
        <v>116.97666666666667</v>
      </c>
      <c r="AG19" s="10">
        <f t="shared" si="7"/>
        <v>0.30400031732809735</v>
      </c>
      <c r="AH19" s="11">
        <v>41118.774305555555</v>
      </c>
      <c r="AI19" s="9">
        <v>1835</v>
      </c>
      <c r="AJ19" s="11">
        <v>41125.5625</v>
      </c>
      <c r="AK19" s="9">
        <v>1330</v>
      </c>
      <c r="AL19" s="9">
        <f t="shared" si="8"/>
        <v>6.7881944444452529</v>
      </c>
      <c r="AM19" s="9">
        <f t="shared" si="9"/>
        <v>4.4783678460604402E-2</v>
      </c>
      <c r="AN19" s="1">
        <f t="shared" si="10"/>
        <v>7.0837833692825695E-4</v>
      </c>
      <c r="AO19">
        <f t="shared" si="11"/>
        <v>7.0837833692825702E-2</v>
      </c>
      <c r="AP19" t="s">
        <v>123</v>
      </c>
    </row>
    <row r="20" spans="1:42">
      <c r="A20" s="8" t="s">
        <v>18</v>
      </c>
      <c r="B20" s="8" t="s">
        <v>16</v>
      </c>
      <c r="C20" s="8">
        <v>2</v>
      </c>
      <c r="D20" s="9">
        <v>43</v>
      </c>
      <c r="E20" s="9">
        <v>53</v>
      </c>
      <c r="F20" s="9" t="s">
        <v>110</v>
      </c>
      <c r="G20" s="9">
        <v>6</v>
      </c>
      <c r="H20" s="9">
        <f t="shared" si="12"/>
        <v>47</v>
      </c>
      <c r="I20">
        <f t="shared" si="2"/>
        <v>14.325600000000001</v>
      </c>
      <c r="J20" s="9" t="s">
        <v>53</v>
      </c>
      <c r="K20" s="9" t="s">
        <v>37</v>
      </c>
      <c r="L20" s="8">
        <v>437</v>
      </c>
      <c r="M20" s="8" t="str">
        <f t="shared" si="1"/>
        <v>FI437</v>
      </c>
      <c r="N20" s="8">
        <v>12</v>
      </c>
      <c r="O20" s="8">
        <v>12</v>
      </c>
      <c r="P20" s="8">
        <v>12</v>
      </c>
      <c r="Q20" s="8">
        <v>12</v>
      </c>
      <c r="R20" s="8">
        <v>55</v>
      </c>
      <c r="S20" s="8">
        <v>56</v>
      </c>
      <c r="T20" s="8">
        <v>55</v>
      </c>
      <c r="U20" s="8">
        <v>57</v>
      </c>
      <c r="V20">
        <f t="shared" si="3"/>
        <v>1.2</v>
      </c>
      <c r="W20">
        <f t="shared" si="4"/>
        <v>5.5750000000000002</v>
      </c>
      <c r="X20">
        <f t="shared" si="5"/>
        <v>57.840625000000003</v>
      </c>
      <c r="Y20" s="8">
        <v>161.66999999999999</v>
      </c>
      <c r="Z20" s="8">
        <v>96.5</v>
      </c>
      <c r="AA20" s="8">
        <v>90.33</v>
      </c>
      <c r="AB20" s="8">
        <v>87.48</v>
      </c>
      <c r="AC20" s="8">
        <v>87.36</v>
      </c>
      <c r="AD20" s="8">
        <v>87.39</v>
      </c>
      <c r="AE20" s="8">
        <v>87.42</v>
      </c>
      <c r="AF20" s="10">
        <f t="shared" si="6"/>
        <v>87.39</v>
      </c>
      <c r="AG20" s="10">
        <f t="shared" si="7"/>
        <v>0.45945444423826309</v>
      </c>
      <c r="AH20" s="11">
        <v>41118.815972222219</v>
      </c>
      <c r="AI20" s="9">
        <v>1935</v>
      </c>
      <c r="AJ20" s="11">
        <v>41127.385416666664</v>
      </c>
      <c r="AK20" s="9">
        <v>915</v>
      </c>
      <c r="AL20" s="9">
        <f t="shared" si="8"/>
        <v>8.5694444444452529</v>
      </c>
      <c r="AM20" s="9">
        <f t="shared" si="9"/>
        <v>5.3615429473503763E-2</v>
      </c>
      <c r="AN20" s="1">
        <f t="shared" si="10"/>
        <v>9.2695107415426028E-4</v>
      </c>
      <c r="AO20">
        <f t="shared" si="11"/>
        <v>9.2695107415426026E-2</v>
      </c>
      <c r="AP20" t="s">
        <v>123</v>
      </c>
    </row>
    <row r="21" spans="1:42">
      <c r="A21" s="8" t="s">
        <v>18</v>
      </c>
      <c r="B21" s="8" t="s">
        <v>16</v>
      </c>
      <c r="C21" s="8">
        <v>2</v>
      </c>
      <c r="D21" s="9">
        <v>44</v>
      </c>
      <c r="E21" s="9">
        <v>58</v>
      </c>
      <c r="F21" s="9" t="s">
        <v>110</v>
      </c>
      <c r="G21" s="9">
        <v>6</v>
      </c>
      <c r="H21" s="9">
        <f t="shared" si="12"/>
        <v>52</v>
      </c>
      <c r="I21">
        <f t="shared" si="2"/>
        <v>15.849600000000001</v>
      </c>
      <c r="J21" s="9" t="s">
        <v>53</v>
      </c>
      <c r="K21" s="9" t="s">
        <v>36</v>
      </c>
      <c r="L21" s="8">
        <v>438</v>
      </c>
      <c r="M21" s="8" t="str">
        <f t="shared" si="1"/>
        <v>FI438</v>
      </c>
      <c r="N21" s="8">
        <v>12</v>
      </c>
      <c r="O21" s="8">
        <v>12</v>
      </c>
      <c r="P21" s="8">
        <v>13</v>
      </c>
      <c r="Q21" s="8">
        <v>13</v>
      </c>
      <c r="R21" s="8">
        <v>61</v>
      </c>
      <c r="S21" s="8">
        <v>55</v>
      </c>
      <c r="T21" s="8">
        <v>59</v>
      </c>
      <c r="U21" s="8">
        <v>54</v>
      </c>
      <c r="V21">
        <f t="shared" si="3"/>
        <v>1.25</v>
      </c>
      <c r="W21">
        <f t="shared" si="4"/>
        <v>5.7249999999999996</v>
      </c>
      <c r="X21">
        <f t="shared" si="5"/>
        <v>61.400624999999998</v>
      </c>
      <c r="Y21" s="8">
        <v>172.41</v>
      </c>
      <c r="Z21" s="8">
        <v>105.72</v>
      </c>
      <c r="AA21" s="8">
        <v>98.5</v>
      </c>
      <c r="AB21" s="8">
        <v>95.43</v>
      </c>
      <c r="AC21" s="8">
        <v>95.43</v>
      </c>
      <c r="AD21" s="8">
        <v>95.44</v>
      </c>
      <c r="AE21" s="8">
        <v>95.44</v>
      </c>
      <c r="AF21" s="10">
        <f t="shared" si="6"/>
        <v>95.436666666666667</v>
      </c>
      <c r="AG21" s="10">
        <f t="shared" si="7"/>
        <v>0.44645515534675095</v>
      </c>
      <c r="AH21" s="11">
        <v>41118.815972222219</v>
      </c>
      <c r="AI21" s="9">
        <v>1935</v>
      </c>
      <c r="AJ21" s="11">
        <v>41127.385416666664</v>
      </c>
      <c r="AK21" s="9">
        <v>915</v>
      </c>
      <c r="AL21" s="9">
        <f t="shared" si="8"/>
        <v>8.5694444444452529</v>
      </c>
      <c r="AM21" s="9">
        <f t="shared" si="9"/>
        <v>5.2098494627168618E-2</v>
      </c>
      <c r="AN21" s="1">
        <f t="shared" si="10"/>
        <v>8.485010474595107E-4</v>
      </c>
      <c r="AO21">
        <f t="shared" si="11"/>
        <v>8.4850104745951074E-2</v>
      </c>
      <c r="AP21" t="s">
        <v>123</v>
      </c>
    </row>
    <row r="22" spans="1:42">
      <c r="A22" s="8" t="s">
        <v>18</v>
      </c>
      <c r="B22" s="8" t="s">
        <v>16</v>
      </c>
      <c r="C22" s="8">
        <v>2</v>
      </c>
      <c r="D22" s="9">
        <v>45</v>
      </c>
      <c r="E22" s="9">
        <v>49</v>
      </c>
      <c r="F22" s="9" t="s">
        <v>110</v>
      </c>
      <c r="G22" s="9">
        <v>6</v>
      </c>
      <c r="H22" s="9">
        <f t="shared" si="12"/>
        <v>43</v>
      </c>
      <c r="I22">
        <f t="shared" si="2"/>
        <v>13.106400000000001</v>
      </c>
      <c r="J22" s="9" t="s">
        <v>55</v>
      </c>
      <c r="K22" s="9" t="s">
        <v>36</v>
      </c>
      <c r="L22" s="8">
        <v>439</v>
      </c>
      <c r="M22" s="8" t="str">
        <f t="shared" si="1"/>
        <v>FI439</v>
      </c>
      <c r="N22" s="8">
        <v>12</v>
      </c>
      <c r="O22" s="8">
        <v>13</v>
      </c>
      <c r="P22" s="8">
        <v>13</v>
      </c>
      <c r="Q22" s="8">
        <v>13</v>
      </c>
      <c r="R22" s="8">
        <v>55</v>
      </c>
      <c r="S22" s="8">
        <v>58</v>
      </c>
      <c r="T22" s="8">
        <v>55</v>
      </c>
      <c r="U22" s="8">
        <v>57</v>
      </c>
      <c r="V22">
        <f t="shared" si="3"/>
        <v>1.2749999999999999</v>
      </c>
      <c r="W22">
        <f t="shared" si="4"/>
        <v>5.625</v>
      </c>
      <c r="X22">
        <f t="shared" si="5"/>
        <v>60.328125</v>
      </c>
      <c r="Y22" s="8">
        <v>165.8</v>
      </c>
      <c r="Z22" s="8">
        <v>85.1</v>
      </c>
      <c r="AA22" s="8">
        <v>80.59</v>
      </c>
      <c r="AB22" s="8">
        <v>79.72</v>
      </c>
      <c r="AC22" s="8">
        <v>80.540000000000006</v>
      </c>
      <c r="AD22" s="8">
        <v>80.569999999999993</v>
      </c>
      <c r="AE22" s="8">
        <v>80.58</v>
      </c>
      <c r="AF22" s="10">
        <f t="shared" si="6"/>
        <v>80.563333333333333</v>
      </c>
      <c r="AG22" s="10">
        <f t="shared" si="7"/>
        <v>0.51409328508242869</v>
      </c>
      <c r="AH22" s="11">
        <v>41118.815972222219</v>
      </c>
      <c r="AI22" s="9">
        <v>1935</v>
      </c>
      <c r="AJ22" s="11">
        <v>41127.385416666664</v>
      </c>
      <c r="AK22" s="9">
        <v>915</v>
      </c>
      <c r="AL22" s="9">
        <f t="shared" si="8"/>
        <v>8.5694444444452529</v>
      </c>
      <c r="AM22" s="9">
        <f t="shared" si="9"/>
        <v>5.999143683295198E-2</v>
      </c>
      <c r="AN22" s="1">
        <f t="shared" si="10"/>
        <v>9.9441905136206333E-4</v>
      </c>
      <c r="AO22">
        <f t="shared" si="11"/>
        <v>9.9441905136206335E-2</v>
      </c>
      <c r="AP22" t="s">
        <v>123</v>
      </c>
    </row>
    <row r="23" spans="1:42">
      <c r="A23" s="8" t="s">
        <v>18</v>
      </c>
      <c r="B23" s="8" t="s">
        <v>15</v>
      </c>
      <c r="C23" s="8">
        <v>2</v>
      </c>
      <c r="D23" s="9">
        <v>46</v>
      </c>
      <c r="E23" s="9">
        <v>43</v>
      </c>
      <c r="F23" s="9" t="s">
        <v>50</v>
      </c>
      <c r="G23" s="9">
        <v>1</v>
      </c>
      <c r="H23" s="9">
        <f t="shared" si="12"/>
        <v>42</v>
      </c>
      <c r="I23">
        <f t="shared" si="2"/>
        <v>12.801600000000001</v>
      </c>
      <c r="J23" s="9" t="s">
        <v>53</v>
      </c>
      <c r="K23" s="9" t="s">
        <v>37</v>
      </c>
      <c r="L23" s="8">
        <v>440</v>
      </c>
      <c r="M23" s="8" t="str">
        <f t="shared" si="1"/>
        <v>WI440</v>
      </c>
      <c r="N23" s="8">
        <v>14</v>
      </c>
      <c r="O23" s="8">
        <v>12</v>
      </c>
      <c r="P23" s="8">
        <v>13</v>
      </c>
      <c r="Q23" s="8">
        <v>13</v>
      </c>
      <c r="R23" s="8">
        <v>59</v>
      </c>
      <c r="S23" s="8">
        <v>56</v>
      </c>
      <c r="T23" s="8">
        <v>60</v>
      </c>
      <c r="U23" s="8">
        <v>55</v>
      </c>
      <c r="V23">
        <f t="shared" si="3"/>
        <v>1.3</v>
      </c>
      <c r="W23">
        <f t="shared" si="4"/>
        <v>5.75</v>
      </c>
      <c r="X23">
        <f t="shared" si="5"/>
        <v>62.962500000000006</v>
      </c>
      <c r="Y23" s="8">
        <v>169.08</v>
      </c>
      <c r="Z23" s="8">
        <v>122.06</v>
      </c>
      <c r="AA23" s="8">
        <v>115.46</v>
      </c>
      <c r="AB23" s="8">
        <v>107.42</v>
      </c>
      <c r="AC23" s="8">
        <v>107.31</v>
      </c>
      <c r="AD23" s="8">
        <v>107.19</v>
      </c>
      <c r="AE23" s="8">
        <v>107.21</v>
      </c>
      <c r="AF23" s="10">
        <f t="shared" si="6"/>
        <v>107.23666666666666</v>
      </c>
      <c r="AG23" s="10">
        <f t="shared" si="7"/>
        <v>0.36576374102988729</v>
      </c>
      <c r="AH23" s="11">
        <v>41118.847222222219</v>
      </c>
      <c r="AI23" s="9">
        <v>2020</v>
      </c>
      <c r="AJ23" s="11">
        <v>41126.416666666664</v>
      </c>
      <c r="AK23" s="9">
        <v>1000</v>
      </c>
      <c r="AL23" s="9">
        <f t="shared" si="8"/>
        <v>7.5694444444452529</v>
      </c>
      <c r="AM23" s="9">
        <f t="shared" si="9"/>
        <v>4.8321081383759769E-2</v>
      </c>
      <c r="AN23" s="1">
        <f t="shared" si="10"/>
        <v>7.6745811211053824E-4</v>
      </c>
      <c r="AO23">
        <f t="shared" si="11"/>
        <v>7.6745811211053824E-2</v>
      </c>
      <c r="AP23" t="s">
        <v>123</v>
      </c>
    </row>
    <row r="24" spans="1:42">
      <c r="A24" s="8" t="s">
        <v>18</v>
      </c>
      <c r="B24" s="8" t="s">
        <v>15</v>
      </c>
      <c r="C24" s="8">
        <v>2</v>
      </c>
      <c r="D24" s="9">
        <v>47</v>
      </c>
      <c r="E24" s="9">
        <v>45</v>
      </c>
      <c r="F24" s="9" t="s">
        <v>50</v>
      </c>
      <c r="G24" s="9">
        <v>1</v>
      </c>
      <c r="H24" s="9">
        <f t="shared" si="12"/>
        <v>44</v>
      </c>
      <c r="I24">
        <f t="shared" si="2"/>
        <v>13.411200000000001</v>
      </c>
      <c r="J24" s="9" t="s">
        <v>54</v>
      </c>
      <c r="K24" s="9" t="s">
        <v>36</v>
      </c>
      <c r="L24" s="8">
        <v>441</v>
      </c>
      <c r="M24" s="8" t="str">
        <f t="shared" si="1"/>
        <v>WI441</v>
      </c>
      <c r="N24" s="8">
        <v>11</v>
      </c>
      <c r="O24" s="8">
        <v>13</v>
      </c>
      <c r="P24" s="8">
        <v>13</v>
      </c>
      <c r="Q24" s="8">
        <v>11</v>
      </c>
      <c r="R24" s="8">
        <v>60</v>
      </c>
      <c r="S24" s="8">
        <v>55</v>
      </c>
      <c r="T24" s="8">
        <v>60</v>
      </c>
      <c r="U24" s="8">
        <v>54</v>
      </c>
      <c r="V24">
        <f t="shared" si="3"/>
        <v>1.2</v>
      </c>
      <c r="W24">
        <f t="shared" si="4"/>
        <v>5.7249999999999996</v>
      </c>
      <c r="X24">
        <f t="shared" si="5"/>
        <v>60.255624999999995</v>
      </c>
      <c r="Y24" s="8">
        <v>166.75</v>
      </c>
      <c r="Z24" s="8">
        <v>117.37</v>
      </c>
      <c r="AA24" s="8">
        <v>110.25</v>
      </c>
      <c r="AB24" s="8">
        <v>102.67</v>
      </c>
      <c r="AC24" s="8">
        <v>102.98</v>
      </c>
      <c r="AD24" s="8">
        <v>103.1</v>
      </c>
      <c r="AE24" s="8">
        <v>103.11</v>
      </c>
      <c r="AF24" s="10">
        <f t="shared" si="6"/>
        <v>103.06333333333333</v>
      </c>
      <c r="AG24" s="10">
        <f t="shared" si="7"/>
        <v>0.38192903548225887</v>
      </c>
      <c r="AH24" s="11">
        <v>41118.847222222219</v>
      </c>
      <c r="AI24" s="9">
        <v>2020</v>
      </c>
      <c r="AJ24" s="11">
        <v>41126.416666666664</v>
      </c>
      <c r="AK24" s="9">
        <v>1000</v>
      </c>
      <c r="AL24" s="9">
        <f t="shared" si="8"/>
        <v>7.5694444444452529</v>
      </c>
      <c r="AM24" s="9">
        <f t="shared" si="9"/>
        <v>5.0456679916916887E-2</v>
      </c>
      <c r="AN24" s="1">
        <f t="shared" si="10"/>
        <v>8.3737708997154859E-4</v>
      </c>
      <c r="AO24">
        <f t="shared" si="11"/>
        <v>8.3737708997154853E-2</v>
      </c>
      <c r="AP24" t="s">
        <v>123</v>
      </c>
    </row>
    <row r="25" spans="1:42">
      <c r="A25" s="8" t="s">
        <v>18</v>
      </c>
      <c r="B25" s="8" t="s">
        <v>15</v>
      </c>
      <c r="C25" s="8">
        <v>2</v>
      </c>
      <c r="D25" s="9">
        <v>48</v>
      </c>
      <c r="E25" s="9">
        <v>39</v>
      </c>
      <c r="F25" s="9" t="s">
        <v>50</v>
      </c>
      <c r="G25" s="9">
        <v>1</v>
      </c>
      <c r="H25" s="9">
        <f t="shared" si="12"/>
        <v>38</v>
      </c>
      <c r="I25">
        <f t="shared" si="2"/>
        <v>11.5824</v>
      </c>
      <c r="J25" s="9" t="s">
        <v>55</v>
      </c>
      <c r="K25" s="9" t="s">
        <v>36</v>
      </c>
      <c r="L25" s="8">
        <v>442</v>
      </c>
      <c r="M25" s="8" t="str">
        <f t="shared" si="1"/>
        <v>WI442</v>
      </c>
      <c r="N25" s="8">
        <v>14</v>
      </c>
      <c r="O25" s="8">
        <v>13</v>
      </c>
      <c r="P25" s="8">
        <v>13</v>
      </c>
      <c r="Q25" s="8">
        <v>13</v>
      </c>
      <c r="R25" s="8">
        <v>62</v>
      </c>
      <c r="S25" s="8">
        <v>55</v>
      </c>
      <c r="T25" s="8">
        <v>62</v>
      </c>
      <c r="U25" s="8">
        <v>54</v>
      </c>
      <c r="V25">
        <f t="shared" si="3"/>
        <v>1.325</v>
      </c>
      <c r="W25">
        <f t="shared" si="4"/>
        <v>5.8250000000000002</v>
      </c>
      <c r="X25">
        <f t="shared" si="5"/>
        <v>64.803124999999994</v>
      </c>
      <c r="Y25" s="8">
        <v>184.85</v>
      </c>
      <c r="Z25" s="8">
        <v>136.97</v>
      </c>
      <c r="AA25" s="8">
        <v>128</v>
      </c>
      <c r="AB25" s="8">
        <v>120.06</v>
      </c>
      <c r="AC25" s="8">
        <v>120.29</v>
      </c>
      <c r="AD25" s="8">
        <v>120.64</v>
      </c>
      <c r="AE25" s="8">
        <v>120.68</v>
      </c>
      <c r="AF25" s="10">
        <f t="shared" si="6"/>
        <v>120.53666666666668</v>
      </c>
      <c r="AG25" s="10">
        <f t="shared" si="7"/>
        <v>0.34792173834640694</v>
      </c>
      <c r="AH25" s="11">
        <v>41118.847222222219</v>
      </c>
      <c r="AI25" s="9">
        <v>2020</v>
      </c>
      <c r="AJ25" s="11">
        <v>41126.416666666664</v>
      </c>
      <c r="AK25" s="9">
        <v>1000</v>
      </c>
      <c r="AL25" s="9">
        <f t="shared" si="8"/>
        <v>7.5694444444452529</v>
      </c>
      <c r="AM25" s="9">
        <f t="shared" si="9"/>
        <v>4.5963972772364449E-2</v>
      </c>
      <c r="AN25" s="1">
        <f t="shared" si="10"/>
        <v>7.0928636192104093E-4</v>
      </c>
      <c r="AO25">
        <f t="shared" si="11"/>
        <v>7.09286361921041E-2</v>
      </c>
      <c r="AP25" t="s">
        <v>123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workbookViewId="0">
      <pane ySplit="1" topLeftCell="A2" activePane="bottomLeft" state="frozen"/>
      <selection pane="bottomLeft" activeCell="E23" sqref="E23"/>
    </sheetView>
  </sheetViews>
  <sheetFormatPr baseColWidth="10" defaultRowHeight="15" x14ac:dyDescent="0"/>
  <cols>
    <col min="1" max="1" width="14.1640625" bestFit="1" customWidth="1"/>
    <col min="2" max="2" width="12.1640625" customWidth="1"/>
    <col min="3" max="3" width="29.33203125" bestFit="1" customWidth="1"/>
  </cols>
  <sheetData>
    <row r="1" spans="1:9">
      <c r="A1" t="s">
        <v>124</v>
      </c>
      <c r="B1" t="s">
        <v>12</v>
      </c>
      <c r="C1" t="s">
        <v>135</v>
      </c>
      <c r="D1" t="s">
        <v>125</v>
      </c>
      <c r="E1" t="s">
        <v>136</v>
      </c>
      <c r="F1" t="s">
        <v>126</v>
      </c>
      <c r="G1" t="s">
        <v>128</v>
      </c>
      <c r="H1" t="s">
        <v>127</v>
      </c>
      <c r="I1" t="s">
        <v>129</v>
      </c>
    </row>
    <row r="2" spans="1:9">
      <c r="A2" t="s">
        <v>139</v>
      </c>
      <c r="B2" t="s">
        <v>13</v>
      </c>
      <c r="C2" t="s">
        <v>138</v>
      </c>
      <c r="D2" s="16">
        <v>41117</v>
      </c>
      <c r="F2">
        <v>-1.68</v>
      </c>
      <c r="G2">
        <v>1.23</v>
      </c>
      <c r="H2">
        <v>-0.73</v>
      </c>
      <c r="I2">
        <v>0.57999999999999996</v>
      </c>
    </row>
    <row r="3" spans="1:9">
      <c r="A3" t="s">
        <v>139</v>
      </c>
      <c r="B3" t="s">
        <v>13</v>
      </c>
      <c r="C3" t="s">
        <v>138</v>
      </c>
      <c r="D3" s="16">
        <v>41118</v>
      </c>
      <c r="F3">
        <v>-1.76</v>
      </c>
      <c r="G3">
        <v>1.43</v>
      </c>
      <c r="H3">
        <v>-0.83</v>
      </c>
      <c r="I3">
        <v>0.55000000000000004</v>
      </c>
    </row>
    <row r="4" spans="1:9">
      <c r="A4" t="s">
        <v>139</v>
      </c>
      <c r="B4" t="s">
        <v>13</v>
      </c>
      <c r="C4" t="s">
        <v>138</v>
      </c>
      <c r="D4" s="16">
        <v>41119</v>
      </c>
      <c r="F4">
        <v>-1.83</v>
      </c>
      <c r="G4">
        <v>1.62</v>
      </c>
      <c r="H4">
        <v>-0.99</v>
      </c>
    </row>
    <row r="5" spans="1:9">
      <c r="A5" t="s">
        <v>139</v>
      </c>
      <c r="B5" t="s">
        <v>13</v>
      </c>
      <c r="C5" t="s">
        <v>138</v>
      </c>
      <c r="D5" s="16">
        <v>41120</v>
      </c>
      <c r="E5">
        <v>0.6</v>
      </c>
      <c r="F5">
        <v>-1.9</v>
      </c>
      <c r="G5">
        <v>1.76</v>
      </c>
      <c r="H5">
        <v>-1.18</v>
      </c>
    </row>
    <row r="6" spans="1:9">
      <c r="A6" t="s">
        <v>139</v>
      </c>
      <c r="B6" t="s">
        <v>13</v>
      </c>
      <c r="C6" t="s">
        <v>138</v>
      </c>
      <c r="D6" s="16">
        <v>41121</v>
      </c>
      <c r="E6">
        <v>0.68</v>
      </c>
      <c r="F6">
        <v>-1.94</v>
      </c>
      <c r="G6">
        <v>1.82</v>
      </c>
      <c r="H6">
        <v>-1.33</v>
      </c>
    </row>
    <row r="7" spans="1:9">
      <c r="A7" t="s">
        <v>139</v>
      </c>
      <c r="B7" t="s">
        <v>13</v>
      </c>
      <c r="C7" t="s">
        <v>138</v>
      </c>
      <c r="D7" s="16">
        <v>41122</v>
      </c>
      <c r="E7">
        <v>0.75</v>
      </c>
      <c r="F7">
        <v>-1.94</v>
      </c>
      <c r="G7">
        <v>1.81</v>
      </c>
      <c r="H7">
        <v>-1.44</v>
      </c>
    </row>
    <row r="8" spans="1:9">
      <c r="A8" t="s">
        <v>139</v>
      </c>
      <c r="B8" t="s">
        <v>13</v>
      </c>
      <c r="C8" t="s">
        <v>138</v>
      </c>
      <c r="D8" s="16">
        <v>41123</v>
      </c>
      <c r="E8">
        <v>0.79</v>
      </c>
      <c r="F8">
        <v>-1.88</v>
      </c>
      <c r="G8">
        <v>1.73</v>
      </c>
      <c r="H8">
        <v>-1.5</v>
      </c>
    </row>
    <row r="9" spans="1:9">
      <c r="A9" t="s">
        <v>139</v>
      </c>
      <c r="B9" t="s">
        <v>13</v>
      </c>
      <c r="C9" t="s">
        <v>138</v>
      </c>
      <c r="D9" s="16">
        <v>41124</v>
      </c>
      <c r="E9">
        <v>0.82</v>
      </c>
      <c r="F9">
        <v>-1.74</v>
      </c>
      <c r="G9">
        <v>1.59</v>
      </c>
      <c r="H9">
        <v>-1.51</v>
      </c>
    </row>
    <row r="10" spans="1:9">
      <c r="A10" t="s">
        <v>139</v>
      </c>
      <c r="B10" t="s">
        <v>13</v>
      </c>
      <c r="C10" t="s">
        <v>138</v>
      </c>
      <c r="D10" s="16">
        <v>41125</v>
      </c>
      <c r="E10">
        <v>0.84</v>
      </c>
      <c r="F10">
        <v>-1.54</v>
      </c>
      <c r="G10">
        <v>1.43</v>
      </c>
      <c r="H10">
        <v>-1.48</v>
      </c>
    </row>
    <row r="11" spans="1:9">
      <c r="A11" t="s">
        <v>120</v>
      </c>
      <c r="B11" t="s">
        <v>13</v>
      </c>
      <c r="C11" t="s">
        <v>138</v>
      </c>
      <c r="D11" s="16">
        <v>41117</v>
      </c>
      <c r="E11" s="16"/>
      <c r="F11">
        <v>-1.35</v>
      </c>
      <c r="G11">
        <v>1.23</v>
      </c>
      <c r="H11">
        <v>-0.59</v>
      </c>
      <c r="I11">
        <v>0.57999999999999996</v>
      </c>
    </row>
    <row r="12" spans="1:9">
      <c r="A12" t="s">
        <v>120</v>
      </c>
      <c r="B12" t="s">
        <v>13</v>
      </c>
      <c r="C12" t="s">
        <v>138</v>
      </c>
      <c r="D12" s="16">
        <v>41118</v>
      </c>
      <c r="E12" s="16"/>
      <c r="F12">
        <v>-1.41</v>
      </c>
      <c r="G12">
        <v>1.43</v>
      </c>
      <c r="H12">
        <v>-0.66</v>
      </c>
      <c r="I12">
        <v>0.55000000000000004</v>
      </c>
    </row>
    <row r="13" spans="1:9">
      <c r="A13" t="s">
        <v>120</v>
      </c>
      <c r="B13" t="s">
        <v>13</v>
      </c>
      <c r="C13" t="s">
        <v>138</v>
      </c>
      <c r="D13" s="16">
        <v>41119</v>
      </c>
      <c r="E13" s="16"/>
      <c r="F13">
        <v>-1.47</v>
      </c>
      <c r="G13">
        <v>1.62</v>
      </c>
      <c r="H13">
        <v>-0.79</v>
      </c>
      <c r="I13">
        <v>0.6</v>
      </c>
    </row>
    <row r="14" spans="1:9">
      <c r="A14" t="s">
        <v>120</v>
      </c>
      <c r="B14" t="s">
        <v>13</v>
      </c>
      <c r="C14" t="s">
        <v>138</v>
      </c>
      <c r="D14" s="16">
        <v>41120</v>
      </c>
      <c r="E14" s="16"/>
      <c r="F14">
        <v>-1.52</v>
      </c>
      <c r="G14">
        <v>1.76</v>
      </c>
      <c r="H14">
        <v>-0.94</v>
      </c>
      <c r="I14">
        <v>0.68</v>
      </c>
    </row>
    <row r="15" spans="1:9">
      <c r="A15" t="s">
        <v>120</v>
      </c>
      <c r="B15" t="s">
        <v>13</v>
      </c>
      <c r="C15" t="s">
        <v>138</v>
      </c>
      <c r="D15" s="16">
        <v>41121</v>
      </c>
      <c r="E15" s="16"/>
      <c r="F15">
        <v>-1.55</v>
      </c>
      <c r="G15">
        <v>1.82</v>
      </c>
      <c r="H15">
        <v>-1.07</v>
      </c>
    </row>
    <row r="16" spans="1:9">
      <c r="A16" t="s">
        <v>120</v>
      </c>
      <c r="B16" t="s">
        <v>13</v>
      </c>
      <c r="C16" t="s">
        <v>138</v>
      </c>
      <c r="D16" s="16">
        <v>41122</v>
      </c>
      <c r="E16">
        <v>0.75</v>
      </c>
      <c r="F16">
        <v>-1.56</v>
      </c>
      <c r="G16">
        <v>1.81</v>
      </c>
      <c r="H16">
        <v>-1.1599999999999999</v>
      </c>
    </row>
    <row r="17" spans="1:9">
      <c r="A17" t="s">
        <v>120</v>
      </c>
      <c r="B17" t="s">
        <v>13</v>
      </c>
      <c r="C17" t="s">
        <v>138</v>
      </c>
      <c r="D17" s="16">
        <v>41123</v>
      </c>
      <c r="E17">
        <v>0.79</v>
      </c>
      <c r="F17">
        <v>-1.51</v>
      </c>
      <c r="G17">
        <v>1.73</v>
      </c>
      <c r="H17">
        <v>-1.2</v>
      </c>
    </row>
    <row r="18" spans="1:9">
      <c r="A18" t="s">
        <v>120</v>
      </c>
      <c r="B18" t="s">
        <v>13</v>
      </c>
      <c r="C18" t="s">
        <v>138</v>
      </c>
      <c r="D18" s="16">
        <v>41124</v>
      </c>
      <c r="E18">
        <v>0.82</v>
      </c>
      <c r="F18">
        <v>-1.39</v>
      </c>
      <c r="G18">
        <v>1.59</v>
      </c>
      <c r="H18">
        <v>-1.21</v>
      </c>
    </row>
    <row r="19" spans="1:9">
      <c r="A19" t="s">
        <v>121</v>
      </c>
      <c r="B19" t="s">
        <v>13</v>
      </c>
      <c r="C19" t="s">
        <v>138</v>
      </c>
      <c r="D19" s="16">
        <v>41117</v>
      </c>
      <c r="E19" s="16"/>
      <c r="F19">
        <v>-1.55</v>
      </c>
      <c r="G19">
        <v>0.91</v>
      </c>
      <c r="H19">
        <v>-1.04</v>
      </c>
      <c r="I19">
        <v>1.1299999999999999</v>
      </c>
    </row>
    <row r="20" spans="1:9">
      <c r="A20" t="s">
        <v>121</v>
      </c>
      <c r="B20" t="s">
        <v>13</v>
      </c>
      <c r="C20" t="s">
        <v>138</v>
      </c>
      <c r="D20" s="16">
        <v>41118</v>
      </c>
      <c r="E20" s="16"/>
      <c r="F20">
        <v>-1.48</v>
      </c>
      <c r="G20">
        <v>0.89</v>
      </c>
      <c r="H20">
        <v>-0.77</v>
      </c>
      <c r="I20">
        <v>0.88</v>
      </c>
    </row>
    <row r="21" spans="1:9">
      <c r="A21" t="s">
        <v>121</v>
      </c>
      <c r="B21" t="s">
        <v>13</v>
      </c>
      <c r="C21" t="s">
        <v>138</v>
      </c>
      <c r="D21" s="16">
        <v>41119</v>
      </c>
      <c r="E21" s="16"/>
      <c r="F21">
        <v>-1.42</v>
      </c>
      <c r="G21">
        <v>0.87</v>
      </c>
      <c r="H21">
        <v>-0.6</v>
      </c>
      <c r="I21">
        <v>0.66</v>
      </c>
    </row>
    <row r="22" spans="1:9">
      <c r="A22" t="s">
        <v>121</v>
      </c>
      <c r="B22" t="s">
        <v>13</v>
      </c>
      <c r="C22" t="s">
        <v>138</v>
      </c>
      <c r="D22" s="16">
        <v>41120</v>
      </c>
      <c r="E22" s="16"/>
      <c r="F22">
        <v>-1.39</v>
      </c>
      <c r="G22">
        <v>0.91</v>
      </c>
      <c r="H22">
        <v>-0.55000000000000004</v>
      </c>
      <c r="I22">
        <v>0.49</v>
      </c>
    </row>
    <row r="23" spans="1:9">
      <c r="A23" t="s">
        <v>121</v>
      </c>
      <c r="B23" t="s">
        <v>13</v>
      </c>
      <c r="C23" t="s">
        <v>138</v>
      </c>
      <c r="D23" s="16">
        <v>41121</v>
      </c>
      <c r="E23" s="16"/>
      <c r="F23">
        <v>-1.38</v>
      </c>
      <c r="G23">
        <v>1.02</v>
      </c>
      <c r="H23">
        <v>-0.57999999999999996</v>
      </c>
      <c r="I23">
        <v>0.41</v>
      </c>
    </row>
    <row r="24" spans="1:9">
      <c r="A24" t="s">
        <v>121</v>
      </c>
      <c r="B24" t="s">
        <v>13</v>
      </c>
      <c r="C24" t="s">
        <v>138</v>
      </c>
      <c r="D24" s="16">
        <v>41122</v>
      </c>
      <c r="E24" s="16"/>
      <c r="F24">
        <v>-1.38</v>
      </c>
      <c r="G24">
        <v>1.1499999999999999</v>
      </c>
      <c r="H24">
        <v>-0.67</v>
      </c>
    </row>
    <row r="25" spans="1:9">
      <c r="A25" t="s">
        <v>121</v>
      </c>
      <c r="B25" t="s">
        <v>13</v>
      </c>
      <c r="C25" t="s">
        <v>138</v>
      </c>
      <c r="D25" s="16">
        <v>41123</v>
      </c>
      <c r="E25">
        <v>0.41</v>
      </c>
      <c r="F25">
        <v>-1.41</v>
      </c>
      <c r="G25">
        <v>1.26</v>
      </c>
      <c r="H25">
        <v>-0.79</v>
      </c>
    </row>
    <row r="26" spans="1:9">
      <c r="A26" t="s">
        <v>121</v>
      </c>
      <c r="B26" t="s">
        <v>13</v>
      </c>
      <c r="C26" t="s">
        <v>138</v>
      </c>
      <c r="D26" s="16">
        <v>41124</v>
      </c>
      <c r="E26">
        <v>0.45</v>
      </c>
      <c r="F26">
        <v>-1.45</v>
      </c>
      <c r="G26">
        <v>1.36</v>
      </c>
      <c r="H26">
        <v>-0.92</v>
      </c>
    </row>
    <row r="27" spans="1:9">
      <c r="A27" t="s">
        <v>121</v>
      </c>
      <c r="B27" t="s">
        <v>13</v>
      </c>
      <c r="C27" t="s">
        <v>138</v>
      </c>
      <c r="D27" s="16">
        <v>41125</v>
      </c>
      <c r="E27">
        <v>0.51</v>
      </c>
      <c r="F27">
        <v>-1.5</v>
      </c>
      <c r="G27">
        <v>1.42</v>
      </c>
      <c r="H27">
        <v>-1.03</v>
      </c>
    </row>
    <row r="28" spans="1:9">
      <c r="A28" t="s">
        <v>130</v>
      </c>
      <c r="B28" t="s">
        <v>18</v>
      </c>
      <c r="C28" t="s">
        <v>131</v>
      </c>
      <c r="D28" s="16">
        <v>41118</v>
      </c>
      <c r="E28" s="16"/>
      <c r="F28">
        <v>-0.99</v>
      </c>
      <c r="G28">
        <v>0.56999999999999995</v>
      </c>
      <c r="H28">
        <v>-0.54</v>
      </c>
      <c r="I28">
        <v>0.95</v>
      </c>
    </row>
    <row r="29" spans="1:9">
      <c r="A29" t="s">
        <v>130</v>
      </c>
      <c r="B29" t="s">
        <v>18</v>
      </c>
      <c r="C29" t="s">
        <v>131</v>
      </c>
      <c r="D29" s="16">
        <v>41119</v>
      </c>
      <c r="E29" s="16"/>
      <c r="F29">
        <v>-0.99</v>
      </c>
      <c r="G29">
        <v>0.51</v>
      </c>
      <c r="H29">
        <v>-0.37</v>
      </c>
      <c r="I29">
        <v>0.74</v>
      </c>
    </row>
    <row r="30" spans="1:9">
      <c r="A30" t="s">
        <v>130</v>
      </c>
      <c r="B30" t="s">
        <v>18</v>
      </c>
      <c r="C30" t="s">
        <v>131</v>
      </c>
      <c r="D30" s="16">
        <v>41120</v>
      </c>
      <c r="E30" s="16"/>
      <c r="F30">
        <v>-0.98</v>
      </c>
      <c r="G30">
        <v>0.45</v>
      </c>
      <c r="H30">
        <v>-0.27</v>
      </c>
      <c r="I30">
        <v>0.53</v>
      </c>
    </row>
    <row r="31" spans="1:9">
      <c r="A31" t="s">
        <v>130</v>
      </c>
      <c r="B31" t="s">
        <v>18</v>
      </c>
      <c r="C31" t="s">
        <v>131</v>
      </c>
      <c r="D31" s="16">
        <v>41121</v>
      </c>
      <c r="E31" s="16"/>
      <c r="F31">
        <v>-0.97</v>
      </c>
      <c r="G31">
        <v>0.48</v>
      </c>
      <c r="H31">
        <v>-0.21</v>
      </c>
      <c r="I31">
        <v>0.33</v>
      </c>
    </row>
    <row r="32" spans="1:9">
      <c r="A32" t="s">
        <v>130</v>
      </c>
      <c r="B32" t="s">
        <v>18</v>
      </c>
      <c r="C32" t="s">
        <v>131</v>
      </c>
      <c r="D32" s="16">
        <v>41122</v>
      </c>
      <c r="E32" s="16"/>
      <c r="F32">
        <v>-0.97</v>
      </c>
      <c r="G32">
        <v>0.64</v>
      </c>
      <c r="H32">
        <v>-0.21</v>
      </c>
    </row>
    <row r="33" spans="1:9">
      <c r="A33" t="s">
        <v>130</v>
      </c>
      <c r="B33" t="s">
        <v>18</v>
      </c>
      <c r="C33" t="s">
        <v>131</v>
      </c>
      <c r="D33" s="16">
        <v>41123</v>
      </c>
      <c r="E33">
        <v>0.19</v>
      </c>
      <c r="F33">
        <v>-0.96</v>
      </c>
      <c r="G33">
        <v>0.78</v>
      </c>
      <c r="H33">
        <v>-0.28000000000000003</v>
      </c>
    </row>
    <row r="34" spans="1:9">
      <c r="A34" t="s">
        <v>130</v>
      </c>
      <c r="B34" t="s">
        <v>18</v>
      </c>
      <c r="C34" t="s">
        <v>131</v>
      </c>
      <c r="D34" s="16">
        <v>41124</v>
      </c>
      <c r="E34">
        <v>0.13</v>
      </c>
      <c r="F34">
        <v>-0.96</v>
      </c>
      <c r="G34">
        <v>0.9</v>
      </c>
      <c r="H34">
        <v>-0.37</v>
      </c>
    </row>
    <row r="35" spans="1:9">
      <c r="A35" t="s">
        <v>130</v>
      </c>
      <c r="B35" t="s">
        <v>18</v>
      </c>
      <c r="C35" t="s">
        <v>131</v>
      </c>
      <c r="D35" s="16">
        <v>41125</v>
      </c>
      <c r="E35">
        <v>0.15</v>
      </c>
      <c r="F35">
        <v>-0.98</v>
      </c>
      <c r="G35">
        <v>0.98</v>
      </c>
      <c r="H35">
        <v>-0.47</v>
      </c>
    </row>
    <row r="36" spans="1:9">
      <c r="A36" t="s">
        <v>130</v>
      </c>
      <c r="B36" t="s">
        <v>18</v>
      </c>
      <c r="C36" t="s">
        <v>131</v>
      </c>
      <c r="D36" s="16">
        <v>41126</v>
      </c>
      <c r="E36">
        <v>0.2</v>
      </c>
      <c r="F36">
        <v>-0.99</v>
      </c>
      <c r="G36">
        <v>1.05</v>
      </c>
      <c r="H36">
        <v>-0.56000000000000005</v>
      </c>
    </row>
    <row r="37" spans="1:9">
      <c r="A37" t="s">
        <v>130</v>
      </c>
      <c r="B37" t="s">
        <v>18</v>
      </c>
      <c r="C37" t="s">
        <v>131</v>
      </c>
      <c r="D37" s="16">
        <v>41127</v>
      </c>
      <c r="E37">
        <v>0.26</v>
      </c>
      <c r="F37">
        <v>-0.99</v>
      </c>
      <c r="G37">
        <v>1.1000000000000001</v>
      </c>
      <c r="H37">
        <v>-0.64</v>
      </c>
    </row>
    <row r="38" spans="1:9">
      <c r="A38" t="s">
        <v>137</v>
      </c>
      <c r="B38" t="s">
        <v>18</v>
      </c>
      <c r="C38" t="s">
        <v>138</v>
      </c>
      <c r="D38" s="16">
        <v>41118</v>
      </c>
      <c r="F38">
        <v>-1.06</v>
      </c>
      <c r="G38">
        <v>0.71</v>
      </c>
      <c r="H38">
        <v>-0.5</v>
      </c>
      <c r="I38">
        <v>0.28000000000000003</v>
      </c>
    </row>
    <row r="39" spans="1:9">
      <c r="A39" t="s">
        <v>137</v>
      </c>
      <c r="B39" t="s">
        <v>18</v>
      </c>
      <c r="C39" t="s">
        <v>138</v>
      </c>
      <c r="D39" s="16">
        <v>41119</v>
      </c>
      <c r="F39">
        <v>-1.1000000000000001</v>
      </c>
      <c r="G39">
        <v>0.81</v>
      </c>
      <c r="H39">
        <v>-0.6</v>
      </c>
    </row>
    <row r="40" spans="1:9">
      <c r="A40" t="s">
        <v>137</v>
      </c>
      <c r="B40" t="s">
        <v>18</v>
      </c>
      <c r="C40" t="s">
        <v>138</v>
      </c>
      <c r="D40" s="16">
        <v>41120</v>
      </c>
      <c r="E40">
        <v>0.3</v>
      </c>
      <c r="F40">
        <v>-1.1399999999999999</v>
      </c>
      <c r="G40">
        <v>0.88</v>
      </c>
      <c r="H40">
        <v>-0.71</v>
      </c>
    </row>
    <row r="41" spans="1:9">
      <c r="A41" t="s">
        <v>137</v>
      </c>
      <c r="B41" t="s">
        <v>18</v>
      </c>
      <c r="C41" t="s">
        <v>138</v>
      </c>
      <c r="D41" s="16">
        <v>41121</v>
      </c>
      <c r="E41">
        <v>0.34</v>
      </c>
      <c r="F41">
        <v>-1.17</v>
      </c>
      <c r="G41">
        <v>0.91</v>
      </c>
      <c r="H41">
        <v>-0.8</v>
      </c>
    </row>
    <row r="42" spans="1:9">
      <c r="A42" t="s">
        <v>137</v>
      </c>
      <c r="B42" t="s">
        <v>18</v>
      </c>
      <c r="C42" t="s">
        <v>138</v>
      </c>
      <c r="D42" s="16">
        <v>41122</v>
      </c>
      <c r="E42">
        <v>0.37</v>
      </c>
      <c r="F42">
        <v>-1.17</v>
      </c>
      <c r="G42">
        <v>0.9</v>
      </c>
      <c r="H42">
        <v>-0.87</v>
      </c>
    </row>
    <row r="43" spans="1:9">
      <c r="A43" t="s">
        <v>137</v>
      </c>
      <c r="B43" t="s">
        <v>18</v>
      </c>
      <c r="C43" t="s">
        <v>138</v>
      </c>
      <c r="D43" s="16">
        <v>41123</v>
      </c>
      <c r="E43">
        <v>0.4</v>
      </c>
      <c r="F43">
        <v>-1.1299999999999999</v>
      </c>
      <c r="G43">
        <v>0.86</v>
      </c>
      <c r="H43">
        <v>-0.9</v>
      </c>
    </row>
    <row r="44" spans="1:9">
      <c r="A44" t="s">
        <v>137</v>
      </c>
      <c r="B44" t="s">
        <v>18</v>
      </c>
      <c r="C44" t="s">
        <v>138</v>
      </c>
      <c r="D44" s="16">
        <v>41124</v>
      </c>
      <c r="E44">
        <v>0.41</v>
      </c>
      <c r="F44">
        <v>-1.05</v>
      </c>
      <c r="G44">
        <v>0.8</v>
      </c>
      <c r="H44">
        <v>-0.91</v>
      </c>
    </row>
    <row r="45" spans="1:9">
      <c r="A45" t="s">
        <v>137</v>
      </c>
      <c r="B45" t="s">
        <v>18</v>
      </c>
      <c r="C45" t="s">
        <v>138</v>
      </c>
      <c r="D45" s="16">
        <v>41125</v>
      </c>
      <c r="E45">
        <v>0.42</v>
      </c>
      <c r="F45">
        <v>-0.92</v>
      </c>
      <c r="G45">
        <v>0.71</v>
      </c>
      <c r="H45">
        <v>-0.89</v>
      </c>
    </row>
    <row r="46" spans="1:9">
      <c r="A46" t="s">
        <v>137</v>
      </c>
      <c r="B46" t="s">
        <v>18</v>
      </c>
      <c r="C46" t="s">
        <v>138</v>
      </c>
      <c r="D46" s="16">
        <v>41126</v>
      </c>
      <c r="E46">
        <v>0.42</v>
      </c>
      <c r="F46">
        <v>-0.77</v>
      </c>
      <c r="G46">
        <v>0.62</v>
      </c>
      <c r="H46">
        <v>-0.85</v>
      </c>
    </row>
    <row r="47" spans="1:9">
      <c r="A47" t="s">
        <v>137</v>
      </c>
      <c r="B47" t="s">
        <v>18</v>
      </c>
      <c r="C47" t="s">
        <v>138</v>
      </c>
      <c r="D47" s="16">
        <v>41127</v>
      </c>
      <c r="E47">
        <v>0.42</v>
      </c>
      <c r="F47">
        <v>-0.61</v>
      </c>
      <c r="G47">
        <v>0.52</v>
      </c>
    </row>
  </sheetData>
  <sortState ref="A2:I47">
    <sortCondition ref="B2:B47"/>
    <sortCondition ref="A2:A47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topLeftCell="I1" workbookViewId="0">
      <pane ySplit="1" topLeftCell="A67" activePane="bottomLeft" state="frozen"/>
      <selection pane="bottomLeft" activeCell="A93" sqref="A93"/>
    </sheetView>
  </sheetViews>
  <sheetFormatPr baseColWidth="10" defaultRowHeight="15" x14ac:dyDescent="0"/>
  <cols>
    <col min="1" max="1" width="14.1640625" bestFit="1" customWidth="1"/>
    <col min="2" max="2" width="14.1640625" customWidth="1"/>
    <col min="3" max="3" width="12.1640625" customWidth="1"/>
    <col min="4" max="4" width="29.33203125" bestFit="1" customWidth="1"/>
  </cols>
  <sheetData>
    <row r="1" spans="1:16">
      <c r="A1" t="s">
        <v>124</v>
      </c>
      <c r="B1" t="s">
        <v>143</v>
      </c>
      <c r="C1" t="s">
        <v>12</v>
      </c>
      <c r="D1" t="s">
        <v>135</v>
      </c>
      <c r="E1" t="s">
        <v>125</v>
      </c>
      <c r="F1" t="s">
        <v>136</v>
      </c>
      <c r="G1" t="s">
        <v>126</v>
      </c>
      <c r="H1" t="s">
        <v>128</v>
      </c>
      <c r="I1" t="s">
        <v>127</v>
      </c>
      <c r="J1" t="s">
        <v>129</v>
      </c>
      <c r="K1" t="s">
        <v>133</v>
      </c>
      <c r="L1" t="s">
        <v>134</v>
      </c>
      <c r="M1" t="s">
        <v>132</v>
      </c>
      <c r="N1" t="s">
        <v>140</v>
      </c>
      <c r="O1" t="s">
        <v>141</v>
      </c>
      <c r="P1" t="s">
        <v>142</v>
      </c>
    </row>
    <row r="2" spans="1:16">
      <c r="A2" t="s">
        <v>149</v>
      </c>
      <c r="B2" t="s">
        <v>144</v>
      </c>
      <c r="C2" t="s">
        <v>150</v>
      </c>
      <c r="D2" t="s">
        <v>151</v>
      </c>
      <c r="E2" s="16">
        <v>41117</v>
      </c>
      <c r="G2">
        <v>-2</v>
      </c>
      <c r="H2">
        <v>0.72</v>
      </c>
      <c r="I2">
        <v>-0.79</v>
      </c>
      <c r="J2">
        <v>0.36</v>
      </c>
      <c r="K2">
        <f t="shared" ref="K2:K33" si="0">AVERAGE(F2,H2,J2)</f>
        <v>0.54</v>
      </c>
      <c r="L2">
        <f t="shared" ref="L2:L33" si="1">MAX(F2,H2,J2)</f>
        <v>0.72</v>
      </c>
      <c r="M2">
        <f t="shared" ref="M2:M33" si="2">AVERAGE(G2,I2)</f>
        <v>-1.395</v>
      </c>
      <c r="N2">
        <f t="shared" ref="N2:N33" si="3">MIN(G2,I2)</f>
        <v>-2</v>
      </c>
      <c r="O2">
        <f t="shared" ref="O2:O33" si="4">AVERAGE(F2,H2,J2, ABS(G2), ABS(I2))</f>
        <v>0.96750000000000003</v>
      </c>
      <c r="P2">
        <f t="shared" ref="P2:P33" si="5">MAX(F2,H2,J2,ABS(G2),ABS(I2))</f>
        <v>2</v>
      </c>
    </row>
    <row r="3" spans="1:16">
      <c r="A3" t="s">
        <v>149</v>
      </c>
      <c r="B3" t="s">
        <v>144</v>
      </c>
      <c r="C3" t="s">
        <v>150</v>
      </c>
      <c r="D3" t="s">
        <v>151</v>
      </c>
      <c r="E3" s="16">
        <v>41118</v>
      </c>
      <c r="G3">
        <v>-2.06</v>
      </c>
      <c r="H3">
        <v>0.85</v>
      </c>
      <c r="I3">
        <v>-0.84</v>
      </c>
      <c r="J3">
        <v>0.3</v>
      </c>
      <c r="K3">
        <f t="shared" si="0"/>
        <v>0.57499999999999996</v>
      </c>
      <c r="L3">
        <f t="shared" si="1"/>
        <v>0.85</v>
      </c>
      <c r="M3">
        <f t="shared" si="2"/>
        <v>-1.45</v>
      </c>
      <c r="N3">
        <f t="shared" si="3"/>
        <v>-2.06</v>
      </c>
      <c r="O3">
        <f t="shared" si="4"/>
        <v>1.0125</v>
      </c>
      <c r="P3">
        <f t="shared" si="5"/>
        <v>2.06</v>
      </c>
    </row>
    <row r="4" spans="1:16">
      <c r="A4" t="s">
        <v>149</v>
      </c>
      <c r="B4" t="s">
        <v>144</v>
      </c>
      <c r="C4" t="s">
        <v>150</v>
      </c>
      <c r="D4" t="s">
        <v>151</v>
      </c>
      <c r="E4" s="16">
        <v>41119</v>
      </c>
      <c r="G4">
        <v>-2.14</v>
      </c>
      <c r="H4">
        <v>0.99</v>
      </c>
      <c r="I4">
        <v>-0.98</v>
      </c>
      <c r="K4">
        <f t="shared" si="0"/>
        <v>0.99</v>
      </c>
      <c r="L4">
        <f t="shared" si="1"/>
        <v>0.99</v>
      </c>
      <c r="M4">
        <f t="shared" si="2"/>
        <v>-1.56</v>
      </c>
      <c r="N4">
        <f t="shared" si="3"/>
        <v>-2.14</v>
      </c>
      <c r="O4">
        <f t="shared" si="4"/>
        <v>1.3699999999999999</v>
      </c>
      <c r="P4">
        <f t="shared" si="5"/>
        <v>2.14</v>
      </c>
    </row>
    <row r="5" spans="1:16">
      <c r="A5" t="s">
        <v>149</v>
      </c>
      <c r="B5" t="s">
        <v>144</v>
      </c>
      <c r="C5" t="s">
        <v>150</v>
      </c>
      <c r="D5" t="s">
        <v>151</v>
      </c>
      <c r="E5" s="16">
        <v>41120</v>
      </c>
      <c r="F5">
        <v>0.3</v>
      </c>
      <c r="G5">
        <v>-2.2200000000000002</v>
      </c>
      <c r="H5">
        <v>1.1100000000000001</v>
      </c>
      <c r="I5">
        <v>-1.17</v>
      </c>
      <c r="K5">
        <f t="shared" si="0"/>
        <v>0.70500000000000007</v>
      </c>
      <c r="L5">
        <f t="shared" si="1"/>
        <v>1.1100000000000001</v>
      </c>
      <c r="M5">
        <f t="shared" si="2"/>
        <v>-1.6950000000000001</v>
      </c>
      <c r="N5">
        <f t="shared" si="3"/>
        <v>-2.2200000000000002</v>
      </c>
      <c r="O5">
        <f t="shared" si="4"/>
        <v>1.2000000000000002</v>
      </c>
      <c r="P5">
        <f t="shared" si="5"/>
        <v>2.2200000000000002</v>
      </c>
    </row>
    <row r="6" spans="1:16">
      <c r="A6" t="s">
        <v>149</v>
      </c>
      <c r="B6" t="s">
        <v>144</v>
      </c>
      <c r="C6" t="s">
        <v>150</v>
      </c>
      <c r="D6" t="s">
        <v>151</v>
      </c>
      <c r="E6" s="16">
        <v>41121</v>
      </c>
      <c r="F6">
        <v>0.34</v>
      </c>
      <c r="G6">
        <v>-2.27</v>
      </c>
      <c r="H6">
        <v>1.2</v>
      </c>
      <c r="I6">
        <v>-1.36</v>
      </c>
      <c r="K6">
        <f t="shared" si="0"/>
        <v>0.77</v>
      </c>
      <c r="L6">
        <f t="shared" si="1"/>
        <v>1.2</v>
      </c>
      <c r="M6">
        <f t="shared" si="2"/>
        <v>-1.8149999999999999</v>
      </c>
      <c r="N6">
        <f t="shared" si="3"/>
        <v>-2.27</v>
      </c>
      <c r="O6">
        <f t="shared" si="4"/>
        <v>1.2925</v>
      </c>
      <c r="P6">
        <f t="shared" si="5"/>
        <v>2.27</v>
      </c>
    </row>
    <row r="7" spans="1:16">
      <c r="A7" t="s">
        <v>149</v>
      </c>
      <c r="B7" t="s">
        <v>144</v>
      </c>
      <c r="C7" t="s">
        <v>150</v>
      </c>
      <c r="D7" t="s">
        <v>151</v>
      </c>
      <c r="E7" s="16">
        <v>41122</v>
      </c>
      <c r="F7">
        <v>0.41</v>
      </c>
      <c r="G7">
        <v>-2.2799999999999998</v>
      </c>
      <c r="H7">
        <v>1.24</v>
      </c>
      <c r="I7">
        <v>-1.52</v>
      </c>
      <c r="K7">
        <f t="shared" si="0"/>
        <v>0.82499999999999996</v>
      </c>
      <c r="L7">
        <f t="shared" si="1"/>
        <v>1.24</v>
      </c>
      <c r="M7">
        <f t="shared" si="2"/>
        <v>-1.9</v>
      </c>
      <c r="N7">
        <f t="shared" si="3"/>
        <v>-2.2799999999999998</v>
      </c>
      <c r="O7">
        <f t="shared" si="4"/>
        <v>1.3624999999999998</v>
      </c>
      <c r="P7">
        <f t="shared" si="5"/>
        <v>2.2799999999999998</v>
      </c>
    </row>
    <row r="8" spans="1:16">
      <c r="A8" t="s">
        <v>149</v>
      </c>
      <c r="B8" t="s">
        <v>144</v>
      </c>
      <c r="C8" t="s">
        <v>150</v>
      </c>
      <c r="D8" t="s">
        <v>151</v>
      </c>
      <c r="E8" s="16">
        <v>41123</v>
      </c>
      <c r="F8">
        <v>0.48</v>
      </c>
      <c r="G8">
        <v>-2.2200000000000002</v>
      </c>
      <c r="H8">
        <v>1.22</v>
      </c>
      <c r="I8">
        <v>-1.65</v>
      </c>
      <c r="K8">
        <f t="shared" si="0"/>
        <v>0.85</v>
      </c>
      <c r="L8">
        <f t="shared" si="1"/>
        <v>1.22</v>
      </c>
      <c r="M8">
        <f t="shared" si="2"/>
        <v>-1.9350000000000001</v>
      </c>
      <c r="N8">
        <f t="shared" si="3"/>
        <v>-2.2200000000000002</v>
      </c>
      <c r="O8">
        <f t="shared" si="4"/>
        <v>1.3925000000000001</v>
      </c>
      <c r="P8">
        <f t="shared" si="5"/>
        <v>2.2200000000000002</v>
      </c>
    </row>
    <row r="9" spans="1:16">
      <c r="A9" t="s">
        <v>149</v>
      </c>
      <c r="B9" t="s">
        <v>144</v>
      </c>
      <c r="C9" t="s">
        <v>150</v>
      </c>
      <c r="D9" t="s">
        <v>151</v>
      </c>
      <c r="E9" s="16">
        <v>41124</v>
      </c>
      <c r="F9">
        <v>0.53</v>
      </c>
      <c r="G9">
        <v>-2.09</v>
      </c>
      <c r="H9">
        <v>1.1399999999999999</v>
      </c>
      <c r="I9">
        <v>-1.73</v>
      </c>
      <c r="K9">
        <f t="shared" si="0"/>
        <v>0.83499999999999996</v>
      </c>
      <c r="L9">
        <f t="shared" si="1"/>
        <v>1.1399999999999999</v>
      </c>
      <c r="M9">
        <f t="shared" si="2"/>
        <v>-1.91</v>
      </c>
      <c r="N9">
        <f t="shared" si="3"/>
        <v>-2.09</v>
      </c>
      <c r="O9">
        <f t="shared" si="4"/>
        <v>1.3725000000000001</v>
      </c>
      <c r="P9">
        <f t="shared" si="5"/>
        <v>2.09</v>
      </c>
    </row>
    <row r="10" spans="1:16">
      <c r="A10" t="s">
        <v>149</v>
      </c>
      <c r="B10" t="s">
        <v>144</v>
      </c>
      <c r="C10" t="s">
        <v>150</v>
      </c>
      <c r="D10" t="s">
        <v>151</v>
      </c>
      <c r="E10" s="16">
        <v>41125</v>
      </c>
      <c r="F10">
        <v>0.55000000000000004</v>
      </c>
      <c r="G10">
        <v>-1.9</v>
      </c>
      <c r="H10">
        <v>1.03</v>
      </c>
      <c r="I10">
        <v>-1.77</v>
      </c>
      <c r="K10">
        <f t="shared" si="0"/>
        <v>0.79</v>
      </c>
      <c r="L10">
        <f t="shared" si="1"/>
        <v>1.03</v>
      </c>
      <c r="M10">
        <f t="shared" si="2"/>
        <v>-1.835</v>
      </c>
      <c r="N10">
        <f t="shared" si="3"/>
        <v>-1.9</v>
      </c>
      <c r="O10">
        <f t="shared" si="4"/>
        <v>1.3125</v>
      </c>
      <c r="P10">
        <f t="shared" si="5"/>
        <v>1.9</v>
      </c>
    </row>
    <row r="11" spans="1:16">
      <c r="A11" t="s">
        <v>149</v>
      </c>
      <c r="B11" t="s">
        <v>144</v>
      </c>
      <c r="C11" t="s">
        <v>150</v>
      </c>
      <c r="D11" t="s">
        <v>151</v>
      </c>
      <c r="E11" s="16">
        <v>41126</v>
      </c>
      <c r="F11">
        <v>0.55000000000000004</v>
      </c>
      <c r="G11">
        <v>-1.66</v>
      </c>
      <c r="H11">
        <v>0.89</v>
      </c>
      <c r="K11">
        <f t="shared" si="0"/>
        <v>0.72</v>
      </c>
      <c r="L11">
        <f t="shared" si="1"/>
        <v>0.89</v>
      </c>
      <c r="M11">
        <f t="shared" si="2"/>
        <v>-1.66</v>
      </c>
      <c r="N11">
        <f t="shared" si="3"/>
        <v>-1.66</v>
      </c>
      <c r="O11">
        <f t="shared" si="4"/>
        <v>0.77499999999999991</v>
      </c>
      <c r="P11">
        <f t="shared" si="5"/>
        <v>1.66</v>
      </c>
    </row>
    <row r="12" spans="1:16">
      <c r="A12" t="s">
        <v>149</v>
      </c>
      <c r="B12" t="s">
        <v>144</v>
      </c>
      <c r="C12" t="s">
        <v>150</v>
      </c>
      <c r="D12" t="s">
        <v>151</v>
      </c>
      <c r="E12" s="16">
        <v>41127</v>
      </c>
      <c r="G12">
        <v>-1.77</v>
      </c>
      <c r="H12">
        <v>0.53</v>
      </c>
      <c r="I12">
        <v>-1.39</v>
      </c>
      <c r="J12">
        <v>0.73</v>
      </c>
      <c r="K12">
        <f t="shared" si="0"/>
        <v>0.63</v>
      </c>
      <c r="L12">
        <f t="shared" si="1"/>
        <v>0.73</v>
      </c>
      <c r="M12">
        <f t="shared" si="2"/>
        <v>-1.58</v>
      </c>
      <c r="N12">
        <f t="shared" si="3"/>
        <v>-1.77</v>
      </c>
      <c r="O12">
        <f t="shared" si="4"/>
        <v>1.105</v>
      </c>
      <c r="P12">
        <f t="shared" si="5"/>
        <v>1.77</v>
      </c>
    </row>
    <row r="13" spans="1:16">
      <c r="A13" t="s">
        <v>152</v>
      </c>
      <c r="B13" t="s">
        <v>145</v>
      </c>
      <c r="C13" t="s">
        <v>150</v>
      </c>
      <c r="D13" t="s">
        <v>151</v>
      </c>
      <c r="E13" s="16">
        <v>41117</v>
      </c>
      <c r="G13">
        <v>-2.67</v>
      </c>
      <c r="H13">
        <v>1.8</v>
      </c>
      <c r="I13">
        <v>-1.06</v>
      </c>
      <c r="J13">
        <v>0.9</v>
      </c>
      <c r="K13">
        <f t="shared" si="0"/>
        <v>1.35</v>
      </c>
      <c r="L13">
        <f t="shared" si="1"/>
        <v>1.8</v>
      </c>
      <c r="M13">
        <f t="shared" si="2"/>
        <v>-1.865</v>
      </c>
      <c r="N13">
        <f t="shared" si="3"/>
        <v>-2.67</v>
      </c>
      <c r="O13">
        <f t="shared" si="4"/>
        <v>1.6074999999999999</v>
      </c>
      <c r="P13">
        <f t="shared" si="5"/>
        <v>2.67</v>
      </c>
    </row>
    <row r="14" spans="1:16">
      <c r="A14" t="s">
        <v>152</v>
      </c>
      <c r="B14" t="s">
        <v>145</v>
      </c>
      <c r="C14" t="s">
        <v>150</v>
      </c>
      <c r="D14" t="s">
        <v>151</v>
      </c>
      <c r="E14" s="16">
        <v>41118</v>
      </c>
      <c r="G14">
        <v>-2.75</v>
      </c>
      <c r="H14">
        <v>2.12</v>
      </c>
      <c r="I14">
        <v>-1.1200000000000001</v>
      </c>
      <c r="J14">
        <v>0.75</v>
      </c>
      <c r="K14">
        <f t="shared" si="0"/>
        <v>1.4350000000000001</v>
      </c>
      <c r="L14">
        <f t="shared" si="1"/>
        <v>2.12</v>
      </c>
      <c r="M14">
        <f t="shared" si="2"/>
        <v>-1.9350000000000001</v>
      </c>
      <c r="N14">
        <f t="shared" si="3"/>
        <v>-2.75</v>
      </c>
      <c r="O14">
        <f t="shared" si="4"/>
        <v>1.6850000000000001</v>
      </c>
      <c r="P14">
        <f t="shared" si="5"/>
        <v>2.75</v>
      </c>
    </row>
    <row r="15" spans="1:16">
      <c r="A15" t="s">
        <v>152</v>
      </c>
      <c r="B15" t="s">
        <v>145</v>
      </c>
      <c r="C15" t="s">
        <v>150</v>
      </c>
      <c r="D15" t="s">
        <v>151</v>
      </c>
      <c r="E15" s="16">
        <v>41119</v>
      </c>
      <c r="G15">
        <v>-2.85</v>
      </c>
      <c r="H15">
        <v>2.4700000000000002</v>
      </c>
      <c r="I15">
        <v>-1.31</v>
      </c>
      <c r="K15">
        <f t="shared" si="0"/>
        <v>2.4700000000000002</v>
      </c>
      <c r="L15">
        <f t="shared" si="1"/>
        <v>2.4700000000000002</v>
      </c>
      <c r="M15">
        <f t="shared" si="2"/>
        <v>-2.08</v>
      </c>
      <c r="N15">
        <f t="shared" si="3"/>
        <v>-2.85</v>
      </c>
      <c r="O15">
        <f t="shared" si="4"/>
        <v>2.2100000000000004</v>
      </c>
      <c r="P15">
        <f t="shared" si="5"/>
        <v>2.85</v>
      </c>
    </row>
    <row r="16" spans="1:16">
      <c r="A16" t="s">
        <v>152</v>
      </c>
      <c r="B16" t="s">
        <v>145</v>
      </c>
      <c r="C16" t="s">
        <v>150</v>
      </c>
      <c r="D16" t="s">
        <v>151</v>
      </c>
      <c r="E16" s="16">
        <v>41120</v>
      </c>
      <c r="F16">
        <v>0.74</v>
      </c>
      <c r="G16">
        <v>-2.96</v>
      </c>
      <c r="H16">
        <v>2.78</v>
      </c>
      <c r="I16">
        <v>-1.56</v>
      </c>
      <c r="K16">
        <f t="shared" si="0"/>
        <v>1.7599999999999998</v>
      </c>
      <c r="L16">
        <f t="shared" si="1"/>
        <v>2.78</v>
      </c>
      <c r="M16">
        <f t="shared" si="2"/>
        <v>-2.2599999999999998</v>
      </c>
      <c r="N16">
        <f t="shared" si="3"/>
        <v>-2.96</v>
      </c>
      <c r="O16">
        <f t="shared" si="4"/>
        <v>2.0099999999999998</v>
      </c>
      <c r="P16">
        <f t="shared" si="5"/>
        <v>2.96</v>
      </c>
    </row>
    <row r="17" spans="1:16">
      <c r="A17" t="s">
        <v>152</v>
      </c>
      <c r="B17" t="s">
        <v>145</v>
      </c>
      <c r="C17" t="s">
        <v>150</v>
      </c>
      <c r="D17" t="s">
        <v>151</v>
      </c>
      <c r="E17" s="16">
        <v>41121</v>
      </c>
      <c r="F17">
        <v>0.86</v>
      </c>
      <c r="G17">
        <v>-3.03</v>
      </c>
      <c r="H17">
        <v>3</v>
      </c>
      <c r="I17">
        <v>-1.81</v>
      </c>
      <c r="K17">
        <f t="shared" si="0"/>
        <v>1.93</v>
      </c>
      <c r="L17">
        <f t="shared" si="1"/>
        <v>3</v>
      </c>
      <c r="M17">
        <f t="shared" si="2"/>
        <v>-2.42</v>
      </c>
      <c r="N17">
        <f t="shared" si="3"/>
        <v>-3.03</v>
      </c>
      <c r="O17">
        <f t="shared" si="4"/>
        <v>2.1749999999999998</v>
      </c>
      <c r="P17">
        <f t="shared" si="5"/>
        <v>3.03</v>
      </c>
    </row>
    <row r="18" spans="1:16">
      <c r="A18" t="s">
        <v>152</v>
      </c>
      <c r="B18" t="s">
        <v>145</v>
      </c>
      <c r="C18" t="s">
        <v>150</v>
      </c>
      <c r="D18" t="s">
        <v>151</v>
      </c>
      <c r="E18" s="16">
        <v>41122</v>
      </c>
      <c r="F18">
        <v>1.03</v>
      </c>
      <c r="G18">
        <v>-3.04</v>
      </c>
      <c r="H18">
        <v>3.09</v>
      </c>
      <c r="I18">
        <v>-2.0299999999999998</v>
      </c>
      <c r="K18">
        <f t="shared" si="0"/>
        <v>2.06</v>
      </c>
      <c r="L18">
        <f t="shared" si="1"/>
        <v>3.09</v>
      </c>
      <c r="M18">
        <f t="shared" si="2"/>
        <v>-2.5350000000000001</v>
      </c>
      <c r="N18">
        <f t="shared" si="3"/>
        <v>-3.04</v>
      </c>
      <c r="O18">
        <f t="shared" si="4"/>
        <v>2.2974999999999999</v>
      </c>
      <c r="P18">
        <f t="shared" si="5"/>
        <v>3.09</v>
      </c>
    </row>
    <row r="19" spans="1:16">
      <c r="A19" t="s">
        <v>152</v>
      </c>
      <c r="B19" t="s">
        <v>145</v>
      </c>
      <c r="C19" t="s">
        <v>150</v>
      </c>
      <c r="D19" t="s">
        <v>151</v>
      </c>
      <c r="E19" s="16">
        <v>41123</v>
      </c>
      <c r="F19">
        <v>1.19</v>
      </c>
      <c r="G19">
        <v>-2.96</v>
      </c>
      <c r="H19">
        <v>3.04</v>
      </c>
      <c r="I19">
        <v>-2.2000000000000002</v>
      </c>
      <c r="K19">
        <f t="shared" si="0"/>
        <v>2.1150000000000002</v>
      </c>
      <c r="L19">
        <f t="shared" si="1"/>
        <v>3.04</v>
      </c>
      <c r="M19">
        <f t="shared" si="2"/>
        <v>-2.58</v>
      </c>
      <c r="N19">
        <f t="shared" si="3"/>
        <v>-2.96</v>
      </c>
      <c r="O19">
        <f t="shared" si="4"/>
        <v>2.3475000000000001</v>
      </c>
      <c r="P19">
        <f t="shared" si="5"/>
        <v>3.04</v>
      </c>
    </row>
    <row r="20" spans="1:16">
      <c r="A20" t="s">
        <v>152</v>
      </c>
      <c r="B20" t="s">
        <v>145</v>
      </c>
      <c r="C20" t="s">
        <v>150</v>
      </c>
      <c r="D20" t="s">
        <v>151</v>
      </c>
      <c r="E20" s="16">
        <v>41124</v>
      </c>
      <c r="F20">
        <v>1.32</v>
      </c>
      <c r="G20">
        <v>-2.79</v>
      </c>
      <c r="H20">
        <v>2.86</v>
      </c>
      <c r="I20">
        <v>-2.31</v>
      </c>
      <c r="K20">
        <f t="shared" si="0"/>
        <v>2.09</v>
      </c>
      <c r="L20">
        <f t="shared" si="1"/>
        <v>2.86</v>
      </c>
      <c r="M20">
        <f t="shared" si="2"/>
        <v>-2.5499999999999998</v>
      </c>
      <c r="N20">
        <f t="shared" si="3"/>
        <v>-2.79</v>
      </c>
      <c r="O20">
        <f t="shared" si="4"/>
        <v>2.3199999999999998</v>
      </c>
      <c r="P20">
        <f t="shared" si="5"/>
        <v>2.86</v>
      </c>
    </row>
    <row r="21" spans="1:16">
      <c r="A21" t="s">
        <v>152</v>
      </c>
      <c r="B21" t="s">
        <v>145</v>
      </c>
      <c r="C21" t="s">
        <v>150</v>
      </c>
      <c r="D21" t="s">
        <v>151</v>
      </c>
      <c r="E21" s="16">
        <v>41125</v>
      </c>
      <c r="F21">
        <v>1.38</v>
      </c>
      <c r="G21">
        <v>-2.5299999999999998</v>
      </c>
      <c r="H21">
        <v>2.57</v>
      </c>
      <c r="I21">
        <v>-2.36</v>
      </c>
      <c r="K21">
        <f t="shared" si="0"/>
        <v>1.9749999999999999</v>
      </c>
      <c r="L21">
        <f t="shared" si="1"/>
        <v>2.57</v>
      </c>
      <c r="M21">
        <f t="shared" si="2"/>
        <v>-2.4449999999999998</v>
      </c>
      <c r="N21">
        <f t="shared" si="3"/>
        <v>-2.5299999999999998</v>
      </c>
      <c r="O21">
        <f t="shared" si="4"/>
        <v>2.21</v>
      </c>
      <c r="P21">
        <f t="shared" si="5"/>
        <v>2.57</v>
      </c>
    </row>
    <row r="22" spans="1:16">
      <c r="A22" t="s">
        <v>152</v>
      </c>
      <c r="B22" t="s">
        <v>145</v>
      </c>
      <c r="C22" t="s">
        <v>150</v>
      </c>
      <c r="D22" t="s">
        <v>151</v>
      </c>
      <c r="E22" s="16">
        <v>41126</v>
      </c>
      <c r="F22">
        <v>1.38</v>
      </c>
      <c r="G22">
        <v>-2.21</v>
      </c>
      <c r="H22">
        <v>2.2200000000000002</v>
      </c>
      <c r="K22">
        <f t="shared" si="0"/>
        <v>1.8</v>
      </c>
      <c r="L22">
        <f t="shared" si="1"/>
        <v>2.2200000000000002</v>
      </c>
      <c r="M22">
        <f t="shared" si="2"/>
        <v>-2.21</v>
      </c>
      <c r="N22">
        <f t="shared" si="3"/>
        <v>-2.21</v>
      </c>
      <c r="O22">
        <f t="shared" si="4"/>
        <v>1.4525000000000001</v>
      </c>
      <c r="P22">
        <f t="shared" si="5"/>
        <v>2.2200000000000002</v>
      </c>
    </row>
    <row r="23" spans="1:16">
      <c r="A23" t="s">
        <v>152</v>
      </c>
      <c r="B23" t="s">
        <v>145</v>
      </c>
      <c r="C23" t="s">
        <v>150</v>
      </c>
      <c r="D23" t="s">
        <v>151</v>
      </c>
      <c r="E23" s="16">
        <v>41127</v>
      </c>
      <c r="G23">
        <v>-2.36</v>
      </c>
      <c r="H23">
        <v>1.34</v>
      </c>
      <c r="I23">
        <v>-1.86</v>
      </c>
      <c r="J23">
        <v>1.82</v>
      </c>
      <c r="K23">
        <f t="shared" si="0"/>
        <v>1.58</v>
      </c>
      <c r="L23">
        <f t="shared" si="1"/>
        <v>1.82</v>
      </c>
      <c r="M23">
        <f t="shared" si="2"/>
        <v>-2.11</v>
      </c>
      <c r="N23">
        <f t="shared" si="3"/>
        <v>-2.36</v>
      </c>
      <c r="O23">
        <f t="shared" si="4"/>
        <v>1.845</v>
      </c>
      <c r="P23">
        <f t="shared" si="5"/>
        <v>2.36</v>
      </c>
    </row>
    <row r="24" spans="1:16">
      <c r="A24" t="s">
        <v>153</v>
      </c>
      <c r="B24" t="s">
        <v>146</v>
      </c>
      <c r="C24" t="s">
        <v>150</v>
      </c>
      <c r="D24" t="s">
        <v>151</v>
      </c>
      <c r="E24" s="16">
        <v>41117</v>
      </c>
      <c r="G24">
        <v>-2</v>
      </c>
      <c r="H24">
        <v>1.44</v>
      </c>
      <c r="I24">
        <v>-0.79</v>
      </c>
      <c r="J24">
        <v>0.72</v>
      </c>
      <c r="K24">
        <f t="shared" si="0"/>
        <v>1.08</v>
      </c>
      <c r="L24">
        <f t="shared" si="1"/>
        <v>1.44</v>
      </c>
      <c r="M24">
        <f t="shared" si="2"/>
        <v>-1.395</v>
      </c>
      <c r="N24">
        <f t="shared" si="3"/>
        <v>-2</v>
      </c>
      <c r="O24">
        <f t="shared" si="4"/>
        <v>1.2375</v>
      </c>
      <c r="P24">
        <f t="shared" si="5"/>
        <v>2</v>
      </c>
    </row>
    <row r="25" spans="1:16">
      <c r="A25" t="s">
        <v>153</v>
      </c>
      <c r="B25" t="s">
        <v>146</v>
      </c>
      <c r="C25" t="s">
        <v>150</v>
      </c>
      <c r="D25" t="s">
        <v>151</v>
      </c>
      <c r="E25" s="16">
        <v>41118</v>
      </c>
      <c r="G25">
        <v>-2.06</v>
      </c>
      <c r="H25">
        <v>1.7</v>
      </c>
      <c r="I25">
        <v>-0.84</v>
      </c>
      <c r="J25">
        <v>0.6</v>
      </c>
      <c r="K25">
        <f t="shared" si="0"/>
        <v>1.1499999999999999</v>
      </c>
      <c r="L25">
        <f t="shared" si="1"/>
        <v>1.7</v>
      </c>
      <c r="M25">
        <f t="shared" si="2"/>
        <v>-1.45</v>
      </c>
      <c r="N25">
        <f t="shared" si="3"/>
        <v>-2.06</v>
      </c>
      <c r="O25">
        <f t="shared" si="4"/>
        <v>1.2999999999999998</v>
      </c>
      <c r="P25">
        <f t="shared" si="5"/>
        <v>2.06</v>
      </c>
    </row>
    <row r="26" spans="1:16">
      <c r="A26" t="s">
        <v>153</v>
      </c>
      <c r="B26" t="s">
        <v>146</v>
      </c>
      <c r="C26" t="s">
        <v>150</v>
      </c>
      <c r="D26" t="s">
        <v>151</v>
      </c>
      <c r="E26" s="16">
        <v>41119</v>
      </c>
      <c r="G26">
        <v>-2.14</v>
      </c>
      <c r="H26">
        <v>1.98</v>
      </c>
      <c r="I26">
        <v>-0.98</v>
      </c>
      <c r="K26">
        <f t="shared" si="0"/>
        <v>1.98</v>
      </c>
      <c r="L26">
        <f t="shared" si="1"/>
        <v>1.98</v>
      </c>
      <c r="M26">
        <f t="shared" si="2"/>
        <v>-1.56</v>
      </c>
      <c r="N26">
        <f t="shared" si="3"/>
        <v>-2.14</v>
      </c>
      <c r="O26">
        <f t="shared" si="4"/>
        <v>1.7</v>
      </c>
      <c r="P26">
        <f t="shared" si="5"/>
        <v>2.14</v>
      </c>
    </row>
    <row r="27" spans="1:16">
      <c r="A27" t="s">
        <v>153</v>
      </c>
      <c r="B27" t="s">
        <v>146</v>
      </c>
      <c r="C27" t="s">
        <v>150</v>
      </c>
      <c r="D27" t="s">
        <v>151</v>
      </c>
      <c r="E27" s="16">
        <v>41120</v>
      </c>
      <c r="F27">
        <v>0.6</v>
      </c>
      <c r="G27">
        <v>-2.2200000000000002</v>
      </c>
      <c r="H27">
        <v>2.23</v>
      </c>
      <c r="I27">
        <v>-1.17</v>
      </c>
      <c r="K27">
        <f t="shared" si="0"/>
        <v>1.415</v>
      </c>
      <c r="L27">
        <f t="shared" si="1"/>
        <v>2.23</v>
      </c>
      <c r="M27">
        <f t="shared" si="2"/>
        <v>-1.6950000000000001</v>
      </c>
      <c r="N27">
        <f t="shared" si="3"/>
        <v>-2.2200000000000002</v>
      </c>
      <c r="O27">
        <f t="shared" si="4"/>
        <v>1.5550000000000002</v>
      </c>
      <c r="P27">
        <f t="shared" si="5"/>
        <v>2.23</v>
      </c>
    </row>
    <row r="28" spans="1:16">
      <c r="A28" t="s">
        <v>153</v>
      </c>
      <c r="B28" t="s">
        <v>146</v>
      </c>
      <c r="C28" t="s">
        <v>150</v>
      </c>
      <c r="D28" t="s">
        <v>151</v>
      </c>
      <c r="E28" s="16">
        <v>41121</v>
      </c>
      <c r="F28">
        <v>0.69</v>
      </c>
      <c r="G28">
        <v>-2.27</v>
      </c>
      <c r="H28">
        <v>2.4</v>
      </c>
      <c r="I28">
        <v>-1.36</v>
      </c>
      <c r="K28">
        <f t="shared" si="0"/>
        <v>1.5449999999999999</v>
      </c>
      <c r="L28">
        <f t="shared" si="1"/>
        <v>2.4</v>
      </c>
      <c r="M28">
        <f t="shared" si="2"/>
        <v>-1.8149999999999999</v>
      </c>
      <c r="N28">
        <f t="shared" si="3"/>
        <v>-2.27</v>
      </c>
      <c r="O28">
        <f t="shared" si="4"/>
        <v>1.68</v>
      </c>
      <c r="P28">
        <f t="shared" si="5"/>
        <v>2.4</v>
      </c>
    </row>
    <row r="29" spans="1:16">
      <c r="A29" t="s">
        <v>153</v>
      </c>
      <c r="B29" t="s">
        <v>146</v>
      </c>
      <c r="C29" t="s">
        <v>150</v>
      </c>
      <c r="D29" t="s">
        <v>151</v>
      </c>
      <c r="E29" s="16">
        <v>41122</v>
      </c>
      <c r="F29">
        <v>0.82</v>
      </c>
      <c r="G29">
        <v>-2.2799999999999998</v>
      </c>
      <c r="H29">
        <v>2.4700000000000002</v>
      </c>
      <c r="I29">
        <v>-1.52</v>
      </c>
      <c r="K29">
        <f t="shared" si="0"/>
        <v>1.645</v>
      </c>
      <c r="L29">
        <f t="shared" si="1"/>
        <v>2.4700000000000002</v>
      </c>
      <c r="M29">
        <f t="shared" si="2"/>
        <v>-1.9</v>
      </c>
      <c r="N29">
        <f t="shared" si="3"/>
        <v>-2.2799999999999998</v>
      </c>
      <c r="O29">
        <f t="shared" si="4"/>
        <v>1.7725</v>
      </c>
      <c r="P29">
        <f t="shared" si="5"/>
        <v>2.4700000000000002</v>
      </c>
    </row>
    <row r="30" spans="1:16">
      <c r="A30" t="s">
        <v>153</v>
      </c>
      <c r="B30" t="s">
        <v>146</v>
      </c>
      <c r="C30" t="s">
        <v>150</v>
      </c>
      <c r="D30" t="s">
        <v>151</v>
      </c>
      <c r="E30" s="16">
        <v>41123</v>
      </c>
      <c r="F30">
        <v>0.95</v>
      </c>
      <c r="G30">
        <v>-2.2200000000000002</v>
      </c>
      <c r="H30">
        <v>2.4300000000000002</v>
      </c>
      <c r="I30">
        <v>-1.65</v>
      </c>
      <c r="K30">
        <f t="shared" si="0"/>
        <v>1.69</v>
      </c>
      <c r="L30">
        <f t="shared" si="1"/>
        <v>2.4300000000000002</v>
      </c>
      <c r="M30">
        <f t="shared" si="2"/>
        <v>-1.9350000000000001</v>
      </c>
      <c r="N30">
        <f t="shared" si="3"/>
        <v>-2.2200000000000002</v>
      </c>
      <c r="O30">
        <f t="shared" si="4"/>
        <v>1.8125</v>
      </c>
      <c r="P30">
        <f t="shared" si="5"/>
        <v>2.4300000000000002</v>
      </c>
    </row>
    <row r="31" spans="1:16">
      <c r="A31" t="s">
        <v>153</v>
      </c>
      <c r="B31" t="s">
        <v>146</v>
      </c>
      <c r="C31" t="s">
        <v>150</v>
      </c>
      <c r="D31" t="s">
        <v>151</v>
      </c>
      <c r="E31" s="16">
        <v>41124</v>
      </c>
      <c r="F31">
        <v>1.05</v>
      </c>
      <c r="G31">
        <v>-2.09</v>
      </c>
      <c r="H31">
        <v>2.29</v>
      </c>
      <c r="I31">
        <v>-1.73</v>
      </c>
      <c r="K31">
        <f t="shared" si="0"/>
        <v>1.67</v>
      </c>
      <c r="L31">
        <f t="shared" si="1"/>
        <v>2.29</v>
      </c>
      <c r="M31">
        <f t="shared" si="2"/>
        <v>-1.91</v>
      </c>
      <c r="N31">
        <f t="shared" si="3"/>
        <v>-2.09</v>
      </c>
      <c r="O31">
        <f t="shared" si="4"/>
        <v>1.79</v>
      </c>
      <c r="P31">
        <f t="shared" si="5"/>
        <v>2.29</v>
      </c>
    </row>
    <row r="32" spans="1:16">
      <c r="A32" t="s">
        <v>153</v>
      </c>
      <c r="B32" t="s">
        <v>146</v>
      </c>
      <c r="C32" t="s">
        <v>150</v>
      </c>
      <c r="D32" t="s">
        <v>151</v>
      </c>
      <c r="E32" s="16">
        <v>41125</v>
      </c>
      <c r="F32">
        <v>1.1100000000000001</v>
      </c>
      <c r="G32">
        <v>-1.9</v>
      </c>
      <c r="H32">
        <v>2.06</v>
      </c>
      <c r="K32">
        <f t="shared" si="0"/>
        <v>1.585</v>
      </c>
      <c r="L32">
        <f t="shared" si="1"/>
        <v>2.06</v>
      </c>
      <c r="M32">
        <f t="shared" si="2"/>
        <v>-1.9</v>
      </c>
      <c r="N32">
        <f t="shared" si="3"/>
        <v>-1.9</v>
      </c>
      <c r="O32">
        <f t="shared" si="4"/>
        <v>1.2675000000000001</v>
      </c>
      <c r="P32">
        <f t="shared" si="5"/>
        <v>2.06</v>
      </c>
    </row>
    <row r="33" spans="1:16">
      <c r="A33" t="s">
        <v>153</v>
      </c>
      <c r="B33" t="s">
        <v>146</v>
      </c>
      <c r="C33" t="s">
        <v>150</v>
      </c>
      <c r="D33" t="s">
        <v>151</v>
      </c>
      <c r="E33" s="16">
        <v>41126</v>
      </c>
      <c r="G33">
        <v>-1.77</v>
      </c>
      <c r="H33">
        <v>1.1100000000000001</v>
      </c>
      <c r="I33">
        <v>-1.66</v>
      </c>
      <c r="J33">
        <v>1.77</v>
      </c>
      <c r="K33">
        <f t="shared" si="0"/>
        <v>1.44</v>
      </c>
      <c r="L33">
        <f t="shared" si="1"/>
        <v>1.77</v>
      </c>
      <c r="M33">
        <f t="shared" si="2"/>
        <v>-1.7149999999999999</v>
      </c>
      <c r="N33">
        <f t="shared" si="3"/>
        <v>-1.77</v>
      </c>
      <c r="O33">
        <f t="shared" si="4"/>
        <v>1.5775000000000001</v>
      </c>
      <c r="P33">
        <f t="shared" si="5"/>
        <v>1.77</v>
      </c>
    </row>
    <row r="34" spans="1:16">
      <c r="A34" t="s">
        <v>153</v>
      </c>
      <c r="B34" t="s">
        <v>146</v>
      </c>
      <c r="C34" t="s">
        <v>150</v>
      </c>
      <c r="D34" t="s">
        <v>151</v>
      </c>
      <c r="E34" s="16">
        <v>41127</v>
      </c>
      <c r="G34">
        <v>-1.77</v>
      </c>
      <c r="H34">
        <v>1.07</v>
      </c>
      <c r="I34">
        <v>-1.39</v>
      </c>
      <c r="J34">
        <v>1.46</v>
      </c>
      <c r="K34">
        <f t="shared" ref="K34:K65" si="6">AVERAGE(F34,H34,J34)</f>
        <v>1.2650000000000001</v>
      </c>
      <c r="L34">
        <f t="shared" ref="L34:L65" si="7">MAX(F34,H34,J34)</f>
        <v>1.46</v>
      </c>
      <c r="M34">
        <f t="shared" ref="M34:M65" si="8">AVERAGE(G34,I34)</f>
        <v>-1.58</v>
      </c>
      <c r="N34">
        <f t="shared" ref="N34:N65" si="9">MIN(G34,I34)</f>
        <v>-1.77</v>
      </c>
      <c r="O34">
        <f t="shared" ref="O34:O65" si="10">AVERAGE(F34,H34,J34, ABS(G34), ABS(I34))</f>
        <v>1.4225000000000001</v>
      </c>
      <c r="P34">
        <f t="shared" ref="P34:P65" si="11">MAX(F34,H34,J34,ABS(G34),ABS(I34))</f>
        <v>1.77</v>
      </c>
    </row>
    <row r="35" spans="1:16">
      <c r="A35" t="s">
        <v>154</v>
      </c>
      <c r="B35" t="s">
        <v>147</v>
      </c>
      <c r="C35" t="s">
        <v>150</v>
      </c>
      <c r="D35" t="s">
        <v>138</v>
      </c>
      <c r="E35" s="16">
        <v>41117</v>
      </c>
      <c r="G35">
        <v>-3.03</v>
      </c>
      <c r="H35">
        <v>0.92</v>
      </c>
      <c r="I35">
        <v>-1.32</v>
      </c>
      <c r="J35">
        <v>0.44</v>
      </c>
      <c r="K35">
        <f t="shared" si="6"/>
        <v>0.68</v>
      </c>
      <c r="L35">
        <f t="shared" si="7"/>
        <v>0.92</v>
      </c>
      <c r="M35">
        <f t="shared" si="8"/>
        <v>-2.1749999999999998</v>
      </c>
      <c r="N35">
        <f t="shared" si="9"/>
        <v>-3.03</v>
      </c>
      <c r="O35">
        <f t="shared" si="10"/>
        <v>1.4275</v>
      </c>
      <c r="P35">
        <f t="shared" si="11"/>
        <v>3.03</v>
      </c>
    </row>
    <row r="36" spans="1:16">
      <c r="A36" t="s">
        <v>154</v>
      </c>
      <c r="B36" t="s">
        <v>147</v>
      </c>
      <c r="C36" t="s">
        <v>150</v>
      </c>
      <c r="D36" t="s">
        <v>138</v>
      </c>
      <c r="E36" s="16">
        <v>41118</v>
      </c>
      <c r="G36">
        <v>-3.17</v>
      </c>
      <c r="H36">
        <v>1.07</v>
      </c>
      <c r="I36">
        <v>-1.5</v>
      </c>
      <c r="J36">
        <v>0.42</v>
      </c>
      <c r="K36">
        <f t="shared" si="6"/>
        <v>0.745</v>
      </c>
      <c r="L36">
        <f t="shared" si="7"/>
        <v>1.07</v>
      </c>
      <c r="M36">
        <f t="shared" si="8"/>
        <v>-2.335</v>
      </c>
      <c r="N36">
        <f t="shared" si="9"/>
        <v>-3.17</v>
      </c>
      <c r="O36">
        <f t="shared" si="10"/>
        <v>1.54</v>
      </c>
      <c r="P36">
        <f t="shared" si="11"/>
        <v>3.17</v>
      </c>
    </row>
    <row r="37" spans="1:16">
      <c r="A37" t="s">
        <v>154</v>
      </c>
      <c r="B37" t="s">
        <v>147</v>
      </c>
      <c r="C37" t="s">
        <v>150</v>
      </c>
      <c r="D37" t="s">
        <v>138</v>
      </c>
      <c r="E37" s="16">
        <v>41119</v>
      </c>
      <c r="G37">
        <v>-3.3</v>
      </c>
      <c r="H37">
        <v>1.22</v>
      </c>
      <c r="I37">
        <v>-1.79</v>
      </c>
      <c r="J37">
        <v>0.45</v>
      </c>
      <c r="K37">
        <f t="shared" si="6"/>
        <v>0.83499999999999996</v>
      </c>
      <c r="L37">
        <f t="shared" si="7"/>
        <v>1.22</v>
      </c>
      <c r="M37">
        <f t="shared" si="8"/>
        <v>-2.5449999999999999</v>
      </c>
      <c r="N37">
        <f t="shared" si="9"/>
        <v>-3.3</v>
      </c>
      <c r="O37">
        <f t="shared" si="10"/>
        <v>1.69</v>
      </c>
      <c r="P37">
        <f t="shared" si="11"/>
        <v>3.3</v>
      </c>
    </row>
    <row r="38" spans="1:16">
      <c r="A38" t="s">
        <v>154</v>
      </c>
      <c r="B38" t="s">
        <v>147</v>
      </c>
      <c r="C38" t="s">
        <v>150</v>
      </c>
      <c r="D38" t="s">
        <v>138</v>
      </c>
      <c r="E38" s="16">
        <v>41120</v>
      </c>
      <c r="G38">
        <v>-3.42</v>
      </c>
      <c r="H38">
        <v>1.32</v>
      </c>
      <c r="I38">
        <v>-2.12</v>
      </c>
      <c r="K38">
        <f t="shared" si="6"/>
        <v>1.32</v>
      </c>
      <c r="L38">
        <f t="shared" si="7"/>
        <v>1.32</v>
      </c>
      <c r="M38">
        <f t="shared" si="8"/>
        <v>-2.77</v>
      </c>
      <c r="N38">
        <f t="shared" si="9"/>
        <v>-3.42</v>
      </c>
      <c r="O38">
        <f t="shared" si="10"/>
        <v>2.2866666666666666</v>
      </c>
      <c r="P38">
        <f t="shared" si="11"/>
        <v>3.42</v>
      </c>
    </row>
    <row r="39" spans="1:16">
      <c r="A39" t="s">
        <v>154</v>
      </c>
      <c r="B39" t="s">
        <v>147</v>
      </c>
      <c r="C39" t="s">
        <v>150</v>
      </c>
      <c r="D39" t="s">
        <v>138</v>
      </c>
      <c r="E39" s="16">
        <v>41121</v>
      </c>
      <c r="F39">
        <v>0.51</v>
      </c>
      <c r="G39">
        <v>-3.5</v>
      </c>
      <c r="H39">
        <v>1.37</v>
      </c>
      <c r="I39">
        <v>-2.4</v>
      </c>
      <c r="K39">
        <f t="shared" si="6"/>
        <v>0.94000000000000006</v>
      </c>
      <c r="L39">
        <f t="shared" si="7"/>
        <v>1.37</v>
      </c>
      <c r="M39">
        <f t="shared" si="8"/>
        <v>-2.95</v>
      </c>
      <c r="N39">
        <f t="shared" si="9"/>
        <v>-3.5</v>
      </c>
      <c r="O39">
        <f t="shared" si="10"/>
        <v>1.9449999999999998</v>
      </c>
      <c r="P39">
        <f t="shared" si="11"/>
        <v>3.5</v>
      </c>
    </row>
    <row r="40" spans="1:16">
      <c r="A40" t="s">
        <v>154</v>
      </c>
      <c r="B40" t="s">
        <v>147</v>
      </c>
      <c r="C40" t="s">
        <v>150</v>
      </c>
      <c r="D40" t="s">
        <v>138</v>
      </c>
      <c r="E40" s="16">
        <v>41122</v>
      </c>
      <c r="F40">
        <v>0.56000000000000005</v>
      </c>
      <c r="G40">
        <v>-3.5</v>
      </c>
      <c r="H40">
        <v>1.36</v>
      </c>
      <c r="I40">
        <v>-2.6</v>
      </c>
      <c r="K40">
        <f t="shared" si="6"/>
        <v>0.96000000000000008</v>
      </c>
      <c r="L40">
        <f t="shared" si="7"/>
        <v>1.36</v>
      </c>
      <c r="M40">
        <f t="shared" si="8"/>
        <v>-3.05</v>
      </c>
      <c r="N40">
        <f t="shared" si="9"/>
        <v>-3.5</v>
      </c>
      <c r="O40">
        <f t="shared" si="10"/>
        <v>2.0049999999999999</v>
      </c>
      <c r="P40">
        <f t="shared" si="11"/>
        <v>3.5</v>
      </c>
    </row>
    <row r="41" spans="1:16">
      <c r="A41" t="s">
        <v>154</v>
      </c>
      <c r="B41" t="s">
        <v>147</v>
      </c>
      <c r="C41" t="s">
        <v>150</v>
      </c>
      <c r="D41" t="s">
        <v>138</v>
      </c>
      <c r="E41" s="16">
        <v>41123</v>
      </c>
      <c r="F41">
        <v>0.6</v>
      </c>
      <c r="G41">
        <v>-3.39</v>
      </c>
      <c r="H41">
        <v>1.3</v>
      </c>
      <c r="I41">
        <v>-2.7</v>
      </c>
      <c r="K41">
        <f t="shared" si="6"/>
        <v>0.95</v>
      </c>
      <c r="L41">
        <f t="shared" si="7"/>
        <v>1.3</v>
      </c>
      <c r="M41">
        <f t="shared" si="8"/>
        <v>-3.0449999999999999</v>
      </c>
      <c r="N41">
        <f t="shared" si="9"/>
        <v>-3.39</v>
      </c>
      <c r="O41">
        <f t="shared" si="10"/>
        <v>1.9975000000000001</v>
      </c>
      <c r="P41">
        <f t="shared" si="11"/>
        <v>3.39</v>
      </c>
    </row>
    <row r="42" spans="1:16">
      <c r="A42" t="s">
        <v>154</v>
      </c>
      <c r="B42" t="s">
        <v>147</v>
      </c>
      <c r="C42" t="s">
        <v>150</v>
      </c>
      <c r="D42" t="s">
        <v>138</v>
      </c>
      <c r="E42" s="16">
        <v>41124</v>
      </c>
      <c r="F42">
        <v>0.62</v>
      </c>
      <c r="G42">
        <v>-3.14</v>
      </c>
      <c r="H42">
        <v>1.2</v>
      </c>
      <c r="I42">
        <v>-2.72</v>
      </c>
      <c r="K42">
        <f t="shared" si="6"/>
        <v>0.90999999999999992</v>
      </c>
      <c r="L42">
        <f t="shared" si="7"/>
        <v>1.2</v>
      </c>
      <c r="M42">
        <f t="shared" si="8"/>
        <v>-2.93</v>
      </c>
      <c r="N42">
        <f t="shared" si="9"/>
        <v>-3.14</v>
      </c>
      <c r="O42">
        <f t="shared" si="10"/>
        <v>1.92</v>
      </c>
      <c r="P42">
        <f t="shared" si="11"/>
        <v>3.14</v>
      </c>
    </row>
    <row r="43" spans="1:16">
      <c r="A43" t="s">
        <v>154</v>
      </c>
      <c r="B43" t="s">
        <v>147</v>
      </c>
      <c r="C43" t="s">
        <v>150</v>
      </c>
      <c r="D43" t="s">
        <v>138</v>
      </c>
      <c r="E43" s="16">
        <v>41125</v>
      </c>
      <c r="F43">
        <v>0.63</v>
      </c>
      <c r="G43">
        <v>-2.77</v>
      </c>
      <c r="H43">
        <v>1.07</v>
      </c>
      <c r="I43">
        <v>-2.66</v>
      </c>
      <c r="K43">
        <f t="shared" si="6"/>
        <v>0.85000000000000009</v>
      </c>
      <c r="L43">
        <f t="shared" si="7"/>
        <v>1.07</v>
      </c>
      <c r="M43">
        <f t="shared" si="8"/>
        <v>-2.7149999999999999</v>
      </c>
      <c r="N43">
        <f t="shared" si="9"/>
        <v>-2.77</v>
      </c>
      <c r="O43">
        <f t="shared" si="10"/>
        <v>1.7825000000000002</v>
      </c>
      <c r="P43">
        <f t="shared" si="11"/>
        <v>2.77</v>
      </c>
    </row>
    <row r="44" spans="1:16">
      <c r="A44" t="s">
        <v>154</v>
      </c>
      <c r="B44" t="s">
        <v>147</v>
      </c>
      <c r="C44" t="s">
        <v>150</v>
      </c>
      <c r="D44" t="s">
        <v>138</v>
      </c>
      <c r="E44" s="16">
        <v>41126</v>
      </c>
      <c r="F44">
        <v>0.63</v>
      </c>
      <c r="G44">
        <v>-2.31</v>
      </c>
      <c r="H44">
        <v>0.93</v>
      </c>
      <c r="I44">
        <v>-2.54</v>
      </c>
      <c r="K44">
        <f t="shared" si="6"/>
        <v>0.78</v>
      </c>
      <c r="L44">
        <f t="shared" si="7"/>
        <v>0.93</v>
      </c>
      <c r="M44">
        <f t="shared" si="8"/>
        <v>-2.4249999999999998</v>
      </c>
      <c r="N44">
        <f t="shared" si="9"/>
        <v>-2.54</v>
      </c>
      <c r="O44">
        <f t="shared" si="10"/>
        <v>1.6025</v>
      </c>
      <c r="P44">
        <f t="shared" si="11"/>
        <v>2.54</v>
      </c>
    </row>
    <row r="45" spans="1:16">
      <c r="A45" t="s">
        <v>154</v>
      </c>
      <c r="B45" t="s">
        <v>147</v>
      </c>
      <c r="C45" t="s">
        <v>150</v>
      </c>
      <c r="D45" t="s">
        <v>138</v>
      </c>
      <c r="E45" s="16">
        <v>41127</v>
      </c>
      <c r="F45">
        <v>0.63</v>
      </c>
      <c r="G45">
        <v>-1.82</v>
      </c>
      <c r="H45">
        <v>0.78</v>
      </c>
      <c r="K45">
        <f t="shared" si="6"/>
        <v>0.70500000000000007</v>
      </c>
      <c r="L45">
        <f t="shared" si="7"/>
        <v>0.78</v>
      </c>
      <c r="M45">
        <f t="shared" si="8"/>
        <v>-1.82</v>
      </c>
      <c r="N45">
        <f t="shared" si="9"/>
        <v>-1.82</v>
      </c>
      <c r="O45">
        <f t="shared" si="10"/>
        <v>0.80750000000000011</v>
      </c>
      <c r="P45">
        <f t="shared" si="11"/>
        <v>1.82</v>
      </c>
    </row>
    <row r="46" spans="1:16">
      <c r="A46" t="s">
        <v>120</v>
      </c>
      <c r="B46" t="s">
        <v>148</v>
      </c>
      <c r="C46" t="s">
        <v>13</v>
      </c>
      <c r="D46" t="s">
        <v>138</v>
      </c>
      <c r="E46" s="16">
        <v>41117</v>
      </c>
      <c r="F46" s="16"/>
      <c r="G46">
        <v>-1.35</v>
      </c>
      <c r="H46">
        <v>1.23</v>
      </c>
      <c r="I46">
        <v>-0.59</v>
      </c>
      <c r="J46">
        <v>0.57999999999999996</v>
      </c>
      <c r="K46">
        <f t="shared" si="6"/>
        <v>0.90500000000000003</v>
      </c>
      <c r="L46">
        <f t="shared" si="7"/>
        <v>1.23</v>
      </c>
      <c r="M46">
        <f t="shared" si="8"/>
        <v>-0.97</v>
      </c>
      <c r="N46">
        <f t="shared" si="9"/>
        <v>-1.35</v>
      </c>
      <c r="O46">
        <f t="shared" si="10"/>
        <v>0.9375</v>
      </c>
      <c r="P46">
        <f t="shared" si="11"/>
        <v>1.35</v>
      </c>
    </row>
    <row r="47" spans="1:16">
      <c r="A47" t="s">
        <v>120</v>
      </c>
      <c r="B47" t="s">
        <v>148</v>
      </c>
      <c r="C47" t="s">
        <v>13</v>
      </c>
      <c r="D47" t="s">
        <v>138</v>
      </c>
      <c r="E47" s="16">
        <v>41118</v>
      </c>
      <c r="F47" s="16"/>
      <c r="G47">
        <v>-1.41</v>
      </c>
      <c r="H47">
        <v>1.43</v>
      </c>
      <c r="I47">
        <v>-0.66</v>
      </c>
      <c r="J47">
        <v>0.55000000000000004</v>
      </c>
      <c r="K47">
        <f t="shared" si="6"/>
        <v>0.99</v>
      </c>
      <c r="L47">
        <f t="shared" si="7"/>
        <v>1.43</v>
      </c>
      <c r="M47">
        <f t="shared" si="8"/>
        <v>-1.0349999999999999</v>
      </c>
      <c r="N47">
        <f t="shared" si="9"/>
        <v>-1.41</v>
      </c>
      <c r="O47">
        <f t="shared" si="10"/>
        <v>1.0125</v>
      </c>
      <c r="P47">
        <f t="shared" si="11"/>
        <v>1.43</v>
      </c>
    </row>
    <row r="48" spans="1:16">
      <c r="A48" t="s">
        <v>120</v>
      </c>
      <c r="B48" t="s">
        <v>148</v>
      </c>
      <c r="C48" t="s">
        <v>13</v>
      </c>
      <c r="D48" t="s">
        <v>138</v>
      </c>
      <c r="E48" s="16">
        <v>41119</v>
      </c>
      <c r="F48" s="16"/>
      <c r="G48">
        <v>-1.47</v>
      </c>
      <c r="H48">
        <v>1.62</v>
      </c>
      <c r="I48">
        <v>-0.79</v>
      </c>
      <c r="J48">
        <v>0.6</v>
      </c>
      <c r="K48">
        <f t="shared" si="6"/>
        <v>1.1100000000000001</v>
      </c>
      <c r="L48">
        <f t="shared" si="7"/>
        <v>1.62</v>
      </c>
      <c r="M48">
        <f t="shared" si="8"/>
        <v>-1.1299999999999999</v>
      </c>
      <c r="N48">
        <f t="shared" si="9"/>
        <v>-1.47</v>
      </c>
      <c r="O48">
        <f t="shared" si="10"/>
        <v>1.1200000000000001</v>
      </c>
      <c r="P48">
        <f t="shared" si="11"/>
        <v>1.62</v>
      </c>
    </row>
    <row r="49" spans="1:16">
      <c r="A49" t="s">
        <v>120</v>
      </c>
      <c r="B49" t="s">
        <v>148</v>
      </c>
      <c r="C49" t="s">
        <v>13</v>
      </c>
      <c r="D49" t="s">
        <v>138</v>
      </c>
      <c r="E49" s="16">
        <v>41120</v>
      </c>
      <c r="F49" s="16"/>
      <c r="G49">
        <v>-1.52</v>
      </c>
      <c r="H49">
        <v>1.76</v>
      </c>
      <c r="I49">
        <v>-0.94</v>
      </c>
      <c r="J49">
        <v>0.68</v>
      </c>
      <c r="K49">
        <f t="shared" si="6"/>
        <v>1.22</v>
      </c>
      <c r="L49">
        <f t="shared" si="7"/>
        <v>1.76</v>
      </c>
      <c r="M49">
        <f t="shared" si="8"/>
        <v>-1.23</v>
      </c>
      <c r="N49">
        <f t="shared" si="9"/>
        <v>-1.52</v>
      </c>
      <c r="O49">
        <f t="shared" si="10"/>
        <v>1.2250000000000001</v>
      </c>
      <c r="P49">
        <f t="shared" si="11"/>
        <v>1.76</v>
      </c>
    </row>
    <row r="50" spans="1:16">
      <c r="A50" t="s">
        <v>120</v>
      </c>
      <c r="B50" t="s">
        <v>148</v>
      </c>
      <c r="C50" t="s">
        <v>13</v>
      </c>
      <c r="D50" t="s">
        <v>138</v>
      </c>
      <c r="E50" s="16">
        <v>41121</v>
      </c>
      <c r="F50" s="16"/>
      <c r="G50">
        <v>-1.55</v>
      </c>
      <c r="H50">
        <v>1.82</v>
      </c>
      <c r="I50">
        <v>-1.07</v>
      </c>
      <c r="K50">
        <f t="shared" si="6"/>
        <v>1.82</v>
      </c>
      <c r="L50">
        <f t="shared" si="7"/>
        <v>1.82</v>
      </c>
      <c r="M50">
        <f t="shared" si="8"/>
        <v>-1.31</v>
      </c>
      <c r="N50">
        <f t="shared" si="9"/>
        <v>-1.55</v>
      </c>
      <c r="O50">
        <f t="shared" si="10"/>
        <v>1.4800000000000002</v>
      </c>
      <c r="P50">
        <f t="shared" si="11"/>
        <v>1.82</v>
      </c>
    </row>
    <row r="51" spans="1:16">
      <c r="A51" t="s">
        <v>120</v>
      </c>
      <c r="B51" t="s">
        <v>148</v>
      </c>
      <c r="C51" t="s">
        <v>13</v>
      </c>
      <c r="D51" t="s">
        <v>138</v>
      </c>
      <c r="E51" s="16">
        <v>41122</v>
      </c>
      <c r="F51">
        <v>0.75</v>
      </c>
      <c r="G51">
        <v>-1.56</v>
      </c>
      <c r="H51">
        <v>1.81</v>
      </c>
      <c r="I51">
        <v>-1.1599999999999999</v>
      </c>
      <c r="K51">
        <f t="shared" si="6"/>
        <v>1.28</v>
      </c>
      <c r="L51">
        <f t="shared" si="7"/>
        <v>1.81</v>
      </c>
      <c r="M51">
        <f t="shared" si="8"/>
        <v>-1.3599999999999999</v>
      </c>
      <c r="N51">
        <f t="shared" si="9"/>
        <v>-1.56</v>
      </c>
      <c r="O51">
        <f t="shared" si="10"/>
        <v>1.32</v>
      </c>
      <c r="P51">
        <f t="shared" si="11"/>
        <v>1.81</v>
      </c>
    </row>
    <row r="52" spans="1:16">
      <c r="A52" t="s">
        <v>120</v>
      </c>
      <c r="B52" t="s">
        <v>148</v>
      </c>
      <c r="C52" t="s">
        <v>13</v>
      </c>
      <c r="D52" t="s">
        <v>138</v>
      </c>
      <c r="E52" s="16">
        <v>41123</v>
      </c>
      <c r="F52">
        <v>0.79</v>
      </c>
      <c r="G52">
        <v>-1.51</v>
      </c>
      <c r="H52">
        <v>1.73</v>
      </c>
      <c r="I52">
        <v>-1.2</v>
      </c>
      <c r="K52">
        <f t="shared" si="6"/>
        <v>1.26</v>
      </c>
      <c r="L52">
        <f t="shared" si="7"/>
        <v>1.73</v>
      </c>
      <c r="M52">
        <f t="shared" si="8"/>
        <v>-1.355</v>
      </c>
      <c r="N52">
        <f t="shared" si="9"/>
        <v>-1.51</v>
      </c>
      <c r="O52">
        <f t="shared" si="10"/>
        <v>1.3075000000000001</v>
      </c>
      <c r="P52">
        <f t="shared" si="11"/>
        <v>1.73</v>
      </c>
    </row>
    <row r="53" spans="1:16">
      <c r="A53" t="s">
        <v>120</v>
      </c>
      <c r="B53" t="s">
        <v>148</v>
      </c>
      <c r="C53" t="s">
        <v>13</v>
      </c>
      <c r="D53" t="s">
        <v>138</v>
      </c>
      <c r="E53" s="16">
        <v>41124</v>
      </c>
      <c r="F53">
        <v>0.82</v>
      </c>
      <c r="G53">
        <v>-1.39</v>
      </c>
      <c r="H53">
        <v>1.59</v>
      </c>
      <c r="I53">
        <v>-1.21</v>
      </c>
      <c r="K53">
        <f t="shared" si="6"/>
        <v>1.2050000000000001</v>
      </c>
      <c r="L53">
        <f t="shared" si="7"/>
        <v>1.59</v>
      </c>
      <c r="M53">
        <f t="shared" si="8"/>
        <v>-1.2999999999999998</v>
      </c>
      <c r="N53">
        <f t="shared" si="9"/>
        <v>-1.39</v>
      </c>
      <c r="O53">
        <f t="shared" si="10"/>
        <v>1.2524999999999999</v>
      </c>
      <c r="P53">
        <f t="shared" si="11"/>
        <v>1.59</v>
      </c>
    </row>
    <row r="54" spans="1:16">
      <c r="A54" t="s">
        <v>121</v>
      </c>
      <c r="B54" t="s">
        <v>155</v>
      </c>
      <c r="C54" t="s">
        <v>13</v>
      </c>
      <c r="D54" t="s">
        <v>138</v>
      </c>
      <c r="E54" s="16">
        <v>41117</v>
      </c>
      <c r="F54" s="16"/>
      <c r="G54">
        <v>-1.55</v>
      </c>
      <c r="H54">
        <v>0.91</v>
      </c>
      <c r="I54">
        <v>-1.04</v>
      </c>
      <c r="J54">
        <v>1.1299999999999999</v>
      </c>
      <c r="K54">
        <f t="shared" si="6"/>
        <v>1.02</v>
      </c>
      <c r="L54">
        <f t="shared" si="7"/>
        <v>1.1299999999999999</v>
      </c>
      <c r="M54">
        <f t="shared" si="8"/>
        <v>-1.2949999999999999</v>
      </c>
      <c r="N54">
        <f t="shared" si="9"/>
        <v>-1.55</v>
      </c>
      <c r="O54">
        <f t="shared" si="10"/>
        <v>1.1575</v>
      </c>
      <c r="P54">
        <f t="shared" si="11"/>
        <v>1.55</v>
      </c>
    </row>
    <row r="55" spans="1:16">
      <c r="A55" t="s">
        <v>121</v>
      </c>
      <c r="B55" t="s">
        <v>155</v>
      </c>
      <c r="C55" t="s">
        <v>13</v>
      </c>
      <c r="D55" t="s">
        <v>138</v>
      </c>
      <c r="E55" s="16">
        <v>41118</v>
      </c>
      <c r="F55" s="16"/>
      <c r="G55">
        <v>-1.48</v>
      </c>
      <c r="H55">
        <v>0.89</v>
      </c>
      <c r="I55">
        <v>-0.77</v>
      </c>
      <c r="J55">
        <v>0.88</v>
      </c>
      <c r="K55">
        <f t="shared" si="6"/>
        <v>0.88500000000000001</v>
      </c>
      <c r="L55">
        <f t="shared" si="7"/>
        <v>0.89</v>
      </c>
      <c r="M55">
        <f t="shared" si="8"/>
        <v>-1.125</v>
      </c>
      <c r="N55">
        <f t="shared" si="9"/>
        <v>-1.48</v>
      </c>
      <c r="O55">
        <f t="shared" si="10"/>
        <v>1.0049999999999999</v>
      </c>
      <c r="P55">
        <f t="shared" si="11"/>
        <v>1.48</v>
      </c>
    </row>
    <row r="56" spans="1:16">
      <c r="A56" t="s">
        <v>121</v>
      </c>
      <c r="B56" t="s">
        <v>155</v>
      </c>
      <c r="C56" t="s">
        <v>13</v>
      </c>
      <c r="D56" t="s">
        <v>138</v>
      </c>
      <c r="E56" s="16">
        <v>41119</v>
      </c>
      <c r="F56" s="16"/>
      <c r="G56">
        <v>-1.42</v>
      </c>
      <c r="H56">
        <v>0.87</v>
      </c>
      <c r="I56">
        <v>-0.6</v>
      </c>
      <c r="J56">
        <v>0.66</v>
      </c>
      <c r="K56">
        <f t="shared" si="6"/>
        <v>0.76500000000000001</v>
      </c>
      <c r="L56">
        <f t="shared" si="7"/>
        <v>0.87</v>
      </c>
      <c r="M56">
        <f t="shared" si="8"/>
        <v>-1.01</v>
      </c>
      <c r="N56">
        <f t="shared" si="9"/>
        <v>-1.42</v>
      </c>
      <c r="O56">
        <f t="shared" si="10"/>
        <v>0.88750000000000007</v>
      </c>
      <c r="P56">
        <f t="shared" si="11"/>
        <v>1.42</v>
      </c>
    </row>
    <row r="57" spans="1:16">
      <c r="A57" t="s">
        <v>121</v>
      </c>
      <c r="B57" t="s">
        <v>155</v>
      </c>
      <c r="C57" t="s">
        <v>13</v>
      </c>
      <c r="D57" t="s">
        <v>138</v>
      </c>
      <c r="E57" s="16">
        <v>41120</v>
      </c>
      <c r="F57" s="16"/>
      <c r="G57">
        <v>-1.39</v>
      </c>
      <c r="H57">
        <v>0.91</v>
      </c>
      <c r="I57">
        <v>-0.55000000000000004</v>
      </c>
      <c r="J57">
        <v>0.49</v>
      </c>
      <c r="K57">
        <f t="shared" si="6"/>
        <v>0.7</v>
      </c>
      <c r="L57">
        <f t="shared" si="7"/>
        <v>0.91</v>
      </c>
      <c r="M57">
        <f t="shared" si="8"/>
        <v>-0.97</v>
      </c>
      <c r="N57">
        <f t="shared" si="9"/>
        <v>-1.39</v>
      </c>
      <c r="O57">
        <f t="shared" si="10"/>
        <v>0.83499999999999996</v>
      </c>
      <c r="P57">
        <f t="shared" si="11"/>
        <v>1.39</v>
      </c>
    </row>
    <row r="58" spans="1:16">
      <c r="A58" t="s">
        <v>121</v>
      </c>
      <c r="B58" t="s">
        <v>155</v>
      </c>
      <c r="C58" t="s">
        <v>13</v>
      </c>
      <c r="D58" t="s">
        <v>138</v>
      </c>
      <c r="E58" s="16">
        <v>41121</v>
      </c>
      <c r="F58" s="16"/>
      <c r="G58">
        <v>-1.38</v>
      </c>
      <c r="H58">
        <v>1.02</v>
      </c>
      <c r="I58">
        <v>-0.57999999999999996</v>
      </c>
      <c r="J58">
        <v>0.41</v>
      </c>
      <c r="K58">
        <f t="shared" si="6"/>
        <v>0.71499999999999997</v>
      </c>
      <c r="L58">
        <f t="shared" si="7"/>
        <v>1.02</v>
      </c>
      <c r="M58">
        <f t="shared" si="8"/>
        <v>-0.98</v>
      </c>
      <c r="N58">
        <f t="shared" si="9"/>
        <v>-1.38</v>
      </c>
      <c r="O58">
        <f t="shared" si="10"/>
        <v>0.84749999999999992</v>
      </c>
      <c r="P58">
        <f t="shared" si="11"/>
        <v>1.38</v>
      </c>
    </row>
    <row r="59" spans="1:16">
      <c r="A59" t="s">
        <v>121</v>
      </c>
      <c r="B59" t="s">
        <v>155</v>
      </c>
      <c r="C59" t="s">
        <v>13</v>
      </c>
      <c r="D59" t="s">
        <v>138</v>
      </c>
      <c r="E59" s="16">
        <v>41122</v>
      </c>
      <c r="F59" s="16"/>
      <c r="G59">
        <v>-1.38</v>
      </c>
      <c r="H59">
        <v>1.1499999999999999</v>
      </c>
      <c r="I59">
        <v>-0.67</v>
      </c>
      <c r="K59">
        <f t="shared" si="6"/>
        <v>1.1499999999999999</v>
      </c>
      <c r="L59">
        <f t="shared" si="7"/>
        <v>1.1499999999999999</v>
      </c>
      <c r="M59">
        <f t="shared" si="8"/>
        <v>-1.0249999999999999</v>
      </c>
      <c r="N59">
        <f t="shared" si="9"/>
        <v>-1.38</v>
      </c>
      <c r="O59">
        <f t="shared" si="10"/>
        <v>1.0666666666666667</v>
      </c>
      <c r="P59">
        <f t="shared" si="11"/>
        <v>1.38</v>
      </c>
    </row>
    <row r="60" spans="1:16">
      <c r="A60" t="s">
        <v>121</v>
      </c>
      <c r="B60" t="s">
        <v>155</v>
      </c>
      <c r="C60" t="s">
        <v>13</v>
      </c>
      <c r="D60" t="s">
        <v>138</v>
      </c>
      <c r="E60" s="16">
        <v>41123</v>
      </c>
      <c r="F60">
        <v>0.41</v>
      </c>
      <c r="G60">
        <v>-1.41</v>
      </c>
      <c r="H60">
        <v>1.26</v>
      </c>
      <c r="I60">
        <v>-0.79</v>
      </c>
      <c r="K60">
        <f t="shared" si="6"/>
        <v>0.83499999999999996</v>
      </c>
      <c r="L60">
        <f t="shared" si="7"/>
        <v>1.26</v>
      </c>
      <c r="M60">
        <f t="shared" si="8"/>
        <v>-1.1000000000000001</v>
      </c>
      <c r="N60">
        <f t="shared" si="9"/>
        <v>-1.41</v>
      </c>
      <c r="O60">
        <f t="shared" si="10"/>
        <v>0.96750000000000003</v>
      </c>
      <c r="P60">
        <f t="shared" si="11"/>
        <v>1.41</v>
      </c>
    </row>
    <row r="61" spans="1:16">
      <c r="A61" t="s">
        <v>121</v>
      </c>
      <c r="B61" t="s">
        <v>155</v>
      </c>
      <c r="C61" t="s">
        <v>13</v>
      </c>
      <c r="D61" t="s">
        <v>138</v>
      </c>
      <c r="E61" s="16">
        <v>41124</v>
      </c>
      <c r="F61">
        <v>0.45</v>
      </c>
      <c r="G61">
        <v>-1.45</v>
      </c>
      <c r="H61">
        <v>1.36</v>
      </c>
      <c r="I61">
        <v>-0.92</v>
      </c>
      <c r="K61">
        <f t="shared" si="6"/>
        <v>0.90500000000000003</v>
      </c>
      <c r="L61">
        <f t="shared" si="7"/>
        <v>1.36</v>
      </c>
      <c r="M61">
        <f t="shared" si="8"/>
        <v>-1.1850000000000001</v>
      </c>
      <c r="N61">
        <f t="shared" si="9"/>
        <v>-1.45</v>
      </c>
      <c r="O61">
        <f t="shared" si="10"/>
        <v>1.0449999999999999</v>
      </c>
      <c r="P61">
        <f t="shared" si="11"/>
        <v>1.45</v>
      </c>
    </row>
    <row r="62" spans="1:16">
      <c r="A62" t="s">
        <v>121</v>
      </c>
      <c r="B62" t="s">
        <v>155</v>
      </c>
      <c r="C62" t="s">
        <v>13</v>
      </c>
      <c r="D62" t="s">
        <v>138</v>
      </c>
      <c r="E62" s="16">
        <v>41125</v>
      </c>
      <c r="F62">
        <v>0.51</v>
      </c>
      <c r="G62">
        <v>-1.5</v>
      </c>
      <c r="H62">
        <v>1.42</v>
      </c>
      <c r="I62">
        <v>-1.03</v>
      </c>
      <c r="K62">
        <f t="shared" si="6"/>
        <v>0.96499999999999997</v>
      </c>
      <c r="L62">
        <f t="shared" si="7"/>
        <v>1.42</v>
      </c>
      <c r="M62">
        <f t="shared" si="8"/>
        <v>-1.2650000000000001</v>
      </c>
      <c r="N62">
        <f t="shared" si="9"/>
        <v>-1.5</v>
      </c>
      <c r="O62">
        <f t="shared" si="10"/>
        <v>1.115</v>
      </c>
      <c r="P62">
        <f t="shared" si="11"/>
        <v>1.5</v>
      </c>
    </row>
    <row r="63" spans="1:16">
      <c r="A63" t="s">
        <v>139</v>
      </c>
      <c r="B63" t="s">
        <v>156</v>
      </c>
      <c r="C63" t="s">
        <v>13</v>
      </c>
      <c r="D63" t="s">
        <v>138</v>
      </c>
      <c r="E63" s="16">
        <v>41117</v>
      </c>
      <c r="G63">
        <v>-1.68</v>
      </c>
      <c r="H63">
        <v>1.23</v>
      </c>
      <c r="I63">
        <v>-0.73</v>
      </c>
      <c r="J63">
        <v>0.57999999999999996</v>
      </c>
      <c r="K63">
        <f t="shared" si="6"/>
        <v>0.90500000000000003</v>
      </c>
      <c r="L63">
        <f t="shared" si="7"/>
        <v>1.23</v>
      </c>
      <c r="M63">
        <f t="shared" si="8"/>
        <v>-1.2050000000000001</v>
      </c>
      <c r="N63">
        <f t="shared" si="9"/>
        <v>-1.68</v>
      </c>
      <c r="O63">
        <f t="shared" si="10"/>
        <v>1.0550000000000002</v>
      </c>
      <c r="P63">
        <f t="shared" si="11"/>
        <v>1.68</v>
      </c>
    </row>
    <row r="64" spans="1:16">
      <c r="A64" t="s">
        <v>139</v>
      </c>
      <c r="B64" t="s">
        <v>156</v>
      </c>
      <c r="C64" t="s">
        <v>13</v>
      </c>
      <c r="D64" t="s">
        <v>138</v>
      </c>
      <c r="E64" s="16">
        <v>41118</v>
      </c>
      <c r="G64">
        <v>-1.76</v>
      </c>
      <c r="H64">
        <v>1.43</v>
      </c>
      <c r="I64">
        <v>-0.83</v>
      </c>
      <c r="J64">
        <v>0.55000000000000004</v>
      </c>
      <c r="K64">
        <f t="shared" si="6"/>
        <v>0.99</v>
      </c>
      <c r="L64">
        <f t="shared" si="7"/>
        <v>1.43</v>
      </c>
      <c r="M64">
        <f t="shared" si="8"/>
        <v>-1.2949999999999999</v>
      </c>
      <c r="N64">
        <f t="shared" si="9"/>
        <v>-1.76</v>
      </c>
      <c r="O64">
        <f t="shared" si="10"/>
        <v>1.1425000000000001</v>
      </c>
      <c r="P64">
        <f t="shared" si="11"/>
        <v>1.76</v>
      </c>
    </row>
    <row r="65" spans="1:16">
      <c r="A65" t="s">
        <v>139</v>
      </c>
      <c r="B65" t="s">
        <v>156</v>
      </c>
      <c r="C65" t="s">
        <v>13</v>
      </c>
      <c r="D65" t="s">
        <v>138</v>
      </c>
      <c r="E65" s="16">
        <v>41119</v>
      </c>
      <c r="G65">
        <v>-1.83</v>
      </c>
      <c r="H65">
        <v>1.62</v>
      </c>
      <c r="I65">
        <v>-0.99</v>
      </c>
      <c r="K65">
        <f t="shared" si="6"/>
        <v>1.62</v>
      </c>
      <c r="L65">
        <f t="shared" si="7"/>
        <v>1.62</v>
      </c>
      <c r="M65">
        <f t="shared" si="8"/>
        <v>-1.4100000000000001</v>
      </c>
      <c r="N65">
        <f t="shared" si="9"/>
        <v>-1.83</v>
      </c>
      <c r="O65">
        <f t="shared" si="10"/>
        <v>1.4800000000000002</v>
      </c>
      <c r="P65">
        <f t="shared" si="11"/>
        <v>1.83</v>
      </c>
    </row>
    <row r="66" spans="1:16">
      <c r="A66" t="s">
        <v>139</v>
      </c>
      <c r="B66" t="s">
        <v>156</v>
      </c>
      <c r="C66" t="s">
        <v>13</v>
      </c>
      <c r="D66" t="s">
        <v>138</v>
      </c>
      <c r="E66" s="16">
        <v>41120</v>
      </c>
      <c r="F66">
        <v>0.6</v>
      </c>
      <c r="G66">
        <v>-1.9</v>
      </c>
      <c r="H66">
        <v>1.76</v>
      </c>
      <c r="I66">
        <v>-1.18</v>
      </c>
      <c r="K66">
        <f t="shared" ref="K66:K91" si="12">AVERAGE(F66,H66,J66)</f>
        <v>1.18</v>
      </c>
      <c r="L66">
        <f t="shared" ref="L66:L91" si="13">MAX(F66,H66,J66)</f>
        <v>1.76</v>
      </c>
      <c r="M66">
        <f t="shared" ref="M66:M91" si="14">AVERAGE(G66,I66)</f>
        <v>-1.54</v>
      </c>
      <c r="N66">
        <f t="shared" ref="N66:N91" si="15">MIN(G66,I66)</f>
        <v>-1.9</v>
      </c>
      <c r="O66">
        <f t="shared" ref="O66:O91" si="16">AVERAGE(F66,H66,J66, ABS(G66), ABS(I66))</f>
        <v>1.3599999999999999</v>
      </c>
      <c r="P66">
        <f t="shared" ref="P66:P91" si="17">MAX(F66,H66,J66,ABS(G66),ABS(I66))</f>
        <v>1.9</v>
      </c>
    </row>
    <row r="67" spans="1:16">
      <c r="A67" t="s">
        <v>139</v>
      </c>
      <c r="B67" t="s">
        <v>156</v>
      </c>
      <c r="C67" t="s">
        <v>13</v>
      </c>
      <c r="D67" t="s">
        <v>138</v>
      </c>
      <c r="E67" s="16">
        <v>41121</v>
      </c>
      <c r="F67">
        <v>0.68</v>
      </c>
      <c r="G67">
        <v>-1.94</v>
      </c>
      <c r="H67">
        <v>1.82</v>
      </c>
      <c r="I67">
        <v>-1.33</v>
      </c>
      <c r="K67">
        <f t="shared" si="12"/>
        <v>1.25</v>
      </c>
      <c r="L67">
        <f t="shared" si="13"/>
        <v>1.82</v>
      </c>
      <c r="M67">
        <f t="shared" si="14"/>
        <v>-1.635</v>
      </c>
      <c r="N67">
        <f t="shared" si="15"/>
        <v>-1.94</v>
      </c>
      <c r="O67">
        <f t="shared" si="16"/>
        <v>1.4424999999999999</v>
      </c>
      <c r="P67">
        <f t="shared" si="17"/>
        <v>1.94</v>
      </c>
    </row>
    <row r="68" spans="1:16">
      <c r="A68" t="s">
        <v>139</v>
      </c>
      <c r="B68" t="s">
        <v>156</v>
      </c>
      <c r="C68" t="s">
        <v>13</v>
      </c>
      <c r="D68" t="s">
        <v>138</v>
      </c>
      <c r="E68" s="16">
        <v>41122</v>
      </c>
      <c r="F68">
        <v>0.75</v>
      </c>
      <c r="G68">
        <v>-1.94</v>
      </c>
      <c r="H68">
        <v>1.81</v>
      </c>
      <c r="I68">
        <v>-1.44</v>
      </c>
      <c r="K68">
        <f t="shared" si="12"/>
        <v>1.28</v>
      </c>
      <c r="L68">
        <f t="shared" si="13"/>
        <v>1.81</v>
      </c>
      <c r="M68">
        <f t="shared" si="14"/>
        <v>-1.69</v>
      </c>
      <c r="N68">
        <f t="shared" si="15"/>
        <v>-1.94</v>
      </c>
      <c r="O68">
        <f t="shared" si="16"/>
        <v>1.4849999999999999</v>
      </c>
      <c r="P68">
        <f t="shared" si="17"/>
        <v>1.94</v>
      </c>
    </row>
    <row r="69" spans="1:16">
      <c r="A69" t="s">
        <v>139</v>
      </c>
      <c r="B69" t="s">
        <v>156</v>
      </c>
      <c r="C69" t="s">
        <v>13</v>
      </c>
      <c r="D69" t="s">
        <v>138</v>
      </c>
      <c r="E69" s="16">
        <v>41123</v>
      </c>
      <c r="F69">
        <v>0.79</v>
      </c>
      <c r="G69">
        <v>-1.88</v>
      </c>
      <c r="H69">
        <v>1.73</v>
      </c>
      <c r="I69">
        <v>-1.5</v>
      </c>
      <c r="K69">
        <f t="shared" si="12"/>
        <v>1.26</v>
      </c>
      <c r="L69">
        <f t="shared" si="13"/>
        <v>1.73</v>
      </c>
      <c r="M69">
        <f t="shared" si="14"/>
        <v>-1.69</v>
      </c>
      <c r="N69">
        <f t="shared" si="15"/>
        <v>-1.88</v>
      </c>
      <c r="O69">
        <f t="shared" si="16"/>
        <v>1.4750000000000001</v>
      </c>
      <c r="P69">
        <f t="shared" si="17"/>
        <v>1.88</v>
      </c>
    </row>
    <row r="70" spans="1:16">
      <c r="A70" t="s">
        <v>139</v>
      </c>
      <c r="B70" t="s">
        <v>156</v>
      </c>
      <c r="C70" t="s">
        <v>13</v>
      </c>
      <c r="D70" t="s">
        <v>138</v>
      </c>
      <c r="E70" s="16">
        <v>41124</v>
      </c>
      <c r="F70">
        <v>0.82</v>
      </c>
      <c r="G70">
        <v>-1.74</v>
      </c>
      <c r="H70">
        <v>1.59</v>
      </c>
      <c r="I70">
        <v>-1.51</v>
      </c>
      <c r="K70">
        <f t="shared" si="12"/>
        <v>1.2050000000000001</v>
      </c>
      <c r="L70">
        <f t="shared" si="13"/>
        <v>1.59</v>
      </c>
      <c r="M70">
        <f t="shared" si="14"/>
        <v>-1.625</v>
      </c>
      <c r="N70">
        <f t="shared" si="15"/>
        <v>-1.74</v>
      </c>
      <c r="O70">
        <f t="shared" si="16"/>
        <v>1.415</v>
      </c>
      <c r="P70">
        <f t="shared" si="17"/>
        <v>1.74</v>
      </c>
    </row>
    <row r="71" spans="1:16">
      <c r="A71" t="s">
        <v>139</v>
      </c>
      <c r="B71" t="s">
        <v>156</v>
      </c>
      <c r="C71" t="s">
        <v>13</v>
      </c>
      <c r="D71" t="s">
        <v>138</v>
      </c>
      <c r="E71" s="16">
        <v>41125</v>
      </c>
      <c r="F71">
        <v>0.84</v>
      </c>
      <c r="G71">
        <v>-1.54</v>
      </c>
      <c r="H71">
        <v>1.43</v>
      </c>
      <c r="I71">
        <v>-1.48</v>
      </c>
      <c r="K71">
        <f t="shared" si="12"/>
        <v>1.135</v>
      </c>
      <c r="L71">
        <f t="shared" si="13"/>
        <v>1.43</v>
      </c>
      <c r="M71">
        <f t="shared" si="14"/>
        <v>-1.51</v>
      </c>
      <c r="N71">
        <f t="shared" si="15"/>
        <v>-1.54</v>
      </c>
      <c r="O71">
        <f t="shared" si="16"/>
        <v>1.3225</v>
      </c>
      <c r="P71">
        <f t="shared" si="17"/>
        <v>1.54</v>
      </c>
    </row>
    <row r="72" spans="1:16">
      <c r="A72" t="s">
        <v>137</v>
      </c>
      <c r="B72" t="s">
        <v>157</v>
      </c>
      <c r="C72" t="s">
        <v>18</v>
      </c>
      <c r="D72" t="s">
        <v>138</v>
      </c>
      <c r="E72" s="16">
        <v>41118</v>
      </c>
      <c r="G72">
        <v>-1.06</v>
      </c>
      <c r="H72">
        <v>0.71</v>
      </c>
      <c r="I72">
        <v>-0.5</v>
      </c>
      <c r="J72">
        <v>0.28000000000000003</v>
      </c>
      <c r="K72">
        <f t="shared" si="12"/>
        <v>0.495</v>
      </c>
      <c r="L72">
        <f t="shared" si="13"/>
        <v>0.71</v>
      </c>
      <c r="M72">
        <f t="shared" si="14"/>
        <v>-0.78</v>
      </c>
      <c r="N72">
        <f t="shared" si="15"/>
        <v>-1.06</v>
      </c>
      <c r="O72">
        <f t="shared" si="16"/>
        <v>0.63749999999999996</v>
      </c>
      <c r="P72">
        <f t="shared" si="17"/>
        <v>1.06</v>
      </c>
    </row>
    <row r="73" spans="1:16">
      <c r="A73" t="s">
        <v>137</v>
      </c>
      <c r="B73" t="s">
        <v>157</v>
      </c>
      <c r="C73" t="s">
        <v>18</v>
      </c>
      <c r="D73" t="s">
        <v>138</v>
      </c>
      <c r="E73" s="16">
        <v>41119</v>
      </c>
      <c r="G73">
        <v>-1.1000000000000001</v>
      </c>
      <c r="H73">
        <v>0.81</v>
      </c>
      <c r="I73">
        <v>-0.6</v>
      </c>
      <c r="K73">
        <f t="shared" si="12"/>
        <v>0.81</v>
      </c>
      <c r="L73">
        <f t="shared" si="13"/>
        <v>0.81</v>
      </c>
      <c r="M73">
        <f t="shared" si="14"/>
        <v>-0.85000000000000009</v>
      </c>
      <c r="N73">
        <f t="shared" si="15"/>
        <v>-1.1000000000000001</v>
      </c>
      <c r="O73">
        <f t="shared" si="16"/>
        <v>0.83666666666666678</v>
      </c>
      <c r="P73">
        <f t="shared" si="17"/>
        <v>1.1000000000000001</v>
      </c>
    </row>
    <row r="74" spans="1:16">
      <c r="A74" t="s">
        <v>137</v>
      </c>
      <c r="B74" t="s">
        <v>157</v>
      </c>
      <c r="C74" t="s">
        <v>18</v>
      </c>
      <c r="D74" t="s">
        <v>138</v>
      </c>
      <c r="E74" s="16">
        <v>41120</v>
      </c>
      <c r="F74">
        <v>0.3</v>
      </c>
      <c r="G74">
        <v>-1.1399999999999999</v>
      </c>
      <c r="H74">
        <v>0.88</v>
      </c>
      <c r="I74">
        <v>-0.71</v>
      </c>
      <c r="K74">
        <f t="shared" si="12"/>
        <v>0.59</v>
      </c>
      <c r="L74">
        <f t="shared" si="13"/>
        <v>0.88</v>
      </c>
      <c r="M74">
        <f t="shared" si="14"/>
        <v>-0.92499999999999993</v>
      </c>
      <c r="N74">
        <f t="shared" si="15"/>
        <v>-1.1399999999999999</v>
      </c>
      <c r="O74">
        <f t="shared" si="16"/>
        <v>0.75749999999999995</v>
      </c>
      <c r="P74">
        <f t="shared" si="17"/>
        <v>1.1399999999999999</v>
      </c>
    </row>
    <row r="75" spans="1:16">
      <c r="A75" t="s">
        <v>137</v>
      </c>
      <c r="B75" t="s">
        <v>157</v>
      </c>
      <c r="C75" t="s">
        <v>18</v>
      </c>
      <c r="D75" t="s">
        <v>138</v>
      </c>
      <c r="E75" s="16">
        <v>41121</v>
      </c>
      <c r="F75">
        <v>0.34</v>
      </c>
      <c r="G75">
        <v>-1.17</v>
      </c>
      <c r="H75">
        <v>0.91</v>
      </c>
      <c r="I75">
        <v>-0.8</v>
      </c>
      <c r="K75">
        <f t="shared" si="12"/>
        <v>0.625</v>
      </c>
      <c r="L75">
        <f t="shared" si="13"/>
        <v>0.91</v>
      </c>
      <c r="M75">
        <f t="shared" si="14"/>
        <v>-0.98499999999999999</v>
      </c>
      <c r="N75">
        <f t="shared" si="15"/>
        <v>-1.17</v>
      </c>
      <c r="O75">
        <f t="shared" si="16"/>
        <v>0.80499999999999994</v>
      </c>
      <c r="P75">
        <f t="shared" si="17"/>
        <v>1.17</v>
      </c>
    </row>
    <row r="76" spans="1:16">
      <c r="A76" t="s">
        <v>137</v>
      </c>
      <c r="B76" t="s">
        <v>157</v>
      </c>
      <c r="C76" t="s">
        <v>18</v>
      </c>
      <c r="D76" t="s">
        <v>138</v>
      </c>
      <c r="E76" s="16">
        <v>41122</v>
      </c>
      <c r="F76">
        <v>0.37</v>
      </c>
      <c r="G76">
        <v>-1.17</v>
      </c>
      <c r="H76">
        <v>0.9</v>
      </c>
      <c r="I76">
        <v>-0.87</v>
      </c>
      <c r="K76">
        <f t="shared" si="12"/>
        <v>0.63500000000000001</v>
      </c>
      <c r="L76">
        <f t="shared" si="13"/>
        <v>0.9</v>
      </c>
      <c r="M76">
        <f t="shared" si="14"/>
        <v>-1.02</v>
      </c>
      <c r="N76">
        <f t="shared" si="15"/>
        <v>-1.17</v>
      </c>
      <c r="O76">
        <f t="shared" si="16"/>
        <v>0.82750000000000001</v>
      </c>
      <c r="P76">
        <f t="shared" si="17"/>
        <v>1.17</v>
      </c>
    </row>
    <row r="77" spans="1:16">
      <c r="A77" t="s">
        <v>137</v>
      </c>
      <c r="B77" t="s">
        <v>157</v>
      </c>
      <c r="C77" t="s">
        <v>18</v>
      </c>
      <c r="D77" t="s">
        <v>138</v>
      </c>
      <c r="E77" s="16">
        <v>41123</v>
      </c>
      <c r="F77">
        <v>0.4</v>
      </c>
      <c r="G77">
        <v>-1.1299999999999999</v>
      </c>
      <c r="H77">
        <v>0.86</v>
      </c>
      <c r="I77">
        <v>-0.9</v>
      </c>
      <c r="K77">
        <f t="shared" si="12"/>
        <v>0.63</v>
      </c>
      <c r="L77">
        <f t="shared" si="13"/>
        <v>0.86</v>
      </c>
      <c r="M77">
        <f t="shared" si="14"/>
        <v>-1.0149999999999999</v>
      </c>
      <c r="N77">
        <f t="shared" si="15"/>
        <v>-1.1299999999999999</v>
      </c>
      <c r="O77">
        <f t="shared" si="16"/>
        <v>0.8224999999999999</v>
      </c>
      <c r="P77">
        <f t="shared" si="17"/>
        <v>1.1299999999999999</v>
      </c>
    </row>
    <row r="78" spans="1:16">
      <c r="A78" t="s">
        <v>137</v>
      </c>
      <c r="B78" t="s">
        <v>157</v>
      </c>
      <c r="C78" t="s">
        <v>18</v>
      </c>
      <c r="D78" t="s">
        <v>138</v>
      </c>
      <c r="E78" s="16">
        <v>41124</v>
      </c>
      <c r="F78">
        <v>0.41</v>
      </c>
      <c r="G78">
        <v>-1.05</v>
      </c>
      <c r="H78">
        <v>0.8</v>
      </c>
      <c r="I78">
        <v>-0.91</v>
      </c>
      <c r="K78">
        <f t="shared" si="12"/>
        <v>0.60499999999999998</v>
      </c>
      <c r="L78">
        <f t="shared" si="13"/>
        <v>0.8</v>
      </c>
      <c r="M78">
        <f t="shared" si="14"/>
        <v>-0.98</v>
      </c>
      <c r="N78">
        <f t="shared" si="15"/>
        <v>-1.05</v>
      </c>
      <c r="O78">
        <f t="shared" si="16"/>
        <v>0.79249999999999998</v>
      </c>
      <c r="P78">
        <f t="shared" si="17"/>
        <v>1.05</v>
      </c>
    </row>
    <row r="79" spans="1:16">
      <c r="A79" t="s">
        <v>137</v>
      </c>
      <c r="B79" t="s">
        <v>157</v>
      </c>
      <c r="C79" t="s">
        <v>18</v>
      </c>
      <c r="D79" t="s">
        <v>138</v>
      </c>
      <c r="E79" s="16">
        <v>41125</v>
      </c>
      <c r="F79">
        <v>0.42</v>
      </c>
      <c r="G79">
        <v>-0.92</v>
      </c>
      <c r="H79">
        <v>0.71</v>
      </c>
      <c r="I79">
        <v>-0.89</v>
      </c>
      <c r="K79">
        <f t="shared" si="12"/>
        <v>0.56499999999999995</v>
      </c>
      <c r="L79">
        <f t="shared" si="13"/>
        <v>0.71</v>
      </c>
      <c r="M79">
        <f t="shared" si="14"/>
        <v>-0.90500000000000003</v>
      </c>
      <c r="N79">
        <f t="shared" si="15"/>
        <v>-0.92</v>
      </c>
      <c r="O79">
        <f t="shared" si="16"/>
        <v>0.73499999999999999</v>
      </c>
      <c r="P79">
        <f t="shared" si="17"/>
        <v>0.92</v>
      </c>
    </row>
    <row r="80" spans="1:16">
      <c r="A80" t="s">
        <v>137</v>
      </c>
      <c r="B80" t="s">
        <v>157</v>
      </c>
      <c r="C80" t="s">
        <v>18</v>
      </c>
      <c r="D80" t="s">
        <v>138</v>
      </c>
      <c r="E80" s="16">
        <v>41126</v>
      </c>
      <c r="F80">
        <v>0.42</v>
      </c>
      <c r="G80">
        <v>-0.77</v>
      </c>
      <c r="H80">
        <v>0.62</v>
      </c>
      <c r="I80">
        <v>-0.85</v>
      </c>
      <c r="K80">
        <f t="shared" si="12"/>
        <v>0.52</v>
      </c>
      <c r="L80">
        <f t="shared" si="13"/>
        <v>0.62</v>
      </c>
      <c r="M80">
        <f t="shared" si="14"/>
        <v>-0.81</v>
      </c>
      <c r="N80">
        <f t="shared" si="15"/>
        <v>-0.85</v>
      </c>
      <c r="O80">
        <f t="shared" si="16"/>
        <v>0.66500000000000004</v>
      </c>
      <c r="P80">
        <f t="shared" si="17"/>
        <v>0.85</v>
      </c>
    </row>
    <row r="81" spans="1:16">
      <c r="A81" t="s">
        <v>137</v>
      </c>
      <c r="B81" t="s">
        <v>157</v>
      </c>
      <c r="C81" t="s">
        <v>18</v>
      </c>
      <c r="D81" t="s">
        <v>138</v>
      </c>
      <c r="E81" s="16">
        <v>41127</v>
      </c>
      <c r="F81">
        <v>0.42</v>
      </c>
      <c r="G81">
        <v>-0.61</v>
      </c>
      <c r="H81">
        <v>0.52</v>
      </c>
      <c r="K81">
        <f t="shared" si="12"/>
        <v>0.47</v>
      </c>
      <c r="L81">
        <f t="shared" si="13"/>
        <v>0.52</v>
      </c>
      <c r="M81">
        <f t="shared" si="14"/>
        <v>-0.61</v>
      </c>
      <c r="N81">
        <f t="shared" si="15"/>
        <v>-0.61</v>
      </c>
      <c r="O81">
        <f t="shared" si="16"/>
        <v>0.38749999999999996</v>
      </c>
      <c r="P81">
        <f t="shared" si="17"/>
        <v>0.61</v>
      </c>
    </row>
    <row r="82" spans="1:16">
      <c r="A82" t="s">
        <v>130</v>
      </c>
      <c r="B82" t="s">
        <v>158</v>
      </c>
      <c r="C82" t="s">
        <v>18</v>
      </c>
      <c r="D82" t="s">
        <v>131</v>
      </c>
      <c r="E82" s="16">
        <v>41118</v>
      </c>
      <c r="F82" s="16"/>
      <c r="G82">
        <v>-0.99</v>
      </c>
      <c r="H82">
        <v>0.56999999999999995</v>
      </c>
      <c r="I82">
        <v>-0.54</v>
      </c>
      <c r="J82">
        <v>0.95</v>
      </c>
      <c r="K82">
        <f t="shared" si="12"/>
        <v>0.76</v>
      </c>
      <c r="L82">
        <f t="shared" si="13"/>
        <v>0.95</v>
      </c>
      <c r="M82">
        <f t="shared" si="14"/>
        <v>-0.76500000000000001</v>
      </c>
      <c r="N82">
        <f t="shared" si="15"/>
        <v>-0.99</v>
      </c>
      <c r="O82">
        <f t="shared" si="16"/>
        <v>0.76249999999999996</v>
      </c>
      <c r="P82">
        <f t="shared" si="17"/>
        <v>0.99</v>
      </c>
    </row>
    <row r="83" spans="1:16">
      <c r="A83" t="s">
        <v>130</v>
      </c>
      <c r="B83" t="s">
        <v>158</v>
      </c>
      <c r="C83" t="s">
        <v>18</v>
      </c>
      <c r="D83" t="s">
        <v>131</v>
      </c>
      <c r="E83" s="16">
        <v>41119</v>
      </c>
      <c r="F83" s="16"/>
      <c r="G83">
        <v>-0.99</v>
      </c>
      <c r="H83">
        <v>0.51</v>
      </c>
      <c r="I83">
        <v>-0.37</v>
      </c>
      <c r="J83">
        <v>0.74</v>
      </c>
      <c r="K83">
        <f t="shared" si="12"/>
        <v>0.625</v>
      </c>
      <c r="L83">
        <f t="shared" si="13"/>
        <v>0.74</v>
      </c>
      <c r="M83">
        <f t="shared" si="14"/>
        <v>-0.67999999999999994</v>
      </c>
      <c r="N83">
        <f t="shared" si="15"/>
        <v>-0.99</v>
      </c>
      <c r="O83">
        <f t="shared" si="16"/>
        <v>0.65250000000000008</v>
      </c>
      <c r="P83">
        <f t="shared" si="17"/>
        <v>0.99</v>
      </c>
    </row>
    <row r="84" spans="1:16">
      <c r="A84" t="s">
        <v>130</v>
      </c>
      <c r="B84" t="s">
        <v>158</v>
      </c>
      <c r="C84" t="s">
        <v>18</v>
      </c>
      <c r="D84" t="s">
        <v>131</v>
      </c>
      <c r="E84" s="16">
        <v>41120</v>
      </c>
      <c r="F84" s="16"/>
      <c r="G84">
        <v>-0.98</v>
      </c>
      <c r="H84">
        <v>0.45</v>
      </c>
      <c r="I84">
        <v>-0.27</v>
      </c>
      <c r="J84">
        <v>0.53</v>
      </c>
      <c r="K84">
        <f t="shared" si="12"/>
        <v>0.49</v>
      </c>
      <c r="L84">
        <f t="shared" si="13"/>
        <v>0.53</v>
      </c>
      <c r="M84">
        <f t="shared" si="14"/>
        <v>-0.625</v>
      </c>
      <c r="N84">
        <f t="shared" si="15"/>
        <v>-0.98</v>
      </c>
      <c r="O84">
        <f t="shared" si="16"/>
        <v>0.5575</v>
      </c>
      <c r="P84">
        <f t="shared" si="17"/>
        <v>0.98</v>
      </c>
    </row>
    <row r="85" spans="1:16">
      <c r="A85" t="s">
        <v>130</v>
      </c>
      <c r="B85" t="s">
        <v>158</v>
      </c>
      <c r="C85" t="s">
        <v>18</v>
      </c>
      <c r="D85" t="s">
        <v>131</v>
      </c>
      <c r="E85" s="16">
        <v>41121</v>
      </c>
      <c r="F85" s="16"/>
      <c r="G85">
        <v>-0.97</v>
      </c>
      <c r="H85">
        <v>0.48</v>
      </c>
      <c r="I85">
        <v>-0.21</v>
      </c>
      <c r="J85">
        <v>0.33</v>
      </c>
      <c r="K85">
        <f t="shared" si="12"/>
        <v>0.40500000000000003</v>
      </c>
      <c r="L85">
        <f t="shared" si="13"/>
        <v>0.48</v>
      </c>
      <c r="M85">
        <f t="shared" si="14"/>
        <v>-0.59</v>
      </c>
      <c r="N85">
        <f t="shared" si="15"/>
        <v>-0.97</v>
      </c>
      <c r="O85">
        <f t="shared" si="16"/>
        <v>0.4975</v>
      </c>
      <c r="P85">
        <f t="shared" si="17"/>
        <v>0.97</v>
      </c>
    </row>
    <row r="86" spans="1:16">
      <c r="A86" t="s">
        <v>130</v>
      </c>
      <c r="B86" t="s">
        <v>158</v>
      </c>
      <c r="C86" t="s">
        <v>18</v>
      </c>
      <c r="D86" t="s">
        <v>131</v>
      </c>
      <c r="E86" s="16">
        <v>41122</v>
      </c>
      <c r="F86" s="16"/>
      <c r="G86">
        <v>-0.97</v>
      </c>
      <c r="H86">
        <v>0.64</v>
      </c>
      <c r="I86">
        <v>-0.21</v>
      </c>
      <c r="K86">
        <f t="shared" si="12"/>
        <v>0.64</v>
      </c>
      <c r="L86">
        <f t="shared" si="13"/>
        <v>0.64</v>
      </c>
      <c r="M86">
        <f t="shared" si="14"/>
        <v>-0.59</v>
      </c>
      <c r="N86">
        <f t="shared" si="15"/>
        <v>-0.97</v>
      </c>
      <c r="O86">
        <f t="shared" si="16"/>
        <v>0.60666666666666658</v>
      </c>
      <c r="P86">
        <f t="shared" si="17"/>
        <v>0.97</v>
      </c>
    </row>
    <row r="87" spans="1:16">
      <c r="A87" t="s">
        <v>130</v>
      </c>
      <c r="B87" t="s">
        <v>158</v>
      </c>
      <c r="C87" t="s">
        <v>18</v>
      </c>
      <c r="D87" t="s">
        <v>131</v>
      </c>
      <c r="E87" s="16">
        <v>41123</v>
      </c>
      <c r="F87">
        <v>0.19</v>
      </c>
      <c r="G87">
        <v>-0.96</v>
      </c>
      <c r="H87">
        <v>0.78</v>
      </c>
      <c r="I87">
        <v>-0.28000000000000003</v>
      </c>
      <c r="K87">
        <f t="shared" si="12"/>
        <v>0.48499999999999999</v>
      </c>
      <c r="L87">
        <f t="shared" si="13"/>
        <v>0.78</v>
      </c>
      <c r="M87">
        <f t="shared" si="14"/>
        <v>-0.62</v>
      </c>
      <c r="N87">
        <f t="shared" si="15"/>
        <v>-0.96</v>
      </c>
      <c r="O87">
        <f t="shared" si="16"/>
        <v>0.55249999999999999</v>
      </c>
      <c r="P87">
        <f t="shared" si="17"/>
        <v>0.96</v>
      </c>
    </row>
    <row r="88" spans="1:16">
      <c r="A88" t="s">
        <v>130</v>
      </c>
      <c r="B88" t="s">
        <v>158</v>
      </c>
      <c r="C88" t="s">
        <v>18</v>
      </c>
      <c r="D88" t="s">
        <v>131</v>
      </c>
      <c r="E88" s="16">
        <v>41124</v>
      </c>
      <c r="F88">
        <v>0.13</v>
      </c>
      <c r="G88">
        <v>-0.96</v>
      </c>
      <c r="H88">
        <v>0.9</v>
      </c>
      <c r="I88">
        <v>-0.37</v>
      </c>
      <c r="K88">
        <f t="shared" si="12"/>
        <v>0.51500000000000001</v>
      </c>
      <c r="L88">
        <f t="shared" si="13"/>
        <v>0.9</v>
      </c>
      <c r="M88">
        <f t="shared" si="14"/>
        <v>-0.66500000000000004</v>
      </c>
      <c r="N88">
        <f t="shared" si="15"/>
        <v>-0.96</v>
      </c>
      <c r="O88">
        <f t="shared" si="16"/>
        <v>0.59</v>
      </c>
      <c r="P88">
        <f t="shared" si="17"/>
        <v>0.96</v>
      </c>
    </row>
    <row r="89" spans="1:16">
      <c r="A89" t="s">
        <v>130</v>
      </c>
      <c r="B89" t="s">
        <v>158</v>
      </c>
      <c r="C89" t="s">
        <v>18</v>
      </c>
      <c r="D89" t="s">
        <v>131</v>
      </c>
      <c r="E89" s="16">
        <v>41125</v>
      </c>
      <c r="F89">
        <v>0.15</v>
      </c>
      <c r="G89">
        <v>-0.98</v>
      </c>
      <c r="H89">
        <v>0.98</v>
      </c>
      <c r="I89">
        <v>-0.47</v>
      </c>
      <c r="K89">
        <f t="shared" si="12"/>
        <v>0.56499999999999995</v>
      </c>
      <c r="L89">
        <f t="shared" si="13"/>
        <v>0.98</v>
      </c>
      <c r="M89">
        <f t="shared" si="14"/>
        <v>-0.72499999999999998</v>
      </c>
      <c r="N89">
        <f t="shared" si="15"/>
        <v>-0.98</v>
      </c>
      <c r="O89">
        <f t="shared" si="16"/>
        <v>0.64500000000000002</v>
      </c>
      <c r="P89">
        <f t="shared" si="17"/>
        <v>0.98</v>
      </c>
    </row>
    <row r="90" spans="1:16">
      <c r="A90" t="s">
        <v>130</v>
      </c>
      <c r="B90" t="s">
        <v>158</v>
      </c>
      <c r="C90" t="s">
        <v>18</v>
      </c>
      <c r="D90" t="s">
        <v>131</v>
      </c>
      <c r="E90" s="16">
        <v>41126</v>
      </c>
      <c r="F90">
        <v>0.2</v>
      </c>
      <c r="G90">
        <v>-0.99</v>
      </c>
      <c r="H90">
        <v>1.05</v>
      </c>
      <c r="I90">
        <v>-0.56000000000000005</v>
      </c>
      <c r="K90">
        <f t="shared" si="12"/>
        <v>0.625</v>
      </c>
      <c r="L90">
        <f t="shared" si="13"/>
        <v>1.05</v>
      </c>
      <c r="M90">
        <f t="shared" si="14"/>
        <v>-0.77500000000000002</v>
      </c>
      <c r="N90">
        <f t="shared" si="15"/>
        <v>-0.99</v>
      </c>
      <c r="O90">
        <f t="shared" si="16"/>
        <v>0.70000000000000007</v>
      </c>
      <c r="P90">
        <f t="shared" si="17"/>
        <v>1.05</v>
      </c>
    </row>
    <row r="91" spans="1:16">
      <c r="A91" t="s">
        <v>130</v>
      </c>
      <c r="B91" t="s">
        <v>158</v>
      </c>
      <c r="C91" t="s">
        <v>18</v>
      </c>
      <c r="D91" t="s">
        <v>131</v>
      </c>
      <c r="E91" s="16">
        <v>41127</v>
      </c>
      <c r="F91">
        <v>0.26</v>
      </c>
      <c r="G91">
        <v>-0.99</v>
      </c>
      <c r="H91">
        <v>1.1000000000000001</v>
      </c>
      <c r="I91">
        <v>-0.64</v>
      </c>
      <c r="K91">
        <f t="shared" si="12"/>
        <v>0.68</v>
      </c>
      <c r="L91">
        <f t="shared" si="13"/>
        <v>1.1000000000000001</v>
      </c>
      <c r="M91">
        <f t="shared" si="14"/>
        <v>-0.81499999999999995</v>
      </c>
      <c r="N91">
        <f t="shared" si="15"/>
        <v>-0.99</v>
      </c>
      <c r="O91">
        <f t="shared" si="16"/>
        <v>0.74750000000000005</v>
      </c>
      <c r="P91">
        <f t="shared" si="17"/>
        <v>1.1000000000000001</v>
      </c>
    </row>
    <row r="92" spans="1:16">
      <c r="A92" t="s">
        <v>159</v>
      </c>
      <c r="B92" t="s">
        <v>160</v>
      </c>
      <c r="C92" t="s">
        <v>122</v>
      </c>
      <c r="D92" t="s">
        <v>161</v>
      </c>
      <c r="E92" s="16">
        <v>41117</v>
      </c>
    </row>
    <row r="93" spans="1:16">
      <c r="E93" s="16">
        <v>41118</v>
      </c>
    </row>
    <row r="94" spans="1:16">
      <c r="E94" s="16">
        <v>41119</v>
      </c>
    </row>
    <row r="95" spans="1:16">
      <c r="E95" s="16">
        <v>41120</v>
      </c>
    </row>
    <row r="96" spans="1:16">
      <c r="E96" s="16">
        <v>41121</v>
      </c>
    </row>
    <row r="97" spans="5:5">
      <c r="E97" s="16">
        <v>41122</v>
      </c>
    </row>
    <row r="98" spans="5:5">
      <c r="E98" s="16">
        <v>41123</v>
      </c>
    </row>
    <row r="99" spans="5:5">
      <c r="E99" s="16">
        <v>41124</v>
      </c>
    </row>
    <row r="100" spans="5:5">
      <c r="E100" s="16">
        <v>41125</v>
      </c>
    </row>
    <row r="101" spans="5:5">
      <c r="E101" s="16">
        <v>41126</v>
      </c>
    </row>
    <row r="102" spans="5:5">
      <c r="E102" s="16">
        <v>41127</v>
      </c>
    </row>
  </sheetData>
  <sortState ref="A2:P91">
    <sortCondition ref="B2:B91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90"/>
  <sheetViews>
    <sheetView workbookViewId="0">
      <pane ySplit="1" topLeftCell="A549" activePane="bottomLeft" state="frozen"/>
      <selection pane="bottomLeft" activeCell="A560" sqref="A560:E590"/>
    </sheetView>
  </sheetViews>
  <sheetFormatPr baseColWidth="10" defaultRowHeight="15" x14ac:dyDescent="0"/>
  <cols>
    <col min="1" max="1" width="26.5" bestFit="1" customWidth="1"/>
    <col min="4" max="4" width="15.6640625" bestFit="1" customWidth="1"/>
    <col min="6" max="6" width="0" style="14" hidden="1" customWidth="1"/>
    <col min="7" max="7" width="0" hidden="1" customWidth="1"/>
    <col min="9" max="10" width="0" hidden="1" customWidth="1"/>
    <col min="12" max="13" width="0" hidden="1" customWidth="1"/>
    <col min="15" max="16" width="0" hidden="1" customWidth="1"/>
    <col min="18" max="19" width="0" hidden="1" customWidth="1"/>
  </cols>
  <sheetData>
    <row r="1" spans="1:28">
      <c r="A1" t="s">
        <v>124</v>
      </c>
      <c r="B1" t="s">
        <v>143</v>
      </c>
      <c r="C1" t="s">
        <v>12</v>
      </c>
      <c r="D1" t="s">
        <v>178</v>
      </c>
      <c r="E1" t="s">
        <v>162</v>
      </c>
      <c r="F1" s="14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170</v>
      </c>
      <c r="N1" t="s">
        <v>171</v>
      </c>
      <c r="O1" t="s">
        <v>172</v>
      </c>
      <c r="P1" t="s">
        <v>173</v>
      </c>
      <c r="Q1" t="s">
        <v>174</v>
      </c>
      <c r="R1" t="s">
        <v>175</v>
      </c>
      <c r="S1" t="s">
        <v>176</v>
      </c>
      <c r="T1" t="s">
        <v>177</v>
      </c>
      <c r="U1" t="s">
        <v>205</v>
      </c>
      <c r="V1" t="s">
        <v>206</v>
      </c>
      <c r="W1" t="s">
        <v>207</v>
      </c>
      <c r="X1" t="s">
        <v>208</v>
      </c>
      <c r="Y1" t="s">
        <v>209</v>
      </c>
      <c r="AA1" t="s">
        <v>141</v>
      </c>
      <c r="AB1" t="s">
        <v>142</v>
      </c>
    </row>
    <row r="2" spans="1:28">
      <c r="A2" t="s">
        <v>179</v>
      </c>
      <c r="B2" t="s">
        <v>144</v>
      </c>
      <c r="C2" t="s">
        <v>150</v>
      </c>
      <c r="D2" t="s">
        <v>151</v>
      </c>
      <c r="E2">
        <v>1</v>
      </c>
      <c r="F2" s="14">
        <v>27</v>
      </c>
      <c r="G2">
        <v>254</v>
      </c>
      <c r="H2">
        <v>0.4</v>
      </c>
      <c r="I2">
        <v>518</v>
      </c>
      <c r="J2">
        <v>838</v>
      </c>
      <c r="K2">
        <v>-2.2999999999999998</v>
      </c>
      <c r="L2">
        <v>1217</v>
      </c>
      <c r="M2">
        <v>1551</v>
      </c>
      <c r="N2">
        <v>1.2</v>
      </c>
      <c r="O2">
        <v>1939</v>
      </c>
      <c r="P2">
        <v>2149</v>
      </c>
      <c r="Q2">
        <v>-1.5</v>
      </c>
      <c r="U2">
        <f>ABS(H2)</f>
        <v>0.4</v>
      </c>
      <c r="V2">
        <f>ABS(K2)</f>
        <v>2.2999999999999998</v>
      </c>
      <c r="W2">
        <f>ABS(N2)</f>
        <v>1.2</v>
      </c>
      <c r="X2">
        <f>ABS(Q2)</f>
        <v>1.5</v>
      </c>
      <c r="AA2">
        <f>AVERAGE(U2:Y2)</f>
        <v>1.3499999999999999</v>
      </c>
      <c r="AB2">
        <f>MAX(U2:Y2)</f>
        <v>2.2999999999999998</v>
      </c>
    </row>
    <row r="3" spans="1:28">
      <c r="A3" t="s">
        <v>179</v>
      </c>
      <c r="B3" t="s">
        <v>144</v>
      </c>
      <c r="C3" t="s">
        <v>150</v>
      </c>
      <c r="D3" t="s">
        <v>151</v>
      </c>
      <c r="E3">
        <v>2</v>
      </c>
      <c r="F3" s="14">
        <v>115</v>
      </c>
      <c r="G3">
        <v>348</v>
      </c>
      <c r="H3">
        <v>0.5</v>
      </c>
      <c r="I3">
        <v>618</v>
      </c>
      <c r="J3">
        <v>928</v>
      </c>
      <c r="K3">
        <v>-2.2000000000000002</v>
      </c>
      <c r="L3">
        <v>1302</v>
      </c>
      <c r="M3">
        <v>1634</v>
      </c>
      <c r="N3">
        <v>1.2</v>
      </c>
      <c r="O3">
        <v>2016</v>
      </c>
      <c r="P3">
        <v>2231</v>
      </c>
      <c r="Q3">
        <v>-1.6</v>
      </c>
      <c r="U3">
        <f t="shared" ref="U3:U66" si="0">ABS(H3)</f>
        <v>0.5</v>
      </c>
      <c r="V3">
        <f t="shared" ref="V3:V66" si="1">ABS(K3)</f>
        <v>2.2000000000000002</v>
      </c>
      <c r="W3">
        <f t="shared" ref="W3:W66" si="2">ABS(N3)</f>
        <v>1.2</v>
      </c>
      <c r="X3">
        <f t="shared" ref="X3:X66" si="3">ABS(Q3)</f>
        <v>1.6</v>
      </c>
      <c r="AA3">
        <f t="shared" ref="AA3:AA66" si="4">AVERAGE(U3:Y3)</f>
        <v>1.375</v>
      </c>
      <c r="AB3">
        <f t="shared" ref="AB3:AB66" si="5">MAX(U3:Y3)</f>
        <v>2.2000000000000002</v>
      </c>
    </row>
    <row r="4" spans="1:28">
      <c r="A4" t="s">
        <v>179</v>
      </c>
      <c r="B4" t="s">
        <v>144</v>
      </c>
      <c r="C4" t="s">
        <v>150</v>
      </c>
      <c r="D4" t="s">
        <v>151</v>
      </c>
      <c r="E4">
        <v>3</v>
      </c>
      <c r="F4" s="14">
        <v>201</v>
      </c>
      <c r="G4">
        <v>438</v>
      </c>
      <c r="H4">
        <v>0.5</v>
      </c>
      <c r="I4">
        <v>714</v>
      </c>
      <c r="J4">
        <v>1015</v>
      </c>
      <c r="K4">
        <v>-2.1</v>
      </c>
      <c r="L4">
        <v>1346</v>
      </c>
      <c r="M4">
        <v>1714</v>
      </c>
      <c r="N4">
        <v>1.2</v>
      </c>
      <c r="O4">
        <v>2050</v>
      </c>
      <c r="P4">
        <v>2312</v>
      </c>
      <c r="Q4">
        <v>-1.7</v>
      </c>
      <c r="U4">
        <f t="shared" si="0"/>
        <v>0.5</v>
      </c>
      <c r="V4">
        <f t="shared" si="1"/>
        <v>2.1</v>
      </c>
      <c r="W4">
        <f t="shared" si="2"/>
        <v>1.2</v>
      </c>
      <c r="X4">
        <f t="shared" si="3"/>
        <v>1.7</v>
      </c>
      <c r="AA4">
        <f t="shared" si="4"/>
        <v>1.375</v>
      </c>
      <c r="AB4">
        <f t="shared" si="5"/>
        <v>2.1</v>
      </c>
    </row>
    <row r="5" spans="1:28">
      <c r="A5" t="s">
        <v>179</v>
      </c>
      <c r="B5" t="s">
        <v>144</v>
      </c>
      <c r="C5" t="s">
        <v>150</v>
      </c>
      <c r="D5" t="s">
        <v>151</v>
      </c>
      <c r="E5">
        <v>4</v>
      </c>
      <c r="F5" s="14">
        <v>246</v>
      </c>
      <c r="G5">
        <v>526</v>
      </c>
      <c r="H5">
        <v>0.6</v>
      </c>
      <c r="I5">
        <v>808</v>
      </c>
      <c r="J5">
        <v>1100</v>
      </c>
      <c r="K5">
        <v>-1.9</v>
      </c>
      <c r="L5">
        <v>1427</v>
      </c>
      <c r="M5">
        <v>1752</v>
      </c>
      <c r="N5">
        <v>1</v>
      </c>
      <c r="O5">
        <v>2121</v>
      </c>
      <c r="P5">
        <v>2351</v>
      </c>
      <c r="Q5">
        <v>-1.7</v>
      </c>
      <c r="U5">
        <f t="shared" si="0"/>
        <v>0.6</v>
      </c>
      <c r="V5">
        <f t="shared" si="1"/>
        <v>1.9</v>
      </c>
      <c r="W5">
        <f t="shared" si="2"/>
        <v>1</v>
      </c>
      <c r="X5">
        <f t="shared" si="3"/>
        <v>1.7</v>
      </c>
      <c r="AA5">
        <f t="shared" si="4"/>
        <v>1.3</v>
      </c>
      <c r="AB5">
        <f t="shared" si="5"/>
        <v>1.9</v>
      </c>
    </row>
    <row r="6" spans="1:28">
      <c r="A6" t="s">
        <v>179</v>
      </c>
      <c r="B6" t="s">
        <v>144</v>
      </c>
      <c r="C6" t="s">
        <v>150</v>
      </c>
      <c r="D6" t="s">
        <v>151</v>
      </c>
      <c r="E6">
        <v>5</v>
      </c>
      <c r="F6" s="14">
        <v>331</v>
      </c>
      <c r="G6">
        <v>614</v>
      </c>
      <c r="H6">
        <v>0.6</v>
      </c>
      <c r="I6">
        <v>901</v>
      </c>
      <c r="J6">
        <v>1144</v>
      </c>
      <c r="K6">
        <v>-1.7</v>
      </c>
      <c r="L6">
        <v>1509</v>
      </c>
      <c r="M6">
        <v>1828</v>
      </c>
      <c r="N6">
        <v>0.9</v>
      </c>
      <c r="O6">
        <v>2150</v>
      </c>
      <c r="U6">
        <f t="shared" si="0"/>
        <v>0.6</v>
      </c>
      <c r="V6">
        <f t="shared" si="1"/>
        <v>1.7</v>
      </c>
      <c r="W6">
        <f t="shared" si="2"/>
        <v>0.9</v>
      </c>
      <c r="AA6">
        <f t="shared" si="4"/>
        <v>1.0666666666666667</v>
      </c>
      <c r="AB6">
        <f t="shared" si="5"/>
        <v>1.7</v>
      </c>
    </row>
    <row r="7" spans="1:28">
      <c r="A7" t="s">
        <v>179</v>
      </c>
      <c r="B7" t="s">
        <v>144</v>
      </c>
      <c r="C7" t="s">
        <v>150</v>
      </c>
      <c r="D7" t="s">
        <v>151</v>
      </c>
      <c r="E7">
        <v>6</v>
      </c>
      <c r="G7">
        <v>29</v>
      </c>
      <c r="H7">
        <v>-1.7</v>
      </c>
      <c r="I7">
        <v>416</v>
      </c>
      <c r="J7">
        <v>702</v>
      </c>
      <c r="K7">
        <v>0.5</v>
      </c>
      <c r="L7">
        <v>954</v>
      </c>
      <c r="M7">
        <v>1230</v>
      </c>
      <c r="N7">
        <v>-1.4</v>
      </c>
      <c r="O7">
        <v>1550</v>
      </c>
      <c r="P7">
        <v>1905</v>
      </c>
      <c r="Q7">
        <v>0.7</v>
      </c>
      <c r="R7">
        <v>2218</v>
      </c>
      <c r="U7">
        <f t="shared" si="0"/>
        <v>1.7</v>
      </c>
      <c r="V7">
        <f t="shared" si="1"/>
        <v>0.5</v>
      </c>
      <c r="W7">
        <f t="shared" si="2"/>
        <v>1.4</v>
      </c>
      <c r="X7">
        <f t="shared" si="3"/>
        <v>0.7</v>
      </c>
      <c r="AA7">
        <f t="shared" si="4"/>
        <v>1.075</v>
      </c>
      <c r="AB7">
        <f t="shared" si="5"/>
        <v>1.7</v>
      </c>
    </row>
    <row r="8" spans="1:28">
      <c r="A8" t="s">
        <v>179</v>
      </c>
      <c r="B8" t="s">
        <v>144</v>
      </c>
      <c r="C8" t="s">
        <v>150</v>
      </c>
      <c r="D8" t="s">
        <v>151</v>
      </c>
      <c r="E8">
        <v>7</v>
      </c>
      <c r="G8">
        <v>108</v>
      </c>
      <c r="H8">
        <v>-1.7</v>
      </c>
      <c r="I8">
        <v>504</v>
      </c>
      <c r="J8">
        <v>752</v>
      </c>
      <c r="K8">
        <v>0.5</v>
      </c>
      <c r="L8">
        <v>1051</v>
      </c>
      <c r="M8">
        <v>1318</v>
      </c>
      <c r="N8">
        <v>-1.1000000000000001</v>
      </c>
      <c r="O8">
        <v>1635</v>
      </c>
      <c r="P8">
        <v>1943</v>
      </c>
      <c r="Q8">
        <v>0.6</v>
      </c>
      <c r="R8">
        <v>2246</v>
      </c>
      <c r="U8">
        <f t="shared" si="0"/>
        <v>1.7</v>
      </c>
      <c r="V8">
        <f t="shared" si="1"/>
        <v>0.5</v>
      </c>
      <c r="W8">
        <f t="shared" si="2"/>
        <v>1.1000000000000001</v>
      </c>
      <c r="X8">
        <f t="shared" si="3"/>
        <v>0.6</v>
      </c>
      <c r="AA8">
        <f t="shared" si="4"/>
        <v>0.97500000000000009</v>
      </c>
      <c r="AB8">
        <f t="shared" si="5"/>
        <v>1.7</v>
      </c>
    </row>
    <row r="9" spans="1:28">
      <c r="A9" t="s">
        <v>179</v>
      </c>
      <c r="B9" t="s">
        <v>144</v>
      </c>
      <c r="C9" t="s">
        <v>150</v>
      </c>
      <c r="D9" t="s">
        <v>151</v>
      </c>
      <c r="E9">
        <v>8</v>
      </c>
      <c r="G9">
        <v>150</v>
      </c>
      <c r="H9">
        <v>-1.7</v>
      </c>
      <c r="I9">
        <v>555</v>
      </c>
      <c r="J9">
        <v>846</v>
      </c>
      <c r="K9">
        <v>0.5</v>
      </c>
      <c r="L9">
        <v>1153</v>
      </c>
      <c r="M9">
        <v>1412</v>
      </c>
      <c r="N9">
        <v>-0.9</v>
      </c>
      <c r="O9">
        <v>1727</v>
      </c>
      <c r="P9">
        <v>2024</v>
      </c>
      <c r="Q9">
        <v>0.4</v>
      </c>
      <c r="R9">
        <v>2314</v>
      </c>
      <c r="U9">
        <f t="shared" si="0"/>
        <v>1.7</v>
      </c>
      <c r="V9">
        <f t="shared" si="1"/>
        <v>0.5</v>
      </c>
      <c r="W9">
        <f t="shared" si="2"/>
        <v>0.9</v>
      </c>
      <c r="X9">
        <f t="shared" si="3"/>
        <v>0.4</v>
      </c>
      <c r="AA9">
        <f t="shared" si="4"/>
        <v>0.875</v>
      </c>
      <c r="AB9">
        <f t="shared" si="5"/>
        <v>1.7</v>
      </c>
    </row>
    <row r="10" spans="1:28">
      <c r="A10" t="s">
        <v>179</v>
      </c>
      <c r="B10" t="s">
        <v>144</v>
      </c>
      <c r="C10" t="s">
        <v>150</v>
      </c>
      <c r="D10" t="s">
        <v>151</v>
      </c>
      <c r="E10">
        <v>9</v>
      </c>
      <c r="G10">
        <v>235</v>
      </c>
      <c r="H10">
        <v>-1.6</v>
      </c>
      <c r="I10">
        <v>649</v>
      </c>
      <c r="J10">
        <v>947</v>
      </c>
      <c r="K10">
        <v>0.4</v>
      </c>
      <c r="L10">
        <v>1305</v>
      </c>
      <c r="M10">
        <v>1515</v>
      </c>
      <c r="N10">
        <v>-0.7</v>
      </c>
      <c r="O10">
        <v>1831</v>
      </c>
      <c r="P10">
        <v>2112</v>
      </c>
      <c r="Q10">
        <v>0.3</v>
      </c>
      <c r="R10">
        <v>2344</v>
      </c>
      <c r="U10">
        <f t="shared" si="0"/>
        <v>1.6</v>
      </c>
      <c r="V10">
        <f t="shared" si="1"/>
        <v>0.4</v>
      </c>
      <c r="W10">
        <f t="shared" si="2"/>
        <v>0.7</v>
      </c>
      <c r="X10">
        <f t="shared" si="3"/>
        <v>0.3</v>
      </c>
      <c r="AA10">
        <f t="shared" si="4"/>
        <v>0.75</v>
      </c>
      <c r="AB10">
        <f t="shared" si="5"/>
        <v>1.6</v>
      </c>
    </row>
    <row r="11" spans="1:28">
      <c r="A11" t="s">
        <v>179</v>
      </c>
      <c r="B11" t="s">
        <v>144</v>
      </c>
      <c r="C11" t="s">
        <v>150</v>
      </c>
      <c r="D11" t="s">
        <v>151</v>
      </c>
      <c r="E11">
        <v>10</v>
      </c>
      <c r="G11">
        <v>326</v>
      </c>
      <c r="H11">
        <v>-1.6</v>
      </c>
      <c r="I11">
        <v>745</v>
      </c>
      <c r="J11">
        <v>1052</v>
      </c>
      <c r="K11">
        <v>0.5</v>
      </c>
      <c r="L11">
        <v>1424</v>
      </c>
      <c r="M11">
        <v>1630</v>
      </c>
      <c r="N11">
        <v>-0.6</v>
      </c>
      <c r="O11">
        <v>1953</v>
      </c>
      <c r="P11">
        <v>2210</v>
      </c>
      <c r="Q11">
        <v>0.2</v>
      </c>
      <c r="U11">
        <f t="shared" si="0"/>
        <v>1.6</v>
      </c>
      <c r="V11">
        <f t="shared" si="1"/>
        <v>0.5</v>
      </c>
      <c r="W11">
        <f t="shared" si="2"/>
        <v>0.6</v>
      </c>
      <c r="X11">
        <f t="shared" si="3"/>
        <v>0.2</v>
      </c>
      <c r="AA11">
        <f t="shared" si="4"/>
        <v>0.72500000000000009</v>
      </c>
      <c r="AB11">
        <f t="shared" si="5"/>
        <v>1.6</v>
      </c>
    </row>
    <row r="12" spans="1:28">
      <c r="A12" t="s">
        <v>179</v>
      </c>
      <c r="B12" t="s">
        <v>144</v>
      </c>
      <c r="C12" t="s">
        <v>150</v>
      </c>
      <c r="D12" t="s">
        <v>151</v>
      </c>
      <c r="E12">
        <v>11</v>
      </c>
      <c r="F12" s="14">
        <v>20</v>
      </c>
      <c r="G12">
        <v>423</v>
      </c>
      <c r="H12">
        <v>-1.6</v>
      </c>
      <c r="I12">
        <v>839</v>
      </c>
      <c r="J12">
        <v>1157</v>
      </c>
      <c r="K12">
        <v>0.6</v>
      </c>
      <c r="L12">
        <v>1540</v>
      </c>
      <c r="M12">
        <v>1746</v>
      </c>
      <c r="N12">
        <v>-0.7</v>
      </c>
      <c r="O12">
        <v>2122</v>
      </c>
      <c r="P12">
        <v>2316</v>
      </c>
      <c r="Q12">
        <v>0.1</v>
      </c>
      <c r="U12">
        <f t="shared" si="0"/>
        <v>1.6</v>
      </c>
      <c r="V12">
        <f t="shared" si="1"/>
        <v>0.6</v>
      </c>
      <c r="W12">
        <f t="shared" si="2"/>
        <v>0.7</v>
      </c>
      <c r="X12">
        <f t="shared" si="3"/>
        <v>0.1</v>
      </c>
      <c r="AA12">
        <f t="shared" si="4"/>
        <v>0.75000000000000011</v>
      </c>
      <c r="AB12">
        <f t="shared" si="5"/>
        <v>1.6</v>
      </c>
    </row>
    <row r="13" spans="1:28">
      <c r="A13" t="s">
        <v>179</v>
      </c>
      <c r="B13" t="s">
        <v>144</v>
      </c>
      <c r="C13" t="s">
        <v>150</v>
      </c>
      <c r="D13" t="s">
        <v>151</v>
      </c>
      <c r="E13">
        <v>12</v>
      </c>
      <c r="F13" s="14">
        <v>105</v>
      </c>
      <c r="G13">
        <v>521</v>
      </c>
      <c r="H13">
        <v>-1.6</v>
      </c>
      <c r="I13">
        <v>929</v>
      </c>
      <c r="J13">
        <v>1255</v>
      </c>
      <c r="K13">
        <v>0.6</v>
      </c>
      <c r="L13">
        <v>1643</v>
      </c>
      <c r="M13">
        <v>1851</v>
      </c>
      <c r="N13">
        <v>-0.8</v>
      </c>
      <c r="O13">
        <v>2236</v>
      </c>
      <c r="U13">
        <f t="shared" si="0"/>
        <v>1.6</v>
      </c>
      <c r="V13">
        <f t="shared" si="1"/>
        <v>0.6</v>
      </c>
      <c r="W13">
        <f t="shared" si="2"/>
        <v>0.8</v>
      </c>
      <c r="AA13">
        <f t="shared" si="4"/>
        <v>1</v>
      </c>
      <c r="AB13">
        <f t="shared" si="5"/>
        <v>1.6</v>
      </c>
    </row>
    <row r="14" spans="1:28">
      <c r="A14" t="s">
        <v>179</v>
      </c>
      <c r="B14" t="s">
        <v>144</v>
      </c>
      <c r="C14" t="s">
        <v>150</v>
      </c>
      <c r="D14" t="s">
        <v>151</v>
      </c>
      <c r="E14">
        <v>13</v>
      </c>
      <c r="G14">
        <v>21</v>
      </c>
      <c r="H14">
        <v>0.1</v>
      </c>
      <c r="I14">
        <v>205</v>
      </c>
      <c r="J14">
        <v>616</v>
      </c>
      <c r="K14">
        <v>-1.6</v>
      </c>
      <c r="L14">
        <v>1015</v>
      </c>
      <c r="M14">
        <v>1345</v>
      </c>
      <c r="N14">
        <v>0.8</v>
      </c>
      <c r="O14">
        <v>1733</v>
      </c>
      <c r="P14">
        <v>1943</v>
      </c>
      <c r="Q14">
        <v>-0.9</v>
      </c>
      <c r="R14">
        <v>2326</v>
      </c>
      <c r="U14">
        <f t="shared" si="0"/>
        <v>0.1</v>
      </c>
      <c r="V14">
        <f t="shared" si="1"/>
        <v>1.6</v>
      </c>
      <c r="W14">
        <f t="shared" si="2"/>
        <v>0.8</v>
      </c>
      <c r="X14">
        <f t="shared" si="3"/>
        <v>0.9</v>
      </c>
      <c r="AA14">
        <f t="shared" si="4"/>
        <v>0.85</v>
      </c>
      <c r="AB14">
        <f t="shared" si="5"/>
        <v>1.6</v>
      </c>
    </row>
    <row r="15" spans="1:28">
      <c r="A15" t="s">
        <v>179</v>
      </c>
      <c r="B15" t="s">
        <v>144</v>
      </c>
      <c r="C15" t="s">
        <v>150</v>
      </c>
      <c r="D15" t="s">
        <v>151</v>
      </c>
      <c r="E15">
        <v>14</v>
      </c>
      <c r="G15">
        <v>120</v>
      </c>
      <c r="H15">
        <v>0.2</v>
      </c>
      <c r="I15">
        <v>311</v>
      </c>
      <c r="J15">
        <v>706</v>
      </c>
      <c r="K15">
        <v>-1.7</v>
      </c>
      <c r="L15">
        <v>1056</v>
      </c>
      <c r="M15">
        <v>1427</v>
      </c>
      <c r="N15">
        <v>0.8</v>
      </c>
      <c r="O15">
        <v>1813</v>
      </c>
      <c r="P15">
        <v>2025</v>
      </c>
      <c r="Q15">
        <v>-1.1000000000000001</v>
      </c>
      <c r="U15">
        <f t="shared" si="0"/>
        <v>0.2</v>
      </c>
      <c r="V15">
        <f t="shared" si="1"/>
        <v>1.7</v>
      </c>
      <c r="W15">
        <f t="shared" si="2"/>
        <v>0.8</v>
      </c>
      <c r="X15">
        <f t="shared" si="3"/>
        <v>1.1000000000000001</v>
      </c>
      <c r="AA15">
        <f t="shared" si="4"/>
        <v>0.95000000000000007</v>
      </c>
      <c r="AB15">
        <f t="shared" si="5"/>
        <v>1.7</v>
      </c>
    </row>
    <row r="16" spans="1:28">
      <c r="A16" t="s">
        <v>179</v>
      </c>
      <c r="B16" t="s">
        <v>144</v>
      </c>
      <c r="C16" t="s">
        <v>150</v>
      </c>
      <c r="D16" t="s">
        <v>151</v>
      </c>
      <c r="E16">
        <v>15</v>
      </c>
      <c r="F16" s="14">
        <v>3</v>
      </c>
      <c r="G16">
        <v>210</v>
      </c>
      <c r="H16">
        <v>0.2</v>
      </c>
      <c r="I16">
        <v>414</v>
      </c>
      <c r="J16">
        <v>751</v>
      </c>
      <c r="K16">
        <v>-1.8</v>
      </c>
      <c r="L16">
        <v>1135</v>
      </c>
      <c r="M16">
        <v>1505</v>
      </c>
      <c r="N16">
        <v>0.9</v>
      </c>
      <c r="O16">
        <v>1848</v>
      </c>
      <c r="P16">
        <v>2102</v>
      </c>
      <c r="Q16">
        <v>-1.3</v>
      </c>
      <c r="U16">
        <f t="shared" si="0"/>
        <v>0.2</v>
      </c>
      <c r="V16">
        <f t="shared" si="1"/>
        <v>1.8</v>
      </c>
      <c r="W16">
        <f t="shared" si="2"/>
        <v>0.9</v>
      </c>
      <c r="X16">
        <f t="shared" si="3"/>
        <v>1.3</v>
      </c>
      <c r="AA16">
        <f t="shared" si="4"/>
        <v>1.05</v>
      </c>
      <c r="AB16">
        <f t="shared" si="5"/>
        <v>1.8</v>
      </c>
    </row>
    <row r="17" spans="1:28">
      <c r="A17" t="s">
        <v>179</v>
      </c>
      <c r="B17" t="s">
        <v>144</v>
      </c>
      <c r="C17" t="s">
        <v>150</v>
      </c>
      <c r="D17" t="s">
        <v>151</v>
      </c>
      <c r="E17">
        <v>16</v>
      </c>
      <c r="F17" s="14">
        <v>36</v>
      </c>
      <c r="G17">
        <v>255</v>
      </c>
      <c r="H17">
        <v>0.3</v>
      </c>
      <c r="I17">
        <v>512</v>
      </c>
      <c r="J17">
        <v>833</v>
      </c>
      <c r="K17">
        <v>-1.9</v>
      </c>
      <c r="L17">
        <v>1212</v>
      </c>
      <c r="M17">
        <v>1540</v>
      </c>
      <c r="N17">
        <v>1</v>
      </c>
      <c r="O17">
        <v>1918</v>
      </c>
      <c r="P17">
        <v>2135</v>
      </c>
      <c r="Q17">
        <v>-1.4</v>
      </c>
      <c r="U17">
        <f t="shared" si="0"/>
        <v>0.3</v>
      </c>
      <c r="V17">
        <f t="shared" si="1"/>
        <v>1.9</v>
      </c>
      <c r="W17">
        <f t="shared" si="2"/>
        <v>1</v>
      </c>
      <c r="X17">
        <f t="shared" si="3"/>
        <v>1.4</v>
      </c>
      <c r="AA17">
        <f t="shared" si="4"/>
        <v>1.1499999999999999</v>
      </c>
      <c r="AB17">
        <f t="shared" si="5"/>
        <v>1.9</v>
      </c>
    </row>
    <row r="18" spans="1:28">
      <c r="A18" t="s">
        <v>179</v>
      </c>
      <c r="B18" t="s">
        <v>144</v>
      </c>
      <c r="C18" t="s">
        <v>150</v>
      </c>
      <c r="D18" t="s">
        <v>151</v>
      </c>
      <c r="E18">
        <v>17</v>
      </c>
      <c r="F18" s="14">
        <v>107</v>
      </c>
      <c r="G18">
        <v>337</v>
      </c>
      <c r="H18">
        <v>0.4</v>
      </c>
      <c r="I18">
        <v>607</v>
      </c>
      <c r="J18">
        <v>914</v>
      </c>
      <c r="K18">
        <v>-1.9</v>
      </c>
      <c r="L18">
        <v>1248</v>
      </c>
      <c r="M18">
        <v>1613</v>
      </c>
      <c r="N18">
        <v>1</v>
      </c>
      <c r="O18">
        <v>1946</v>
      </c>
      <c r="P18">
        <v>2207</v>
      </c>
      <c r="Q18">
        <v>-1.6</v>
      </c>
      <c r="U18">
        <f t="shared" si="0"/>
        <v>0.4</v>
      </c>
      <c r="V18">
        <f t="shared" si="1"/>
        <v>1.9</v>
      </c>
      <c r="W18">
        <f t="shared" si="2"/>
        <v>1</v>
      </c>
      <c r="X18">
        <f t="shared" si="3"/>
        <v>1.6</v>
      </c>
      <c r="AA18">
        <f t="shared" si="4"/>
        <v>1.2250000000000001</v>
      </c>
      <c r="AB18">
        <f t="shared" si="5"/>
        <v>1.9</v>
      </c>
    </row>
    <row r="19" spans="1:28">
      <c r="A19" t="s">
        <v>179</v>
      </c>
      <c r="B19" t="s">
        <v>144</v>
      </c>
      <c r="C19" t="s">
        <v>150</v>
      </c>
      <c r="D19" t="s">
        <v>151</v>
      </c>
      <c r="E19">
        <v>18</v>
      </c>
      <c r="F19" s="14">
        <v>139</v>
      </c>
      <c r="G19">
        <v>419</v>
      </c>
      <c r="H19">
        <v>0.5</v>
      </c>
      <c r="I19">
        <v>659</v>
      </c>
      <c r="J19">
        <v>955</v>
      </c>
      <c r="K19">
        <v>-1.9</v>
      </c>
      <c r="L19">
        <v>1324</v>
      </c>
      <c r="M19">
        <v>1646</v>
      </c>
      <c r="N19">
        <v>1</v>
      </c>
      <c r="O19">
        <v>2013</v>
      </c>
      <c r="P19">
        <v>2240</v>
      </c>
      <c r="Q19">
        <v>-1.7</v>
      </c>
      <c r="U19">
        <f t="shared" si="0"/>
        <v>0.5</v>
      </c>
      <c r="V19">
        <f t="shared" si="1"/>
        <v>1.9</v>
      </c>
      <c r="W19">
        <f t="shared" si="2"/>
        <v>1</v>
      </c>
      <c r="X19">
        <f t="shared" si="3"/>
        <v>1.7</v>
      </c>
      <c r="AA19">
        <f t="shared" si="4"/>
        <v>1.2749999999999999</v>
      </c>
      <c r="AB19">
        <f t="shared" si="5"/>
        <v>1.9</v>
      </c>
    </row>
    <row r="20" spans="1:28">
      <c r="A20" t="s">
        <v>179</v>
      </c>
      <c r="B20" t="s">
        <v>144</v>
      </c>
      <c r="C20" t="s">
        <v>150</v>
      </c>
      <c r="D20" t="s">
        <v>151</v>
      </c>
      <c r="E20">
        <v>19</v>
      </c>
      <c r="F20" s="14">
        <v>213</v>
      </c>
      <c r="G20">
        <v>501</v>
      </c>
      <c r="H20">
        <v>0.6</v>
      </c>
      <c r="I20">
        <v>752</v>
      </c>
      <c r="J20">
        <v>1036</v>
      </c>
      <c r="K20">
        <v>-1.8</v>
      </c>
      <c r="L20">
        <v>1402</v>
      </c>
      <c r="M20">
        <v>1720</v>
      </c>
      <c r="N20">
        <v>0.9</v>
      </c>
      <c r="O20">
        <v>2040</v>
      </c>
      <c r="P20">
        <v>2314</v>
      </c>
      <c r="Q20">
        <v>-1.9</v>
      </c>
      <c r="U20">
        <f t="shared" si="0"/>
        <v>0.6</v>
      </c>
      <c r="V20">
        <f t="shared" si="1"/>
        <v>1.8</v>
      </c>
      <c r="W20">
        <f t="shared" si="2"/>
        <v>0.9</v>
      </c>
      <c r="X20">
        <f t="shared" si="3"/>
        <v>1.9</v>
      </c>
      <c r="AA20">
        <f t="shared" si="4"/>
        <v>1.2999999999999998</v>
      </c>
      <c r="AB20">
        <f t="shared" si="5"/>
        <v>1.9</v>
      </c>
    </row>
    <row r="21" spans="1:28">
      <c r="A21" t="s">
        <v>179</v>
      </c>
      <c r="B21" t="s">
        <v>144</v>
      </c>
      <c r="C21" t="s">
        <v>150</v>
      </c>
      <c r="D21" t="s">
        <v>151</v>
      </c>
      <c r="E21">
        <v>20</v>
      </c>
      <c r="F21" s="14">
        <v>250</v>
      </c>
      <c r="G21">
        <v>545</v>
      </c>
      <c r="H21">
        <v>0.7</v>
      </c>
      <c r="I21">
        <v>846</v>
      </c>
      <c r="J21">
        <v>1120</v>
      </c>
      <c r="K21">
        <v>-1.7</v>
      </c>
      <c r="L21">
        <v>1442</v>
      </c>
      <c r="M21">
        <v>1756</v>
      </c>
      <c r="N21">
        <v>0.8</v>
      </c>
      <c r="O21">
        <v>2108</v>
      </c>
      <c r="P21">
        <v>2351</v>
      </c>
      <c r="Q21">
        <v>-2</v>
      </c>
      <c r="U21">
        <f t="shared" si="0"/>
        <v>0.7</v>
      </c>
      <c r="V21">
        <f t="shared" si="1"/>
        <v>1.7</v>
      </c>
      <c r="W21">
        <f t="shared" si="2"/>
        <v>0.8</v>
      </c>
      <c r="X21">
        <f t="shared" si="3"/>
        <v>2</v>
      </c>
      <c r="AA21">
        <f t="shared" si="4"/>
        <v>1.3</v>
      </c>
      <c r="AB21">
        <f t="shared" si="5"/>
        <v>2</v>
      </c>
    </row>
    <row r="22" spans="1:28">
      <c r="A22" t="s">
        <v>179</v>
      </c>
      <c r="B22" t="s">
        <v>144</v>
      </c>
      <c r="C22" t="s">
        <v>150</v>
      </c>
      <c r="D22" t="s">
        <v>151</v>
      </c>
      <c r="E22">
        <v>21</v>
      </c>
      <c r="F22" s="14">
        <v>332</v>
      </c>
      <c r="G22">
        <v>633</v>
      </c>
      <c r="H22">
        <v>0.8</v>
      </c>
      <c r="I22">
        <v>943</v>
      </c>
      <c r="J22">
        <v>1208</v>
      </c>
      <c r="K22">
        <v>-1.5</v>
      </c>
      <c r="L22">
        <v>1526</v>
      </c>
      <c r="M22">
        <v>1834</v>
      </c>
      <c r="N22">
        <v>0.8</v>
      </c>
      <c r="O22">
        <v>2139</v>
      </c>
      <c r="U22">
        <f t="shared" si="0"/>
        <v>0.8</v>
      </c>
      <c r="V22">
        <f t="shared" si="1"/>
        <v>1.5</v>
      </c>
      <c r="W22">
        <f t="shared" si="2"/>
        <v>0.8</v>
      </c>
      <c r="AA22">
        <f t="shared" si="4"/>
        <v>1.0333333333333332</v>
      </c>
      <c r="AB22">
        <f t="shared" si="5"/>
        <v>1.5</v>
      </c>
    </row>
    <row r="23" spans="1:28">
      <c r="A23" t="s">
        <v>179</v>
      </c>
      <c r="B23" t="s">
        <v>144</v>
      </c>
      <c r="C23" t="s">
        <v>150</v>
      </c>
      <c r="D23" t="s">
        <v>151</v>
      </c>
      <c r="E23">
        <v>22</v>
      </c>
      <c r="G23">
        <v>33</v>
      </c>
      <c r="H23">
        <v>-2</v>
      </c>
      <c r="I23">
        <v>419</v>
      </c>
      <c r="J23">
        <v>726</v>
      </c>
      <c r="K23">
        <v>0.8</v>
      </c>
      <c r="L23">
        <v>1045</v>
      </c>
      <c r="M23">
        <v>1301</v>
      </c>
      <c r="N23">
        <v>-1.3</v>
      </c>
      <c r="O23">
        <v>1616</v>
      </c>
      <c r="P23">
        <v>1917</v>
      </c>
      <c r="Q23">
        <v>0.6</v>
      </c>
      <c r="R23">
        <v>2213</v>
      </c>
      <c r="U23">
        <f t="shared" si="0"/>
        <v>2</v>
      </c>
      <c r="V23">
        <f t="shared" si="1"/>
        <v>0.8</v>
      </c>
      <c r="W23">
        <f t="shared" si="2"/>
        <v>1.3</v>
      </c>
      <c r="X23">
        <f t="shared" si="3"/>
        <v>0.6</v>
      </c>
      <c r="AA23">
        <f t="shared" si="4"/>
        <v>1.1749999999999998</v>
      </c>
      <c r="AB23">
        <f t="shared" si="5"/>
        <v>2</v>
      </c>
    </row>
    <row r="24" spans="1:28">
      <c r="A24" t="s">
        <v>179</v>
      </c>
      <c r="B24" t="s">
        <v>144</v>
      </c>
      <c r="C24" t="s">
        <v>150</v>
      </c>
      <c r="D24" t="s">
        <v>151</v>
      </c>
      <c r="E24">
        <v>23</v>
      </c>
      <c r="G24">
        <v>119</v>
      </c>
      <c r="H24">
        <v>-2</v>
      </c>
      <c r="I24">
        <v>513</v>
      </c>
      <c r="J24">
        <v>825</v>
      </c>
      <c r="K24">
        <v>0.8</v>
      </c>
      <c r="L24">
        <v>1154</v>
      </c>
      <c r="M24">
        <v>1403</v>
      </c>
      <c r="N24">
        <v>-1.1000000000000001</v>
      </c>
      <c r="O24">
        <v>1716</v>
      </c>
      <c r="P24">
        <v>2007</v>
      </c>
      <c r="Q24">
        <v>0.5</v>
      </c>
      <c r="R24">
        <v>2252</v>
      </c>
      <c r="U24">
        <f t="shared" si="0"/>
        <v>2</v>
      </c>
      <c r="V24">
        <f t="shared" si="1"/>
        <v>0.8</v>
      </c>
      <c r="W24">
        <f t="shared" si="2"/>
        <v>1.1000000000000001</v>
      </c>
      <c r="X24">
        <f t="shared" si="3"/>
        <v>0.5</v>
      </c>
      <c r="AA24">
        <f t="shared" si="4"/>
        <v>1.1000000000000001</v>
      </c>
      <c r="AB24">
        <f t="shared" si="5"/>
        <v>2</v>
      </c>
    </row>
    <row r="25" spans="1:28">
      <c r="A25" t="s">
        <v>179</v>
      </c>
      <c r="B25" t="s">
        <v>144</v>
      </c>
      <c r="C25" t="s">
        <v>150</v>
      </c>
      <c r="D25" t="s">
        <v>151</v>
      </c>
      <c r="E25">
        <v>24</v>
      </c>
      <c r="G25">
        <v>213</v>
      </c>
      <c r="H25">
        <v>-2</v>
      </c>
      <c r="I25">
        <v>613</v>
      </c>
      <c r="J25">
        <v>931</v>
      </c>
      <c r="K25">
        <v>0.8</v>
      </c>
      <c r="L25">
        <v>1312</v>
      </c>
      <c r="M25">
        <v>1515</v>
      </c>
      <c r="N25">
        <v>-0.9</v>
      </c>
      <c r="O25">
        <v>1830</v>
      </c>
      <c r="P25">
        <v>2108</v>
      </c>
      <c r="Q25">
        <v>0.4</v>
      </c>
      <c r="R25">
        <v>2338</v>
      </c>
      <c r="U25">
        <f t="shared" si="0"/>
        <v>2</v>
      </c>
      <c r="V25">
        <f t="shared" si="1"/>
        <v>0.8</v>
      </c>
      <c r="W25">
        <f t="shared" si="2"/>
        <v>0.9</v>
      </c>
      <c r="X25">
        <f t="shared" si="3"/>
        <v>0.4</v>
      </c>
      <c r="AA25">
        <f t="shared" si="4"/>
        <v>1.0249999999999999</v>
      </c>
      <c r="AB25">
        <f t="shared" si="5"/>
        <v>2</v>
      </c>
    </row>
    <row r="26" spans="1:28">
      <c r="A26" t="s">
        <v>179</v>
      </c>
      <c r="B26" t="s">
        <v>144</v>
      </c>
      <c r="C26" t="s">
        <v>150</v>
      </c>
      <c r="D26" t="s">
        <v>151</v>
      </c>
      <c r="E26">
        <v>25</v>
      </c>
      <c r="G26">
        <v>315</v>
      </c>
      <c r="H26">
        <v>-1.9</v>
      </c>
      <c r="I26">
        <v>718</v>
      </c>
      <c r="J26">
        <v>1044</v>
      </c>
      <c r="K26">
        <v>0.8</v>
      </c>
      <c r="L26">
        <v>1433</v>
      </c>
      <c r="M26">
        <v>1636</v>
      </c>
      <c r="N26">
        <v>-0.9</v>
      </c>
      <c r="O26">
        <v>1958</v>
      </c>
      <c r="P26">
        <v>2221</v>
      </c>
      <c r="Q26">
        <v>0.2</v>
      </c>
      <c r="U26">
        <f t="shared" si="0"/>
        <v>1.9</v>
      </c>
      <c r="V26">
        <f t="shared" si="1"/>
        <v>0.8</v>
      </c>
      <c r="W26">
        <f t="shared" si="2"/>
        <v>0.9</v>
      </c>
      <c r="X26">
        <f t="shared" si="3"/>
        <v>0.2</v>
      </c>
      <c r="AA26">
        <f t="shared" si="4"/>
        <v>0.95000000000000007</v>
      </c>
      <c r="AB26">
        <f t="shared" si="5"/>
        <v>1.9</v>
      </c>
    </row>
    <row r="27" spans="1:28">
      <c r="A27" t="s">
        <v>179</v>
      </c>
      <c r="B27" t="s">
        <v>144</v>
      </c>
      <c r="C27" t="s">
        <v>150</v>
      </c>
      <c r="D27" t="s">
        <v>151</v>
      </c>
      <c r="E27">
        <v>26</v>
      </c>
      <c r="F27" s="14">
        <v>37</v>
      </c>
      <c r="G27">
        <v>425</v>
      </c>
      <c r="H27">
        <v>-1.9</v>
      </c>
      <c r="I27">
        <v>824</v>
      </c>
      <c r="J27">
        <v>1156</v>
      </c>
      <c r="K27">
        <v>0.8</v>
      </c>
      <c r="L27">
        <v>1547</v>
      </c>
      <c r="M27">
        <v>1754</v>
      </c>
      <c r="N27">
        <v>-1</v>
      </c>
      <c r="O27">
        <v>2124</v>
      </c>
      <c r="P27">
        <v>2340</v>
      </c>
      <c r="Q27">
        <v>0.2</v>
      </c>
      <c r="U27">
        <f t="shared" si="0"/>
        <v>1.9</v>
      </c>
      <c r="V27">
        <f t="shared" si="1"/>
        <v>0.8</v>
      </c>
      <c r="W27">
        <f t="shared" si="2"/>
        <v>1</v>
      </c>
      <c r="X27">
        <f t="shared" si="3"/>
        <v>0.2</v>
      </c>
      <c r="AA27">
        <f t="shared" si="4"/>
        <v>0.97500000000000009</v>
      </c>
      <c r="AB27">
        <f t="shared" si="5"/>
        <v>1.9</v>
      </c>
    </row>
    <row r="28" spans="1:28">
      <c r="A28" t="s">
        <v>179</v>
      </c>
      <c r="B28" t="s">
        <v>144</v>
      </c>
      <c r="C28" t="s">
        <v>150</v>
      </c>
      <c r="D28" t="s">
        <v>151</v>
      </c>
      <c r="E28">
        <v>27</v>
      </c>
      <c r="F28" s="14">
        <v>151</v>
      </c>
      <c r="G28">
        <v>535</v>
      </c>
      <c r="H28">
        <v>-1.9</v>
      </c>
      <c r="I28">
        <v>927</v>
      </c>
      <c r="J28">
        <v>1300</v>
      </c>
      <c r="K28">
        <v>0.9</v>
      </c>
      <c r="L28">
        <v>1649</v>
      </c>
      <c r="M28">
        <v>1900</v>
      </c>
      <c r="N28">
        <v>-1.1000000000000001</v>
      </c>
      <c r="O28">
        <v>2232</v>
      </c>
      <c r="U28">
        <f t="shared" si="0"/>
        <v>1.9</v>
      </c>
      <c r="V28">
        <f t="shared" si="1"/>
        <v>0.9</v>
      </c>
      <c r="W28">
        <f t="shared" si="2"/>
        <v>1.1000000000000001</v>
      </c>
      <c r="AA28">
        <f t="shared" si="4"/>
        <v>1.3</v>
      </c>
      <c r="AB28">
        <f t="shared" si="5"/>
        <v>1.9</v>
      </c>
    </row>
    <row r="29" spans="1:28">
      <c r="A29" t="s">
        <v>179</v>
      </c>
      <c r="B29" t="s">
        <v>144</v>
      </c>
      <c r="C29" t="s">
        <v>150</v>
      </c>
      <c r="D29" t="s">
        <v>151</v>
      </c>
      <c r="E29">
        <v>28</v>
      </c>
      <c r="G29">
        <v>53</v>
      </c>
      <c r="H29">
        <v>0.3</v>
      </c>
      <c r="I29">
        <v>311</v>
      </c>
      <c r="J29">
        <v>641</v>
      </c>
      <c r="K29">
        <v>-2</v>
      </c>
      <c r="L29">
        <v>1025</v>
      </c>
      <c r="M29">
        <v>1356</v>
      </c>
      <c r="N29">
        <v>1</v>
      </c>
      <c r="O29">
        <v>1739</v>
      </c>
      <c r="P29">
        <v>1955</v>
      </c>
      <c r="Q29">
        <v>-1.4</v>
      </c>
      <c r="R29">
        <v>2325</v>
      </c>
      <c r="U29">
        <f t="shared" si="0"/>
        <v>0.3</v>
      </c>
      <c r="V29">
        <f t="shared" si="1"/>
        <v>2</v>
      </c>
      <c r="W29">
        <f t="shared" si="2"/>
        <v>1</v>
      </c>
      <c r="X29">
        <f t="shared" si="3"/>
        <v>1.4</v>
      </c>
      <c r="AA29">
        <f t="shared" si="4"/>
        <v>1.1749999999999998</v>
      </c>
      <c r="AB29">
        <f t="shared" si="5"/>
        <v>2</v>
      </c>
    </row>
    <row r="30" spans="1:28">
      <c r="A30" t="s">
        <v>179</v>
      </c>
      <c r="B30" t="s">
        <v>144</v>
      </c>
      <c r="C30" t="s">
        <v>150</v>
      </c>
      <c r="D30" t="s">
        <v>151</v>
      </c>
      <c r="E30">
        <v>29</v>
      </c>
      <c r="G30">
        <v>157</v>
      </c>
      <c r="H30">
        <v>0.4</v>
      </c>
      <c r="I30">
        <v>426</v>
      </c>
      <c r="J30">
        <v>739</v>
      </c>
      <c r="K30">
        <v>-2</v>
      </c>
      <c r="L30">
        <v>1117</v>
      </c>
      <c r="M30">
        <v>1445</v>
      </c>
      <c r="N30">
        <v>1</v>
      </c>
      <c r="O30">
        <v>1822</v>
      </c>
      <c r="P30">
        <v>2041</v>
      </c>
      <c r="Q30">
        <v>-1.6</v>
      </c>
      <c r="U30">
        <f t="shared" si="0"/>
        <v>0.4</v>
      </c>
      <c r="V30">
        <f t="shared" si="1"/>
        <v>2</v>
      </c>
      <c r="W30">
        <f t="shared" si="2"/>
        <v>1</v>
      </c>
      <c r="X30">
        <f t="shared" si="3"/>
        <v>1.6</v>
      </c>
      <c r="AA30">
        <f t="shared" si="4"/>
        <v>1.25</v>
      </c>
      <c r="AB30">
        <f t="shared" si="5"/>
        <v>2</v>
      </c>
    </row>
    <row r="31" spans="1:28">
      <c r="A31" t="s">
        <v>179</v>
      </c>
      <c r="B31" t="s">
        <v>144</v>
      </c>
      <c r="C31" t="s">
        <v>150</v>
      </c>
      <c r="D31" t="s">
        <v>151</v>
      </c>
      <c r="E31">
        <v>30</v>
      </c>
      <c r="F31" s="14">
        <v>11</v>
      </c>
      <c r="G31">
        <v>252</v>
      </c>
      <c r="H31">
        <v>0.5</v>
      </c>
      <c r="I31">
        <v>532</v>
      </c>
      <c r="J31">
        <v>832</v>
      </c>
      <c r="K31">
        <v>-2</v>
      </c>
      <c r="L31">
        <v>1204</v>
      </c>
      <c r="M31">
        <v>1528</v>
      </c>
      <c r="N31">
        <v>1</v>
      </c>
      <c r="O31">
        <v>1859</v>
      </c>
      <c r="P31">
        <v>2122</v>
      </c>
      <c r="Q31">
        <v>-1.7</v>
      </c>
      <c r="U31">
        <f t="shared" si="0"/>
        <v>0.5</v>
      </c>
      <c r="V31">
        <f t="shared" si="1"/>
        <v>2</v>
      </c>
      <c r="W31">
        <f t="shared" si="2"/>
        <v>1</v>
      </c>
      <c r="X31">
        <f t="shared" si="3"/>
        <v>1.7</v>
      </c>
      <c r="AA31">
        <f t="shared" si="4"/>
        <v>1.3</v>
      </c>
      <c r="AB31">
        <f t="shared" si="5"/>
        <v>2</v>
      </c>
    </row>
    <row r="32" spans="1:28">
      <c r="A32" t="s">
        <v>179</v>
      </c>
      <c r="B32" t="s">
        <v>144</v>
      </c>
      <c r="C32" t="s">
        <v>150</v>
      </c>
      <c r="D32" t="s">
        <v>151</v>
      </c>
      <c r="E32">
        <v>31</v>
      </c>
      <c r="F32" s="14">
        <v>52</v>
      </c>
      <c r="G32">
        <v>341</v>
      </c>
      <c r="H32">
        <v>0.6</v>
      </c>
      <c r="I32">
        <v>630</v>
      </c>
      <c r="J32">
        <v>919</v>
      </c>
      <c r="K32">
        <v>-1.9</v>
      </c>
      <c r="L32">
        <v>1248</v>
      </c>
      <c r="M32">
        <v>1608</v>
      </c>
      <c r="N32">
        <v>1</v>
      </c>
      <c r="O32">
        <v>1932</v>
      </c>
      <c r="P32">
        <v>2200</v>
      </c>
      <c r="Q32">
        <v>-1.8</v>
      </c>
      <c r="U32">
        <f t="shared" si="0"/>
        <v>0.6</v>
      </c>
      <c r="V32">
        <f t="shared" si="1"/>
        <v>1.9</v>
      </c>
      <c r="W32">
        <f t="shared" si="2"/>
        <v>1</v>
      </c>
      <c r="X32">
        <f t="shared" si="3"/>
        <v>1.8</v>
      </c>
      <c r="AA32">
        <f t="shared" si="4"/>
        <v>1.325</v>
      </c>
      <c r="AB32">
        <f t="shared" si="5"/>
        <v>1.9</v>
      </c>
    </row>
    <row r="33" spans="1:28">
      <c r="A33" t="s">
        <v>180</v>
      </c>
      <c r="B33" t="s">
        <v>145</v>
      </c>
      <c r="C33" t="s">
        <v>150</v>
      </c>
      <c r="D33" t="s">
        <v>151</v>
      </c>
      <c r="E33">
        <v>1</v>
      </c>
      <c r="F33" s="14">
        <v>2</v>
      </c>
      <c r="G33">
        <v>223</v>
      </c>
      <c r="H33">
        <v>1</v>
      </c>
      <c r="I33">
        <v>436</v>
      </c>
      <c r="J33">
        <v>832</v>
      </c>
      <c r="K33">
        <v>-3</v>
      </c>
      <c r="L33">
        <v>1152</v>
      </c>
      <c r="M33">
        <v>1520</v>
      </c>
      <c r="N33">
        <v>3.1</v>
      </c>
      <c r="O33">
        <v>1857</v>
      </c>
      <c r="P33">
        <v>2143</v>
      </c>
      <c r="Q33">
        <v>-2</v>
      </c>
      <c r="U33">
        <f t="shared" si="0"/>
        <v>1</v>
      </c>
      <c r="V33">
        <f t="shared" si="1"/>
        <v>3</v>
      </c>
      <c r="W33">
        <f t="shared" si="2"/>
        <v>3.1</v>
      </c>
      <c r="X33">
        <f t="shared" si="3"/>
        <v>2</v>
      </c>
      <c r="AA33">
        <f t="shared" si="4"/>
        <v>2.2749999999999999</v>
      </c>
      <c r="AB33">
        <f t="shared" si="5"/>
        <v>3.1</v>
      </c>
    </row>
    <row r="34" spans="1:28">
      <c r="A34" t="s">
        <v>180</v>
      </c>
      <c r="B34" t="s">
        <v>145</v>
      </c>
      <c r="C34" t="s">
        <v>150</v>
      </c>
      <c r="D34" t="s">
        <v>151</v>
      </c>
      <c r="E34">
        <v>2</v>
      </c>
      <c r="F34" s="14">
        <v>50</v>
      </c>
      <c r="G34">
        <v>317</v>
      </c>
      <c r="H34">
        <v>1.2</v>
      </c>
      <c r="I34">
        <v>536</v>
      </c>
      <c r="J34">
        <v>922</v>
      </c>
      <c r="K34">
        <v>-3</v>
      </c>
      <c r="L34">
        <v>1237</v>
      </c>
      <c r="M34">
        <v>1603</v>
      </c>
      <c r="N34">
        <v>3</v>
      </c>
      <c r="O34">
        <v>1934</v>
      </c>
      <c r="P34">
        <v>2225</v>
      </c>
      <c r="Q34">
        <v>-2.2000000000000002</v>
      </c>
      <c r="U34">
        <f t="shared" si="0"/>
        <v>1.2</v>
      </c>
      <c r="V34">
        <f t="shared" si="1"/>
        <v>3</v>
      </c>
      <c r="W34">
        <f t="shared" si="2"/>
        <v>3</v>
      </c>
      <c r="X34">
        <f t="shared" si="3"/>
        <v>2.2000000000000002</v>
      </c>
      <c r="AA34">
        <f t="shared" si="4"/>
        <v>2.35</v>
      </c>
      <c r="AB34">
        <f t="shared" si="5"/>
        <v>3</v>
      </c>
    </row>
    <row r="35" spans="1:28">
      <c r="A35" t="s">
        <v>180</v>
      </c>
      <c r="B35" t="s">
        <v>145</v>
      </c>
      <c r="C35" t="s">
        <v>150</v>
      </c>
      <c r="D35" t="s">
        <v>151</v>
      </c>
      <c r="E35">
        <v>3</v>
      </c>
      <c r="F35" s="14">
        <v>136</v>
      </c>
      <c r="G35">
        <v>407</v>
      </c>
      <c r="H35">
        <v>1.3</v>
      </c>
      <c r="I35">
        <v>632</v>
      </c>
      <c r="J35">
        <v>1009</v>
      </c>
      <c r="K35">
        <v>-2.8</v>
      </c>
      <c r="L35">
        <v>1321</v>
      </c>
      <c r="M35">
        <v>1643</v>
      </c>
      <c r="N35">
        <v>2.9</v>
      </c>
      <c r="O35">
        <v>2008</v>
      </c>
      <c r="P35">
        <v>2306</v>
      </c>
      <c r="Q35">
        <v>-2.2999999999999998</v>
      </c>
      <c r="U35">
        <f t="shared" si="0"/>
        <v>1.3</v>
      </c>
      <c r="V35">
        <f t="shared" si="1"/>
        <v>2.8</v>
      </c>
      <c r="W35">
        <f t="shared" si="2"/>
        <v>2.9</v>
      </c>
      <c r="X35">
        <f t="shared" si="3"/>
        <v>2.2999999999999998</v>
      </c>
      <c r="AA35">
        <f t="shared" si="4"/>
        <v>2.3250000000000002</v>
      </c>
      <c r="AB35">
        <f t="shared" si="5"/>
        <v>2.9</v>
      </c>
    </row>
    <row r="36" spans="1:28">
      <c r="A36" t="s">
        <v>180</v>
      </c>
      <c r="B36" t="s">
        <v>145</v>
      </c>
      <c r="C36" t="s">
        <v>150</v>
      </c>
      <c r="D36" t="s">
        <v>151</v>
      </c>
      <c r="E36">
        <v>4</v>
      </c>
      <c r="F36" s="14">
        <v>221</v>
      </c>
      <c r="G36">
        <v>455</v>
      </c>
      <c r="H36">
        <v>1.4</v>
      </c>
      <c r="I36">
        <v>726</v>
      </c>
      <c r="J36">
        <v>1054</v>
      </c>
      <c r="K36">
        <v>-2.6</v>
      </c>
      <c r="L36">
        <v>1402</v>
      </c>
      <c r="M36">
        <v>1721</v>
      </c>
      <c r="N36">
        <v>2.6</v>
      </c>
      <c r="O36">
        <v>2039</v>
      </c>
      <c r="P36">
        <v>2345</v>
      </c>
      <c r="Q36">
        <v>-2.2999999999999998</v>
      </c>
      <c r="U36">
        <f t="shared" si="0"/>
        <v>1.4</v>
      </c>
      <c r="V36">
        <f t="shared" si="1"/>
        <v>2.6</v>
      </c>
      <c r="W36">
        <f t="shared" si="2"/>
        <v>2.6</v>
      </c>
      <c r="X36">
        <f t="shared" si="3"/>
        <v>2.2999999999999998</v>
      </c>
      <c r="AA36">
        <f t="shared" si="4"/>
        <v>2.2249999999999996</v>
      </c>
      <c r="AB36">
        <f t="shared" si="5"/>
        <v>2.6</v>
      </c>
    </row>
    <row r="37" spans="1:28">
      <c r="A37" t="s">
        <v>180</v>
      </c>
      <c r="B37" t="s">
        <v>145</v>
      </c>
      <c r="C37" t="s">
        <v>150</v>
      </c>
      <c r="D37" t="s">
        <v>151</v>
      </c>
      <c r="E37">
        <v>5</v>
      </c>
      <c r="F37" s="14">
        <v>306</v>
      </c>
      <c r="G37">
        <v>543</v>
      </c>
      <c r="H37">
        <v>1.4</v>
      </c>
      <c r="I37">
        <v>819</v>
      </c>
      <c r="J37">
        <v>1138</v>
      </c>
      <c r="K37">
        <v>-2.2000000000000002</v>
      </c>
      <c r="L37">
        <v>1444</v>
      </c>
      <c r="M37">
        <v>1757</v>
      </c>
      <c r="N37">
        <v>2.2000000000000002</v>
      </c>
      <c r="O37">
        <v>2108</v>
      </c>
      <c r="U37">
        <f t="shared" si="0"/>
        <v>1.4</v>
      </c>
      <c r="V37">
        <f t="shared" si="1"/>
        <v>2.2000000000000002</v>
      </c>
      <c r="W37">
        <f t="shared" si="2"/>
        <v>2.2000000000000002</v>
      </c>
      <c r="AA37">
        <f t="shared" si="4"/>
        <v>1.9333333333333336</v>
      </c>
      <c r="AB37">
        <f t="shared" si="5"/>
        <v>2.2000000000000002</v>
      </c>
    </row>
    <row r="38" spans="1:28">
      <c r="A38" t="s">
        <v>180</v>
      </c>
      <c r="B38" t="s">
        <v>145</v>
      </c>
      <c r="C38" t="s">
        <v>150</v>
      </c>
      <c r="D38" t="s">
        <v>151</v>
      </c>
      <c r="E38">
        <v>6</v>
      </c>
      <c r="G38">
        <v>23</v>
      </c>
      <c r="H38">
        <v>-2.2999999999999998</v>
      </c>
      <c r="I38">
        <v>351</v>
      </c>
      <c r="J38">
        <v>631</v>
      </c>
      <c r="K38">
        <v>1.3</v>
      </c>
      <c r="L38">
        <v>912</v>
      </c>
      <c r="M38">
        <v>1224</v>
      </c>
      <c r="N38">
        <v>-1.8</v>
      </c>
      <c r="O38">
        <v>1525</v>
      </c>
      <c r="P38">
        <v>1834</v>
      </c>
      <c r="Q38">
        <v>1.8</v>
      </c>
      <c r="R38">
        <v>2136</v>
      </c>
      <c r="U38">
        <f t="shared" si="0"/>
        <v>2.2999999999999998</v>
      </c>
      <c r="V38">
        <f t="shared" si="1"/>
        <v>1.3</v>
      </c>
      <c r="W38">
        <f t="shared" si="2"/>
        <v>1.8</v>
      </c>
      <c r="X38">
        <f t="shared" si="3"/>
        <v>1.8</v>
      </c>
      <c r="AA38">
        <f t="shared" si="4"/>
        <v>1.7999999999999998</v>
      </c>
      <c r="AB38">
        <f t="shared" si="5"/>
        <v>2.2999999999999998</v>
      </c>
    </row>
    <row r="39" spans="1:28">
      <c r="A39" t="s">
        <v>180</v>
      </c>
      <c r="B39" t="s">
        <v>145</v>
      </c>
      <c r="C39" t="s">
        <v>150</v>
      </c>
      <c r="D39" t="s">
        <v>151</v>
      </c>
      <c r="E39">
        <v>7</v>
      </c>
      <c r="G39">
        <v>102</v>
      </c>
      <c r="H39">
        <v>-2.2999999999999998</v>
      </c>
      <c r="I39">
        <v>439</v>
      </c>
      <c r="J39">
        <v>721</v>
      </c>
      <c r="K39">
        <v>1.3</v>
      </c>
      <c r="L39">
        <v>1009</v>
      </c>
      <c r="M39">
        <v>1312</v>
      </c>
      <c r="N39">
        <v>-1.5</v>
      </c>
      <c r="O39">
        <v>1610</v>
      </c>
      <c r="P39">
        <v>1912</v>
      </c>
      <c r="Q39">
        <v>1.4</v>
      </c>
      <c r="R39">
        <v>2204</v>
      </c>
      <c r="U39">
        <f t="shared" si="0"/>
        <v>2.2999999999999998</v>
      </c>
      <c r="V39">
        <f t="shared" si="1"/>
        <v>1.3</v>
      </c>
      <c r="W39">
        <f t="shared" si="2"/>
        <v>1.5</v>
      </c>
      <c r="X39">
        <f t="shared" si="3"/>
        <v>1.4</v>
      </c>
      <c r="AA39">
        <f t="shared" si="4"/>
        <v>1.625</v>
      </c>
      <c r="AB39">
        <f t="shared" si="5"/>
        <v>2.2999999999999998</v>
      </c>
    </row>
    <row r="40" spans="1:28">
      <c r="A40" t="s">
        <v>180</v>
      </c>
      <c r="B40" t="s">
        <v>145</v>
      </c>
      <c r="C40" t="s">
        <v>150</v>
      </c>
      <c r="D40" t="s">
        <v>151</v>
      </c>
      <c r="E40">
        <v>8</v>
      </c>
      <c r="G40">
        <v>144</v>
      </c>
      <c r="H40">
        <v>-2.2000000000000002</v>
      </c>
      <c r="I40">
        <v>530</v>
      </c>
      <c r="J40">
        <v>815</v>
      </c>
      <c r="K40">
        <v>1.2</v>
      </c>
      <c r="L40">
        <v>1111</v>
      </c>
      <c r="M40">
        <v>1406</v>
      </c>
      <c r="N40">
        <v>-1.2</v>
      </c>
      <c r="O40">
        <v>1702</v>
      </c>
      <c r="P40">
        <v>1953</v>
      </c>
      <c r="Q40">
        <v>1</v>
      </c>
      <c r="R40">
        <v>2232</v>
      </c>
      <c r="U40">
        <f t="shared" si="0"/>
        <v>2.2000000000000002</v>
      </c>
      <c r="V40">
        <f t="shared" si="1"/>
        <v>1.2</v>
      </c>
      <c r="W40">
        <f t="shared" si="2"/>
        <v>1.2</v>
      </c>
      <c r="X40">
        <f t="shared" si="3"/>
        <v>1</v>
      </c>
      <c r="AA40">
        <f t="shared" si="4"/>
        <v>1.4000000000000001</v>
      </c>
      <c r="AB40">
        <f t="shared" si="5"/>
        <v>2.2000000000000002</v>
      </c>
    </row>
    <row r="41" spans="1:28">
      <c r="A41" t="s">
        <v>180</v>
      </c>
      <c r="B41" t="s">
        <v>145</v>
      </c>
      <c r="C41" t="s">
        <v>150</v>
      </c>
      <c r="D41" t="s">
        <v>151</v>
      </c>
      <c r="E41">
        <v>9</v>
      </c>
      <c r="G41">
        <v>229</v>
      </c>
      <c r="H41">
        <v>-2.2000000000000002</v>
      </c>
      <c r="I41">
        <v>624</v>
      </c>
      <c r="J41">
        <v>916</v>
      </c>
      <c r="K41">
        <v>1.1000000000000001</v>
      </c>
      <c r="L41">
        <v>1223</v>
      </c>
      <c r="M41">
        <v>1509</v>
      </c>
      <c r="N41">
        <v>-1</v>
      </c>
      <c r="O41">
        <v>1806</v>
      </c>
      <c r="P41">
        <v>2041</v>
      </c>
      <c r="Q41">
        <v>0.7</v>
      </c>
      <c r="R41">
        <v>2302</v>
      </c>
      <c r="U41">
        <f t="shared" si="0"/>
        <v>2.2000000000000002</v>
      </c>
      <c r="V41">
        <f t="shared" si="1"/>
        <v>1.1000000000000001</v>
      </c>
      <c r="W41">
        <f t="shared" si="2"/>
        <v>1</v>
      </c>
      <c r="X41">
        <f t="shared" si="3"/>
        <v>0.7</v>
      </c>
      <c r="AA41">
        <f t="shared" si="4"/>
        <v>1.2500000000000002</v>
      </c>
      <c r="AB41">
        <f t="shared" si="5"/>
        <v>2.2000000000000002</v>
      </c>
    </row>
    <row r="42" spans="1:28">
      <c r="A42" t="s">
        <v>180</v>
      </c>
      <c r="B42" t="s">
        <v>145</v>
      </c>
      <c r="C42" t="s">
        <v>150</v>
      </c>
      <c r="D42" t="s">
        <v>151</v>
      </c>
      <c r="E42">
        <v>10</v>
      </c>
      <c r="G42">
        <v>320</v>
      </c>
      <c r="H42">
        <v>-2.1</v>
      </c>
      <c r="I42">
        <v>720</v>
      </c>
      <c r="J42">
        <v>1021</v>
      </c>
      <c r="K42">
        <v>1.2</v>
      </c>
      <c r="L42">
        <v>1342</v>
      </c>
      <c r="M42">
        <v>1624</v>
      </c>
      <c r="N42">
        <v>-0.8</v>
      </c>
      <c r="O42">
        <v>1928</v>
      </c>
      <c r="P42">
        <v>2139</v>
      </c>
      <c r="Q42">
        <v>0.4</v>
      </c>
      <c r="R42">
        <v>2338</v>
      </c>
      <c r="U42">
        <f t="shared" si="0"/>
        <v>2.1</v>
      </c>
      <c r="V42">
        <f t="shared" si="1"/>
        <v>1.2</v>
      </c>
      <c r="W42">
        <f t="shared" si="2"/>
        <v>0.8</v>
      </c>
      <c r="X42">
        <f t="shared" si="3"/>
        <v>0.4</v>
      </c>
      <c r="AA42">
        <f t="shared" si="4"/>
        <v>1.125</v>
      </c>
      <c r="AB42">
        <f t="shared" si="5"/>
        <v>2.1</v>
      </c>
    </row>
    <row r="43" spans="1:28">
      <c r="A43" t="s">
        <v>180</v>
      </c>
      <c r="B43" t="s">
        <v>145</v>
      </c>
      <c r="C43" t="s">
        <v>150</v>
      </c>
      <c r="D43" t="s">
        <v>151</v>
      </c>
      <c r="E43">
        <v>11</v>
      </c>
      <c r="G43">
        <v>417</v>
      </c>
      <c r="H43">
        <v>-2.1</v>
      </c>
      <c r="I43">
        <v>814</v>
      </c>
      <c r="J43">
        <v>1126</v>
      </c>
      <c r="K43">
        <v>1.4</v>
      </c>
      <c r="L43">
        <v>1458</v>
      </c>
      <c r="M43">
        <v>1740</v>
      </c>
      <c r="N43">
        <v>-0.9</v>
      </c>
      <c r="O43">
        <v>2057</v>
      </c>
      <c r="P43">
        <v>2245</v>
      </c>
      <c r="Q43">
        <v>0.3</v>
      </c>
      <c r="U43">
        <f t="shared" si="0"/>
        <v>2.1</v>
      </c>
      <c r="V43">
        <f t="shared" si="1"/>
        <v>1.4</v>
      </c>
      <c r="W43">
        <f t="shared" si="2"/>
        <v>0.9</v>
      </c>
      <c r="X43">
        <f t="shared" si="3"/>
        <v>0.3</v>
      </c>
      <c r="AA43">
        <f t="shared" si="4"/>
        <v>1.175</v>
      </c>
      <c r="AB43">
        <f t="shared" si="5"/>
        <v>2.1</v>
      </c>
    </row>
    <row r="44" spans="1:28">
      <c r="A44" t="s">
        <v>180</v>
      </c>
      <c r="B44" t="s">
        <v>145</v>
      </c>
      <c r="C44" t="s">
        <v>150</v>
      </c>
      <c r="D44" t="s">
        <v>151</v>
      </c>
      <c r="E44">
        <v>12</v>
      </c>
      <c r="F44" s="14">
        <v>23</v>
      </c>
      <c r="G44">
        <v>515</v>
      </c>
      <c r="H44">
        <v>-2.1</v>
      </c>
      <c r="I44">
        <v>904</v>
      </c>
      <c r="J44">
        <v>1224</v>
      </c>
      <c r="K44">
        <v>1.6</v>
      </c>
      <c r="L44">
        <v>1601</v>
      </c>
      <c r="M44">
        <v>1845</v>
      </c>
      <c r="N44">
        <v>-1</v>
      </c>
      <c r="O44">
        <v>2211</v>
      </c>
      <c r="P44">
        <v>2350</v>
      </c>
      <c r="Q44">
        <v>0.3</v>
      </c>
      <c r="U44">
        <f t="shared" si="0"/>
        <v>2.1</v>
      </c>
      <c r="V44">
        <f t="shared" si="1"/>
        <v>1.6</v>
      </c>
      <c r="W44">
        <f t="shared" si="2"/>
        <v>1</v>
      </c>
      <c r="X44">
        <f t="shared" si="3"/>
        <v>0.3</v>
      </c>
      <c r="AA44">
        <f t="shared" si="4"/>
        <v>1.25</v>
      </c>
      <c r="AB44">
        <f t="shared" si="5"/>
        <v>2.1</v>
      </c>
    </row>
    <row r="45" spans="1:28">
      <c r="A45" t="s">
        <v>180</v>
      </c>
      <c r="B45" t="s">
        <v>145</v>
      </c>
      <c r="C45" t="s">
        <v>150</v>
      </c>
      <c r="D45" t="s">
        <v>151</v>
      </c>
      <c r="E45">
        <v>13</v>
      </c>
      <c r="F45" s="14">
        <v>123</v>
      </c>
      <c r="G45">
        <v>610</v>
      </c>
      <c r="H45">
        <v>-2.2000000000000002</v>
      </c>
      <c r="I45">
        <v>950</v>
      </c>
      <c r="J45">
        <v>1314</v>
      </c>
      <c r="K45">
        <v>1.9</v>
      </c>
      <c r="L45">
        <v>1651</v>
      </c>
      <c r="M45">
        <v>1937</v>
      </c>
      <c r="N45">
        <v>-1.2</v>
      </c>
      <c r="O45">
        <v>2301</v>
      </c>
      <c r="U45">
        <f t="shared" si="0"/>
        <v>2.2000000000000002</v>
      </c>
      <c r="V45">
        <f t="shared" si="1"/>
        <v>1.9</v>
      </c>
      <c r="W45">
        <f t="shared" si="2"/>
        <v>1.2</v>
      </c>
      <c r="AA45">
        <f t="shared" si="4"/>
        <v>1.7666666666666666</v>
      </c>
      <c r="AB45">
        <f t="shared" si="5"/>
        <v>2.2000000000000002</v>
      </c>
    </row>
    <row r="46" spans="1:28">
      <c r="A46" t="s">
        <v>180</v>
      </c>
      <c r="B46" t="s">
        <v>145</v>
      </c>
      <c r="C46" t="s">
        <v>150</v>
      </c>
      <c r="D46" t="s">
        <v>151</v>
      </c>
      <c r="E46">
        <v>14</v>
      </c>
      <c r="G46">
        <v>49</v>
      </c>
      <c r="H46">
        <v>0.4</v>
      </c>
      <c r="I46">
        <v>229</v>
      </c>
      <c r="J46">
        <v>700</v>
      </c>
      <c r="K46">
        <v>-2.2999999999999998</v>
      </c>
      <c r="L46">
        <v>1031</v>
      </c>
      <c r="M46">
        <v>1356</v>
      </c>
      <c r="N46">
        <v>2.1</v>
      </c>
      <c r="O46">
        <v>1731</v>
      </c>
      <c r="P46">
        <v>2019</v>
      </c>
      <c r="Q46">
        <v>-1.4</v>
      </c>
      <c r="R46">
        <v>2338</v>
      </c>
      <c r="U46">
        <f t="shared" si="0"/>
        <v>0.4</v>
      </c>
      <c r="V46">
        <f t="shared" si="1"/>
        <v>2.2999999999999998</v>
      </c>
      <c r="W46">
        <f t="shared" si="2"/>
        <v>2.1</v>
      </c>
      <c r="X46">
        <f t="shared" si="3"/>
        <v>1.4</v>
      </c>
      <c r="AA46">
        <f t="shared" si="4"/>
        <v>1.5499999999999998</v>
      </c>
      <c r="AB46">
        <f t="shared" si="5"/>
        <v>2.2999999999999998</v>
      </c>
    </row>
    <row r="47" spans="1:28">
      <c r="A47" t="s">
        <v>180</v>
      </c>
      <c r="B47" t="s">
        <v>145</v>
      </c>
      <c r="C47" t="s">
        <v>150</v>
      </c>
      <c r="D47" t="s">
        <v>151</v>
      </c>
      <c r="E47">
        <v>15</v>
      </c>
      <c r="G47">
        <v>139</v>
      </c>
      <c r="H47">
        <v>0.5</v>
      </c>
      <c r="I47">
        <v>332</v>
      </c>
      <c r="J47">
        <v>745</v>
      </c>
      <c r="K47">
        <v>-2.4</v>
      </c>
      <c r="L47">
        <v>1110</v>
      </c>
      <c r="M47">
        <v>1434</v>
      </c>
      <c r="N47">
        <v>2.2999999999999998</v>
      </c>
      <c r="O47">
        <v>1806</v>
      </c>
      <c r="P47">
        <v>2056</v>
      </c>
      <c r="Q47">
        <v>-1.7</v>
      </c>
      <c r="U47">
        <f t="shared" si="0"/>
        <v>0.5</v>
      </c>
      <c r="V47">
        <f t="shared" si="1"/>
        <v>2.4</v>
      </c>
      <c r="W47">
        <f t="shared" si="2"/>
        <v>2.2999999999999998</v>
      </c>
      <c r="X47">
        <f t="shared" si="3"/>
        <v>1.7</v>
      </c>
      <c r="AA47">
        <f t="shared" si="4"/>
        <v>1.7249999999999999</v>
      </c>
      <c r="AB47">
        <f t="shared" si="5"/>
        <v>2.4</v>
      </c>
    </row>
    <row r="48" spans="1:28">
      <c r="A48" t="s">
        <v>180</v>
      </c>
      <c r="B48" t="s">
        <v>145</v>
      </c>
      <c r="C48" t="s">
        <v>150</v>
      </c>
      <c r="D48" t="s">
        <v>151</v>
      </c>
      <c r="E48">
        <v>16</v>
      </c>
      <c r="F48" s="14">
        <v>11</v>
      </c>
      <c r="G48">
        <v>224</v>
      </c>
      <c r="H48">
        <v>0.8</v>
      </c>
      <c r="I48">
        <v>430</v>
      </c>
      <c r="J48">
        <v>827</v>
      </c>
      <c r="K48">
        <v>-2.5</v>
      </c>
      <c r="L48">
        <v>1147</v>
      </c>
      <c r="M48">
        <v>1509</v>
      </c>
      <c r="N48">
        <v>2.4</v>
      </c>
      <c r="O48">
        <v>1836</v>
      </c>
      <c r="P48">
        <v>2129</v>
      </c>
      <c r="Q48">
        <v>-1.8</v>
      </c>
      <c r="U48">
        <f t="shared" si="0"/>
        <v>0.8</v>
      </c>
      <c r="V48">
        <f t="shared" si="1"/>
        <v>2.5</v>
      </c>
      <c r="W48">
        <f t="shared" si="2"/>
        <v>2.4</v>
      </c>
      <c r="X48">
        <f t="shared" si="3"/>
        <v>1.8</v>
      </c>
      <c r="AA48">
        <f t="shared" si="4"/>
        <v>1.8749999999999998</v>
      </c>
      <c r="AB48">
        <f t="shared" si="5"/>
        <v>2.5</v>
      </c>
    </row>
    <row r="49" spans="1:28">
      <c r="A49" t="s">
        <v>180</v>
      </c>
      <c r="B49" t="s">
        <v>145</v>
      </c>
      <c r="C49" t="s">
        <v>150</v>
      </c>
      <c r="D49" t="s">
        <v>151</v>
      </c>
      <c r="E49">
        <v>17</v>
      </c>
      <c r="F49" s="14">
        <v>42</v>
      </c>
      <c r="G49">
        <v>306</v>
      </c>
      <c r="H49">
        <v>1</v>
      </c>
      <c r="I49">
        <v>525</v>
      </c>
      <c r="J49">
        <v>908</v>
      </c>
      <c r="K49">
        <v>-2.6</v>
      </c>
      <c r="L49">
        <v>1223</v>
      </c>
      <c r="M49">
        <v>1542</v>
      </c>
      <c r="N49">
        <v>2.5</v>
      </c>
      <c r="O49">
        <v>1904</v>
      </c>
      <c r="P49">
        <v>2201</v>
      </c>
      <c r="Q49">
        <v>-2.1</v>
      </c>
      <c r="U49">
        <f t="shared" si="0"/>
        <v>1</v>
      </c>
      <c r="V49">
        <f t="shared" si="1"/>
        <v>2.6</v>
      </c>
      <c r="W49">
        <f t="shared" si="2"/>
        <v>2.5</v>
      </c>
      <c r="X49">
        <f t="shared" si="3"/>
        <v>2.1</v>
      </c>
      <c r="AA49">
        <f t="shared" si="4"/>
        <v>2.0499999999999998</v>
      </c>
      <c r="AB49">
        <f t="shared" si="5"/>
        <v>2.6</v>
      </c>
    </row>
    <row r="50" spans="1:28">
      <c r="A50" t="s">
        <v>180</v>
      </c>
      <c r="B50" t="s">
        <v>145</v>
      </c>
      <c r="C50" t="s">
        <v>150</v>
      </c>
      <c r="D50" t="s">
        <v>151</v>
      </c>
      <c r="E50">
        <v>18</v>
      </c>
      <c r="F50" s="14">
        <v>114</v>
      </c>
      <c r="G50">
        <v>348</v>
      </c>
      <c r="H50">
        <v>1.3</v>
      </c>
      <c r="I50">
        <v>617</v>
      </c>
      <c r="J50">
        <v>949</v>
      </c>
      <c r="K50">
        <v>-2.5</v>
      </c>
      <c r="L50">
        <v>1259</v>
      </c>
      <c r="M50">
        <v>1615</v>
      </c>
      <c r="N50">
        <v>2.5</v>
      </c>
      <c r="O50">
        <v>1931</v>
      </c>
      <c r="P50">
        <v>2234</v>
      </c>
      <c r="Q50">
        <v>-2.2999999999999998</v>
      </c>
      <c r="U50">
        <f t="shared" si="0"/>
        <v>1.3</v>
      </c>
      <c r="V50">
        <f t="shared" si="1"/>
        <v>2.5</v>
      </c>
      <c r="W50">
        <f t="shared" si="2"/>
        <v>2.5</v>
      </c>
      <c r="X50">
        <f t="shared" si="3"/>
        <v>2.2999999999999998</v>
      </c>
      <c r="AA50">
        <f t="shared" si="4"/>
        <v>2.15</v>
      </c>
      <c r="AB50">
        <f t="shared" si="5"/>
        <v>2.5</v>
      </c>
    </row>
    <row r="51" spans="1:28">
      <c r="A51" t="s">
        <v>180</v>
      </c>
      <c r="B51" t="s">
        <v>145</v>
      </c>
      <c r="C51" t="s">
        <v>150</v>
      </c>
      <c r="D51" t="s">
        <v>151</v>
      </c>
      <c r="E51">
        <v>19</v>
      </c>
      <c r="F51" s="14">
        <v>148</v>
      </c>
      <c r="G51">
        <v>430</v>
      </c>
      <c r="H51">
        <v>1.5</v>
      </c>
      <c r="I51">
        <v>710</v>
      </c>
      <c r="J51">
        <v>1030</v>
      </c>
      <c r="K51">
        <v>-2.4</v>
      </c>
      <c r="L51">
        <v>1337</v>
      </c>
      <c r="M51">
        <v>1649</v>
      </c>
      <c r="N51">
        <v>2.2999999999999998</v>
      </c>
      <c r="O51">
        <v>1958</v>
      </c>
      <c r="P51">
        <v>2308</v>
      </c>
      <c r="Q51">
        <v>-2.5</v>
      </c>
      <c r="U51">
        <f t="shared" si="0"/>
        <v>1.5</v>
      </c>
      <c r="V51">
        <f t="shared" si="1"/>
        <v>2.4</v>
      </c>
      <c r="W51">
        <f t="shared" si="2"/>
        <v>2.2999999999999998</v>
      </c>
      <c r="X51">
        <f t="shared" si="3"/>
        <v>2.5</v>
      </c>
      <c r="AA51">
        <f t="shared" si="4"/>
        <v>2.1749999999999998</v>
      </c>
      <c r="AB51">
        <f t="shared" si="5"/>
        <v>2.5</v>
      </c>
    </row>
    <row r="52" spans="1:28">
      <c r="A52" t="s">
        <v>180</v>
      </c>
      <c r="B52" t="s">
        <v>145</v>
      </c>
      <c r="C52" t="s">
        <v>150</v>
      </c>
      <c r="D52" t="s">
        <v>151</v>
      </c>
      <c r="E52">
        <v>20</v>
      </c>
      <c r="F52" s="14">
        <v>225</v>
      </c>
      <c r="G52">
        <v>514</v>
      </c>
      <c r="H52">
        <v>1.7</v>
      </c>
      <c r="I52">
        <v>804</v>
      </c>
      <c r="J52">
        <v>1114</v>
      </c>
      <c r="K52">
        <v>-2.2000000000000002</v>
      </c>
      <c r="L52">
        <v>1417</v>
      </c>
      <c r="M52">
        <v>1725</v>
      </c>
      <c r="N52">
        <v>2.1</v>
      </c>
      <c r="O52">
        <v>2026</v>
      </c>
      <c r="P52">
        <v>2345</v>
      </c>
      <c r="Q52">
        <v>-2.6</v>
      </c>
      <c r="U52">
        <f t="shared" si="0"/>
        <v>1.7</v>
      </c>
      <c r="V52">
        <f t="shared" si="1"/>
        <v>2.2000000000000002</v>
      </c>
      <c r="W52">
        <f t="shared" si="2"/>
        <v>2.1</v>
      </c>
      <c r="X52">
        <f t="shared" si="3"/>
        <v>2.6</v>
      </c>
      <c r="AA52">
        <f t="shared" si="4"/>
        <v>2.15</v>
      </c>
      <c r="AB52">
        <f t="shared" si="5"/>
        <v>2.6</v>
      </c>
    </row>
    <row r="53" spans="1:28">
      <c r="A53" t="s">
        <v>180</v>
      </c>
      <c r="B53" t="s">
        <v>145</v>
      </c>
      <c r="C53" t="s">
        <v>150</v>
      </c>
      <c r="D53" t="s">
        <v>151</v>
      </c>
      <c r="E53">
        <v>21</v>
      </c>
      <c r="F53" s="14">
        <v>307</v>
      </c>
      <c r="G53">
        <v>602</v>
      </c>
      <c r="H53">
        <v>1.9</v>
      </c>
      <c r="I53">
        <v>901</v>
      </c>
      <c r="J53">
        <v>1202</v>
      </c>
      <c r="K53">
        <v>-2</v>
      </c>
      <c r="L53">
        <v>1501</v>
      </c>
      <c r="M53">
        <v>1803</v>
      </c>
      <c r="N53">
        <v>1.9</v>
      </c>
      <c r="O53">
        <v>2057</v>
      </c>
      <c r="U53">
        <f t="shared" si="0"/>
        <v>1.9</v>
      </c>
      <c r="V53">
        <f t="shared" si="1"/>
        <v>2</v>
      </c>
      <c r="W53">
        <f t="shared" si="2"/>
        <v>1.9</v>
      </c>
      <c r="AA53">
        <f t="shared" si="4"/>
        <v>1.9333333333333333</v>
      </c>
      <c r="AB53">
        <f t="shared" si="5"/>
        <v>2</v>
      </c>
    </row>
    <row r="54" spans="1:28">
      <c r="A54" t="s">
        <v>180</v>
      </c>
      <c r="B54" t="s">
        <v>145</v>
      </c>
      <c r="C54" t="s">
        <v>150</v>
      </c>
      <c r="D54" t="s">
        <v>151</v>
      </c>
      <c r="E54">
        <v>22</v>
      </c>
      <c r="G54">
        <v>27</v>
      </c>
      <c r="H54">
        <v>-2.7</v>
      </c>
      <c r="I54">
        <v>354</v>
      </c>
      <c r="J54">
        <v>655</v>
      </c>
      <c r="K54">
        <v>1.9</v>
      </c>
      <c r="L54">
        <v>1003</v>
      </c>
      <c r="M54">
        <v>1255</v>
      </c>
      <c r="N54">
        <v>-1.7</v>
      </c>
      <c r="O54">
        <v>1551</v>
      </c>
      <c r="P54">
        <v>1846</v>
      </c>
      <c r="Q54">
        <v>1.5</v>
      </c>
      <c r="R54">
        <v>2131</v>
      </c>
      <c r="U54">
        <f t="shared" si="0"/>
        <v>2.7</v>
      </c>
      <c r="V54">
        <f t="shared" si="1"/>
        <v>1.9</v>
      </c>
      <c r="W54">
        <f t="shared" si="2"/>
        <v>1.7</v>
      </c>
      <c r="X54">
        <f t="shared" si="3"/>
        <v>1.5</v>
      </c>
      <c r="AA54">
        <f t="shared" si="4"/>
        <v>1.95</v>
      </c>
      <c r="AB54">
        <f t="shared" si="5"/>
        <v>2.7</v>
      </c>
    </row>
    <row r="55" spans="1:28">
      <c r="A55" t="s">
        <v>180</v>
      </c>
      <c r="B55" t="s">
        <v>145</v>
      </c>
      <c r="C55" t="s">
        <v>150</v>
      </c>
      <c r="D55" t="s">
        <v>151</v>
      </c>
      <c r="E55">
        <v>23</v>
      </c>
      <c r="G55">
        <v>113</v>
      </c>
      <c r="H55">
        <v>-2.7</v>
      </c>
      <c r="I55">
        <v>448</v>
      </c>
      <c r="J55">
        <v>754</v>
      </c>
      <c r="K55">
        <v>1.9</v>
      </c>
      <c r="L55">
        <v>1112</v>
      </c>
      <c r="M55">
        <v>1357</v>
      </c>
      <c r="N55">
        <v>-1.4</v>
      </c>
      <c r="O55">
        <v>1651</v>
      </c>
      <c r="P55">
        <v>1936</v>
      </c>
      <c r="Q55">
        <v>1.2</v>
      </c>
      <c r="R55">
        <v>2210</v>
      </c>
      <c r="U55">
        <f t="shared" si="0"/>
        <v>2.7</v>
      </c>
      <c r="V55">
        <f t="shared" si="1"/>
        <v>1.9</v>
      </c>
      <c r="W55">
        <f t="shared" si="2"/>
        <v>1.4</v>
      </c>
      <c r="X55">
        <f t="shared" si="3"/>
        <v>1.2</v>
      </c>
      <c r="AA55">
        <f t="shared" si="4"/>
        <v>1.8</v>
      </c>
      <c r="AB55">
        <f t="shared" si="5"/>
        <v>2.7</v>
      </c>
    </row>
    <row r="56" spans="1:28">
      <c r="A56" t="s">
        <v>180</v>
      </c>
      <c r="B56" t="s">
        <v>145</v>
      </c>
      <c r="C56" t="s">
        <v>150</v>
      </c>
      <c r="D56" t="s">
        <v>151</v>
      </c>
      <c r="E56">
        <v>24</v>
      </c>
      <c r="G56">
        <v>207</v>
      </c>
      <c r="H56">
        <v>-2.6</v>
      </c>
      <c r="I56">
        <v>548</v>
      </c>
      <c r="J56">
        <v>900</v>
      </c>
      <c r="K56">
        <v>1.9</v>
      </c>
      <c r="L56">
        <v>1230</v>
      </c>
      <c r="M56">
        <v>1509</v>
      </c>
      <c r="N56">
        <v>-1.2</v>
      </c>
      <c r="O56">
        <v>1805</v>
      </c>
      <c r="P56">
        <v>2037</v>
      </c>
      <c r="Q56">
        <v>0.9</v>
      </c>
      <c r="R56">
        <v>2256</v>
      </c>
      <c r="U56">
        <f t="shared" si="0"/>
        <v>2.6</v>
      </c>
      <c r="V56">
        <f t="shared" si="1"/>
        <v>1.9</v>
      </c>
      <c r="W56">
        <f t="shared" si="2"/>
        <v>1.2</v>
      </c>
      <c r="X56">
        <f t="shared" si="3"/>
        <v>0.9</v>
      </c>
      <c r="AA56">
        <f t="shared" si="4"/>
        <v>1.6500000000000001</v>
      </c>
      <c r="AB56">
        <f t="shared" si="5"/>
        <v>2.6</v>
      </c>
    </row>
    <row r="57" spans="1:28">
      <c r="A57" t="s">
        <v>180</v>
      </c>
      <c r="B57" t="s">
        <v>145</v>
      </c>
      <c r="C57" t="s">
        <v>150</v>
      </c>
      <c r="D57" t="s">
        <v>151</v>
      </c>
      <c r="E57">
        <v>25</v>
      </c>
      <c r="G57">
        <v>309</v>
      </c>
      <c r="H57">
        <v>-2.6</v>
      </c>
      <c r="I57">
        <v>653</v>
      </c>
      <c r="J57">
        <v>1013</v>
      </c>
      <c r="K57">
        <v>2</v>
      </c>
      <c r="L57">
        <v>1351</v>
      </c>
      <c r="M57">
        <v>1630</v>
      </c>
      <c r="N57">
        <v>-1.2</v>
      </c>
      <c r="O57">
        <v>1933</v>
      </c>
      <c r="P57">
        <v>2150</v>
      </c>
      <c r="Q57">
        <v>0.6</v>
      </c>
      <c r="R57">
        <v>2355</v>
      </c>
      <c r="U57">
        <f t="shared" si="0"/>
        <v>2.6</v>
      </c>
      <c r="V57">
        <f t="shared" si="1"/>
        <v>2</v>
      </c>
      <c r="W57">
        <f t="shared" si="2"/>
        <v>1.2</v>
      </c>
      <c r="X57">
        <f t="shared" si="3"/>
        <v>0.6</v>
      </c>
      <c r="AA57">
        <f t="shared" si="4"/>
        <v>1.5999999999999999</v>
      </c>
      <c r="AB57">
        <f t="shared" si="5"/>
        <v>2.6</v>
      </c>
    </row>
    <row r="58" spans="1:28">
      <c r="A58" t="s">
        <v>180</v>
      </c>
      <c r="B58" t="s">
        <v>145</v>
      </c>
      <c r="C58" t="s">
        <v>150</v>
      </c>
      <c r="D58" t="s">
        <v>151</v>
      </c>
      <c r="E58">
        <v>26</v>
      </c>
      <c r="G58">
        <v>419</v>
      </c>
      <c r="H58">
        <v>-2.6</v>
      </c>
      <c r="I58">
        <v>759</v>
      </c>
      <c r="J58">
        <v>1125</v>
      </c>
      <c r="K58">
        <v>2.1</v>
      </c>
      <c r="L58">
        <v>1505</v>
      </c>
      <c r="M58">
        <v>1748</v>
      </c>
      <c r="N58">
        <v>-1.3</v>
      </c>
      <c r="O58">
        <v>2059</v>
      </c>
      <c r="P58">
        <v>2309</v>
      </c>
      <c r="Q58">
        <v>0.6</v>
      </c>
      <c r="U58">
        <f t="shared" si="0"/>
        <v>2.6</v>
      </c>
      <c r="V58">
        <f t="shared" si="1"/>
        <v>2.1</v>
      </c>
      <c r="W58">
        <f t="shared" si="2"/>
        <v>1.3</v>
      </c>
      <c r="X58">
        <f t="shared" si="3"/>
        <v>0.6</v>
      </c>
      <c r="AA58">
        <f t="shared" si="4"/>
        <v>1.65</v>
      </c>
      <c r="AB58">
        <f t="shared" si="5"/>
        <v>2.6</v>
      </c>
    </row>
    <row r="59" spans="1:28">
      <c r="A59" t="s">
        <v>180</v>
      </c>
      <c r="B59" t="s">
        <v>145</v>
      </c>
      <c r="C59" t="s">
        <v>150</v>
      </c>
      <c r="D59" t="s">
        <v>151</v>
      </c>
      <c r="E59">
        <v>27</v>
      </c>
      <c r="F59" s="14">
        <v>109</v>
      </c>
      <c r="G59">
        <v>529</v>
      </c>
      <c r="H59">
        <v>-2.6</v>
      </c>
      <c r="I59">
        <v>902</v>
      </c>
      <c r="J59">
        <v>1229</v>
      </c>
      <c r="K59">
        <v>2.2999999999999998</v>
      </c>
      <c r="L59">
        <v>1607</v>
      </c>
      <c r="M59">
        <v>1854</v>
      </c>
      <c r="N59">
        <v>-1.5</v>
      </c>
      <c r="O59">
        <v>2207</v>
      </c>
      <c r="U59">
        <f t="shared" si="0"/>
        <v>2.6</v>
      </c>
      <c r="V59">
        <f t="shared" si="1"/>
        <v>2.2999999999999998</v>
      </c>
      <c r="W59">
        <f t="shared" si="2"/>
        <v>1.5</v>
      </c>
      <c r="AA59">
        <f t="shared" si="4"/>
        <v>2.1333333333333333</v>
      </c>
      <c r="AB59">
        <f t="shared" si="5"/>
        <v>2.6</v>
      </c>
    </row>
    <row r="60" spans="1:28">
      <c r="A60" t="s">
        <v>180</v>
      </c>
      <c r="B60" t="s">
        <v>145</v>
      </c>
      <c r="C60" t="s">
        <v>150</v>
      </c>
      <c r="D60" t="s">
        <v>151</v>
      </c>
      <c r="E60">
        <v>28</v>
      </c>
      <c r="G60">
        <v>22</v>
      </c>
      <c r="H60">
        <v>0.8</v>
      </c>
      <c r="I60">
        <v>229</v>
      </c>
      <c r="J60">
        <v>635</v>
      </c>
      <c r="K60">
        <v>-2.6</v>
      </c>
      <c r="L60">
        <v>1000</v>
      </c>
      <c r="M60">
        <v>1325</v>
      </c>
      <c r="N60">
        <v>2.5</v>
      </c>
      <c r="O60">
        <v>1657</v>
      </c>
      <c r="P60">
        <v>1949</v>
      </c>
      <c r="Q60">
        <v>-1.8</v>
      </c>
      <c r="R60">
        <v>2300</v>
      </c>
      <c r="U60">
        <f t="shared" si="0"/>
        <v>0.8</v>
      </c>
      <c r="V60">
        <f t="shared" si="1"/>
        <v>2.6</v>
      </c>
      <c r="W60">
        <f t="shared" si="2"/>
        <v>2.5</v>
      </c>
      <c r="X60">
        <f t="shared" si="3"/>
        <v>1.8</v>
      </c>
      <c r="AA60">
        <f t="shared" si="4"/>
        <v>1.925</v>
      </c>
      <c r="AB60">
        <f t="shared" si="5"/>
        <v>2.6</v>
      </c>
    </row>
    <row r="61" spans="1:28">
      <c r="A61" t="s">
        <v>180</v>
      </c>
      <c r="B61" t="s">
        <v>145</v>
      </c>
      <c r="C61" t="s">
        <v>150</v>
      </c>
      <c r="D61" t="s">
        <v>151</v>
      </c>
      <c r="E61">
        <v>29</v>
      </c>
      <c r="G61">
        <v>126</v>
      </c>
      <c r="H61">
        <v>1</v>
      </c>
      <c r="I61">
        <v>344</v>
      </c>
      <c r="J61">
        <v>733</v>
      </c>
      <c r="K61">
        <v>-2.6</v>
      </c>
      <c r="L61">
        <v>1052</v>
      </c>
      <c r="M61">
        <v>1414</v>
      </c>
      <c r="N61">
        <v>2.6</v>
      </c>
      <c r="O61">
        <v>1740</v>
      </c>
      <c r="P61">
        <v>2035</v>
      </c>
      <c r="Q61">
        <v>-2.1</v>
      </c>
      <c r="R61">
        <v>2346</v>
      </c>
      <c r="U61">
        <f t="shared" si="0"/>
        <v>1</v>
      </c>
      <c r="V61">
        <f t="shared" si="1"/>
        <v>2.6</v>
      </c>
      <c r="W61">
        <f t="shared" si="2"/>
        <v>2.6</v>
      </c>
      <c r="X61">
        <f t="shared" si="3"/>
        <v>2.1</v>
      </c>
      <c r="AA61">
        <f t="shared" si="4"/>
        <v>2.0750000000000002</v>
      </c>
      <c r="AB61">
        <f t="shared" si="5"/>
        <v>2.6</v>
      </c>
    </row>
    <row r="62" spans="1:28">
      <c r="A62" t="s">
        <v>180</v>
      </c>
      <c r="B62" t="s">
        <v>145</v>
      </c>
      <c r="C62" t="s">
        <v>150</v>
      </c>
      <c r="D62" t="s">
        <v>151</v>
      </c>
      <c r="E62">
        <v>30</v>
      </c>
      <c r="G62">
        <v>221</v>
      </c>
      <c r="H62">
        <v>1.3</v>
      </c>
      <c r="I62">
        <v>450</v>
      </c>
      <c r="J62">
        <v>826</v>
      </c>
      <c r="K62">
        <v>-2.6</v>
      </c>
      <c r="L62">
        <v>1139</v>
      </c>
      <c r="M62">
        <v>1457</v>
      </c>
      <c r="N62">
        <v>2.6</v>
      </c>
      <c r="O62">
        <v>1817</v>
      </c>
      <c r="P62">
        <v>2116</v>
      </c>
      <c r="Q62">
        <v>-2.2000000000000002</v>
      </c>
      <c r="U62">
        <f t="shared" si="0"/>
        <v>1.3</v>
      </c>
      <c r="V62">
        <f t="shared" si="1"/>
        <v>2.6</v>
      </c>
      <c r="W62">
        <f t="shared" si="2"/>
        <v>2.6</v>
      </c>
      <c r="X62">
        <f t="shared" si="3"/>
        <v>2.2000000000000002</v>
      </c>
      <c r="AA62">
        <f t="shared" si="4"/>
        <v>2.1749999999999998</v>
      </c>
      <c r="AB62">
        <f t="shared" si="5"/>
        <v>2.6</v>
      </c>
    </row>
    <row r="63" spans="1:28">
      <c r="A63" t="s">
        <v>180</v>
      </c>
      <c r="B63" t="s">
        <v>145</v>
      </c>
      <c r="C63" t="s">
        <v>150</v>
      </c>
      <c r="D63" t="s">
        <v>151</v>
      </c>
      <c r="E63">
        <v>31</v>
      </c>
      <c r="F63" s="14">
        <v>27</v>
      </c>
      <c r="G63">
        <v>310</v>
      </c>
      <c r="H63">
        <v>1.6</v>
      </c>
      <c r="I63">
        <v>548</v>
      </c>
      <c r="J63">
        <v>913</v>
      </c>
      <c r="K63">
        <v>-2.6</v>
      </c>
      <c r="L63">
        <v>1223</v>
      </c>
      <c r="M63">
        <v>1537</v>
      </c>
      <c r="N63">
        <v>2.5</v>
      </c>
      <c r="O63">
        <v>1850</v>
      </c>
      <c r="P63">
        <v>2154</v>
      </c>
      <c r="Q63">
        <v>-2.4</v>
      </c>
      <c r="U63">
        <f t="shared" si="0"/>
        <v>1.6</v>
      </c>
      <c r="V63">
        <f t="shared" si="1"/>
        <v>2.6</v>
      </c>
      <c r="W63">
        <f t="shared" si="2"/>
        <v>2.5</v>
      </c>
      <c r="X63">
        <f t="shared" si="3"/>
        <v>2.4</v>
      </c>
      <c r="AA63">
        <f t="shared" si="4"/>
        <v>2.2749999999999999</v>
      </c>
      <c r="AB63">
        <f t="shared" si="5"/>
        <v>2.6</v>
      </c>
    </row>
    <row r="64" spans="1:28">
      <c r="A64" t="s">
        <v>181</v>
      </c>
      <c r="B64" t="s">
        <v>146</v>
      </c>
      <c r="C64" t="s">
        <v>150</v>
      </c>
      <c r="D64" t="s">
        <v>151</v>
      </c>
      <c r="E64">
        <v>1</v>
      </c>
      <c r="F64" s="14">
        <v>117</v>
      </c>
      <c r="G64">
        <v>306</v>
      </c>
      <c r="H64">
        <v>0.8</v>
      </c>
      <c r="I64">
        <v>459</v>
      </c>
      <c r="J64">
        <v>911</v>
      </c>
      <c r="K64">
        <v>-2.2999999999999998</v>
      </c>
      <c r="L64">
        <v>1307</v>
      </c>
      <c r="M64">
        <v>1603</v>
      </c>
      <c r="N64">
        <v>2.5</v>
      </c>
      <c r="O64">
        <v>1920</v>
      </c>
      <c r="P64">
        <v>2222</v>
      </c>
      <c r="Q64">
        <v>-1.5</v>
      </c>
      <c r="U64">
        <f t="shared" si="0"/>
        <v>0.8</v>
      </c>
      <c r="V64">
        <f t="shared" si="1"/>
        <v>2.2999999999999998</v>
      </c>
      <c r="W64">
        <f t="shared" si="2"/>
        <v>2.5</v>
      </c>
      <c r="X64">
        <f t="shared" si="3"/>
        <v>1.5</v>
      </c>
      <c r="AA64">
        <f t="shared" si="4"/>
        <v>1.7749999999999999</v>
      </c>
      <c r="AB64">
        <f t="shared" si="5"/>
        <v>2.5</v>
      </c>
    </row>
    <row r="65" spans="1:28">
      <c r="A65" t="s">
        <v>181</v>
      </c>
      <c r="B65" t="s">
        <v>146</v>
      </c>
      <c r="C65" t="s">
        <v>150</v>
      </c>
      <c r="D65" t="s">
        <v>151</v>
      </c>
      <c r="E65">
        <v>2</v>
      </c>
      <c r="F65" s="14">
        <v>205</v>
      </c>
      <c r="G65">
        <v>400</v>
      </c>
      <c r="H65">
        <v>1</v>
      </c>
      <c r="I65">
        <v>559</v>
      </c>
      <c r="J65">
        <v>1001</v>
      </c>
      <c r="K65">
        <v>-2.2000000000000002</v>
      </c>
      <c r="L65">
        <v>1352</v>
      </c>
      <c r="M65">
        <v>1646</v>
      </c>
      <c r="N65">
        <v>2.4</v>
      </c>
      <c r="O65">
        <v>1957</v>
      </c>
      <c r="P65">
        <v>2304</v>
      </c>
      <c r="Q65">
        <v>-1.6</v>
      </c>
      <c r="U65">
        <f t="shared" si="0"/>
        <v>1</v>
      </c>
      <c r="V65">
        <f t="shared" si="1"/>
        <v>2.2000000000000002</v>
      </c>
      <c r="W65">
        <f t="shared" si="2"/>
        <v>2.4</v>
      </c>
      <c r="X65">
        <f t="shared" si="3"/>
        <v>1.6</v>
      </c>
      <c r="AA65">
        <f t="shared" si="4"/>
        <v>1.7999999999999998</v>
      </c>
      <c r="AB65">
        <f t="shared" si="5"/>
        <v>2.4</v>
      </c>
    </row>
    <row r="66" spans="1:28">
      <c r="A66" t="s">
        <v>181</v>
      </c>
      <c r="B66" t="s">
        <v>146</v>
      </c>
      <c r="C66" t="s">
        <v>150</v>
      </c>
      <c r="D66" t="s">
        <v>151</v>
      </c>
      <c r="E66">
        <v>3</v>
      </c>
      <c r="F66" s="14">
        <v>251</v>
      </c>
      <c r="G66">
        <v>450</v>
      </c>
      <c r="H66">
        <v>1</v>
      </c>
      <c r="I66">
        <v>655</v>
      </c>
      <c r="J66">
        <v>1048</v>
      </c>
      <c r="K66">
        <v>-2.1</v>
      </c>
      <c r="L66">
        <v>1436</v>
      </c>
      <c r="M66">
        <v>1726</v>
      </c>
      <c r="N66">
        <v>2.2999999999999998</v>
      </c>
      <c r="O66">
        <v>2031</v>
      </c>
      <c r="P66">
        <v>2345</v>
      </c>
      <c r="Q66">
        <v>-1.7</v>
      </c>
      <c r="U66">
        <f t="shared" si="0"/>
        <v>1</v>
      </c>
      <c r="V66">
        <f t="shared" si="1"/>
        <v>2.1</v>
      </c>
      <c r="W66">
        <f t="shared" si="2"/>
        <v>2.2999999999999998</v>
      </c>
      <c r="X66">
        <f t="shared" si="3"/>
        <v>1.7</v>
      </c>
      <c r="AA66">
        <f t="shared" si="4"/>
        <v>1.7750000000000001</v>
      </c>
      <c r="AB66">
        <f t="shared" si="5"/>
        <v>2.2999999999999998</v>
      </c>
    </row>
    <row r="67" spans="1:28">
      <c r="A67" t="s">
        <v>181</v>
      </c>
      <c r="B67" t="s">
        <v>146</v>
      </c>
      <c r="C67" t="s">
        <v>150</v>
      </c>
      <c r="D67" t="s">
        <v>151</v>
      </c>
      <c r="E67">
        <v>4</v>
      </c>
      <c r="F67" s="14">
        <v>336</v>
      </c>
      <c r="G67">
        <v>538</v>
      </c>
      <c r="H67">
        <v>1.1000000000000001</v>
      </c>
      <c r="I67">
        <v>749</v>
      </c>
      <c r="J67">
        <v>1133</v>
      </c>
      <c r="K67">
        <v>-1.9</v>
      </c>
      <c r="L67">
        <v>1517</v>
      </c>
      <c r="M67">
        <v>1804</v>
      </c>
      <c r="N67">
        <v>2.1</v>
      </c>
      <c r="O67">
        <v>2102</v>
      </c>
      <c r="U67">
        <f t="shared" ref="U67:U130" si="6">ABS(H67)</f>
        <v>1.1000000000000001</v>
      </c>
      <c r="V67">
        <f t="shared" ref="V67:V130" si="7">ABS(K67)</f>
        <v>1.9</v>
      </c>
      <c r="W67">
        <f t="shared" ref="W67:W130" si="8">ABS(N67)</f>
        <v>2.1</v>
      </c>
      <c r="AA67">
        <f t="shared" ref="AA67:AA130" si="9">AVERAGE(U67:Y67)</f>
        <v>1.7</v>
      </c>
      <c r="AB67">
        <f t="shared" ref="AB67:AB130" si="10">MAX(U67:Y67)</f>
        <v>2.1</v>
      </c>
    </row>
    <row r="68" spans="1:28">
      <c r="A68" t="s">
        <v>181</v>
      </c>
      <c r="B68" t="s">
        <v>146</v>
      </c>
      <c r="C68" t="s">
        <v>150</v>
      </c>
      <c r="D68" t="s">
        <v>151</v>
      </c>
      <c r="E68">
        <v>5</v>
      </c>
      <c r="G68">
        <v>24</v>
      </c>
      <c r="H68">
        <v>-1.7</v>
      </c>
      <c r="I68">
        <v>421</v>
      </c>
      <c r="J68">
        <v>626</v>
      </c>
      <c r="K68">
        <v>1.1000000000000001</v>
      </c>
      <c r="L68">
        <v>842</v>
      </c>
      <c r="M68">
        <v>1217</v>
      </c>
      <c r="N68">
        <v>-1.7</v>
      </c>
      <c r="O68">
        <v>1559</v>
      </c>
      <c r="P68">
        <v>1840</v>
      </c>
      <c r="Q68">
        <v>1.8</v>
      </c>
      <c r="R68">
        <v>2131</v>
      </c>
      <c r="U68">
        <f t="shared" si="6"/>
        <v>1.7</v>
      </c>
      <c r="V68">
        <f t="shared" si="7"/>
        <v>1.1000000000000001</v>
      </c>
      <c r="W68">
        <f t="shared" si="8"/>
        <v>1.7</v>
      </c>
      <c r="X68">
        <f t="shared" ref="X68:X130" si="11">ABS(Q68)</f>
        <v>1.8</v>
      </c>
      <c r="AA68">
        <f t="shared" si="9"/>
        <v>1.575</v>
      </c>
      <c r="AB68">
        <f t="shared" si="10"/>
        <v>1.8</v>
      </c>
    </row>
    <row r="69" spans="1:28">
      <c r="A69" t="s">
        <v>181</v>
      </c>
      <c r="B69" t="s">
        <v>146</v>
      </c>
      <c r="C69" t="s">
        <v>150</v>
      </c>
      <c r="D69" t="s">
        <v>151</v>
      </c>
      <c r="E69">
        <v>6</v>
      </c>
      <c r="G69">
        <v>102</v>
      </c>
      <c r="H69">
        <v>-1.7</v>
      </c>
      <c r="I69">
        <v>506</v>
      </c>
      <c r="J69">
        <v>714</v>
      </c>
      <c r="K69">
        <v>1</v>
      </c>
      <c r="L69">
        <v>935</v>
      </c>
      <c r="M69">
        <v>1303</v>
      </c>
      <c r="N69">
        <v>-1.4</v>
      </c>
      <c r="O69">
        <v>1640</v>
      </c>
      <c r="P69">
        <v>1917</v>
      </c>
      <c r="Q69">
        <v>1.4</v>
      </c>
      <c r="R69">
        <v>2159</v>
      </c>
      <c r="U69">
        <f t="shared" si="6"/>
        <v>1.7</v>
      </c>
      <c r="V69">
        <f t="shared" si="7"/>
        <v>1</v>
      </c>
      <c r="W69">
        <f t="shared" si="8"/>
        <v>1.4</v>
      </c>
      <c r="X69">
        <f t="shared" si="11"/>
        <v>1.4</v>
      </c>
      <c r="AA69">
        <f t="shared" si="9"/>
        <v>1.375</v>
      </c>
      <c r="AB69">
        <f t="shared" si="10"/>
        <v>1.7</v>
      </c>
    </row>
    <row r="70" spans="1:28">
      <c r="A70" t="s">
        <v>181</v>
      </c>
      <c r="B70" t="s">
        <v>146</v>
      </c>
      <c r="C70" t="s">
        <v>150</v>
      </c>
      <c r="D70" t="s">
        <v>151</v>
      </c>
      <c r="E70">
        <v>7</v>
      </c>
      <c r="G70">
        <v>141</v>
      </c>
      <c r="H70">
        <v>-1.7</v>
      </c>
      <c r="I70">
        <v>554</v>
      </c>
      <c r="J70">
        <v>804</v>
      </c>
      <c r="K70">
        <v>1</v>
      </c>
      <c r="L70">
        <v>1032</v>
      </c>
      <c r="M70">
        <v>1351</v>
      </c>
      <c r="N70">
        <v>-1.1000000000000001</v>
      </c>
      <c r="O70">
        <v>1725</v>
      </c>
      <c r="P70">
        <v>1955</v>
      </c>
      <c r="Q70">
        <v>1.1000000000000001</v>
      </c>
      <c r="R70">
        <v>2227</v>
      </c>
      <c r="U70">
        <f t="shared" si="6"/>
        <v>1.7</v>
      </c>
      <c r="V70">
        <f t="shared" si="7"/>
        <v>1</v>
      </c>
      <c r="W70">
        <f t="shared" si="8"/>
        <v>1.1000000000000001</v>
      </c>
      <c r="X70">
        <f t="shared" si="11"/>
        <v>1.1000000000000001</v>
      </c>
      <c r="AA70">
        <f t="shared" si="9"/>
        <v>1.2250000000000001</v>
      </c>
      <c r="AB70">
        <f t="shared" si="10"/>
        <v>1.7</v>
      </c>
    </row>
    <row r="71" spans="1:28">
      <c r="A71" t="s">
        <v>181</v>
      </c>
      <c r="B71" t="s">
        <v>146</v>
      </c>
      <c r="C71" t="s">
        <v>150</v>
      </c>
      <c r="D71" t="s">
        <v>151</v>
      </c>
      <c r="E71">
        <v>8</v>
      </c>
      <c r="G71">
        <v>223</v>
      </c>
      <c r="H71">
        <v>-1.7</v>
      </c>
      <c r="I71">
        <v>645</v>
      </c>
      <c r="J71">
        <v>858</v>
      </c>
      <c r="K71">
        <v>1</v>
      </c>
      <c r="L71">
        <v>1134</v>
      </c>
      <c r="M71">
        <v>1445</v>
      </c>
      <c r="N71">
        <v>-0.9</v>
      </c>
      <c r="O71">
        <v>1817</v>
      </c>
      <c r="P71">
        <v>2036</v>
      </c>
      <c r="Q71">
        <v>0.8</v>
      </c>
      <c r="R71">
        <v>2255</v>
      </c>
      <c r="U71">
        <f t="shared" si="6"/>
        <v>1.7</v>
      </c>
      <c r="V71">
        <f t="shared" si="7"/>
        <v>1</v>
      </c>
      <c r="W71">
        <f t="shared" si="8"/>
        <v>0.9</v>
      </c>
      <c r="X71">
        <f t="shared" si="11"/>
        <v>0.8</v>
      </c>
      <c r="AA71">
        <f t="shared" si="9"/>
        <v>1.1000000000000001</v>
      </c>
      <c r="AB71">
        <f t="shared" si="10"/>
        <v>1.7</v>
      </c>
    </row>
    <row r="72" spans="1:28">
      <c r="A72" t="s">
        <v>181</v>
      </c>
      <c r="B72" t="s">
        <v>146</v>
      </c>
      <c r="C72" t="s">
        <v>150</v>
      </c>
      <c r="D72" t="s">
        <v>151</v>
      </c>
      <c r="E72">
        <v>9</v>
      </c>
      <c r="G72">
        <v>308</v>
      </c>
      <c r="H72">
        <v>-1.6</v>
      </c>
      <c r="I72">
        <v>739</v>
      </c>
      <c r="J72">
        <v>959</v>
      </c>
      <c r="K72">
        <v>0.9</v>
      </c>
      <c r="L72">
        <v>1246</v>
      </c>
      <c r="M72">
        <v>1548</v>
      </c>
      <c r="N72">
        <v>-0.7</v>
      </c>
      <c r="O72">
        <v>1921</v>
      </c>
      <c r="P72">
        <v>2124</v>
      </c>
      <c r="Q72">
        <v>0.6</v>
      </c>
      <c r="R72">
        <v>2325</v>
      </c>
      <c r="U72">
        <f t="shared" si="6"/>
        <v>1.6</v>
      </c>
      <c r="V72">
        <f t="shared" si="7"/>
        <v>0.9</v>
      </c>
      <c r="W72">
        <f t="shared" si="8"/>
        <v>0.7</v>
      </c>
      <c r="X72">
        <f t="shared" si="11"/>
        <v>0.6</v>
      </c>
      <c r="AA72">
        <f t="shared" si="9"/>
        <v>0.95000000000000007</v>
      </c>
      <c r="AB72">
        <f t="shared" si="10"/>
        <v>1.6</v>
      </c>
    </row>
    <row r="73" spans="1:28">
      <c r="A73" t="s">
        <v>181</v>
      </c>
      <c r="B73" t="s">
        <v>146</v>
      </c>
      <c r="C73" t="s">
        <v>150</v>
      </c>
      <c r="D73" t="s">
        <v>151</v>
      </c>
      <c r="E73">
        <v>10</v>
      </c>
      <c r="G73">
        <v>359</v>
      </c>
      <c r="H73">
        <v>-1.6</v>
      </c>
      <c r="I73">
        <v>835</v>
      </c>
      <c r="J73">
        <v>1104</v>
      </c>
      <c r="K73">
        <v>1</v>
      </c>
      <c r="L73">
        <v>1405</v>
      </c>
      <c r="M73">
        <v>1703</v>
      </c>
      <c r="N73">
        <v>-0.6</v>
      </c>
      <c r="O73">
        <v>2043</v>
      </c>
      <c r="P73">
        <v>2222</v>
      </c>
      <c r="Q73">
        <v>0.3</v>
      </c>
      <c r="U73">
        <f t="shared" si="6"/>
        <v>1.6</v>
      </c>
      <c r="V73">
        <f t="shared" si="7"/>
        <v>1</v>
      </c>
      <c r="W73">
        <f t="shared" si="8"/>
        <v>0.6</v>
      </c>
      <c r="X73">
        <f t="shared" si="11"/>
        <v>0.3</v>
      </c>
      <c r="AA73">
        <f t="shared" si="9"/>
        <v>0.875</v>
      </c>
      <c r="AB73">
        <f t="shared" si="10"/>
        <v>1.6</v>
      </c>
    </row>
    <row r="74" spans="1:28">
      <c r="A74" t="s">
        <v>181</v>
      </c>
      <c r="B74" t="s">
        <v>146</v>
      </c>
      <c r="C74" t="s">
        <v>150</v>
      </c>
      <c r="D74" t="s">
        <v>151</v>
      </c>
      <c r="E74">
        <v>11</v>
      </c>
      <c r="F74" s="14">
        <v>1</v>
      </c>
      <c r="G74">
        <v>456</v>
      </c>
      <c r="H74">
        <v>-1.6</v>
      </c>
      <c r="I74">
        <v>929</v>
      </c>
      <c r="J74">
        <v>1209</v>
      </c>
      <c r="K74">
        <v>1.1000000000000001</v>
      </c>
      <c r="L74">
        <v>1521</v>
      </c>
      <c r="M74">
        <v>1819</v>
      </c>
      <c r="N74">
        <v>-0.7</v>
      </c>
      <c r="O74">
        <v>2212</v>
      </c>
      <c r="P74">
        <v>2328</v>
      </c>
      <c r="Q74">
        <v>0.2</v>
      </c>
      <c r="U74">
        <f t="shared" si="6"/>
        <v>1.6</v>
      </c>
      <c r="V74">
        <f t="shared" si="7"/>
        <v>1.1000000000000001</v>
      </c>
      <c r="W74">
        <f t="shared" si="8"/>
        <v>0.7</v>
      </c>
      <c r="X74">
        <f t="shared" si="11"/>
        <v>0.2</v>
      </c>
      <c r="AA74">
        <f t="shared" si="9"/>
        <v>0.90000000000000013</v>
      </c>
      <c r="AB74">
        <f t="shared" si="10"/>
        <v>1.6</v>
      </c>
    </row>
    <row r="75" spans="1:28">
      <c r="A75" t="s">
        <v>181</v>
      </c>
      <c r="B75" t="s">
        <v>146</v>
      </c>
      <c r="C75" t="s">
        <v>150</v>
      </c>
      <c r="D75" t="s">
        <v>151</v>
      </c>
      <c r="E75">
        <v>12</v>
      </c>
      <c r="F75" s="14">
        <v>46</v>
      </c>
      <c r="G75">
        <v>554</v>
      </c>
      <c r="H75">
        <v>-1.6</v>
      </c>
      <c r="I75">
        <v>1019</v>
      </c>
      <c r="J75">
        <v>1307</v>
      </c>
      <c r="K75">
        <v>1.3</v>
      </c>
      <c r="L75">
        <v>1624</v>
      </c>
      <c r="M75">
        <v>1924</v>
      </c>
      <c r="N75">
        <v>-0.8</v>
      </c>
      <c r="O75">
        <v>2326</v>
      </c>
      <c r="U75">
        <f t="shared" si="6"/>
        <v>1.6</v>
      </c>
      <c r="V75">
        <f t="shared" si="7"/>
        <v>1.3</v>
      </c>
      <c r="W75">
        <f t="shared" si="8"/>
        <v>0.8</v>
      </c>
      <c r="AA75">
        <f t="shared" si="9"/>
        <v>1.2333333333333334</v>
      </c>
      <c r="AB75">
        <f t="shared" si="10"/>
        <v>1.6</v>
      </c>
    </row>
    <row r="76" spans="1:28">
      <c r="A76" t="s">
        <v>181</v>
      </c>
      <c r="B76" t="s">
        <v>146</v>
      </c>
      <c r="C76" t="s">
        <v>150</v>
      </c>
      <c r="D76" t="s">
        <v>151</v>
      </c>
      <c r="E76">
        <v>13</v>
      </c>
      <c r="G76">
        <v>33</v>
      </c>
      <c r="H76">
        <v>0.2</v>
      </c>
      <c r="I76">
        <v>146</v>
      </c>
      <c r="J76">
        <v>649</v>
      </c>
      <c r="K76">
        <v>-1.6</v>
      </c>
      <c r="L76">
        <v>1105</v>
      </c>
      <c r="M76">
        <v>1357</v>
      </c>
      <c r="N76">
        <v>1.5</v>
      </c>
      <c r="O76">
        <v>1714</v>
      </c>
      <c r="P76">
        <v>2016</v>
      </c>
      <c r="Q76">
        <v>-0.9</v>
      </c>
      <c r="U76">
        <f t="shared" si="6"/>
        <v>0.2</v>
      </c>
      <c r="V76">
        <f t="shared" si="7"/>
        <v>1.6</v>
      </c>
      <c r="W76">
        <f t="shared" si="8"/>
        <v>1.5</v>
      </c>
      <c r="X76">
        <f t="shared" si="11"/>
        <v>0.9</v>
      </c>
      <c r="AA76">
        <f t="shared" si="9"/>
        <v>1.05</v>
      </c>
      <c r="AB76">
        <f t="shared" si="10"/>
        <v>1.6</v>
      </c>
    </row>
    <row r="77" spans="1:28">
      <c r="A77" t="s">
        <v>181</v>
      </c>
      <c r="B77" t="s">
        <v>146</v>
      </c>
      <c r="C77" t="s">
        <v>150</v>
      </c>
      <c r="D77" t="s">
        <v>151</v>
      </c>
      <c r="E77">
        <v>14</v>
      </c>
      <c r="F77" s="14">
        <v>16</v>
      </c>
      <c r="G77">
        <v>132</v>
      </c>
      <c r="H77">
        <v>0.3</v>
      </c>
      <c r="I77">
        <v>252</v>
      </c>
      <c r="J77">
        <v>739</v>
      </c>
      <c r="K77">
        <v>-1.7</v>
      </c>
      <c r="L77">
        <v>1146</v>
      </c>
      <c r="M77">
        <v>1439</v>
      </c>
      <c r="N77">
        <v>1.7</v>
      </c>
      <c r="O77">
        <v>1754</v>
      </c>
      <c r="P77">
        <v>2058</v>
      </c>
      <c r="Q77">
        <v>-1.1000000000000001</v>
      </c>
      <c r="U77">
        <f t="shared" si="6"/>
        <v>0.3</v>
      </c>
      <c r="V77">
        <f t="shared" si="7"/>
        <v>1.7</v>
      </c>
      <c r="W77">
        <f t="shared" si="8"/>
        <v>1.7</v>
      </c>
      <c r="X77">
        <f t="shared" si="11"/>
        <v>1.1000000000000001</v>
      </c>
      <c r="AA77">
        <f t="shared" si="9"/>
        <v>1.2000000000000002</v>
      </c>
      <c r="AB77">
        <f t="shared" si="10"/>
        <v>1.7</v>
      </c>
    </row>
    <row r="78" spans="1:28">
      <c r="A78" t="s">
        <v>181</v>
      </c>
      <c r="B78" t="s">
        <v>146</v>
      </c>
      <c r="C78" t="s">
        <v>150</v>
      </c>
      <c r="D78" t="s">
        <v>151</v>
      </c>
      <c r="E78">
        <v>15</v>
      </c>
      <c r="F78" s="14">
        <v>53</v>
      </c>
      <c r="G78">
        <v>222</v>
      </c>
      <c r="H78">
        <v>0.4</v>
      </c>
      <c r="I78">
        <v>355</v>
      </c>
      <c r="J78">
        <v>824</v>
      </c>
      <c r="K78">
        <v>-1.8</v>
      </c>
      <c r="L78">
        <v>1225</v>
      </c>
      <c r="M78">
        <v>1517</v>
      </c>
      <c r="N78">
        <v>1.8</v>
      </c>
      <c r="O78">
        <v>1829</v>
      </c>
      <c r="P78">
        <v>2135</v>
      </c>
      <c r="Q78">
        <v>-1.3</v>
      </c>
      <c r="U78">
        <f t="shared" si="6"/>
        <v>0.4</v>
      </c>
      <c r="V78">
        <f t="shared" si="7"/>
        <v>1.8</v>
      </c>
      <c r="W78">
        <f t="shared" si="8"/>
        <v>1.8</v>
      </c>
      <c r="X78">
        <f t="shared" si="11"/>
        <v>1.3</v>
      </c>
      <c r="AA78">
        <f t="shared" si="9"/>
        <v>1.325</v>
      </c>
      <c r="AB78">
        <f t="shared" si="10"/>
        <v>1.8</v>
      </c>
    </row>
    <row r="79" spans="1:28">
      <c r="A79" t="s">
        <v>181</v>
      </c>
      <c r="B79" t="s">
        <v>146</v>
      </c>
      <c r="C79" t="s">
        <v>150</v>
      </c>
      <c r="D79" t="s">
        <v>151</v>
      </c>
      <c r="E79">
        <v>16</v>
      </c>
      <c r="F79" s="14">
        <v>126</v>
      </c>
      <c r="G79">
        <v>307</v>
      </c>
      <c r="H79">
        <v>0.6</v>
      </c>
      <c r="I79">
        <v>453</v>
      </c>
      <c r="J79">
        <v>906</v>
      </c>
      <c r="K79">
        <v>-1.9</v>
      </c>
      <c r="L79">
        <v>1302</v>
      </c>
      <c r="M79">
        <v>1552</v>
      </c>
      <c r="N79">
        <v>1.9</v>
      </c>
      <c r="O79">
        <v>1859</v>
      </c>
      <c r="P79">
        <v>2208</v>
      </c>
      <c r="Q79">
        <v>-1.4</v>
      </c>
      <c r="U79">
        <f t="shared" si="6"/>
        <v>0.6</v>
      </c>
      <c r="V79">
        <f t="shared" si="7"/>
        <v>1.9</v>
      </c>
      <c r="W79">
        <f t="shared" si="8"/>
        <v>1.9</v>
      </c>
      <c r="X79">
        <f t="shared" si="11"/>
        <v>1.4</v>
      </c>
      <c r="AA79">
        <f t="shared" si="9"/>
        <v>1.4500000000000002</v>
      </c>
      <c r="AB79">
        <f t="shared" si="10"/>
        <v>1.9</v>
      </c>
    </row>
    <row r="80" spans="1:28">
      <c r="A80" t="s">
        <v>181</v>
      </c>
      <c r="B80" t="s">
        <v>146</v>
      </c>
      <c r="C80" t="s">
        <v>150</v>
      </c>
      <c r="D80" t="s">
        <v>151</v>
      </c>
      <c r="E80">
        <v>17</v>
      </c>
      <c r="F80" s="14">
        <v>157</v>
      </c>
      <c r="G80">
        <v>349</v>
      </c>
      <c r="H80">
        <v>0.8</v>
      </c>
      <c r="I80">
        <v>548</v>
      </c>
      <c r="J80">
        <v>947</v>
      </c>
      <c r="K80">
        <v>-1.9</v>
      </c>
      <c r="L80">
        <v>1338</v>
      </c>
      <c r="M80">
        <v>1625</v>
      </c>
      <c r="N80">
        <v>2</v>
      </c>
      <c r="O80">
        <v>1927</v>
      </c>
      <c r="P80">
        <v>2240</v>
      </c>
      <c r="Q80">
        <v>-1.6</v>
      </c>
      <c r="U80">
        <f t="shared" si="6"/>
        <v>0.8</v>
      </c>
      <c r="V80">
        <f t="shared" si="7"/>
        <v>1.9</v>
      </c>
      <c r="W80">
        <f t="shared" si="8"/>
        <v>2</v>
      </c>
      <c r="X80">
        <f t="shared" si="11"/>
        <v>1.6</v>
      </c>
      <c r="AA80">
        <f t="shared" si="9"/>
        <v>1.5750000000000002</v>
      </c>
      <c r="AB80">
        <f t="shared" si="10"/>
        <v>2</v>
      </c>
    </row>
    <row r="81" spans="1:28">
      <c r="A81" t="s">
        <v>181</v>
      </c>
      <c r="B81" t="s">
        <v>146</v>
      </c>
      <c r="C81" t="s">
        <v>150</v>
      </c>
      <c r="D81" t="s">
        <v>151</v>
      </c>
      <c r="E81">
        <v>18</v>
      </c>
      <c r="F81" s="14">
        <v>229</v>
      </c>
      <c r="G81">
        <v>431</v>
      </c>
      <c r="H81">
        <v>1</v>
      </c>
      <c r="I81">
        <v>640</v>
      </c>
      <c r="J81">
        <v>1028</v>
      </c>
      <c r="K81">
        <v>-1.9</v>
      </c>
      <c r="L81">
        <v>1414</v>
      </c>
      <c r="M81">
        <v>1658</v>
      </c>
      <c r="N81">
        <v>2</v>
      </c>
      <c r="O81">
        <v>1954</v>
      </c>
      <c r="P81">
        <v>2313</v>
      </c>
      <c r="Q81">
        <v>-1.7</v>
      </c>
      <c r="U81">
        <f t="shared" si="6"/>
        <v>1</v>
      </c>
      <c r="V81">
        <f t="shared" si="7"/>
        <v>1.9</v>
      </c>
      <c r="W81">
        <f t="shared" si="8"/>
        <v>2</v>
      </c>
      <c r="X81">
        <f t="shared" si="11"/>
        <v>1.7</v>
      </c>
      <c r="AA81">
        <f t="shared" si="9"/>
        <v>1.6500000000000001</v>
      </c>
      <c r="AB81">
        <f t="shared" si="10"/>
        <v>2</v>
      </c>
    </row>
    <row r="82" spans="1:28">
      <c r="A82" t="s">
        <v>181</v>
      </c>
      <c r="B82" t="s">
        <v>146</v>
      </c>
      <c r="C82" t="s">
        <v>150</v>
      </c>
      <c r="D82" t="s">
        <v>151</v>
      </c>
      <c r="E82">
        <v>19</v>
      </c>
      <c r="F82" s="14">
        <v>303</v>
      </c>
      <c r="G82">
        <v>513</v>
      </c>
      <c r="H82">
        <v>1.2</v>
      </c>
      <c r="I82">
        <v>733</v>
      </c>
      <c r="J82">
        <v>1109</v>
      </c>
      <c r="K82">
        <v>-1.8</v>
      </c>
      <c r="L82">
        <v>1452</v>
      </c>
      <c r="M82">
        <v>1732</v>
      </c>
      <c r="N82">
        <v>1.8</v>
      </c>
      <c r="O82">
        <v>2021</v>
      </c>
      <c r="P82">
        <v>2347</v>
      </c>
      <c r="Q82">
        <v>-1.9</v>
      </c>
      <c r="U82">
        <f t="shared" si="6"/>
        <v>1.2</v>
      </c>
      <c r="V82">
        <f t="shared" si="7"/>
        <v>1.8</v>
      </c>
      <c r="W82">
        <f t="shared" si="8"/>
        <v>1.8</v>
      </c>
      <c r="X82">
        <f t="shared" si="11"/>
        <v>1.9</v>
      </c>
      <c r="AA82">
        <f t="shared" si="9"/>
        <v>1.6749999999999998</v>
      </c>
      <c r="AB82">
        <f t="shared" si="10"/>
        <v>1.9</v>
      </c>
    </row>
    <row r="83" spans="1:28">
      <c r="A83" t="s">
        <v>181</v>
      </c>
      <c r="B83" t="s">
        <v>146</v>
      </c>
      <c r="C83" t="s">
        <v>150</v>
      </c>
      <c r="D83" t="s">
        <v>151</v>
      </c>
      <c r="E83">
        <v>20</v>
      </c>
      <c r="F83" s="14">
        <v>340</v>
      </c>
      <c r="G83">
        <v>557</v>
      </c>
      <c r="H83">
        <v>1.4</v>
      </c>
      <c r="I83">
        <v>827</v>
      </c>
      <c r="J83">
        <v>1153</v>
      </c>
      <c r="K83">
        <v>-1.7</v>
      </c>
      <c r="L83">
        <v>1532</v>
      </c>
      <c r="M83">
        <v>1808</v>
      </c>
      <c r="N83">
        <v>1.7</v>
      </c>
      <c r="O83">
        <v>2049</v>
      </c>
      <c r="U83">
        <f t="shared" si="6"/>
        <v>1.4</v>
      </c>
      <c r="V83">
        <f t="shared" si="7"/>
        <v>1.7</v>
      </c>
      <c r="W83">
        <f t="shared" si="8"/>
        <v>1.7</v>
      </c>
      <c r="AA83">
        <f t="shared" si="9"/>
        <v>1.5999999999999999</v>
      </c>
      <c r="AB83">
        <f t="shared" si="10"/>
        <v>1.7</v>
      </c>
    </row>
    <row r="84" spans="1:28">
      <c r="A84" t="s">
        <v>181</v>
      </c>
      <c r="B84" t="s">
        <v>146</v>
      </c>
      <c r="C84" t="s">
        <v>150</v>
      </c>
      <c r="D84" t="s">
        <v>151</v>
      </c>
      <c r="E84">
        <v>21</v>
      </c>
      <c r="G84">
        <v>24</v>
      </c>
      <c r="H84">
        <v>-2</v>
      </c>
      <c r="I84">
        <v>422</v>
      </c>
      <c r="J84">
        <v>645</v>
      </c>
      <c r="K84">
        <v>1.5</v>
      </c>
      <c r="L84">
        <v>924</v>
      </c>
      <c r="M84">
        <v>1241</v>
      </c>
      <c r="N84">
        <v>-1.5</v>
      </c>
      <c r="O84">
        <v>1616</v>
      </c>
      <c r="P84">
        <v>1846</v>
      </c>
      <c r="Q84">
        <v>1.5</v>
      </c>
      <c r="R84">
        <v>2120</v>
      </c>
      <c r="U84">
        <f t="shared" si="6"/>
        <v>2</v>
      </c>
      <c r="V84">
        <f t="shared" si="7"/>
        <v>1.5</v>
      </c>
      <c r="W84">
        <f t="shared" si="8"/>
        <v>1.5</v>
      </c>
      <c r="X84">
        <f t="shared" si="11"/>
        <v>1.5</v>
      </c>
      <c r="AA84">
        <f t="shared" si="9"/>
        <v>1.625</v>
      </c>
      <c r="AB84">
        <f t="shared" si="10"/>
        <v>2</v>
      </c>
    </row>
    <row r="85" spans="1:28">
      <c r="A85" t="s">
        <v>181</v>
      </c>
      <c r="B85" t="s">
        <v>146</v>
      </c>
      <c r="C85" t="s">
        <v>150</v>
      </c>
      <c r="D85" t="s">
        <v>151</v>
      </c>
      <c r="E85">
        <v>22</v>
      </c>
      <c r="G85">
        <v>106</v>
      </c>
      <c r="H85">
        <v>-2</v>
      </c>
      <c r="I85">
        <v>509</v>
      </c>
      <c r="J85">
        <v>738</v>
      </c>
      <c r="K85">
        <v>1.5</v>
      </c>
      <c r="L85">
        <v>1026</v>
      </c>
      <c r="M85">
        <v>1334</v>
      </c>
      <c r="N85">
        <v>-1.3</v>
      </c>
      <c r="O85">
        <v>1706</v>
      </c>
      <c r="P85">
        <v>1929</v>
      </c>
      <c r="Q85">
        <v>1.2</v>
      </c>
      <c r="R85">
        <v>2154</v>
      </c>
      <c r="U85">
        <f t="shared" si="6"/>
        <v>2</v>
      </c>
      <c r="V85">
        <f t="shared" si="7"/>
        <v>1.5</v>
      </c>
      <c r="W85">
        <f t="shared" si="8"/>
        <v>1.3</v>
      </c>
      <c r="X85">
        <f t="shared" si="11"/>
        <v>1.2</v>
      </c>
      <c r="AA85">
        <f t="shared" si="9"/>
        <v>1.5</v>
      </c>
      <c r="AB85">
        <f t="shared" si="10"/>
        <v>2</v>
      </c>
    </row>
    <row r="86" spans="1:28">
      <c r="A86" t="s">
        <v>181</v>
      </c>
      <c r="B86" t="s">
        <v>146</v>
      </c>
      <c r="C86" t="s">
        <v>150</v>
      </c>
      <c r="D86" t="s">
        <v>151</v>
      </c>
      <c r="E86">
        <v>23</v>
      </c>
      <c r="G86">
        <v>152</v>
      </c>
      <c r="H86">
        <v>-2</v>
      </c>
      <c r="I86">
        <v>603</v>
      </c>
      <c r="J86">
        <v>837</v>
      </c>
      <c r="K86">
        <v>1.5</v>
      </c>
      <c r="L86">
        <v>1135</v>
      </c>
      <c r="M86">
        <v>1436</v>
      </c>
      <c r="N86">
        <v>-1.1000000000000001</v>
      </c>
      <c r="O86">
        <v>1806</v>
      </c>
      <c r="P86">
        <v>2019</v>
      </c>
      <c r="Q86">
        <v>1</v>
      </c>
      <c r="R86">
        <v>2233</v>
      </c>
      <c r="U86">
        <f t="shared" si="6"/>
        <v>2</v>
      </c>
      <c r="V86">
        <f t="shared" si="7"/>
        <v>1.5</v>
      </c>
      <c r="W86">
        <f t="shared" si="8"/>
        <v>1.1000000000000001</v>
      </c>
      <c r="X86">
        <f t="shared" si="11"/>
        <v>1</v>
      </c>
      <c r="AA86">
        <f t="shared" si="9"/>
        <v>1.4</v>
      </c>
      <c r="AB86">
        <f t="shared" si="10"/>
        <v>2</v>
      </c>
    </row>
    <row r="87" spans="1:28">
      <c r="A87" t="s">
        <v>181</v>
      </c>
      <c r="B87" t="s">
        <v>146</v>
      </c>
      <c r="C87" t="s">
        <v>150</v>
      </c>
      <c r="D87" t="s">
        <v>151</v>
      </c>
      <c r="E87">
        <v>24</v>
      </c>
      <c r="G87">
        <v>246</v>
      </c>
      <c r="H87">
        <v>-2</v>
      </c>
      <c r="I87">
        <v>703</v>
      </c>
      <c r="J87">
        <v>943</v>
      </c>
      <c r="K87">
        <v>1.5</v>
      </c>
      <c r="L87">
        <v>1253</v>
      </c>
      <c r="M87">
        <v>1548</v>
      </c>
      <c r="N87">
        <v>-0.9</v>
      </c>
      <c r="O87">
        <v>1920</v>
      </c>
      <c r="P87">
        <v>2120</v>
      </c>
      <c r="Q87">
        <v>0.7</v>
      </c>
      <c r="R87">
        <v>2319</v>
      </c>
      <c r="U87">
        <f t="shared" si="6"/>
        <v>2</v>
      </c>
      <c r="V87">
        <f t="shared" si="7"/>
        <v>1.5</v>
      </c>
      <c r="W87">
        <f t="shared" si="8"/>
        <v>0.9</v>
      </c>
      <c r="X87">
        <f t="shared" si="11"/>
        <v>0.7</v>
      </c>
      <c r="AA87">
        <f t="shared" si="9"/>
        <v>1.2750000000000001</v>
      </c>
      <c r="AB87">
        <f t="shared" si="10"/>
        <v>2</v>
      </c>
    </row>
    <row r="88" spans="1:28">
      <c r="A88" t="s">
        <v>181</v>
      </c>
      <c r="B88" t="s">
        <v>146</v>
      </c>
      <c r="C88" t="s">
        <v>150</v>
      </c>
      <c r="D88" t="s">
        <v>151</v>
      </c>
      <c r="E88">
        <v>25</v>
      </c>
      <c r="G88">
        <v>348</v>
      </c>
      <c r="H88">
        <v>-1.9</v>
      </c>
      <c r="I88">
        <v>808</v>
      </c>
      <c r="J88">
        <v>1056</v>
      </c>
      <c r="K88">
        <v>1.6</v>
      </c>
      <c r="L88">
        <v>1414</v>
      </c>
      <c r="M88">
        <v>1709</v>
      </c>
      <c r="N88">
        <v>-0.9</v>
      </c>
      <c r="O88">
        <v>2048</v>
      </c>
      <c r="P88">
        <v>2233</v>
      </c>
      <c r="Q88">
        <v>0.5</v>
      </c>
      <c r="U88">
        <f t="shared" si="6"/>
        <v>1.9</v>
      </c>
      <c r="V88">
        <f t="shared" si="7"/>
        <v>1.6</v>
      </c>
      <c r="W88">
        <f t="shared" si="8"/>
        <v>0.9</v>
      </c>
      <c r="X88">
        <f t="shared" si="11"/>
        <v>0.5</v>
      </c>
      <c r="AA88">
        <f t="shared" si="9"/>
        <v>1.2250000000000001</v>
      </c>
      <c r="AB88">
        <f t="shared" si="10"/>
        <v>1.9</v>
      </c>
    </row>
    <row r="89" spans="1:28">
      <c r="A89" t="s">
        <v>181</v>
      </c>
      <c r="B89" t="s">
        <v>146</v>
      </c>
      <c r="C89" t="s">
        <v>150</v>
      </c>
      <c r="D89" t="s">
        <v>151</v>
      </c>
      <c r="E89">
        <v>26</v>
      </c>
      <c r="F89" s="14">
        <v>18</v>
      </c>
      <c r="G89">
        <v>458</v>
      </c>
      <c r="H89">
        <v>-1.9</v>
      </c>
      <c r="I89">
        <v>914</v>
      </c>
      <c r="J89">
        <v>1208</v>
      </c>
      <c r="K89">
        <v>1.7</v>
      </c>
      <c r="L89">
        <v>1528</v>
      </c>
      <c r="M89">
        <v>1827</v>
      </c>
      <c r="N89">
        <v>-1</v>
      </c>
      <c r="O89">
        <v>2214</v>
      </c>
      <c r="P89">
        <v>2352</v>
      </c>
      <c r="Q89">
        <v>0.5</v>
      </c>
      <c r="U89">
        <f t="shared" si="6"/>
        <v>1.9</v>
      </c>
      <c r="V89">
        <f t="shared" si="7"/>
        <v>1.7</v>
      </c>
      <c r="W89">
        <f t="shared" si="8"/>
        <v>1</v>
      </c>
      <c r="X89">
        <f t="shared" si="11"/>
        <v>0.5</v>
      </c>
      <c r="AA89">
        <f t="shared" si="9"/>
        <v>1.2749999999999999</v>
      </c>
      <c r="AB89">
        <f t="shared" si="10"/>
        <v>1.9</v>
      </c>
    </row>
    <row r="90" spans="1:28">
      <c r="A90" t="s">
        <v>181</v>
      </c>
      <c r="B90" t="s">
        <v>146</v>
      </c>
      <c r="C90" t="s">
        <v>150</v>
      </c>
      <c r="D90" t="s">
        <v>151</v>
      </c>
      <c r="E90">
        <v>27</v>
      </c>
      <c r="F90" s="14">
        <v>132</v>
      </c>
      <c r="G90">
        <v>608</v>
      </c>
      <c r="H90">
        <v>-1.9</v>
      </c>
      <c r="I90">
        <v>1017</v>
      </c>
      <c r="J90">
        <v>1312</v>
      </c>
      <c r="K90">
        <v>1.8</v>
      </c>
      <c r="L90">
        <v>1630</v>
      </c>
      <c r="M90">
        <v>1933</v>
      </c>
      <c r="N90">
        <v>-1.1000000000000001</v>
      </c>
      <c r="O90">
        <v>2322</v>
      </c>
      <c r="U90">
        <f t="shared" si="6"/>
        <v>1.9</v>
      </c>
      <c r="V90">
        <f t="shared" si="7"/>
        <v>1.8</v>
      </c>
      <c r="W90">
        <f t="shared" si="8"/>
        <v>1.1000000000000001</v>
      </c>
      <c r="AA90">
        <f t="shared" si="9"/>
        <v>1.6000000000000003</v>
      </c>
      <c r="AB90">
        <f t="shared" si="10"/>
        <v>1.9</v>
      </c>
    </row>
    <row r="91" spans="1:28">
      <c r="A91" t="s">
        <v>181</v>
      </c>
      <c r="B91" t="s">
        <v>146</v>
      </c>
      <c r="C91" t="s">
        <v>150</v>
      </c>
      <c r="D91" t="s">
        <v>151</v>
      </c>
      <c r="E91">
        <v>28</v>
      </c>
      <c r="G91">
        <v>105</v>
      </c>
      <c r="H91">
        <v>0.6</v>
      </c>
      <c r="I91">
        <v>252</v>
      </c>
      <c r="J91">
        <v>714</v>
      </c>
      <c r="K91">
        <v>-2</v>
      </c>
      <c r="L91">
        <v>1115</v>
      </c>
      <c r="M91">
        <v>1408</v>
      </c>
      <c r="N91">
        <v>2</v>
      </c>
      <c r="O91">
        <v>1720</v>
      </c>
      <c r="P91">
        <v>2028</v>
      </c>
      <c r="Q91">
        <v>-1.4</v>
      </c>
      <c r="U91">
        <f t="shared" si="6"/>
        <v>0.6</v>
      </c>
      <c r="V91">
        <f t="shared" si="7"/>
        <v>2</v>
      </c>
      <c r="W91">
        <f t="shared" si="8"/>
        <v>2</v>
      </c>
      <c r="X91">
        <f t="shared" si="11"/>
        <v>1.4</v>
      </c>
      <c r="AA91">
        <f t="shared" si="9"/>
        <v>1.5</v>
      </c>
      <c r="AB91">
        <f t="shared" si="10"/>
        <v>2</v>
      </c>
    </row>
    <row r="92" spans="1:28">
      <c r="A92" t="s">
        <v>181</v>
      </c>
      <c r="B92" t="s">
        <v>146</v>
      </c>
      <c r="C92" t="s">
        <v>150</v>
      </c>
      <c r="D92" t="s">
        <v>151</v>
      </c>
      <c r="E92">
        <v>29</v>
      </c>
      <c r="F92" s="14">
        <v>15</v>
      </c>
      <c r="G92">
        <v>209</v>
      </c>
      <c r="H92">
        <v>0.8</v>
      </c>
      <c r="I92">
        <v>407</v>
      </c>
      <c r="J92">
        <v>812</v>
      </c>
      <c r="K92">
        <v>-2</v>
      </c>
      <c r="L92">
        <v>1207</v>
      </c>
      <c r="M92">
        <v>1457</v>
      </c>
      <c r="N92">
        <v>2.1</v>
      </c>
      <c r="O92">
        <v>1803</v>
      </c>
      <c r="P92">
        <v>2114</v>
      </c>
      <c r="Q92">
        <v>-1.6</v>
      </c>
      <c r="U92">
        <f t="shared" si="6"/>
        <v>0.8</v>
      </c>
      <c r="V92">
        <f t="shared" si="7"/>
        <v>2</v>
      </c>
      <c r="W92">
        <f t="shared" si="8"/>
        <v>2.1</v>
      </c>
      <c r="X92">
        <f t="shared" si="11"/>
        <v>1.6</v>
      </c>
      <c r="AA92">
        <f t="shared" si="9"/>
        <v>1.625</v>
      </c>
      <c r="AB92">
        <f t="shared" si="10"/>
        <v>2.1</v>
      </c>
    </row>
    <row r="93" spans="1:28">
      <c r="A93" t="s">
        <v>181</v>
      </c>
      <c r="B93" t="s">
        <v>146</v>
      </c>
      <c r="C93" t="s">
        <v>150</v>
      </c>
      <c r="D93" t="s">
        <v>151</v>
      </c>
      <c r="E93">
        <v>30</v>
      </c>
      <c r="F93" s="14">
        <v>101</v>
      </c>
      <c r="G93">
        <v>304</v>
      </c>
      <c r="H93">
        <v>1</v>
      </c>
      <c r="I93">
        <v>513</v>
      </c>
      <c r="J93">
        <v>905</v>
      </c>
      <c r="K93">
        <v>-2</v>
      </c>
      <c r="L93">
        <v>1254</v>
      </c>
      <c r="M93">
        <v>1540</v>
      </c>
      <c r="N93">
        <v>2.1</v>
      </c>
      <c r="O93">
        <v>1840</v>
      </c>
      <c r="P93">
        <v>2155</v>
      </c>
      <c r="Q93">
        <v>-1.7</v>
      </c>
      <c r="U93">
        <f t="shared" si="6"/>
        <v>1</v>
      </c>
      <c r="V93">
        <f t="shared" si="7"/>
        <v>2</v>
      </c>
      <c r="W93">
        <f t="shared" si="8"/>
        <v>2.1</v>
      </c>
      <c r="X93">
        <f t="shared" si="11"/>
        <v>1.7</v>
      </c>
      <c r="AA93">
        <f t="shared" si="9"/>
        <v>1.7</v>
      </c>
      <c r="AB93">
        <f t="shared" si="10"/>
        <v>2.1</v>
      </c>
    </row>
    <row r="94" spans="1:28">
      <c r="A94" t="s">
        <v>181</v>
      </c>
      <c r="B94" t="s">
        <v>146</v>
      </c>
      <c r="C94" t="s">
        <v>150</v>
      </c>
      <c r="D94" t="s">
        <v>151</v>
      </c>
      <c r="E94">
        <v>31</v>
      </c>
      <c r="F94" s="14">
        <v>142</v>
      </c>
      <c r="G94">
        <v>353</v>
      </c>
      <c r="H94">
        <v>1.3</v>
      </c>
      <c r="I94">
        <v>611</v>
      </c>
      <c r="J94">
        <v>952</v>
      </c>
      <c r="K94">
        <v>-1.9</v>
      </c>
      <c r="L94">
        <v>1338</v>
      </c>
      <c r="M94">
        <v>1620</v>
      </c>
      <c r="N94">
        <v>2</v>
      </c>
      <c r="O94">
        <v>1913</v>
      </c>
      <c r="P94">
        <v>2233</v>
      </c>
      <c r="Q94">
        <v>-1.8</v>
      </c>
      <c r="U94">
        <f t="shared" si="6"/>
        <v>1.3</v>
      </c>
      <c r="V94">
        <f t="shared" si="7"/>
        <v>1.9</v>
      </c>
      <c r="W94">
        <f t="shared" si="8"/>
        <v>2</v>
      </c>
      <c r="X94">
        <f t="shared" si="11"/>
        <v>1.8</v>
      </c>
      <c r="AA94">
        <f t="shared" si="9"/>
        <v>1.75</v>
      </c>
      <c r="AB94">
        <f t="shared" si="10"/>
        <v>2</v>
      </c>
    </row>
    <row r="95" spans="1:28">
      <c r="A95" t="s">
        <v>182</v>
      </c>
      <c r="B95" t="s">
        <v>147</v>
      </c>
      <c r="C95" t="s">
        <v>150</v>
      </c>
      <c r="D95" t="s">
        <v>138</v>
      </c>
      <c r="E95">
        <v>1</v>
      </c>
      <c r="G95">
        <v>115</v>
      </c>
      <c r="H95">
        <v>0.6</v>
      </c>
      <c r="I95">
        <v>440</v>
      </c>
      <c r="J95">
        <v>744</v>
      </c>
      <c r="K95">
        <v>-3.5</v>
      </c>
      <c r="L95">
        <v>1115</v>
      </c>
      <c r="M95">
        <v>1401</v>
      </c>
      <c r="N95">
        <v>1.3</v>
      </c>
      <c r="O95">
        <v>1844</v>
      </c>
      <c r="P95">
        <v>2101</v>
      </c>
      <c r="Q95">
        <v>-2.6</v>
      </c>
      <c r="U95">
        <f t="shared" si="6"/>
        <v>0.6</v>
      </c>
      <c r="V95">
        <f t="shared" si="7"/>
        <v>3.5</v>
      </c>
      <c r="W95">
        <f t="shared" si="8"/>
        <v>1.3</v>
      </c>
      <c r="X95">
        <f t="shared" si="11"/>
        <v>2.6</v>
      </c>
      <c r="AA95">
        <f t="shared" si="9"/>
        <v>2</v>
      </c>
      <c r="AB95">
        <f t="shared" si="10"/>
        <v>3.5</v>
      </c>
    </row>
    <row r="96" spans="1:28">
      <c r="A96" t="s">
        <v>182</v>
      </c>
      <c r="B96" t="s">
        <v>147</v>
      </c>
      <c r="C96" t="s">
        <v>150</v>
      </c>
      <c r="D96" t="s">
        <v>138</v>
      </c>
      <c r="E96">
        <v>2</v>
      </c>
      <c r="F96" s="14">
        <v>17</v>
      </c>
      <c r="G96">
        <v>204</v>
      </c>
      <c r="H96">
        <v>0.6</v>
      </c>
      <c r="I96">
        <v>536</v>
      </c>
      <c r="J96">
        <v>831</v>
      </c>
      <c r="K96">
        <v>-3.4</v>
      </c>
      <c r="L96">
        <v>1158</v>
      </c>
      <c r="M96">
        <v>1443</v>
      </c>
      <c r="N96">
        <v>1.3</v>
      </c>
      <c r="O96">
        <v>1921</v>
      </c>
      <c r="P96">
        <v>2137</v>
      </c>
      <c r="Q96">
        <v>-2.7</v>
      </c>
      <c r="U96">
        <f t="shared" si="6"/>
        <v>0.6</v>
      </c>
      <c r="V96">
        <f t="shared" si="7"/>
        <v>3.4</v>
      </c>
      <c r="W96">
        <f t="shared" si="8"/>
        <v>1.3</v>
      </c>
      <c r="X96">
        <f t="shared" si="11"/>
        <v>2.7</v>
      </c>
      <c r="AA96">
        <f t="shared" si="9"/>
        <v>2</v>
      </c>
      <c r="AB96">
        <f t="shared" si="10"/>
        <v>3.4</v>
      </c>
    </row>
    <row r="97" spans="1:28">
      <c r="A97" t="s">
        <v>182</v>
      </c>
      <c r="B97" t="s">
        <v>147</v>
      </c>
      <c r="C97" t="s">
        <v>150</v>
      </c>
      <c r="D97" t="s">
        <v>138</v>
      </c>
      <c r="E97">
        <v>3</v>
      </c>
      <c r="F97" s="14">
        <v>100</v>
      </c>
      <c r="G97">
        <v>253</v>
      </c>
      <c r="H97">
        <v>0.6</v>
      </c>
      <c r="I97">
        <v>631</v>
      </c>
      <c r="J97">
        <v>914</v>
      </c>
      <c r="K97">
        <v>-3.1</v>
      </c>
      <c r="L97">
        <v>1240</v>
      </c>
      <c r="M97">
        <v>1524</v>
      </c>
      <c r="N97">
        <v>1.2</v>
      </c>
      <c r="O97">
        <v>1955</v>
      </c>
      <c r="P97">
        <v>2211</v>
      </c>
      <c r="Q97">
        <v>-2.7</v>
      </c>
      <c r="U97">
        <f t="shared" si="6"/>
        <v>0.6</v>
      </c>
      <c r="V97">
        <f t="shared" si="7"/>
        <v>3.1</v>
      </c>
      <c r="W97">
        <f t="shared" si="8"/>
        <v>1.2</v>
      </c>
      <c r="X97">
        <f t="shared" si="11"/>
        <v>2.7</v>
      </c>
      <c r="AA97">
        <f t="shared" si="9"/>
        <v>1.9000000000000001</v>
      </c>
      <c r="AB97">
        <f t="shared" si="10"/>
        <v>3.1</v>
      </c>
    </row>
    <row r="98" spans="1:28">
      <c r="A98" t="s">
        <v>182</v>
      </c>
      <c r="B98" t="s">
        <v>147</v>
      </c>
      <c r="C98" t="s">
        <v>150</v>
      </c>
      <c r="D98" t="s">
        <v>138</v>
      </c>
      <c r="E98">
        <v>4</v>
      </c>
      <c r="F98" s="14">
        <v>144</v>
      </c>
      <c r="G98">
        <v>342</v>
      </c>
      <c r="H98">
        <v>0.6</v>
      </c>
      <c r="I98">
        <v>724</v>
      </c>
      <c r="J98">
        <v>956</v>
      </c>
      <c r="K98">
        <v>-2.8</v>
      </c>
      <c r="L98">
        <v>1321</v>
      </c>
      <c r="M98">
        <v>1604</v>
      </c>
      <c r="N98">
        <v>1.1000000000000001</v>
      </c>
      <c r="O98">
        <v>2027</v>
      </c>
      <c r="P98">
        <v>2245</v>
      </c>
      <c r="Q98">
        <v>-2.7</v>
      </c>
      <c r="U98">
        <f t="shared" si="6"/>
        <v>0.6</v>
      </c>
      <c r="V98">
        <f t="shared" si="7"/>
        <v>2.8</v>
      </c>
      <c r="W98">
        <f t="shared" si="8"/>
        <v>1.1000000000000001</v>
      </c>
      <c r="X98">
        <f t="shared" si="11"/>
        <v>2.7</v>
      </c>
      <c r="AA98">
        <f t="shared" si="9"/>
        <v>1.8</v>
      </c>
      <c r="AB98">
        <f t="shared" si="10"/>
        <v>2.8</v>
      </c>
    </row>
    <row r="99" spans="1:28">
      <c r="A99" t="s">
        <v>182</v>
      </c>
      <c r="B99" t="s">
        <v>147</v>
      </c>
      <c r="C99" t="s">
        <v>150</v>
      </c>
      <c r="D99" t="s">
        <v>138</v>
      </c>
      <c r="E99">
        <v>5</v>
      </c>
      <c r="F99" s="14">
        <v>228</v>
      </c>
      <c r="G99">
        <v>430</v>
      </c>
      <c r="H99">
        <v>0.6</v>
      </c>
      <c r="I99">
        <v>817</v>
      </c>
      <c r="J99">
        <v>1037</v>
      </c>
      <c r="K99">
        <v>-2.2999999999999998</v>
      </c>
      <c r="L99">
        <v>1403</v>
      </c>
      <c r="M99">
        <v>1643</v>
      </c>
      <c r="N99">
        <v>0.9</v>
      </c>
      <c r="O99">
        <v>2058</v>
      </c>
      <c r="P99">
        <v>2322</v>
      </c>
      <c r="Q99">
        <v>-2.5</v>
      </c>
      <c r="U99">
        <f t="shared" si="6"/>
        <v>0.6</v>
      </c>
      <c r="V99">
        <f t="shared" si="7"/>
        <v>2.2999999999999998</v>
      </c>
      <c r="W99">
        <f t="shared" si="8"/>
        <v>0.9</v>
      </c>
      <c r="X99">
        <f t="shared" si="11"/>
        <v>2.5</v>
      </c>
      <c r="AA99">
        <f t="shared" si="9"/>
        <v>1.575</v>
      </c>
      <c r="AB99">
        <f t="shared" si="10"/>
        <v>2.5</v>
      </c>
    </row>
    <row r="100" spans="1:28">
      <c r="A100" t="s">
        <v>182</v>
      </c>
      <c r="B100" t="s">
        <v>147</v>
      </c>
      <c r="C100" t="s">
        <v>150</v>
      </c>
      <c r="D100" t="s">
        <v>138</v>
      </c>
      <c r="E100">
        <v>6</v>
      </c>
      <c r="F100" s="14">
        <v>313</v>
      </c>
      <c r="G100">
        <v>518</v>
      </c>
      <c r="H100">
        <v>0.6</v>
      </c>
      <c r="I100">
        <v>913</v>
      </c>
      <c r="J100">
        <v>1123</v>
      </c>
      <c r="K100">
        <v>-1.8</v>
      </c>
      <c r="L100">
        <v>1446</v>
      </c>
      <c r="M100">
        <v>1722</v>
      </c>
      <c r="N100">
        <v>0.8</v>
      </c>
      <c r="O100">
        <v>2127</v>
      </c>
      <c r="U100">
        <f t="shared" si="6"/>
        <v>0.6</v>
      </c>
      <c r="V100">
        <f t="shared" si="7"/>
        <v>1.8</v>
      </c>
      <c r="W100">
        <f t="shared" si="8"/>
        <v>0.8</v>
      </c>
      <c r="AA100">
        <f t="shared" si="9"/>
        <v>1.0666666666666667</v>
      </c>
      <c r="AB100">
        <f t="shared" si="10"/>
        <v>1.8</v>
      </c>
    </row>
    <row r="101" spans="1:28">
      <c r="A101" t="s">
        <v>182</v>
      </c>
      <c r="B101" t="s">
        <v>147</v>
      </c>
      <c r="C101" t="s">
        <v>150</v>
      </c>
      <c r="D101" t="s">
        <v>138</v>
      </c>
      <c r="E101">
        <v>7</v>
      </c>
      <c r="G101">
        <v>2</v>
      </c>
      <c r="H101">
        <v>-2.4</v>
      </c>
      <c r="I101">
        <v>359</v>
      </c>
      <c r="J101">
        <v>605</v>
      </c>
      <c r="K101">
        <v>0.6</v>
      </c>
      <c r="L101">
        <v>1017</v>
      </c>
      <c r="M101">
        <v>1217</v>
      </c>
      <c r="N101">
        <v>-1.4</v>
      </c>
      <c r="O101">
        <v>1535</v>
      </c>
      <c r="P101">
        <v>1802</v>
      </c>
      <c r="Q101">
        <v>0.6</v>
      </c>
      <c r="R101">
        <v>2158</v>
      </c>
      <c r="U101">
        <f t="shared" si="6"/>
        <v>2.4</v>
      </c>
      <c r="V101">
        <f t="shared" si="7"/>
        <v>0.6</v>
      </c>
      <c r="W101">
        <f t="shared" si="8"/>
        <v>1.4</v>
      </c>
      <c r="X101">
        <f t="shared" si="11"/>
        <v>0.6</v>
      </c>
      <c r="AA101">
        <f t="shared" si="9"/>
        <v>1.25</v>
      </c>
      <c r="AB101">
        <f t="shared" si="10"/>
        <v>2.4</v>
      </c>
    </row>
    <row r="102" spans="1:28">
      <c r="A102" t="s">
        <v>182</v>
      </c>
      <c r="B102" t="s">
        <v>147</v>
      </c>
      <c r="C102" t="s">
        <v>150</v>
      </c>
      <c r="D102" t="s">
        <v>138</v>
      </c>
      <c r="E102">
        <v>8</v>
      </c>
      <c r="G102">
        <v>49</v>
      </c>
      <c r="H102">
        <v>-2.2000000000000002</v>
      </c>
      <c r="I102">
        <v>447</v>
      </c>
      <c r="J102">
        <v>657</v>
      </c>
      <c r="K102">
        <v>0.6</v>
      </c>
      <c r="L102">
        <v>1134</v>
      </c>
      <c r="M102">
        <v>1325</v>
      </c>
      <c r="N102">
        <v>-1</v>
      </c>
      <c r="O102">
        <v>1633</v>
      </c>
      <c r="P102">
        <v>1846</v>
      </c>
      <c r="Q102">
        <v>0.5</v>
      </c>
      <c r="R102">
        <v>2231</v>
      </c>
      <c r="U102">
        <f t="shared" si="6"/>
        <v>2.2000000000000002</v>
      </c>
      <c r="V102">
        <f t="shared" si="7"/>
        <v>0.6</v>
      </c>
      <c r="W102">
        <f t="shared" si="8"/>
        <v>1</v>
      </c>
      <c r="X102">
        <f t="shared" si="11"/>
        <v>0.5</v>
      </c>
      <c r="AA102">
        <f t="shared" si="9"/>
        <v>1.0750000000000002</v>
      </c>
      <c r="AB102">
        <f t="shared" si="10"/>
        <v>2.2000000000000002</v>
      </c>
    </row>
    <row r="103" spans="1:28">
      <c r="A103" t="s">
        <v>182</v>
      </c>
      <c r="B103" t="s">
        <v>147</v>
      </c>
      <c r="C103" t="s">
        <v>150</v>
      </c>
      <c r="D103" t="s">
        <v>138</v>
      </c>
      <c r="E103">
        <v>9</v>
      </c>
      <c r="G103">
        <v>141</v>
      </c>
      <c r="H103">
        <v>-2.2000000000000002</v>
      </c>
      <c r="I103">
        <v>537</v>
      </c>
      <c r="J103">
        <v>756</v>
      </c>
      <c r="K103">
        <v>0.6</v>
      </c>
      <c r="L103">
        <v>1258</v>
      </c>
      <c r="M103">
        <v>1443</v>
      </c>
      <c r="N103">
        <v>-0.8</v>
      </c>
      <c r="O103">
        <v>1741</v>
      </c>
      <c r="P103">
        <v>1937</v>
      </c>
      <c r="Q103">
        <v>0.4</v>
      </c>
      <c r="R103">
        <v>2313</v>
      </c>
      <c r="U103">
        <f t="shared" si="6"/>
        <v>2.2000000000000002</v>
      </c>
      <c r="V103">
        <f t="shared" si="7"/>
        <v>0.6</v>
      </c>
      <c r="W103">
        <f t="shared" si="8"/>
        <v>0.8</v>
      </c>
      <c r="X103">
        <f t="shared" si="11"/>
        <v>0.4</v>
      </c>
      <c r="AA103">
        <f t="shared" si="9"/>
        <v>1.0000000000000002</v>
      </c>
      <c r="AB103">
        <f t="shared" si="10"/>
        <v>2.2000000000000002</v>
      </c>
    </row>
    <row r="104" spans="1:28">
      <c r="A104" t="s">
        <v>182</v>
      </c>
      <c r="B104" t="s">
        <v>147</v>
      </c>
      <c r="C104" t="s">
        <v>150</v>
      </c>
      <c r="D104" t="s">
        <v>138</v>
      </c>
      <c r="E104">
        <v>10</v>
      </c>
      <c r="G104">
        <v>236</v>
      </c>
      <c r="H104">
        <v>-2.2000000000000002</v>
      </c>
      <c r="I104">
        <v>630</v>
      </c>
      <c r="J104">
        <v>908</v>
      </c>
      <c r="K104">
        <v>0.6</v>
      </c>
      <c r="L104">
        <v>1412</v>
      </c>
      <c r="M104">
        <v>1558</v>
      </c>
      <c r="N104">
        <v>-0.8</v>
      </c>
      <c r="O104">
        <v>1859</v>
      </c>
      <c r="P104">
        <v>2040</v>
      </c>
      <c r="Q104">
        <v>0.3</v>
      </c>
      <c r="U104">
        <f t="shared" si="6"/>
        <v>2.2000000000000002</v>
      </c>
      <c r="V104">
        <f t="shared" si="7"/>
        <v>0.6</v>
      </c>
      <c r="W104">
        <f t="shared" si="8"/>
        <v>0.8</v>
      </c>
      <c r="X104">
        <f t="shared" si="11"/>
        <v>0.3</v>
      </c>
      <c r="AA104">
        <f t="shared" si="9"/>
        <v>0.97500000000000009</v>
      </c>
      <c r="AB104">
        <f t="shared" si="10"/>
        <v>2.2000000000000002</v>
      </c>
    </row>
    <row r="105" spans="1:28">
      <c r="A105" t="s">
        <v>182</v>
      </c>
      <c r="B105" t="s">
        <v>147</v>
      </c>
      <c r="C105" t="s">
        <v>150</v>
      </c>
      <c r="D105" t="s">
        <v>138</v>
      </c>
      <c r="E105">
        <v>11</v>
      </c>
      <c r="F105" s="14">
        <v>7</v>
      </c>
      <c r="G105">
        <v>329</v>
      </c>
      <c r="H105">
        <v>-2.2000000000000002</v>
      </c>
      <c r="I105">
        <v>724</v>
      </c>
      <c r="J105">
        <v>1021</v>
      </c>
      <c r="K105">
        <v>0.7</v>
      </c>
      <c r="L105">
        <v>1510</v>
      </c>
      <c r="M105">
        <v>1708</v>
      </c>
      <c r="N105">
        <v>-1</v>
      </c>
      <c r="O105">
        <v>2017</v>
      </c>
      <c r="P105">
        <v>2152</v>
      </c>
      <c r="Q105">
        <v>0.2</v>
      </c>
      <c r="U105">
        <f t="shared" si="6"/>
        <v>2.2000000000000002</v>
      </c>
      <c r="V105">
        <f t="shared" si="7"/>
        <v>0.7</v>
      </c>
      <c r="W105">
        <f t="shared" si="8"/>
        <v>1</v>
      </c>
      <c r="X105">
        <f t="shared" si="11"/>
        <v>0.2</v>
      </c>
      <c r="AA105">
        <f t="shared" si="9"/>
        <v>1.0250000000000001</v>
      </c>
      <c r="AB105">
        <f t="shared" si="10"/>
        <v>2.2000000000000002</v>
      </c>
    </row>
    <row r="106" spans="1:28">
      <c r="A106" t="s">
        <v>182</v>
      </c>
      <c r="B106" t="s">
        <v>147</v>
      </c>
      <c r="C106" t="s">
        <v>150</v>
      </c>
      <c r="D106" t="s">
        <v>138</v>
      </c>
      <c r="E106">
        <v>12</v>
      </c>
      <c r="F106" s="14">
        <v>107</v>
      </c>
      <c r="G106">
        <v>421</v>
      </c>
      <c r="H106">
        <v>-2.2000000000000002</v>
      </c>
      <c r="I106">
        <v>815</v>
      </c>
      <c r="J106">
        <v>1114</v>
      </c>
      <c r="K106">
        <v>0.8</v>
      </c>
      <c r="L106">
        <v>1557</v>
      </c>
      <c r="M106">
        <v>1809</v>
      </c>
      <c r="N106">
        <v>-1.2</v>
      </c>
      <c r="O106">
        <v>2120</v>
      </c>
      <c r="P106">
        <v>2254</v>
      </c>
      <c r="Q106">
        <v>0.3</v>
      </c>
      <c r="U106">
        <f t="shared" si="6"/>
        <v>2.2000000000000002</v>
      </c>
      <c r="V106">
        <f t="shared" si="7"/>
        <v>0.8</v>
      </c>
      <c r="W106">
        <f t="shared" si="8"/>
        <v>1.2</v>
      </c>
      <c r="X106">
        <f t="shared" si="11"/>
        <v>0.3</v>
      </c>
      <c r="AA106">
        <f t="shared" si="9"/>
        <v>1.125</v>
      </c>
      <c r="AB106">
        <f t="shared" si="10"/>
        <v>2.2000000000000002</v>
      </c>
    </row>
    <row r="107" spans="1:28">
      <c r="A107" t="s">
        <v>182</v>
      </c>
      <c r="B107" t="s">
        <v>147</v>
      </c>
      <c r="C107" t="s">
        <v>150</v>
      </c>
      <c r="D107" t="s">
        <v>138</v>
      </c>
      <c r="E107">
        <v>13</v>
      </c>
      <c r="F107" s="14">
        <v>204</v>
      </c>
      <c r="G107">
        <v>511</v>
      </c>
      <c r="H107">
        <v>-2.4</v>
      </c>
      <c r="I107">
        <v>902</v>
      </c>
      <c r="J107">
        <v>1155</v>
      </c>
      <c r="K107">
        <v>1</v>
      </c>
      <c r="L107">
        <v>1638</v>
      </c>
      <c r="M107">
        <v>1857</v>
      </c>
      <c r="N107">
        <v>-1.5</v>
      </c>
      <c r="O107">
        <v>2208</v>
      </c>
      <c r="P107">
        <v>2343</v>
      </c>
      <c r="Q107">
        <v>0.4</v>
      </c>
      <c r="U107">
        <f t="shared" si="6"/>
        <v>2.4</v>
      </c>
      <c r="V107">
        <f t="shared" si="7"/>
        <v>1</v>
      </c>
      <c r="W107">
        <f t="shared" si="8"/>
        <v>1.5</v>
      </c>
      <c r="X107">
        <f t="shared" si="11"/>
        <v>0.4</v>
      </c>
      <c r="AA107">
        <f t="shared" si="9"/>
        <v>1.3250000000000002</v>
      </c>
      <c r="AB107">
        <f t="shared" si="10"/>
        <v>2.4</v>
      </c>
    </row>
    <row r="108" spans="1:28">
      <c r="A108" t="s">
        <v>182</v>
      </c>
      <c r="B108" t="s">
        <v>147</v>
      </c>
      <c r="C108" t="s">
        <v>150</v>
      </c>
      <c r="D108" t="s">
        <v>138</v>
      </c>
      <c r="E108">
        <v>14</v>
      </c>
      <c r="F108" s="14">
        <v>256</v>
      </c>
      <c r="G108">
        <v>601</v>
      </c>
      <c r="H108">
        <v>-2.6</v>
      </c>
      <c r="I108">
        <v>945</v>
      </c>
      <c r="J108">
        <v>1231</v>
      </c>
      <c r="K108">
        <v>1.1000000000000001</v>
      </c>
      <c r="L108">
        <v>1714</v>
      </c>
      <c r="M108">
        <v>1933</v>
      </c>
      <c r="N108">
        <v>-1.8</v>
      </c>
      <c r="O108">
        <v>2247</v>
      </c>
      <c r="U108">
        <f t="shared" si="6"/>
        <v>2.6</v>
      </c>
      <c r="V108">
        <f t="shared" si="7"/>
        <v>1.1000000000000001</v>
      </c>
      <c r="W108">
        <f t="shared" si="8"/>
        <v>1.8</v>
      </c>
      <c r="AA108">
        <f t="shared" si="9"/>
        <v>1.8333333333333333</v>
      </c>
      <c r="AB108">
        <f t="shared" si="10"/>
        <v>2.6</v>
      </c>
    </row>
    <row r="109" spans="1:28">
      <c r="A109" t="s">
        <v>182</v>
      </c>
      <c r="B109" t="s">
        <v>147</v>
      </c>
      <c r="C109" t="s">
        <v>150</v>
      </c>
      <c r="D109" t="s">
        <v>138</v>
      </c>
      <c r="E109">
        <v>15</v>
      </c>
      <c r="G109">
        <v>25</v>
      </c>
      <c r="H109">
        <v>0.4</v>
      </c>
      <c r="I109">
        <v>345</v>
      </c>
      <c r="J109">
        <v>647</v>
      </c>
      <c r="K109">
        <v>-2.8</v>
      </c>
      <c r="L109">
        <v>1024</v>
      </c>
      <c r="M109">
        <v>1305</v>
      </c>
      <c r="N109">
        <v>1.1000000000000001</v>
      </c>
      <c r="O109">
        <v>1748</v>
      </c>
      <c r="P109">
        <v>2004</v>
      </c>
      <c r="Q109">
        <v>-2.1</v>
      </c>
      <c r="R109">
        <v>2322</v>
      </c>
      <c r="U109">
        <f t="shared" si="6"/>
        <v>0.4</v>
      </c>
      <c r="V109">
        <f t="shared" si="7"/>
        <v>2.8</v>
      </c>
      <c r="W109">
        <f t="shared" si="8"/>
        <v>1.1000000000000001</v>
      </c>
      <c r="X109">
        <f t="shared" si="11"/>
        <v>2.1</v>
      </c>
      <c r="AA109">
        <f t="shared" si="9"/>
        <v>1.6</v>
      </c>
      <c r="AB109">
        <f t="shared" si="10"/>
        <v>2.8</v>
      </c>
    </row>
    <row r="110" spans="1:28">
      <c r="A110" t="s">
        <v>182</v>
      </c>
      <c r="B110" t="s">
        <v>147</v>
      </c>
      <c r="C110" t="s">
        <v>150</v>
      </c>
      <c r="D110" t="s">
        <v>138</v>
      </c>
      <c r="E110">
        <v>16</v>
      </c>
      <c r="G110">
        <v>106</v>
      </c>
      <c r="H110">
        <v>0.5</v>
      </c>
      <c r="I110">
        <v>432</v>
      </c>
      <c r="J110">
        <v>731</v>
      </c>
      <c r="K110">
        <v>-2.9</v>
      </c>
      <c r="L110">
        <v>1101</v>
      </c>
      <c r="M110">
        <v>1340</v>
      </c>
      <c r="N110">
        <v>1.2</v>
      </c>
      <c r="O110">
        <v>1819</v>
      </c>
      <c r="P110">
        <v>2033</v>
      </c>
      <c r="Q110">
        <v>-2.2999999999999998</v>
      </c>
      <c r="R110">
        <v>2356</v>
      </c>
      <c r="U110">
        <f t="shared" si="6"/>
        <v>0.5</v>
      </c>
      <c r="V110">
        <f t="shared" si="7"/>
        <v>2.9</v>
      </c>
      <c r="W110">
        <f t="shared" si="8"/>
        <v>1.2</v>
      </c>
      <c r="X110">
        <f t="shared" si="11"/>
        <v>2.2999999999999998</v>
      </c>
      <c r="AA110">
        <f t="shared" si="9"/>
        <v>1.7249999999999999</v>
      </c>
      <c r="AB110">
        <f t="shared" si="10"/>
        <v>2.9</v>
      </c>
    </row>
    <row r="111" spans="1:28">
      <c r="A111" t="s">
        <v>182</v>
      </c>
      <c r="B111" t="s">
        <v>147</v>
      </c>
      <c r="C111" t="s">
        <v>150</v>
      </c>
      <c r="D111" t="s">
        <v>138</v>
      </c>
      <c r="E111">
        <v>17</v>
      </c>
      <c r="G111">
        <v>146</v>
      </c>
      <c r="H111">
        <v>0.6</v>
      </c>
      <c r="I111">
        <v>521</v>
      </c>
      <c r="J111">
        <v>812</v>
      </c>
      <c r="K111">
        <v>-3</v>
      </c>
      <c r="L111">
        <v>1137</v>
      </c>
      <c r="M111">
        <v>1416</v>
      </c>
      <c r="N111">
        <v>1.2</v>
      </c>
      <c r="O111">
        <v>1849</v>
      </c>
      <c r="P111">
        <v>2103</v>
      </c>
      <c r="Q111">
        <v>-2.6</v>
      </c>
      <c r="U111">
        <f t="shared" si="6"/>
        <v>0.6</v>
      </c>
      <c r="V111">
        <f t="shared" si="7"/>
        <v>3</v>
      </c>
      <c r="W111">
        <f t="shared" si="8"/>
        <v>1.2</v>
      </c>
      <c r="X111">
        <f t="shared" si="11"/>
        <v>2.6</v>
      </c>
      <c r="AA111">
        <f t="shared" si="9"/>
        <v>1.85</v>
      </c>
      <c r="AB111">
        <f t="shared" si="10"/>
        <v>3</v>
      </c>
    </row>
    <row r="112" spans="1:28">
      <c r="A112" t="s">
        <v>182</v>
      </c>
      <c r="B112" t="s">
        <v>147</v>
      </c>
      <c r="C112" t="s">
        <v>150</v>
      </c>
      <c r="D112" t="s">
        <v>138</v>
      </c>
      <c r="E112">
        <v>18</v>
      </c>
      <c r="F112" s="14">
        <v>30</v>
      </c>
      <c r="G112">
        <v>230</v>
      </c>
      <c r="H112">
        <v>0.7</v>
      </c>
      <c r="I112">
        <v>611</v>
      </c>
      <c r="J112">
        <v>853</v>
      </c>
      <c r="K112">
        <v>-3</v>
      </c>
      <c r="L112">
        <v>1214</v>
      </c>
      <c r="M112">
        <v>1455</v>
      </c>
      <c r="N112">
        <v>1.1000000000000001</v>
      </c>
      <c r="O112">
        <v>1918</v>
      </c>
      <c r="P112">
        <v>2136</v>
      </c>
      <c r="Q112">
        <v>-2.9</v>
      </c>
      <c r="U112">
        <f t="shared" si="6"/>
        <v>0.7</v>
      </c>
      <c r="V112">
        <f t="shared" si="7"/>
        <v>3</v>
      </c>
      <c r="W112">
        <f t="shared" si="8"/>
        <v>1.1000000000000001</v>
      </c>
      <c r="X112">
        <f t="shared" si="11"/>
        <v>2.9</v>
      </c>
      <c r="AA112">
        <f t="shared" si="9"/>
        <v>1.9250000000000003</v>
      </c>
      <c r="AB112">
        <f t="shared" si="10"/>
        <v>3</v>
      </c>
    </row>
    <row r="113" spans="1:28">
      <c r="A113" t="s">
        <v>182</v>
      </c>
      <c r="B113" t="s">
        <v>147</v>
      </c>
      <c r="C113" t="s">
        <v>150</v>
      </c>
      <c r="D113" t="s">
        <v>138</v>
      </c>
      <c r="E113">
        <v>19</v>
      </c>
      <c r="F113" s="14">
        <v>106</v>
      </c>
      <c r="G113">
        <v>315</v>
      </c>
      <c r="H113">
        <v>0.8</v>
      </c>
      <c r="I113">
        <v>703</v>
      </c>
      <c r="J113">
        <v>935</v>
      </c>
      <c r="K113">
        <v>-2.9</v>
      </c>
      <c r="L113">
        <v>1255</v>
      </c>
      <c r="M113">
        <v>1536</v>
      </c>
      <c r="N113">
        <v>1.1000000000000001</v>
      </c>
      <c r="O113">
        <v>1947</v>
      </c>
      <c r="P113">
        <v>2211</v>
      </c>
      <c r="Q113">
        <v>-3</v>
      </c>
      <c r="U113">
        <f t="shared" si="6"/>
        <v>0.8</v>
      </c>
      <c r="V113">
        <f t="shared" si="7"/>
        <v>2.9</v>
      </c>
      <c r="W113">
        <f t="shared" si="8"/>
        <v>1.1000000000000001</v>
      </c>
      <c r="X113">
        <f t="shared" si="11"/>
        <v>3</v>
      </c>
      <c r="AA113">
        <f t="shared" si="9"/>
        <v>1.9500000000000002</v>
      </c>
      <c r="AB113">
        <f t="shared" si="10"/>
        <v>3</v>
      </c>
    </row>
    <row r="114" spans="1:28">
      <c r="A114" t="s">
        <v>182</v>
      </c>
      <c r="B114" t="s">
        <v>147</v>
      </c>
      <c r="C114" t="s">
        <v>150</v>
      </c>
      <c r="D114" t="s">
        <v>138</v>
      </c>
      <c r="E114">
        <v>20</v>
      </c>
      <c r="F114" s="14">
        <v>145</v>
      </c>
      <c r="G114">
        <v>404</v>
      </c>
      <c r="H114">
        <v>0.8</v>
      </c>
      <c r="I114">
        <v>758</v>
      </c>
      <c r="J114">
        <v>1020</v>
      </c>
      <c r="K114">
        <v>-2.6</v>
      </c>
      <c r="L114">
        <v>1339</v>
      </c>
      <c r="M114">
        <v>1619</v>
      </c>
      <c r="N114">
        <v>1</v>
      </c>
      <c r="O114">
        <v>2018</v>
      </c>
      <c r="P114">
        <v>2250</v>
      </c>
      <c r="Q114">
        <v>-3.1</v>
      </c>
      <c r="U114">
        <f t="shared" si="6"/>
        <v>0.8</v>
      </c>
      <c r="V114">
        <f t="shared" si="7"/>
        <v>2.6</v>
      </c>
      <c r="W114">
        <f t="shared" si="8"/>
        <v>1</v>
      </c>
      <c r="X114">
        <f t="shared" si="11"/>
        <v>3.1</v>
      </c>
      <c r="AA114">
        <f t="shared" si="9"/>
        <v>1.875</v>
      </c>
      <c r="AB114">
        <f t="shared" si="10"/>
        <v>3.1</v>
      </c>
    </row>
    <row r="115" spans="1:28">
      <c r="A115" t="s">
        <v>182</v>
      </c>
      <c r="B115" t="s">
        <v>147</v>
      </c>
      <c r="C115" t="s">
        <v>150</v>
      </c>
      <c r="D115" t="s">
        <v>138</v>
      </c>
      <c r="E115">
        <v>21</v>
      </c>
      <c r="F115" s="14">
        <v>230</v>
      </c>
      <c r="G115">
        <v>455</v>
      </c>
      <c r="H115">
        <v>0.9</v>
      </c>
      <c r="I115">
        <v>858</v>
      </c>
      <c r="J115">
        <v>1111</v>
      </c>
      <c r="K115">
        <v>-2.2000000000000002</v>
      </c>
      <c r="L115">
        <v>1430</v>
      </c>
      <c r="M115">
        <v>1704</v>
      </c>
      <c r="N115">
        <v>0.8</v>
      </c>
      <c r="O115">
        <v>2051</v>
      </c>
      <c r="P115">
        <v>2334</v>
      </c>
      <c r="Q115">
        <v>-3</v>
      </c>
      <c r="U115">
        <f t="shared" si="6"/>
        <v>0.9</v>
      </c>
      <c r="V115">
        <f t="shared" si="7"/>
        <v>2.2000000000000002</v>
      </c>
      <c r="W115">
        <f t="shared" si="8"/>
        <v>0.8</v>
      </c>
      <c r="X115">
        <f t="shared" si="11"/>
        <v>3</v>
      </c>
      <c r="AA115">
        <f t="shared" si="9"/>
        <v>1.7250000000000001</v>
      </c>
      <c r="AB115">
        <f t="shared" si="10"/>
        <v>3</v>
      </c>
    </row>
    <row r="116" spans="1:28">
      <c r="A116" t="s">
        <v>182</v>
      </c>
      <c r="B116" t="s">
        <v>147</v>
      </c>
      <c r="C116" t="s">
        <v>150</v>
      </c>
      <c r="D116" t="s">
        <v>138</v>
      </c>
      <c r="E116">
        <v>22</v>
      </c>
      <c r="F116" s="14">
        <v>320</v>
      </c>
      <c r="G116">
        <v>549</v>
      </c>
      <c r="H116">
        <v>0.9</v>
      </c>
      <c r="I116">
        <v>1007</v>
      </c>
      <c r="J116">
        <v>1212</v>
      </c>
      <c r="K116">
        <v>-1.8</v>
      </c>
      <c r="L116">
        <v>1531</v>
      </c>
      <c r="M116">
        <v>1753</v>
      </c>
      <c r="N116">
        <v>0.7</v>
      </c>
      <c r="O116">
        <v>2129</v>
      </c>
      <c r="U116">
        <f t="shared" si="6"/>
        <v>0.9</v>
      </c>
      <c r="V116">
        <f t="shared" si="7"/>
        <v>1.8</v>
      </c>
      <c r="W116">
        <f t="shared" si="8"/>
        <v>0.7</v>
      </c>
      <c r="AA116">
        <f t="shared" si="9"/>
        <v>1.1333333333333335</v>
      </c>
      <c r="AB116">
        <f t="shared" si="10"/>
        <v>1.8</v>
      </c>
    </row>
    <row r="117" spans="1:28">
      <c r="A117" t="s">
        <v>182</v>
      </c>
      <c r="B117" t="s">
        <v>147</v>
      </c>
      <c r="C117" t="s">
        <v>150</v>
      </c>
      <c r="D117" t="s">
        <v>138</v>
      </c>
      <c r="E117">
        <v>23</v>
      </c>
      <c r="G117">
        <v>27</v>
      </c>
      <c r="H117">
        <v>-2.9</v>
      </c>
      <c r="I117">
        <v>416</v>
      </c>
      <c r="J117">
        <v>647</v>
      </c>
      <c r="K117">
        <v>0.9</v>
      </c>
      <c r="L117">
        <v>1128</v>
      </c>
      <c r="M117">
        <v>1327</v>
      </c>
      <c r="N117">
        <v>-1.5</v>
      </c>
      <c r="O117">
        <v>1643</v>
      </c>
      <c r="P117">
        <v>1847</v>
      </c>
      <c r="Q117">
        <v>0.5</v>
      </c>
      <c r="R117">
        <v>2214</v>
      </c>
      <c r="U117">
        <f t="shared" si="6"/>
        <v>2.9</v>
      </c>
      <c r="V117">
        <f t="shared" si="7"/>
        <v>0.9</v>
      </c>
      <c r="W117">
        <f t="shared" si="8"/>
        <v>1.5</v>
      </c>
      <c r="X117">
        <f t="shared" si="11"/>
        <v>0.5</v>
      </c>
      <c r="AA117">
        <f t="shared" si="9"/>
        <v>1.45</v>
      </c>
      <c r="AB117">
        <f t="shared" si="10"/>
        <v>2.9</v>
      </c>
    </row>
    <row r="118" spans="1:28">
      <c r="A118" t="s">
        <v>182</v>
      </c>
      <c r="B118" t="s">
        <v>147</v>
      </c>
      <c r="C118" t="s">
        <v>150</v>
      </c>
      <c r="D118" t="s">
        <v>138</v>
      </c>
      <c r="E118">
        <v>24</v>
      </c>
      <c r="G118">
        <v>129</v>
      </c>
      <c r="H118">
        <v>-2.8</v>
      </c>
      <c r="I118">
        <v>517</v>
      </c>
      <c r="J118">
        <v>754</v>
      </c>
      <c r="K118">
        <v>0.9</v>
      </c>
      <c r="L118">
        <v>1254</v>
      </c>
      <c r="M118">
        <v>1450</v>
      </c>
      <c r="N118">
        <v>-1.4</v>
      </c>
      <c r="O118">
        <v>1804</v>
      </c>
      <c r="P118">
        <v>1950</v>
      </c>
      <c r="Q118">
        <v>0.4</v>
      </c>
      <c r="R118">
        <v>2313</v>
      </c>
      <c r="U118">
        <f t="shared" si="6"/>
        <v>2.8</v>
      </c>
      <c r="V118">
        <f t="shared" si="7"/>
        <v>0.9</v>
      </c>
      <c r="W118">
        <f t="shared" si="8"/>
        <v>1.4</v>
      </c>
      <c r="X118">
        <f t="shared" si="11"/>
        <v>0.4</v>
      </c>
      <c r="AA118">
        <f t="shared" si="9"/>
        <v>1.375</v>
      </c>
      <c r="AB118">
        <f t="shared" si="10"/>
        <v>2.8</v>
      </c>
    </row>
    <row r="119" spans="1:28">
      <c r="A119" t="s">
        <v>182</v>
      </c>
      <c r="B119" t="s">
        <v>147</v>
      </c>
      <c r="C119" t="s">
        <v>150</v>
      </c>
      <c r="D119" t="s">
        <v>138</v>
      </c>
      <c r="E119">
        <v>25</v>
      </c>
      <c r="G119">
        <v>236</v>
      </c>
      <c r="H119">
        <v>-2.8</v>
      </c>
      <c r="I119">
        <v>621</v>
      </c>
      <c r="J119">
        <v>911</v>
      </c>
      <c r="K119">
        <v>1</v>
      </c>
      <c r="L119">
        <v>1410</v>
      </c>
      <c r="M119">
        <v>1610</v>
      </c>
      <c r="N119">
        <v>-1.5</v>
      </c>
      <c r="O119">
        <v>1927</v>
      </c>
      <c r="P119">
        <v>2106</v>
      </c>
      <c r="Q119">
        <v>0.3</v>
      </c>
      <c r="U119">
        <f t="shared" si="6"/>
        <v>2.8</v>
      </c>
      <c r="V119">
        <f t="shared" si="7"/>
        <v>1</v>
      </c>
      <c r="W119">
        <f t="shared" si="8"/>
        <v>1.5</v>
      </c>
      <c r="X119">
        <f t="shared" si="11"/>
        <v>0.3</v>
      </c>
      <c r="AA119">
        <f t="shared" si="9"/>
        <v>1.4</v>
      </c>
      <c r="AB119">
        <f t="shared" si="10"/>
        <v>2.8</v>
      </c>
    </row>
    <row r="120" spans="1:28">
      <c r="A120" t="s">
        <v>182</v>
      </c>
      <c r="B120" t="s">
        <v>147</v>
      </c>
      <c r="C120" t="s">
        <v>150</v>
      </c>
      <c r="D120" t="s">
        <v>138</v>
      </c>
      <c r="E120">
        <v>26</v>
      </c>
      <c r="F120" s="14">
        <v>28</v>
      </c>
      <c r="G120">
        <v>342</v>
      </c>
      <c r="H120">
        <v>-2.8</v>
      </c>
      <c r="I120">
        <v>727</v>
      </c>
      <c r="J120">
        <v>1027</v>
      </c>
      <c r="K120">
        <v>1.1000000000000001</v>
      </c>
      <c r="L120">
        <v>1511</v>
      </c>
      <c r="M120">
        <v>1722</v>
      </c>
      <c r="N120">
        <v>-1.7</v>
      </c>
      <c r="O120">
        <v>2042</v>
      </c>
      <c r="P120">
        <v>2226</v>
      </c>
      <c r="Q120">
        <v>0.4</v>
      </c>
      <c r="U120">
        <f t="shared" si="6"/>
        <v>2.8</v>
      </c>
      <c r="V120">
        <f t="shared" si="7"/>
        <v>1.1000000000000001</v>
      </c>
      <c r="W120">
        <f t="shared" si="8"/>
        <v>1.7</v>
      </c>
      <c r="X120">
        <f t="shared" si="11"/>
        <v>0.4</v>
      </c>
      <c r="AA120">
        <f t="shared" si="9"/>
        <v>1.5</v>
      </c>
      <c r="AB120">
        <f t="shared" si="10"/>
        <v>2.8</v>
      </c>
    </row>
    <row r="121" spans="1:28">
      <c r="A121" t="s">
        <v>182</v>
      </c>
      <c r="B121" t="s">
        <v>147</v>
      </c>
      <c r="C121" t="s">
        <v>150</v>
      </c>
      <c r="D121" t="s">
        <v>138</v>
      </c>
      <c r="E121">
        <v>27</v>
      </c>
      <c r="F121" s="14">
        <v>144</v>
      </c>
      <c r="G121">
        <v>446</v>
      </c>
      <c r="H121">
        <v>-2.9</v>
      </c>
      <c r="I121">
        <v>829</v>
      </c>
      <c r="J121">
        <v>1128</v>
      </c>
      <c r="K121">
        <v>1.1000000000000001</v>
      </c>
      <c r="L121">
        <v>1603</v>
      </c>
      <c r="M121">
        <v>1824</v>
      </c>
      <c r="N121">
        <v>-2.1</v>
      </c>
      <c r="O121">
        <v>2141</v>
      </c>
      <c r="P121">
        <v>2331</v>
      </c>
      <c r="Q121">
        <v>0.5</v>
      </c>
      <c r="U121">
        <f t="shared" si="6"/>
        <v>2.9</v>
      </c>
      <c r="V121">
        <f t="shared" si="7"/>
        <v>1.1000000000000001</v>
      </c>
      <c r="W121">
        <f t="shared" si="8"/>
        <v>2.1</v>
      </c>
      <c r="X121">
        <f t="shared" si="11"/>
        <v>0.5</v>
      </c>
      <c r="AA121">
        <f t="shared" si="9"/>
        <v>1.65</v>
      </c>
      <c r="AB121">
        <f t="shared" si="10"/>
        <v>2.9</v>
      </c>
    </row>
    <row r="122" spans="1:28">
      <c r="A122" t="s">
        <v>182</v>
      </c>
      <c r="B122" t="s">
        <v>147</v>
      </c>
      <c r="C122" t="s">
        <v>150</v>
      </c>
      <c r="D122" t="s">
        <v>138</v>
      </c>
      <c r="E122">
        <v>28</v>
      </c>
      <c r="F122" s="14">
        <v>252</v>
      </c>
      <c r="G122">
        <v>548</v>
      </c>
      <c r="H122">
        <v>-3</v>
      </c>
      <c r="I122">
        <v>926</v>
      </c>
      <c r="J122">
        <v>1216</v>
      </c>
      <c r="K122">
        <v>1.2</v>
      </c>
      <c r="L122">
        <v>1648</v>
      </c>
      <c r="M122">
        <v>1915</v>
      </c>
      <c r="N122">
        <v>-2.2999999999999998</v>
      </c>
      <c r="O122">
        <v>2228</v>
      </c>
      <c r="U122">
        <f t="shared" si="6"/>
        <v>3</v>
      </c>
      <c r="V122">
        <f t="shared" si="7"/>
        <v>1.2</v>
      </c>
      <c r="W122">
        <f t="shared" si="8"/>
        <v>2.2999999999999998</v>
      </c>
      <c r="AA122">
        <f t="shared" si="9"/>
        <v>2.1666666666666665</v>
      </c>
      <c r="AB122">
        <f t="shared" si="10"/>
        <v>3</v>
      </c>
    </row>
    <row r="123" spans="1:28">
      <c r="A123" t="s">
        <v>182</v>
      </c>
      <c r="B123" t="s">
        <v>147</v>
      </c>
      <c r="C123" t="s">
        <v>150</v>
      </c>
      <c r="D123" t="s">
        <v>138</v>
      </c>
      <c r="E123">
        <v>29</v>
      </c>
      <c r="G123">
        <v>22</v>
      </c>
      <c r="H123">
        <v>0.6</v>
      </c>
      <c r="I123">
        <v>353</v>
      </c>
      <c r="J123">
        <v>646</v>
      </c>
      <c r="K123">
        <v>-3.1</v>
      </c>
      <c r="L123">
        <v>1016</v>
      </c>
      <c r="M123">
        <v>1258</v>
      </c>
      <c r="N123">
        <v>1.2</v>
      </c>
      <c r="O123">
        <v>1728</v>
      </c>
      <c r="P123">
        <v>1957</v>
      </c>
      <c r="Q123">
        <v>-2.6</v>
      </c>
      <c r="R123">
        <v>2310</v>
      </c>
      <c r="U123">
        <f t="shared" si="6"/>
        <v>0.6</v>
      </c>
      <c r="V123">
        <f t="shared" si="7"/>
        <v>3.1</v>
      </c>
      <c r="W123">
        <f t="shared" si="8"/>
        <v>1.2</v>
      </c>
      <c r="X123">
        <f t="shared" si="11"/>
        <v>2.6</v>
      </c>
      <c r="AA123">
        <f t="shared" si="9"/>
        <v>1.875</v>
      </c>
      <c r="AB123">
        <f t="shared" si="10"/>
        <v>3.1</v>
      </c>
    </row>
    <row r="124" spans="1:28">
      <c r="A124" t="s">
        <v>182</v>
      </c>
      <c r="B124" t="s">
        <v>147</v>
      </c>
      <c r="C124" t="s">
        <v>150</v>
      </c>
      <c r="D124" t="s">
        <v>138</v>
      </c>
      <c r="E124">
        <v>30</v>
      </c>
      <c r="G124">
        <v>108</v>
      </c>
      <c r="H124">
        <v>0.7</v>
      </c>
      <c r="I124">
        <v>450</v>
      </c>
      <c r="J124">
        <v>738</v>
      </c>
      <c r="K124">
        <v>-3.1</v>
      </c>
      <c r="L124">
        <v>1101</v>
      </c>
      <c r="M124">
        <v>1337</v>
      </c>
      <c r="N124">
        <v>1.2</v>
      </c>
      <c r="O124">
        <v>1805</v>
      </c>
      <c r="P124">
        <v>2032</v>
      </c>
      <c r="Q124">
        <v>-2.8</v>
      </c>
      <c r="R124">
        <v>2349</v>
      </c>
      <c r="U124">
        <f t="shared" si="6"/>
        <v>0.7</v>
      </c>
      <c r="V124">
        <f t="shared" si="7"/>
        <v>3.1</v>
      </c>
      <c r="W124">
        <f t="shared" si="8"/>
        <v>1.2</v>
      </c>
      <c r="X124">
        <f t="shared" si="11"/>
        <v>2.8</v>
      </c>
      <c r="AA124">
        <f t="shared" si="9"/>
        <v>1.95</v>
      </c>
      <c r="AB124">
        <f t="shared" si="10"/>
        <v>3.1</v>
      </c>
    </row>
    <row r="125" spans="1:28">
      <c r="A125" t="s">
        <v>182</v>
      </c>
      <c r="B125" t="s">
        <v>147</v>
      </c>
      <c r="C125" t="s">
        <v>150</v>
      </c>
      <c r="D125" t="s">
        <v>138</v>
      </c>
      <c r="E125">
        <v>31</v>
      </c>
      <c r="G125">
        <v>151</v>
      </c>
      <c r="H125">
        <v>0.8</v>
      </c>
      <c r="I125">
        <v>543</v>
      </c>
      <c r="J125">
        <v>822</v>
      </c>
      <c r="K125">
        <v>-3</v>
      </c>
      <c r="L125">
        <v>1143</v>
      </c>
      <c r="M125">
        <v>1414</v>
      </c>
      <c r="N125">
        <v>1.1000000000000001</v>
      </c>
      <c r="O125">
        <v>1838</v>
      </c>
      <c r="P125">
        <v>2103</v>
      </c>
      <c r="Q125">
        <v>-2.9</v>
      </c>
      <c r="U125">
        <f t="shared" si="6"/>
        <v>0.8</v>
      </c>
      <c r="V125">
        <f t="shared" si="7"/>
        <v>3</v>
      </c>
      <c r="W125">
        <f t="shared" si="8"/>
        <v>1.1000000000000001</v>
      </c>
      <c r="X125">
        <f t="shared" si="11"/>
        <v>2.9</v>
      </c>
      <c r="AA125">
        <f t="shared" si="9"/>
        <v>1.9500000000000002</v>
      </c>
      <c r="AB125">
        <f t="shared" si="10"/>
        <v>3</v>
      </c>
    </row>
    <row r="126" spans="1:28">
      <c r="A126" t="s">
        <v>183</v>
      </c>
      <c r="B126" t="s">
        <v>148</v>
      </c>
      <c r="C126" t="s">
        <v>13</v>
      </c>
      <c r="D126" t="s">
        <v>138</v>
      </c>
      <c r="E126">
        <v>1</v>
      </c>
      <c r="G126">
        <v>26</v>
      </c>
      <c r="H126">
        <v>0.8</v>
      </c>
      <c r="I126">
        <v>323</v>
      </c>
      <c r="J126">
        <v>732</v>
      </c>
      <c r="K126">
        <v>-1.6</v>
      </c>
      <c r="L126">
        <v>1108</v>
      </c>
      <c r="M126">
        <v>1312</v>
      </c>
      <c r="N126">
        <v>1.8</v>
      </c>
      <c r="O126">
        <v>1727</v>
      </c>
      <c r="P126">
        <v>2049</v>
      </c>
      <c r="Q126">
        <v>-1.2</v>
      </c>
      <c r="U126">
        <f t="shared" si="6"/>
        <v>0.8</v>
      </c>
      <c r="V126">
        <f t="shared" si="7"/>
        <v>1.6</v>
      </c>
      <c r="W126">
        <f t="shared" si="8"/>
        <v>1.8</v>
      </c>
      <c r="X126">
        <f t="shared" si="11"/>
        <v>1.2</v>
      </c>
      <c r="AA126">
        <f t="shared" si="9"/>
        <v>1.35</v>
      </c>
      <c r="AB126">
        <f t="shared" si="10"/>
        <v>1.8</v>
      </c>
    </row>
    <row r="127" spans="1:28">
      <c r="A127" t="s">
        <v>183</v>
      </c>
      <c r="B127" t="s">
        <v>148</v>
      </c>
      <c r="C127" t="s">
        <v>13</v>
      </c>
      <c r="D127" t="s">
        <v>138</v>
      </c>
      <c r="E127">
        <v>2</v>
      </c>
      <c r="F127" s="14">
        <v>10</v>
      </c>
      <c r="G127">
        <v>115</v>
      </c>
      <c r="H127">
        <v>0.8</v>
      </c>
      <c r="I127">
        <v>419</v>
      </c>
      <c r="J127">
        <v>819</v>
      </c>
      <c r="K127">
        <v>-1.5</v>
      </c>
      <c r="L127">
        <v>1151</v>
      </c>
      <c r="M127">
        <v>1354</v>
      </c>
      <c r="N127">
        <v>1.7</v>
      </c>
      <c r="O127">
        <v>1804</v>
      </c>
      <c r="P127">
        <v>2125</v>
      </c>
      <c r="Q127">
        <v>-1.2</v>
      </c>
      <c r="U127">
        <f t="shared" si="6"/>
        <v>0.8</v>
      </c>
      <c r="V127">
        <f t="shared" si="7"/>
        <v>1.5</v>
      </c>
      <c r="W127">
        <f t="shared" si="8"/>
        <v>1.7</v>
      </c>
      <c r="X127">
        <f t="shared" si="11"/>
        <v>1.2</v>
      </c>
      <c r="AA127">
        <f t="shared" si="9"/>
        <v>1.3</v>
      </c>
      <c r="AB127">
        <f t="shared" si="10"/>
        <v>1.7</v>
      </c>
    </row>
    <row r="128" spans="1:28">
      <c r="A128" t="s">
        <v>183</v>
      </c>
      <c r="B128" t="s">
        <v>148</v>
      </c>
      <c r="C128" t="s">
        <v>13</v>
      </c>
      <c r="D128" t="s">
        <v>138</v>
      </c>
      <c r="E128">
        <v>3</v>
      </c>
      <c r="F128" s="14">
        <v>53</v>
      </c>
      <c r="G128">
        <v>204</v>
      </c>
      <c r="H128">
        <v>0.8</v>
      </c>
      <c r="I128">
        <v>514</v>
      </c>
      <c r="J128">
        <v>902</v>
      </c>
      <c r="K128">
        <v>-1.4</v>
      </c>
      <c r="L128">
        <v>1233</v>
      </c>
      <c r="M128">
        <v>1435</v>
      </c>
      <c r="N128">
        <v>1.6</v>
      </c>
      <c r="O128">
        <v>1838</v>
      </c>
      <c r="P128">
        <v>2159</v>
      </c>
      <c r="Q128">
        <v>-1.2</v>
      </c>
      <c r="U128">
        <f t="shared" si="6"/>
        <v>0.8</v>
      </c>
      <c r="V128">
        <f t="shared" si="7"/>
        <v>1.4</v>
      </c>
      <c r="W128">
        <f t="shared" si="8"/>
        <v>1.6</v>
      </c>
      <c r="X128">
        <f t="shared" si="11"/>
        <v>1.2</v>
      </c>
      <c r="AA128">
        <f t="shared" si="9"/>
        <v>1.25</v>
      </c>
      <c r="AB128">
        <f t="shared" si="10"/>
        <v>1.6</v>
      </c>
    </row>
    <row r="129" spans="1:28">
      <c r="A129" t="s">
        <v>183</v>
      </c>
      <c r="B129" t="s">
        <v>148</v>
      </c>
      <c r="C129" t="s">
        <v>13</v>
      </c>
      <c r="D129" t="s">
        <v>138</v>
      </c>
      <c r="E129">
        <v>4</v>
      </c>
      <c r="F129" s="14">
        <v>137</v>
      </c>
      <c r="G129">
        <v>253</v>
      </c>
      <c r="H129">
        <v>0.8</v>
      </c>
      <c r="I129">
        <v>607</v>
      </c>
      <c r="J129">
        <v>944</v>
      </c>
      <c r="K129">
        <v>-1.2</v>
      </c>
      <c r="L129">
        <v>1314</v>
      </c>
      <c r="M129">
        <v>1515</v>
      </c>
      <c r="N129">
        <v>1.4</v>
      </c>
      <c r="O129">
        <v>1910</v>
      </c>
      <c r="P129">
        <v>2233</v>
      </c>
      <c r="Q129">
        <v>-1.2</v>
      </c>
      <c r="U129">
        <f t="shared" si="6"/>
        <v>0.8</v>
      </c>
      <c r="V129">
        <f t="shared" si="7"/>
        <v>1.2</v>
      </c>
      <c r="W129">
        <f t="shared" si="8"/>
        <v>1.4</v>
      </c>
      <c r="X129">
        <f t="shared" si="11"/>
        <v>1.2</v>
      </c>
      <c r="AA129">
        <f t="shared" si="9"/>
        <v>1.1499999999999999</v>
      </c>
      <c r="AB129">
        <f t="shared" si="10"/>
        <v>1.4</v>
      </c>
    </row>
    <row r="130" spans="1:28">
      <c r="A130" t="s">
        <v>183</v>
      </c>
      <c r="B130" t="s">
        <v>148</v>
      </c>
      <c r="C130" t="s">
        <v>13</v>
      </c>
      <c r="D130" t="s">
        <v>138</v>
      </c>
      <c r="E130">
        <v>5</v>
      </c>
      <c r="F130" s="14">
        <v>221</v>
      </c>
      <c r="G130">
        <v>341</v>
      </c>
      <c r="H130">
        <v>0.8</v>
      </c>
      <c r="I130">
        <v>700</v>
      </c>
      <c r="J130">
        <v>1025</v>
      </c>
      <c r="K130">
        <v>-1</v>
      </c>
      <c r="L130">
        <v>1356</v>
      </c>
      <c r="M130">
        <v>1554</v>
      </c>
      <c r="N130">
        <v>1.2</v>
      </c>
      <c r="O130">
        <v>1941</v>
      </c>
      <c r="P130">
        <v>2310</v>
      </c>
      <c r="Q130">
        <v>-1.1000000000000001</v>
      </c>
      <c r="U130">
        <f t="shared" si="6"/>
        <v>0.8</v>
      </c>
      <c r="V130">
        <f t="shared" si="7"/>
        <v>1</v>
      </c>
      <c r="W130">
        <f t="shared" si="8"/>
        <v>1.2</v>
      </c>
      <c r="X130">
        <f t="shared" si="11"/>
        <v>1.1000000000000001</v>
      </c>
      <c r="AA130">
        <f t="shared" si="9"/>
        <v>1.0249999999999999</v>
      </c>
      <c r="AB130">
        <f t="shared" si="10"/>
        <v>1.2</v>
      </c>
    </row>
    <row r="131" spans="1:28">
      <c r="A131" t="s">
        <v>183</v>
      </c>
      <c r="B131" t="s">
        <v>148</v>
      </c>
      <c r="C131" t="s">
        <v>13</v>
      </c>
      <c r="D131" t="s">
        <v>138</v>
      </c>
      <c r="E131">
        <v>6</v>
      </c>
      <c r="F131" s="14">
        <v>306</v>
      </c>
      <c r="G131">
        <v>429</v>
      </c>
      <c r="H131">
        <v>0.8</v>
      </c>
      <c r="I131">
        <v>756</v>
      </c>
      <c r="J131">
        <v>1111</v>
      </c>
      <c r="K131">
        <v>-0.8</v>
      </c>
      <c r="L131">
        <v>1439</v>
      </c>
      <c r="M131">
        <v>1633</v>
      </c>
      <c r="N131">
        <v>1</v>
      </c>
      <c r="O131">
        <v>2010</v>
      </c>
      <c r="P131">
        <v>2350</v>
      </c>
      <c r="Q131">
        <v>-1.1000000000000001</v>
      </c>
      <c r="U131">
        <f t="shared" ref="U131:U194" si="12">ABS(H131)</f>
        <v>0.8</v>
      </c>
      <c r="V131">
        <f t="shared" ref="V131:V194" si="13">ABS(K131)</f>
        <v>0.8</v>
      </c>
      <c r="W131">
        <f t="shared" ref="W131:W194" si="14">ABS(N131)</f>
        <v>1</v>
      </c>
      <c r="X131">
        <f t="shared" ref="X131:X194" si="15">ABS(Q131)</f>
        <v>1.1000000000000001</v>
      </c>
      <c r="AA131">
        <f t="shared" ref="AA131:AA149" si="16">AVERAGE(U131:Y131)</f>
        <v>0.92500000000000004</v>
      </c>
      <c r="AB131">
        <f t="shared" ref="AB131:AB149" si="17">MAX(U131:Y131)</f>
        <v>1.1000000000000001</v>
      </c>
    </row>
    <row r="132" spans="1:28">
      <c r="A132" t="s">
        <v>183</v>
      </c>
      <c r="B132" t="s">
        <v>148</v>
      </c>
      <c r="C132" t="s">
        <v>13</v>
      </c>
      <c r="D132" t="s">
        <v>138</v>
      </c>
      <c r="E132">
        <v>7</v>
      </c>
      <c r="F132" s="14">
        <v>352</v>
      </c>
      <c r="G132">
        <v>516</v>
      </c>
      <c r="H132">
        <v>0.8</v>
      </c>
      <c r="I132">
        <v>900</v>
      </c>
      <c r="J132">
        <v>1205</v>
      </c>
      <c r="K132">
        <v>-0.6</v>
      </c>
      <c r="L132">
        <v>1528</v>
      </c>
      <c r="M132">
        <v>1713</v>
      </c>
      <c r="N132">
        <v>0.8</v>
      </c>
      <c r="O132">
        <v>2041</v>
      </c>
      <c r="U132">
        <f t="shared" si="12"/>
        <v>0.8</v>
      </c>
      <c r="V132">
        <f t="shared" si="13"/>
        <v>0.6</v>
      </c>
      <c r="W132">
        <f t="shared" si="14"/>
        <v>0.8</v>
      </c>
      <c r="AA132">
        <f t="shared" si="16"/>
        <v>0.73333333333333339</v>
      </c>
      <c r="AB132">
        <f t="shared" si="17"/>
        <v>0.8</v>
      </c>
    </row>
    <row r="133" spans="1:28">
      <c r="A133" t="s">
        <v>183</v>
      </c>
      <c r="B133" t="s">
        <v>148</v>
      </c>
      <c r="C133" t="s">
        <v>13</v>
      </c>
      <c r="D133" t="s">
        <v>138</v>
      </c>
      <c r="E133">
        <v>8</v>
      </c>
      <c r="G133">
        <v>37</v>
      </c>
      <c r="H133">
        <v>-1</v>
      </c>
      <c r="I133">
        <v>440</v>
      </c>
      <c r="J133">
        <v>608</v>
      </c>
      <c r="K133">
        <v>0.8</v>
      </c>
      <c r="L133">
        <v>1017</v>
      </c>
      <c r="M133">
        <v>1313</v>
      </c>
      <c r="N133">
        <v>-0.4</v>
      </c>
      <c r="O133">
        <v>1626</v>
      </c>
      <c r="P133">
        <v>1757</v>
      </c>
      <c r="Q133">
        <v>0.6</v>
      </c>
      <c r="R133">
        <v>2114</v>
      </c>
      <c r="U133">
        <f t="shared" si="12"/>
        <v>1</v>
      </c>
      <c r="V133">
        <f t="shared" si="13"/>
        <v>0.8</v>
      </c>
      <c r="W133">
        <f t="shared" si="14"/>
        <v>0.4</v>
      </c>
      <c r="X133">
        <f t="shared" si="15"/>
        <v>0.6</v>
      </c>
      <c r="AA133">
        <f t="shared" si="16"/>
        <v>0.70000000000000007</v>
      </c>
      <c r="AB133">
        <f t="shared" si="17"/>
        <v>1</v>
      </c>
    </row>
    <row r="134" spans="1:28">
      <c r="A134" t="s">
        <v>183</v>
      </c>
      <c r="B134" t="s">
        <v>148</v>
      </c>
      <c r="C134" t="s">
        <v>13</v>
      </c>
      <c r="D134" t="s">
        <v>138</v>
      </c>
      <c r="E134">
        <v>9</v>
      </c>
      <c r="G134">
        <v>129</v>
      </c>
      <c r="H134">
        <v>-1</v>
      </c>
      <c r="I134">
        <v>530</v>
      </c>
      <c r="J134">
        <v>707</v>
      </c>
      <c r="K134">
        <v>0.8</v>
      </c>
      <c r="L134">
        <v>1141</v>
      </c>
      <c r="M134">
        <v>1431</v>
      </c>
      <c r="N134">
        <v>-0.4</v>
      </c>
      <c r="O134">
        <v>1734</v>
      </c>
      <c r="P134">
        <v>1848</v>
      </c>
      <c r="Q134">
        <v>0.5</v>
      </c>
      <c r="R134">
        <v>2156</v>
      </c>
      <c r="U134">
        <f t="shared" si="12"/>
        <v>1</v>
      </c>
      <c r="V134">
        <f t="shared" si="13"/>
        <v>0.8</v>
      </c>
      <c r="W134">
        <f t="shared" si="14"/>
        <v>0.4</v>
      </c>
      <c r="X134">
        <f t="shared" si="15"/>
        <v>0.5</v>
      </c>
      <c r="AA134">
        <f t="shared" si="16"/>
        <v>0.67500000000000004</v>
      </c>
      <c r="AB134">
        <f t="shared" si="17"/>
        <v>1</v>
      </c>
    </row>
    <row r="135" spans="1:28">
      <c r="A135" t="s">
        <v>183</v>
      </c>
      <c r="B135" t="s">
        <v>148</v>
      </c>
      <c r="C135" t="s">
        <v>13</v>
      </c>
      <c r="D135" t="s">
        <v>138</v>
      </c>
      <c r="E135">
        <v>10</v>
      </c>
      <c r="G135">
        <v>224</v>
      </c>
      <c r="H135">
        <v>-1</v>
      </c>
      <c r="I135">
        <v>623</v>
      </c>
      <c r="J135">
        <v>819</v>
      </c>
      <c r="K135">
        <v>0.8</v>
      </c>
      <c r="L135">
        <v>1255</v>
      </c>
      <c r="M135">
        <v>1546</v>
      </c>
      <c r="N135">
        <v>-0.4</v>
      </c>
      <c r="O135">
        <v>1852</v>
      </c>
      <c r="P135">
        <v>1951</v>
      </c>
      <c r="Q135">
        <v>0.4</v>
      </c>
      <c r="R135">
        <v>2250</v>
      </c>
      <c r="U135">
        <f t="shared" si="12"/>
        <v>1</v>
      </c>
      <c r="V135">
        <f t="shared" si="13"/>
        <v>0.8</v>
      </c>
      <c r="W135">
        <f t="shared" si="14"/>
        <v>0.4</v>
      </c>
      <c r="X135">
        <f t="shared" si="15"/>
        <v>0.4</v>
      </c>
      <c r="AA135">
        <f t="shared" si="16"/>
        <v>0.65</v>
      </c>
      <c r="AB135">
        <f t="shared" si="17"/>
        <v>1</v>
      </c>
    </row>
    <row r="136" spans="1:28">
      <c r="A136" t="s">
        <v>183</v>
      </c>
      <c r="B136" t="s">
        <v>148</v>
      </c>
      <c r="C136" t="s">
        <v>13</v>
      </c>
      <c r="D136" t="s">
        <v>138</v>
      </c>
      <c r="E136">
        <v>11</v>
      </c>
      <c r="G136">
        <v>317</v>
      </c>
      <c r="H136">
        <v>-1</v>
      </c>
      <c r="I136">
        <v>717</v>
      </c>
      <c r="J136">
        <v>932</v>
      </c>
      <c r="K136">
        <v>1</v>
      </c>
      <c r="L136">
        <v>1353</v>
      </c>
      <c r="M136">
        <v>1656</v>
      </c>
      <c r="N136">
        <v>-0.4</v>
      </c>
      <c r="O136">
        <v>2010</v>
      </c>
      <c r="P136">
        <v>2103</v>
      </c>
      <c r="Q136">
        <v>0.3</v>
      </c>
      <c r="R136">
        <v>2350</v>
      </c>
      <c r="U136">
        <f t="shared" si="12"/>
        <v>1</v>
      </c>
      <c r="V136">
        <f t="shared" si="13"/>
        <v>1</v>
      </c>
      <c r="W136">
        <f t="shared" si="14"/>
        <v>0.4</v>
      </c>
      <c r="X136">
        <f t="shared" si="15"/>
        <v>0.3</v>
      </c>
      <c r="AA136">
        <f t="shared" si="16"/>
        <v>0.67499999999999993</v>
      </c>
      <c r="AB136">
        <f t="shared" si="17"/>
        <v>1</v>
      </c>
    </row>
    <row r="137" spans="1:28">
      <c r="A137" t="s">
        <v>183</v>
      </c>
      <c r="B137" t="s">
        <v>148</v>
      </c>
      <c r="C137" t="s">
        <v>13</v>
      </c>
      <c r="D137" t="s">
        <v>138</v>
      </c>
      <c r="E137">
        <v>12</v>
      </c>
      <c r="G137">
        <v>409</v>
      </c>
      <c r="H137">
        <v>-1</v>
      </c>
      <c r="I137">
        <v>808</v>
      </c>
      <c r="J137">
        <v>1025</v>
      </c>
      <c r="K137">
        <v>1.1000000000000001</v>
      </c>
      <c r="L137">
        <v>1440</v>
      </c>
      <c r="M137">
        <v>1757</v>
      </c>
      <c r="N137">
        <v>-0.5</v>
      </c>
      <c r="O137">
        <v>2113</v>
      </c>
      <c r="P137">
        <v>2205</v>
      </c>
      <c r="Q137">
        <v>0.4</v>
      </c>
      <c r="U137">
        <f t="shared" si="12"/>
        <v>1</v>
      </c>
      <c r="V137">
        <f t="shared" si="13"/>
        <v>1.1000000000000001</v>
      </c>
      <c r="W137">
        <f t="shared" si="14"/>
        <v>0.5</v>
      </c>
      <c r="X137">
        <f t="shared" si="15"/>
        <v>0.4</v>
      </c>
      <c r="AA137">
        <f t="shared" si="16"/>
        <v>0.75</v>
      </c>
      <c r="AB137">
        <f t="shared" si="17"/>
        <v>1.1000000000000001</v>
      </c>
    </row>
    <row r="138" spans="1:28">
      <c r="A138" t="s">
        <v>183</v>
      </c>
      <c r="B138" t="s">
        <v>148</v>
      </c>
      <c r="C138" t="s">
        <v>13</v>
      </c>
      <c r="D138" t="s">
        <v>138</v>
      </c>
      <c r="E138">
        <v>13</v>
      </c>
      <c r="F138" s="14">
        <v>47</v>
      </c>
      <c r="G138">
        <v>459</v>
      </c>
      <c r="H138">
        <v>-1.1000000000000001</v>
      </c>
      <c r="I138">
        <v>855</v>
      </c>
      <c r="J138">
        <v>1106</v>
      </c>
      <c r="K138">
        <v>1.3</v>
      </c>
      <c r="L138">
        <v>1521</v>
      </c>
      <c r="M138">
        <v>1845</v>
      </c>
      <c r="N138">
        <v>-0.7</v>
      </c>
      <c r="O138">
        <v>2201</v>
      </c>
      <c r="P138">
        <v>2254</v>
      </c>
      <c r="Q138">
        <v>0.5</v>
      </c>
      <c r="U138">
        <f t="shared" si="12"/>
        <v>1.1000000000000001</v>
      </c>
      <c r="V138">
        <f t="shared" si="13"/>
        <v>1.3</v>
      </c>
      <c r="W138">
        <f t="shared" si="14"/>
        <v>0.7</v>
      </c>
      <c r="X138">
        <f t="shared" si="15"/>
        <v>0.5</v>
      </c>
      <c r="AA138">
        <f t="shared" si="16"/>
        <v>0.90000000000000013</v>
      </c>
      <c r="AB138">
        <f t="shared" si="17"/>
        <v>1.3</v>
      </c>
    </row>
    <row r="139" spans="1:28">
      <c r="A139" t="s">
        <v>183</v>
      </c>
      <c r="B139" t="s">
        <v>148</v>
      </c>
      <c r="C139" t="s">
        <v>13</v>
      </c>
      <c r="D139" t="s">
        <v>138</v>
      </c>
      <c r="E139">
        <v>14</v>
      </c>
      <c r="F139" s="14">
        <v>139</v>
      </c>
      <c r="G139">
        <v>549</v>
      </c>
      <c r="H139">
        <v>-1.2</v>
      </c>
      <c r="I139">
        <v>938</v>
      </c>
      <c r="J139">
        <v>1142</v>
      </c>
      <c r="K139">
        <v>1.4</v>
      </c>
      <c r="L139">
        <v>1557</v>
      </c>
      <c r="M139">
        <v>1921</v>
      </c>
      <c r="N139">
        <v>-0.8</v>
      </c>
      <c r="O139">
        <v>2240</v>
      </c>
      <c r="P139">
        <v>2336</v>
      </c>
      <c r="Q139">
        <v>0.6</v>
      </c>
      <c r="U139">
        <f t="shared" si="12"/>
        <v>1.2</v>
      </c>
      <c r="V139">
        <f t="shared" si="13"/>
        <v>1.4</v>
      </c>
      <c r="W139">
        <f t="shared" si="14"/>
        <v>0.8</v>
      </c>
      <c r="X139">
        <f t="shared" si="15"/>
        <v>0.6</v>
      </c>
      <c r="AA139">
        <f t="shared" si="16"/>
        <v>0.99999999999999989</v>
      </c>
      <c r="AB139">
        <f t="shared" si="17"/>
        <v>1.4</v>
      </c>
    </row>
    <row r="140" spans="1:28">
      <c r="A140" t="s">
        <v>183</v>
      </c>
      <c r="B140" t="s">
        <v>148</v>
      </c>
      <c r="C140" t="s">
        <v>13</v>
      </c>
      <c r="D140" t="s">
        <v>138</v>
      </c>
      <c r="E140">
        <v>15</v>
      </c>
      <c r="F140" s="14">
        <v>228</v>
      </c>
      <c r="G140">
        <v>635</v>
      </c>
      <c r="H140">
        <v>-1.2</v>
      </c>
      <c r="I140">
        <v>1017</v>
      </c>
      <c r="J140">
        <v>1216</v>
      </c>
      <c r="K140">
        <v>1.5</v>
      </c>
      <c r="L140">
        <v>1631</v>
      </c>
      <c r="M140">
        <v>1952</v>
      </c>
      <c r="N140">
        <v>-0.9</v>
      </c>
      <c r="O140">
        <v>2315</v>
      </c>
      <c r="U140">
        <f t="shared" si="12"/>
        <v>1.2</v>
      </c>
      <c r="V140">
        <f t="shared" si="13"/>
        <v>1.5</v>
      </c>
      <c r="W140">
        <f t="shared" si="14"/>
        <v>0.9</v>
      </c>
      <c r="AA140">
        <f t="shared" si="16"/>
        <v>1.2</v>
      </c>
      <c r="AB140">
        <f t="shared" si="17"/>
        <v>1.5</v>
      </c>
    </row>
    <row r="141" spans="1:28">
      <c r="A141" t="s">
        <v>183</v>
      </c>
      <c r="B141" t="s">
        <v>148</v>
      </c>
      <c r="C141" t="s">
        <v>13</v>
      </c>
      <c r="D141" t="s">
        <v>138</v>
      </c>
      <c r="E141">
        <v>16</v>
      </c>
      <c r="G141">
        <v>17</v>
      </c>
      <c r="H141">
        <v>0.7</v>
      </c>
      <c r="I141">
        <v>315</v>
      </c>
      <c r="J141">
        <v>719</v>
      </c>
      <c r="K141">
        <v>-1.3</v>
      </c>
      <c r="L141">
        <v>1054</v>
      </c>
      <c r="M141">
        <v>1251</v>
      </c>
      <c r="N141">
        <v>1.6</v>
      </c>
      <c r="O141">
        <v>1702</v>
      </c>
      <c r="P141">
        <v>2021</v>
      </c>
      <c r="Q141">
        <v>-1</v>
      </c>
      <c r="R141">
        <v>2349</v>
      </c>
      <c r="U141">
        <f t="shared" si="12"/>
        <v>0.7</v>
      </c>
      <c r="V141">
        <f t="shared" si="13"/>
        <v>1.3</v>
      </c>
      <c r="W141">
        <f t="shared" si="14"/>
        <v>1.6</v>
      </c>
      <c r="X141">
        <f t="shared" si="15"/>
        <v>1</v>
      </c>
      <c r="AA141">
        <f t="shared" si="16"/>
        <v>1.1499999999999999</v>
      </c>
      <c r="AB141">
        <f t="shared" si="17"/>
        <v>1.6</v>
      </c>
    </row>
    <row r="142" spans="1:28">
      <c r="A142" t="s">
        <v>183</v>
      </c>
      <c r="B142" t="s">
        <v>148</v>
      </c>
      <c r="C142" t="s">
        <v>13</v>
      </c>
      <c r="D142" t="s">
        <v>138</v>
      </c>
      <c r="E142">
        <v>17</v>
      </c>
      <c r="G142">
        <v>57</v>
      </c>
      <c r="H142">
        <v>0.8</v>
      </c>
      <c r="I142">
        <v>404</v>
      </c>
      <c r="J142">
        <v>800</v>
      </c>
      <c r="K142">
        <v>-1.3</v>
      </c>
      <c r="L142">
        <v>1130</v>
      </c>
      <c r="M142">
        <v>1327</v>
      </c>
      <c r="N142">
        <v>1.6</v>
      </c>
      <c r="O142">
        <v>1732</v>
      </c>
      <c r="P142">
        <v>2051</v>
      </c>
      <c r="Q142">
        <v>-1.2</v>
      </c>
      <c r="U142">
        <f t="shared" si="12"/>
        <v>0.8</v>
      </c>
      <c r="V142">
        <f t="shared" si="13"/>
        <v>1.3</v>
      </c>
      <c r="W142">
        <f t="shared" si="14"/>
        <v>1.6</v>
      </c>
      <c r="X142">
        <f t="shared" si="15"/>
        <v>1.2</v>
      </c>
      <c r="AA142">
        <f t="shared" si="16"/>
        <v>1.2250000000000001</v>
      </c>
      <c r="AB142">
        <f t="shared" si="17"/>
        <v>1.6</v>
      </c>
    </row>
    <row r="143" spans="1:28">
      <c r="A143" t="s">
        <v>183</v>
      </c>
      <c r="B143" t="s">
        <v>148</v>
      </c>
      <c r="C143" t="s">
        <v>13</v>
      </c>
      <c r="D143" t="s">
        <v>138</v>
      </c>
      <c r="E143">
        <v>18</v>
      </c>
      <c r="F143" s="14">
        <v>23</v>
      </c>
      <c r="G143">
        <v>141</v>
      </c>
      <c r="H143">
        <v>0.9</v>
      </c>
      <c r="I143">
        <v>454</v>
      </c>
      <c r="J143">
        <v>841</v>
      </c>
      <c r="K143">
        <v>-1.3</v>
      </c>
      <c r="L143">
        <v>1207</v>
      </c>
      <c r="M143">
        <v>1406</v>
      </c>
      <c r="N143">
        <v>1.5</v>
      </c>
      <c r="O143">
        <v>1801</v>
      </c>
      <c r="P143">
        <v>2124</v>
      </c>
      <c r="Q143">
        <v>-1.3</v>
      </c>
      <c r="U143">
        <f t="shared" si="12"/>
        <v>0.9</v>
      </c>
      <c r="V143">
        <f t="shared" si="13"/>
        <v>1.3</v>
      </c>
      <c r="W143">
        <f t="shared" si="14"/>
        <v>1.5</v>
      </c>
      <c r="X143">
        <f t="shared" si="15"/>
        <v>1.3</v>
      </c>
      <c r="AA143">
        <f t="shared" si="16"/>
        <v>1.25</v>
      </c>
      <c r="AB143">
        <f t="shared" si="17"/>
        <v>1.5</v>
      </c>
    </row>
    <row r="144" spans="1:28">
      <c r="A144" t="s">
        <v>183</v>
      </c>
      <c r="B144" t="s">
        <v>148</v>
      </c>
      <c r="C144" t="s">
        <v>13</v>
      </c>
      <c r="D144" t="s">
        <v>138</v>
      </c>
      <c r="E144">
        <v>19</v>
      </c>
      <c r="F144" s="14">
        <v>59</v>
      </c>
      <c r="G144">
        <v>226</v>
      </c>
      <c r="H144">
        <v>1</v>
      </c>
      <c r="I144">
        <v>546</v>
      </c>
      <c r="J144">
        <v>923</v>
      </c>
      <c r="K144">
        <v>-1.3</v>
      </c>
      <c r="L144">
        <v>1248</v>
      </c>
      <c r="M144">
        <v>1447</v>
      </c>
      <c r="N144">
        <v>1.4</v>
      </c>
      <c r="O144">
        <v>1830</v>
      </c>
      <c r="P144">
        <v>2159</v>
      </c>
      <c r="Q144">
        <v>-1.3</v>
      </c>
      <c r="U144">
        <f t="shared" si="12"/>
        <v>1</v>
      </c>
      <c r="V144">
        <f t="shared" si="13"/>
        <v>1.3</v>
      </c>
      <c r="W144">
        <f t="shared" si="14"/>
        <v>1.4</v>
      </c>
      <c r="X144">
        <f t="shared" si="15"/>
        <v>1.3</v>
      </c>
      <c r="AA144">
        <f t="shared" si="16"/>
        <v>1.25</v>
      </c>
      <c r="AB144">
        <f t="shared" si="17"/>
        <v>1.4</v>
      </c>
    </row>
    <row r="145" spans="1:28">
      <c r="A145" t="s">
        <v>183</v>
      </c>
      <c r="B145" t="s">
        <v>148</v>
      </c>
      <c r="C145" t="s">
        <v>13</v>
      </c>
      <c r="D145" t="s">
        <v>138</v>
      </c>
      <c r="E145">
        <v>20</v>
      </c>
      <c r="F145" s="14">
        <v>138</v>
      </c>
      <c r="G145">
        <v>315</v>
      </c>
      <c r="H145">
        <v>1.1000000000000001</v>
      </c>
      <c r="I145">
        <v>641</v>
      </c>
      <c r="J145">
        <v>1008</v>
      </c>
      <c r="K145">
        <v>-1.2</v>
      </c>
      <c r="L145">
        <v>1332</v>
      </c>
      <c r="M145">
        <v>1530</v>
      </c>
      <c r="N145">
        <v>1.3</v>
      </c>
      <c r="O145">
        <v>1901</v>
      </c>
      <c r="P145">
        <v>2238</v>
      </c>
      <c r="Q145">
        <v>-1.4</v>
      </c>
      <c r="U145">
        <f t="shared" si="12"/>
        <v>1.1000000000000001</v>
      </c>
      <c r="V145">
        <f t="shared" si="13"/>
        <v>1.2</v>
      </c>
      <c r="W145">
        <f t="shared" si="14"/>
        <v>1.3</v>
      </c>
      <c r="X145">
        <f t="shared" si="15"/>
        <v>1.4</v>
      </c>
      <c r="AA145">
        <f t="shared" si="16"/>
        <v>1.25</v>
      </c>
      <c r="AB145">
        <f t="shared" si="17"/>
        <v>1.4</v>
      </c>
    </row>
    <row r="146" spans="1:28">
      <c r="A146" t="s">
        <v>183</v>
      </c>
      <c r="B146" t="s">
        <v>148</v>
      </c>
      <c r="C146" t="s">
        <v>13</v>
      </c>
      <c r="D146" t="s">
        <v>138</v>
      </c>
      <c r="E146">
        <v>21</v>
      </c>
      <c r="F146" s="14">
        <v>223</v>
      </c>
      <c r="G146">
        <v>406</v>
      </c>
      <c r="H146">
        <v>1.2</v>
      </c>
      <c r="I146">
        <v>741</v>
      </c>
      <c r="J146">
        <v>1059</v>
      </c>
      <c r="K146">
        <v>-1</v>
      </c>
      <c r="L146">
        <v>1423</v>
      </c>
      <c r="M146">
        <v>1615</v>
      </c>
      <c r="N146">
        <v>1.1000000000000001</v>
      </c>
      <c r="O146">
        <v>1934</v>
      </c>
      <c r="P146">
        <v>2322</v>
      </c>
      <c r="Q146">
        <v>-1.3</v>
      </c>
      <c r="U146">
        <f t="shared" si="12"/>
        <v>1.2</v>
      </c>
      <c r="V146">
        <f t="shared" si="13"/>
        <v>1</v>
      </c>
      <c r="W146">
        <f t="shared" si="14"/>
        <v>1.1000000000000001</v>
      </c>
      <c r="X146">
        <f t="shared" si="15"/>
        <v>1.3</v>
      </c>
      <c r="AA146">
        <f t="shared" si="16"/>
        <v>1.1500000000000001</v>
      </c>
      <c r="AB146">
        <f t="shared" si="17"/>
        <v>1.3</v>
      </c>
    </row>
    <row r="147" spans="1:28">
      <c r="A147" t="s">
        <v>183</v>
      </c>
      <c r="B147" t="s">
        <v>148</v>
      </c>
      <c r="C147" t="s">
        <v>13</v>
      </c>
      <c r="D147" t="s">
        <v>138</v>
      </c>
      <c r="E147">
        <v>22</v>
      </c>
      <c r="F147" s="14">
        <v>313</v>
      </c>
      <c r="G147">
        <v>500</v>
      </c>
      <c r="H147">
        <v>1.2</v>
      </c>
      <c r="I147">
        <v>850</v>
      </c>
      <c r="J147">
        <v>1200</v>
      </c>
      <c r="K147">
        <v>-0.8</v>
      </c>
      <c r="L147">
        <v>1524</v>
      </c>
      <c r="M147">
        <v>1704</v>
      </c>
      <c r="N147">
        <v>0.9</v>
      </c>
      <c r="O147">
        <v>2012</v>
      </c>
      <c r="U147">
        <f t="shared" si="12"/>
        <v>1.2</v>
      </c>
      <c r="V147">
        <f t="shared" si="13"/>
        <v>0.8</v>
      </c>
      <c r="W147">
        <f t="shared" si="14"/>
        <v>0.9</v>
      </c>
      <c r="AA147">
        <f t="shared" si="16"/>
        <v>0.96666666666666667</v>
      </c>
      <c r="AB147">
        <f t="shared" si="17"/>
        <v>1.2</v>
      </c>
    </row>
    <row r="148" spans="1:28">
      <c r="A148" t="s">
        <v>183</v>
      </c>
      <c r="B148" t="s">
        <v>148</v>
      </c>
      <c r="C148" t="s">
        <v>13</v>
      </c>
      <c r="D148" t="s">
        <v>138</v>
      </c>
      <c r="E148">
        <v>23</v>
      </c>
      <c r="G148">
        <v>15</v>
      </c>
      <c r="H148">
        <v>-1.3</v>
      </c>
      <c r="I148">
        <v>409</v>
      </c>
      <c r="J148">
        <v>558</v>
      </c>
      <c r="K148">
        <v>1.2</v>
      </c>
      <c r="L148">
        <v>1011</v>
      </c>
      <c r="M148">
        <v>1315</v>
      </c>
      <c r="N148">
        <v>-0.7</v>
      </c>
      <c r="O148">
        <v>1636</v>
      </c>
      <c r="P148">
        <v>1758</v>
      </c>
      <c r="Q148">
        <v>0.7</v>
      </c>
      <c r="R148">
        <v>2057</v>
      </c>
      <c r="U148">
        <f t="shared" si="12"/>
        <v>1.3</v>
      </c>
      <c r="V148">
        <f t="shared" si="13"/>
        <v>1.2</v>
      </c>
      <c r="W148">
        <f t="shared" si="14"/>
        <v>0.7</v>
      </c>
      <c r="X148">
        <f t="shared" si="15"/>
        <v>0.7</v>
      </c>
      <c r="AA148">
        <f t="shared" si="16"/>
        <v>0.97500000000000009</v>
      </c>
      <c r="AB148">
        <f t="shared" si="17"/>
        <v>1.3</v>
      </c>
    </row>
    <row r="149" spans="1:28">
      <c r="A149" t="s">
        <v>183</v>
      </c>
      <c r="B149" t="s">
        <v>148</v>
      </c>
      <c r="C149" t="s">
        <v>13</v>
      </c>
      <c r="D149" t="s">
        <v>138</v>
      </c>
      <c r="E149">
        <v>24</v>
      </c>
      <c r="G149">
        <v>117</v>
      </c>
      <c r="H149">
        <v>-1.2</v>
      </c>
      <c r="I149">
        <v>510</v>
      </c>
      <c r="J149">
        <v>705</v>
      </c>
      <c r="K149">
        <v>1.2</v>
      </c>
      <c r="L149">
        <v>1137</v>
      </c>
      <c r="M149">
        <v>1438</v>
      </c>
      <c r="N149">
        <v>-0.6</v>
      </c>
      <c r="O149">
        <v>1757</v>
      </c>
      <c r="P149">
        <v>1901</v>
      </c>
      <c r="Q149">
        <v>0.5</v>
      </c>
      <c r="R149">
        <v>2156</v>
      </c>
      <c r="U149">
        <f t="shared" si="12"/>
        <v>1.2</v>
      </c>
      <c r="V149">
        <f t="shared" si="13"/>
        <v>1.2</v>
      </c>
      <c r="W149">
        <f t="shared" si="14"/>
        <v>0.6</v>
      </c>
      <c r="X149">
        <f t="shared" si="15"/>
        <v>0.5</v>
      </c>
      <c r="AA149">
        <f t="shared" si="16"/>
        <v>0.875</v>
      </c>
      <c r="AB149">
        <f t="shared" si="17"/>
        <v>1.2</v>
      </c>
    </row>
    <row r="150" spans="1:28">
      <c r="A150" t="s">
        <v>183</v>
      </c>
      <c r="B150" t="s">
        <v>148</v>
      </c>
      <c r="C150" t="s">
        <v>13</v>
      </c>
      <c r="D150" t="s">
        <v>138</v>
      </c>
      <c r="E150">
        <v>25</v>
      </c>
      <c r="G150">
        <v>224</v>
      </c>
      <c r="H150">
        <v>-1.2</v>
      </c>
      <c r="I150">
        <v>614</v>
      </c>
      <c r="J150">
        <v>822</v>
      </c>
      <c r="K150">
        <v>1.3</v>
      </c>
      <c r="L150">
        <v>1253</v>
      </c>
      <c r="M150">
        <v>1558</v>
      </c>
      <c r="N150">
        <v>-0.7</v>
      </c>
      <c r="O150">
        <v>1920</v>
      </c>
      <c r="P150">
        <v>2017</v>
      </c>
      <c r="Q150">
        <v>0.4</v>
      </c>
      <c r="R150">
        <v>2311</v>
      </c>
      <c r="U150">
        <f t="shared" si="12"/>
        <v>1.2</v>
      </c>
      <c r="V150">
        <f t="shared" si="13"/>
        <v>1.3</v>
      </c>
      <c r="W150">
        <f t="shared" si="14"/>
        <v>0.7</v>
      </c>
      <c r="X150">
        <f t="shared" si="15"/>
        <v>0.4</v>
      </c>
      <c r="AA150">
        <f t="shared" ref="AA150:AA156" si="18">AVERAGE(U150:Y150)</f>
        <v>0.9</v>
      </c>
      <c r="AB150">
        <f t="shared" ref="AB150:AB156" si="19">MAX(U150:Y150)</f>
        <v>1.3</v>
      </c>
    </row>
    <row r="151" spans="1:28">
      <c r="A151" t="s">
        <v>183</v>
      </c>
      <c r="B151" t="s">
        <v>148</v>
      </c>
      <c r="C151" t="s">
        <v>13</v>
      </c>
      <c r="D151" t="s">
        <v>138</v>
      </c>
      <c r="E151">
        <v>26</v>
      </c>
      <c r="G151">
        <v>330</v>
      </c>
      <c r="H151">
        <v>-1.2</v>
      </c>
      <c r="I151">
        <v>720</v>
      </c>
      <c r="J151">
        <v>938</v>
      </c>
      <c r="K151">
        <v>1.4</v>
      </c>
      <c r="L151">
        <v>1354</v>
      </c>
      <c r="M151">
        <v>1710</v>
      </c>
      <c r="N151">
        <v>-0.8</v>
      </c>
      <c r="O151">
        <v>2035</v>
      </c>
      <c r="P151">
        <v>2137</v>
      </c>
      <c r="Q151">
        <v>0.5</v>
      </c>
      <c r="U151">
        <f t="shared" si="12"/>
        <v>1.2</v>
      </c>
      <c r="V151">
        <f t="shared" si="13"/>
        <v>1.4</v>
      </c>
      <c r="W151">
        <f t="shared" si="14"/>
        <v>0.8</v>
      </c>
      <c r="X151">
        <f t="shared" si="15"/>
        <v>0.5</v>
      </c>
      <c r="AA151">
        <f t="shared" si="18"/>
        <v>0.97499999999999987</v>
      </c>
      <c r="AB151">
        <f t="shared" si="19"/>
        <v>1.4</v>
      </c>
    </row>
    <row r="152" spans="1:28">
      <c r="A152" t="s">
        <v>183</v>
      </c>
      <c r="B152" t="s">
        <v>148</v>
      </c>
      <c r="C152" t="s">
        <v>13</v>
      </c>
      <c r="D152" t="s">
        <v>138</v>
      </c>
      <c r="E152">
        <v>27</v>
      </c>
      <c r="F152" s="14">
        <v>27</v>
      </c>
      <c r="G152">
        <v>434</v>
      </c>
      <c r="H152">
        <v>-1.3</v>
      </c>
      <c r="I152">
        <v>822</v>
      </c>
      <c r="J152">
        <v>1039</v>
      </c>
      <c r="K152">
        <v>1.5</v>
      </c>
      <c r="L152">
        <v>1446</v>
      </c>
      <c r="M152">
        <v>1812</v>
      </c>
      <c r="N152">
        <v>-0.9</v>
      </c>
      <c r="O152">
        <v>2134</v>
      </c>
      <c r="P152">
        <v>2242</v>
      </c>
      <c r="Q152">
        <v>0.6</v>
      </c>
      <c r="U152">
        <f t="shared" si="12"/>
        <v>1.3</v>
      </c>
      <c r="V152">
        <f t="shared" si="13"/>
        <v>1.5</v>
      </c>
      <c r="W152">
        <f t="shared" si="14"/>
        <v>0.9</v>
      </c>
      <c r="X152">
        <f t="shared" si="15"/>
        <v>0.6</v>
      </c>
      <c r="AA152">
        <f t="shared" si="18"/>
        <v>1.075</v>
      </c>
      <c r="AB152">
        <f t="shared" si="19"/>
        <v>1.5</v>
      </c>
    </row>
    <row r="153" spans="1:28">
      <c r="A153" t="s">
        <v>183</v>
      </c>
      <c r="B153" t="s">
        <v>148</v>
      </c>
      <c r="C153" t="s">
        <v>13</v>
      </c>
      <c r="D153" t="s">
        <v>138</v>
      </c>
      <c r="E153">
        <v>28</v>
      </c>
      <c r="F153" s="14">
        <v>135</v>
      </c>
      <c r="G153">
        <v>536</v>
      </c>
      <c r="H153">
        <v>-1.3</v>
      </c>
      <c r="I153">
        <v>919</v>
      </c>
      <c r="J153">
        <v>1127</v>
      </c>
      <c r="K153">
        <v>1.6</v>
      </c>
      <c r="L153">
        <v>1531</v>
      </c>
      <c r="M153">
        <v>1903</v>
      </c>
      <c r="N153">
        <v>-1</v>
      </c>
      <c r="O153">
        <v>2221</v>
      </c>
      <c r="P153">
        <v>2333</v>
      </c>
      <c r="Q153">
        <v>0.8</v>
      </c>
      <c r="U153">
        <f t="shared" si="12"/>
        <v>1.3</v>
      </c>
      <c r="V153">
        <f t="shared" si="13"/>
        <v>1.6</v>
      </c>
      <c r="W153">
        <f t="shared" si="14"/>
        <v>1</v>
      </c>
      <c r="X153">
        <f t="shared" si="15"/>
        <v>0.8</v>
      </c>
      <c r="AA153">
        <f t="shared" si="18"/>
        <v>1.175</v>
      </c>
      <c r="AB153">
        <f t="shared" si="19"/>
        <v>1.6</v>
      </c>
    </row>
    <row r="154" spans="1:28">
      <c r="A154" t="s">
        <v>183</v>
      </c>
      <c r="B154" t="s">
        <v>148</v>
      </c>
      <c r="C154" t="s">
        <v>13</v>
      </c>
      <c r="D154" t="s">
        <v>138</v>
      </c>
      <c r="E154">
        <v>29</v>
      </c>
      <c r="F154" s="14">
        <v>236</v>
      </c>
      <c r="G154">
        <v>634</v>
      </c>
      <c r="H154">
        <v>-1.4</v>
      </c>
      <c r="I154">
        <v>1009</v>
      </c>
      <c r="J154">
        <v>1209</v>
      </c>
      <c r="K154">
        <v>1.6</v>
      </c>
      <c r="L154">
        <v>1611</v>
      </c>
      <c r="M154">
        <v>1945</v>
      </c>
      <c r="N154">
        <v>-1.2</v>
      </c>
      <c r="O154">
        <v>2303</v>
      </c>
      <c r="U154">
        <f t="shared" si="12"/>
        <v>1.4</v>
      </c>
      <c r="V154">
        <f t="shared" si="13"/>
        <v>1.6</v>
      </c>
      <c r="W154">
        <f t="shared" si="14"/>
        <v>1.2</v>
      </c>
      <c r="AA154">
        <f t="shared" si="18"/>
        <v>1.4000000000000001</v>
      </c>
      <c r="AB154">
        <f t="shared" si="19"/>
        <v>1.6</v>
      </c>
    </row>
    <row r="155" spans="1:28">
      <c r="A155" t="s">
        <v>183</v>
      </c>
      <c r="B155" t="s">
        <v>148</v>
      </c>
      <c r="C155" t="s">
        <v>13</v>
      </c>
      <c r="D155" t="s">
        <v>138</v>
      </c>
      <c r="E155">
        <v>30</v>
      </c>
      <c r="G155">
        <v>19</v>
      </c>
      <c r="H155">
        <v>0.9</v>
      </c>
      <c r="I155">
        <v>333</v>
      </c>
      <c r="J155">
        <v>726</v>
      </c>
      <c r="K155">
        <v>-1.4</v>
      </c>
      <c r="L155">
        <v>1054</v>
      </c>
      <c r="M155">
        <v>1248</v>
      </c>
      <c r="N155">
        <v>1.6</v>
      </c>
      <c r="O155">
        <v>1648</v>
      </c>
      <c r="P155">
        <v>2020</v>
      </c>
      <c r="Q155">
        <v>-1.2</v>
      </c>
      <c r="R155">
        <v>2342</v>
      </c>
      <c r="U155">
        <f t="shared" si="12"/>
        <v>0.9</v>
      </c>
      <c r="V155">
        <f t="shared" si="13"/>
        <v>1.4</v>
      </c>
      <c r="W155">
        <f t="shared" si="14"/>
        <v>1.6</v>
      </c>
      <c r="X155">
        <f t="shared" si="15"/>
        <v>1.2</v>
      </c>
      <c r="AA155">
        <f t="shared" si="18"/>
        <v>1.2749999999999999</v>
      </c>
      <c r="AB155">
        <f t="shared" si="19"/>
        <v>1.6</v>
      </c>
    </row>
    <row r="156" spans="1:28">
      <c r="A156" t="s">
        <v>183</v>
      </c>
      <c r="B156" t="s">
        <v>148</v>
      </c>
      <c r="C156" t="s">
        <v>13</v>
      </c>
      <c r="D156" t="s">
        <v>138</v>
      </c>
      <c r="E156">
        <v>31</v>
      </c>
      <c r="G156">
        <v>102</v>
      </c>
      <c r="H156">
        <v>1</v>
      </c>
      <c r="I156">
        <v>426</v>
      </c>
      <c r="J156">
        <v>810</v>
      </c>
      <c r="K156">
        <v>-1.3</v>
      </c>
      <c r="L156">
        <v>1136</v>
      </c>
      <c r="M156">
        <v>1325</v>
      </c>
      <c r="N156">
        <v>1.4</v>
      </c>
      <c r="O156">
        <v>1721</v>
      </c>
      <c r="P156">
        <v>2051</v>
      </c>
      <c r="Q156">
        <v>-1.3</v>
      </c>
      <c r="U156">
        <f t="shared" si="12"/>
        <v>1</v>
      </c>
      <c r="V156">
        <f t="shared" si="13"/>
        <v>1.3</v>
      </c>
      <c r="W156">
        <f t="shared" si="14"/>
        <v>1.4</v>
      </c>
      <c r="X156">
        <f t="shared" si="15"/>
        <v>1.3</v>
      </c>
      <c r="AA156">
        <f t="shared" si="18"/>
        <v>1.25</v>
      </c>
      <c r="AB156">
        <f t="shared" si="19"/>
        <v>1.4</v>
      </c>
    </row>
    <row r="157" spans="1:28">
      <c r="A157" t="s">
        <v>184</v>
      </c>
      <c r="B157" t="s">
        <v>155</v>
      </c>
      <c r="C157" t="s">
        <v>13</v>
      </c>
      <c r="D157" t="s">
        <v>138</v>
      </c>
      <c r="E157">
        <v>1</v>
      </c>
      <c r="F157" s="14">
        <v>40</v>
      </c>
      <c r="G157">
        <v>257</v>
      </c>
      <c r="H157">
        <v>0.8</v>
      </c>
      <c r="I157">
        <v>426</v>
      </c>
      <c r="J157">
        <v>744</v>
      </c>
      <c r="K157">
        <v>-1.9</v>
      </c>
      <c r="L157">
        <v>1223</v>
      </c>
      <c r="M157">
        <v>1543</v>
      </c>
      <c r="N157">
        <v>1.8</v>
      </c>
      <c r="O157">
        <v>1830</v>
      </c>
      <c r="P157">
        <v>2101</v>
      </c>
      <c r="Q157">
        <v>-1.4</v>
      </c>
      <c r="U157">
        <f t="shared" si="12"/>
        <v>0.8</v>
      </c>
      <c r="V157">
        <f t="shared" si="13"/>
        <v>1.9</v>
      </c>
      <c r="W157">
        <f t="shared" si="14"/>
        <v>1.8</v>
      </c>
      <c r="X157">
        <f t="shared" si="15"/>
        <v>1.4</v>
      </c>
      <c r="AA157">
        <f t="shared" ref="AA157:AA168" si="20">AVERAGE(U157:Y157)</f>
        <v>1.4750000000000001</v>
      </c>
      <c r="AB157">
        <f t="shared" ref="AB157:AB167" si="21">MAX(U157:Y157)</f>
        <v>1.9</v>
      </c>
    </row>
    <row r="158" spans="1:28">
      <c r="A158" t="s">
        <v>184</v>
      </c>
      <c r="B158" t="s">
        <v>155</v>
      </c>
      <c r="C158" t="s">
        <v>13</v>
      </c>
      <c r="D158" t="s">
        <v>138</v>
      </c>
      <c r="E158">
        <v>2</v>
      </c>
      <c r="F158" s="14">
        <v>125</v>
      </c>
      <c r="G158">
        <v>346</v>
      </c>
      <c r="H158">
        <v>0.8</v>
      </c>
      <c r="I158">
        <v>522</v>
      </c>
      <c r="J158">
        <v>831</v>
      </c>
      <c r="K158">
        <v>-1.9</v>
      </c>
      <c r="L158">
        <v>1306</v>
      </c>
      <c r="M158">
        <v>1625</v>
      </c>
      <c r="N158">
        <v>1.7</v>
      </c>
      <c r="O158">
        <v>1907</v>
      </c>
      <c r="P158">
        <v>2137</v>
      </c>
      <c r="Q158">
        <v>-1.5</v>
      </c>
      <c r="U158">
        <f t="shared" si="12"/>
        <v>0.8</v>
      </c>
      <c r="V158">
        <f t="shared" si="13"/>
        <v>1.9</v>
      </c>
      <c r="W158">
        <f t="shared" si="14"/>
        <v>1.7</v>
      </c>
      <c r="X158">
        <f t="shared" si="15"/>
        <v>1.5</v>
      </c>
      <c r="AA158">
        <f t="shared" si="20"/>
        <v>1.4750000000000001</v>
      </c>
      <c r="AB158">
        <f t="shared" si="21"/>
        <v>1.9</v>
      </c>
    </row>
    <row r="159" spans="1:28">
      <c r="A159" t="s">
        <v>184</v>
      </c>
      <c r="B159" t="s">
        <v>155</v>
      </c>
      <c r="C159" t="s">
        <v>13</v>
      </c>
      <c r="D159" t="s">
        <v>138</v>
      </c>
      <c r="E159">
        <v>3</v>
      </c>
      <c r="F159" s="14">
        <v>208</v>
      </c>
      <c r="G159">
        <v>435</v>
      </c>
      <c r="H159">
        <v>0.8</v>
      </c>
      <c r="I159">
        <v>617</v>
      </c>
      <c r="J159">
        <v>914</v>
      </c>
      <c r="K159">
        <v>-1.8</v>
      </c>
      <c r="L159">
        <v>1348</v>
      </c>
      <c r="M159">
        <v>1706</v>
      </c>
      <c r="N159">
        <v>1.6</v>
      </c>
      <c r="O159">
        <v>1941</v>
      </c>
      <c r="P159">
        <v>2211</v>
      </c>
      <c r="Q159">
        <v>-1.5</v>
      </c>
      <c r="U159">
        <f t="shared" si="12"/>
        <v>0.8</v>
      </c>
      <c r="V159">
        <f t="shared" si="13"/>
        <v>1.8</v>
      </c>
      <c r="W159">
        <f t="shared" si="14"/>
        <v>1.6</v>
      </c>
      <c r="X159">
        <f t="shared" si="15"/>
        <v>1.5</v>
      </c>
      <c r="AA159">
        <f t="shared" si="20"/>
        <v>1.425</v>
      </c>
      <c r="AB159">
        <f t="shared" si="21"/>
        <v>1.8</v>
      </c>
    </row>
    <row r="160" spans="1:28">
      <c r="A160" t="s">
        <v>184</v>
      </c>
      <c r="B160" t="s">
        <v>155</v>
      </c>
      <c r="C160" t="s">
        <v>13</v>
      </c>
      <c r="D160" t="s">
        <v>138</v>
      </c>
      <c r="E160">
        <v>4</v>
      </c>
      <c r="F160" s="14">
        <v>252</v>
      </c>
      <c r="G160">
        <v>524</v>
      </c>
      <c r="H160">
        <v>0.8</v>
      </c>
      <c r="I160">
        <v>710</v>
      </c>
      <c r="J160">
        <v>956</v>
      </c>
      <c r="K160">
        <v>-1.6</v>
      </c>
      <c r="L160">
        <v>1429</v>
      </c>
      <c r="M160">
        <v>1746</v>
      </c>
      <c r="N160">
        <v>1.4</v>
      </c>
      <c r="O160">
        <v>2013</v>
      </c>
      <c r="P160">
        <v>2245</v>
      </c>
      <c r="Q160">
        <v>-1.5</v>
      </c>
      <c r="U160">
        <f t="shared" si="12"/>
        <v>0.8</v>
      </c>
      <c r="V160">
        <f t="shared" si="13"/>
        <v>1.6</v>
      </c>
      <c r="W160">
        <f t="shared" si="14"/>
        <v>1.4</v>
      </c>
      <c r="X160">
        <f t="shared" si="15"/>
        <v>1.5</v>
      </c>
      <c r="AA160">
        <f t="shared" si="20"/>
        <v>1.3250000000000002</v>
      </c>
      <c r="AB160">
        <f t="shared" si="21"/>
        <v>1.6</v>
      </c>
    </row>
    <row r="161" spans="1:28">
      <c r="A161" t="s">
        <v>184</v>
      </c>
      <c r="B161" t="s">
        <v>155</v>
      </c>
      <c r="C161" t="s">
        <v>13</v>
      </c>
      <c r="D161" t="s">
        <v>138</v>
      </c>
      <c r="E161">
        <v>5</v>
      </c>
      <c r="F161" s="14">
        <v>336</v>
      </c>
      <c r="G161">
        <v>612</v>
      </c>
      <c r="H161">
        <v>0.8</v>
      </c>
      <c r="I161">
        <v>803</v>
      </c>
      <c r="J161">
        <v>1037</v>
      </c>
      <c r="K161">
        <v>-1.3</v>
      </c>
      <c r="L161">
        <v>1511</v>
      </c>
      <c r="M161">
        <v>1825</v>
      </c>
      <c r="N161">
        <v>1.2</v>
      </c>
      <c r="O161">
        <v>2044</v>
      </c>
      <c r="P161">
        <v>2322</v>
      </c>
      <c r="Q161">
        <v>-1.4</v>
      </c>
      <c r="U161">
        <f t="shared" si="12"/>
        <v>0.8</v>
      </c>
      <c r="V161">
        <f t="shared" si="13"/>
        <v>1.3</v>
      </c>
      <c r="W161">
        <f t="shared" si="14"/>
        <v>1.2</v>
      </c>
      <c r="X161">
        <f t="shared" si="15"/>
        <v>1.4</v>
      </c>
      <c r="AA161">
        <f t="shared" si="20"/>
        <v>1.1749999999999998</v>
      </c>
      <c r="AB161">
        <f t="shared" si="21"/>
        <v>1.4</v>
      </c>
    </row>
    <row r="162" spans="1:28">
      <c r="A162" t="s">
        <v>184</v>
      </c>
      <c r="B162" t="s">
        <v>155</v>
      </c>
      <c r="C162" t="s">
        <v>13</v>
      </c>
      <c r="D162" t="s">
        <v>138</v>
      </c>
      <c r="E162">
        <v>6</v>
      </c>
      <c r="F162" s="14">
        <v>421</v>
      </c>
      <c r="G162">
        <v>700</v>
      </c>
      <c r="H162">
        <v>0.8</v>
      </c>
      <c r="I162">
        <v>859</v>
      </c>
      <c r="J162">
        <v>1123</v>
      </c>
      <c r="K162">
        <v>-1</v>
      </c>
      <c r="L162">
        <v>1554</v>
      </c>
      <c r="M162">
        <v>1904</v>
      </c>
      <c r="N162">
        <v>1</v>
      </c>
      <c r="O162">
        <v>2113</v>
      </c>
      <c r="U162">
        <f t="shared" si="12"/>
        <v>0.8</v>
      </c>
      <c r="V162">
        <f t="shared" si="13"/>
        <v>1</v>
      </c>
      <c r="W162">
        <f t="shared" si="14"/>
        <v>1</v>
      </c>
      <c r="AA162">
        <f t="shared" si="20"/>
        <v>0.93333333333333324</v>
      </c>
      <c r="AB162">
        <f t="shared" si="21"/>
        <v>1</v>
      </c>
    </row>
    <row r="163" spans="1:28">
      <c r="A163" t="s">
        <v>184</v>
      </c>
      <c r="B163" t="s">
        <v>155</v>
      </c>
      <c r="C163" t="s">
        <v>13</v>
      </c>
      <c r="D163" t="s">
        <v>138</v>
      </c>
      <c r="E163">
        <v>7</v>
      </c>
      <c r="G163">
        <v>2</v>
      </c>
      <c r="H163">
        <v>-1.4</v>
      </c>
      <c r="I163">
        <v>507</v>
      </c>
      <c r="J163">
        <v>747</v>
      </c>
      <c r="K163">
        <v>0.8</v>
      </c>
      <c r="L163">
        <v>1003</v>
      </c>
      <c r="M163">
        <v>1217</v>
      </c>
      <c r="N163">
        <v>-0.8</v>
      </c>
      <c r="O163">
        <v>1643</v>
      </c>
      <c r="P163">
        <v>1944</v>
      </c>
      <c r="Q163">
        <v>0.8</v>
      </c>
      <c r="R163">
        <v>2144</v>
      </c>
      <c r="U163">
        <f t="shared" si="12"/>
        <v>1.4</v>
      </c>
      <c r="V163">
        <f t="shared" si="13"/>
        <v>0.8</v>
      </c>
      <c r="W163">
        <f t="shared" si="14"/>
        <v>0.8</v>
      </c>
      <c r="X163">
        <f t="shared" si="15"/>
        <v>0.8</v>
      </c>
      <c r="AA163">
        <f t="shared" si="20"/>
        <v>0.95</v>
      </c>
      <c r="AB163">
        <f t="shared" si="21"/>
        <v>1.4</v>
      </c>
    </row>
    <row r="164" spans="1:28">
      <c r="A164" t="s">
        <v>184</v>
      </c>
      <c r="B164" t="s">
        <v>155</v>
      </c>
      <c r="C164" t="s">
        <v>13</v>
      </c>
      <c r="D164" t="s">
        <v>138</v>
      </c>
      <c r="E164">
        <v>8</v>
      </c>
      <c r="G164">
        <v>49</v>
      </c>
      <c r="H164">
        <v>-1.2</v>
      </c>
      <c r="I164">
        <v>555</v>
      </c>
      <c r="J164">
        <v>839</v>
      </c>
      <c r="K164">
        <v>0.8</v>
      </c>
      <c r="L164">
        <v>1120</v>
      </c>
      <c r="M164">
        <v>1325</v>
      </c>
      <c r="N164">
        <v>-0.6</v>
      </c>
      <c r="O164">
        <v>1741</v>
      </c>
      <c r="P164">
        <v>2028</v>
      </c>
      <c r="Q164">
        <v>0.6</v>
      </c>
      <c r="R164">
        <v>2217</v>
      </c>
      <c r="U164">
        <f t="shared" si="12"/>
        <v>1.2</v>
      </c>
      <c r="V164">
        <f t="shared" si="13"/>
        <v>0.8</v>
      </c>
      <c r="W164">
        <f t="shared" si="14"/>
        <v>0.6</v>
      </c>
      <c r="X164">
        <f t="shared" si="15"/>
        <v>0.6</v>
      </c>
      <c r="AA164">
        <f t="shared" si="20"/>
        <v>0.8</v>
      </c>
      <c r="AB164">
        <f t="shared" si="21"/>
        <v>1.2</v>
      </c>
    </row>
    <row r="165" spans="1:28">
      <c r="A165" t="s">
        <v>184</v>
      </c>
      <c r="B165" t="s">
        <v>155</v>
      </c>
      <c r="C165" t="s">
        <v>13</v>
      </c>
      <c r="D165" t="s">
        <v>138</v>
      </c>
      <c r="E165">
        <v>9</v>
      </c>
      <c r="G165">
        <v>141</v>
      </c>
      <c r="H165">
        <v>-1.2</v>
      </c>
      <c r="I165">
        <v>645</v>
      </c>
      <c r="J165">
        <v>938</v>
      </c>
      <c r="K165">
        <v>0.8</v>
      </c>
      <c r="L165">
        <v>1244</v>
      </c>
      <c r="M165">
        <v>1443</v>
      </c>
      <c r="N165">
        <v>-0.5</v>
      </c>
      <c r="O165">
        <v>1849</v>
      </c>
      <c r="P165">
        <v>2119</v>
      </c>
      <c r="Q165">
        <v>0.5</v>
      </c>
      <c r="R165">
        <v>2259</v>
      </c>
      <c r="U165">
        <f t="shared" si="12"/>
        <v>1.2</v>
      </c>
      <c r="V165">
        <f t="shared" si="13"/>
        <v>0.8</v>
      </c>
      <c r="W165">
        <f t="shared" si="14"/>
        <v>0.5</v>
      </c>
      <c r="X165">
        <f t="shared" si="15"/>
        <v>0.5</v>
      </c>
      <c r="AA165">
        <f t="shared" si="20"/>
        <v>0.75</v>
      </c>
      <c r="AB165">
        <f t="shared" si="21"/>
        <v>1.2</v>
      </c>
    </row>
    <row r="166" spans="1:28">
      <c r="A166" t="s">
        <v>184</v>
      </c>
      <c r="B166" t="s">
        <v>155</v>
      </c>
      <c r="C166" t="s">
        <v>13</v>
      </c>
      <c r="D166" t="s">
        <v>138</v>
      </c>
      <c r="E166">
        <v>10</v>
      </c>
      <c r="G166">
        <v>236</v>
      </c>
      <c r="H166">
        <v>-1.2</v>
      </c>
      <c r="I166">
        <v>738</v>
      </c>
      <c r="J166">
        <v>1050</v>
      </c>
      <c r="K166">
        <v>0.8</v>
      </c>
      <c r="L166">
        <v>1358</v>
      </c>
      <c r="M166">
        <v>1558</v>
      </c>
      <c r="N166">
        <v>-0.5</v>
      </c>
      <c r="O166">
        <v>2007</v>
      </c>
      <c r="P166">
        <v>2222</v>
      </c>
      <c r="Q166">
        <v>0.4</v>
      </c>
      <c r="R166">
        <v>2353</v>
      </c>
      <c r="U166">
        <f t="shared" si="12"/>
        <v>1.2</v>
      </c>
      <c r="V166">
        <f t="shared" si="13"/>
        <v>0.8</v>
      </c>
      <c r="W166">
        <f t="shared" si="14"/>
        <v>0.5</v>
      </c>
      <c r="X166">
        <f t="shared" si="15"/>
        <v>0.4</v>
      </c>
      <c r="AA166">
        <f t="shared" si="20"/>
        <v>0.72499999999999998</v>
      </c>
      <c r="AB166">
        <f t="shared" si="21"/>
        <v>1.2</v>
      </c>
    </row>
    <row r="167" spans="1:28">
      <c r="A167" t="s">
        <v>184</v>
      </c>
      <c r="B167" t="s">
        <v>155</v>
      </c>
      <c r="C167" t="s">
        <v>13</v>
      </c>
      <c r="D167" t="s">
        <v>138</v>
      </c>
      <c r="E167">
        <v>11</v>
      </c>
      <c r="G167">
        <v>329</v>
      </c>
      <c r="H167">
        <v>-1.2</v>
      </c>
      <c r="I167">
        <v>832</v>
      </c>
      <c r="J167">
        <v>1203</v>
      </c>
      <c r="K167">
        <v>1</v>
      </c>
      <c r="L167">
        <v>1456</v>
      </c>
      <c r="M167">
        <v>1708</v>
      </c>
      <c r="N167">
        <v>-0.6</v>
      </c>
      <c r="O167">
        <v>2125</v>
      </c>
      <c r="P167">
        <v>2334</v>
      </c>
      <c r="Q167">
        <v>0.3</v>
      </c>
      <c r="U167">
        <f t="shared" si="12"/>
        <v>1.2</v>
      </c>
      <c r="V167">
        <f t="shared" si="13"/>
        <v>1</v>
      </c>
      <c r="W167">
        <f t="shared" si="14"/>
        <v>0.6</v>
      </c>
      <c r="X167">
        <f t="shared" si="15"/>
        <v>0.3</v>
      </c>
      <c r="AA167">
        <f t="shared" si="20"/>
        <v>0.77500000000000002</v>
      </c>
      <c r="AB167">
        <f t="shared" si="21"/>
        <v>1.2</v>
      </c>
    </row>
    <row r="168" spans="1:28">
      <c r="A168" t="s">
        <v>184</v>
      </c>
      <c r="B168" t="s">
        <v>155</v>
      </c>
      <c r="C168" t="s">
        <v>13</v>
      </c>
      <c r="D168" t="s">
        <v>138</v>
      </c>
      <c r="E168">
        <v>12</v>
      </c>
      <c r="F168" s="14">
        <v>53</v>
      </c>
      <c r="G168">
        <v>421</v>
      </c>
      <c r="H168">
        <v>-1.2</v>
      </c>
      <c r="I168">
        <v>923</v>
      </c>
      <c r="J168">
        <v>1256</v>
      </c>
      <c r="K168">
        <v>1.1000000000000001</v>
      </c>
      <c r="L168">
        <v>1543</v>
      </c>
      <c r="M168">
        <v>1809</v>
      </c>
      <c r="N168">
        <v>-0.7</v>
      </c>
      <c r="O168">
        <v>2228</v>
      </c>
      <c r="U168">
        <f t="shared" si="12"/>
        <v>1.2</v>
      </c>
      <c r="V168">
        <f t="shared" si="13"/>
        <v>1.1000000000000001</v>
      </c>
      <c r="W168">
        <f t="shared" si="14"/>
        <v>0.7</v>
      </c>
      <c r="AA168">
        <f t="shared" si="20"/>
        <v>1</v>
      </c>
      <c r="AB168">
        <f>MAX(U168:Y168)</f>
        <v>1.2</v>
      </c>
    </row>
    <row r="169" spans="1:28">
      <c r="A169" t="s">
        <v>184</v>
      </c>
      <c r="B169" t="s">
        <v>155</v>
      </c>
      <c r="C169" t="s">
        <v>13</v>
      </c>
      <c r="D169" t="s">
        <v>138</v>
      </c>
      <c r="E169">
        <v>13</v>
      </c>
      <c r="G169">
        <v>36</v>
      </c>
      <c r="H169">
        <v>0.4</v>
      </c>
      <c r="I169">
        <v>150</v>
      </c>
      <c r="J169">
        <v>511</v>
      </c>
      <c r="K169">
        <v>-1.4</v>
      </c>
      <c r="L169">
        <v>1010</v>
      </c>
      <c r="M169">
        <v>1337</v>
      </c>
      <c r="N169">
        <v>1.3</v>
      </c>
      <c r="O169">
        <v>1624</v>
      </c>
      <c r="P169">
        <v>1857</v>
      </c>
      <c r="Q169">
        <v>-0.8</v>
      </c>
      <c r="R169">
        <v>2316</v>
      </c>
      <c r="U169">
        <f t="shared" si="12"/>
        <v>0.4</v>
      </c>
      <c r="V169">
        <f t="shared" si="13"/>
        <v>1.4</v>
      </c>
      <c r="W169">
        <f t="shared" si="14"/>
        <v>1.3</v>
      </c>
      <c r="X169">
        <f t="shared" si="15"/>
        <v>0.8</v>
      </c>
      <c r="AA169">
        <f t="shared" ref="AA169:AA232" si="22">AVERAGE(U169:Y169)</f>
        <v>0.97499999999999987</v>
      </c>
      <c r="AB169">
        <f t="shared" ref="AB169:AB232" si="23">MAX(U169:Y169)</f>
        <v>1.4</v>
      </c>
    </row>
    <row r="170" spans="1:28">
      <c r="A170" t="s">
        <v>184</v>
      </c>
      <c r="B170" t="s">
        <v>155</v>
      </c>
      <c r="C170" t="s">
        <v>13</v>
      </c>
      <c r="D170" t="s">
        <v>138</v>
      </c>
      <c r="E170">
        <v>14</v>
      </c>
      <c r="G170">
        <v>125</v>
      </c>
      <c r="H170">
        <v>0.5</v>
      </c>
      <c r="I170">
        <v>242</v>
      </c>
      <c r="J170">
        <v>601</v>
      </c>
      <c r="K170">
        <v>-1.4</v>
      </c>
      <c r="L170">
        <v>1053</v>
      </c>
      <c r="M170">
        <v>1413</v>
      </c>
      <c r="N170">
        <v>1.4</v>
      </c>
      <c r="O170">
        <v>1700</v>
      </c>
      <c r="P170">
        <v>1933</v>
      </c>
      <c r="Q170">
        <v>-1</v>
      </c>
      <c r="R170">
        <v>2355</v>
      </c>
      <c r="U170">
        <f t="shared" si="12"/>
        <v>0.5</v>
      </c>
      <c r="V170">
        <f t="shared" si="13"/>
        <v>1.4</v>
      </c>
      <c r="W170">
        <f t="shared" si="14"/>
        <v>1.4</v>
      </c>
      <c r="X170">
        <f t="shared" si="15"/>
        <v>1</v>
      </c>
      <c r="AA170">
        <f t="shared" si="22"/>
        <v>1.075</v>
      </c>
      <c r="AB170">
        <f t="shared" si="23"/>
        <v>1.4</v>
      </c>
    </row>
    <row r="171" spans="1:28">
      <c r="A171" t="s">
        <v>184</v>
      </c>
      <c r="B171" t="s">
        <v>155</v>
      </c>
      <c r="C171" t="s">
        <v>13</v>
      </c>
      <c r="D171" t="s">
        <v>138</v>
      </c>
      <c r="E171">
        <v>15</v>
      </c>
      <c r="G171">
        <v>207</v>
      </c>
      <c r="H171">
        <v>0.6</v>
      </c>
      <c r="I171">
        <v>331</v>
      </c>
      <c r="J171">
        <v>647</v>
      </c>
      <c r="K171">
        <v>-1.6</v>
      </c>
      <c r="L171">
        <v>1132</v>
      </c>
      <c r="M171">
        <v>1447</v>
      </c>
      <c r="N171">
        <v>1.5</v>
      </c>
      <c r="O171">
        <v>1734</v>
      </c>
      <c r="P171">
        <v>2004</v>
      </c>
      <c r="Q171">
        <v>-1.1000000000000001</v>
      </c>
      <c r="U171">
        <f t="shared" si="12"/>
        <v>0.6</v>
      </c>
      <c r="V171">
        <f t="shared" si="13"/>
        <v>1.6</v>
      </c>
      <c r="W171">
        <f t="shared" si="14"/>
        <v>1.5</v>
      </c>
      <c r="X171">
        <f t="shared" si="15"/>
        <v>1.1000000000000001</v>
      </c>
      <c r="AA171">
        <f t="shared" si="22"/>
        <v>1.2000000000000002</v>
      </c>
      <c r="AB171">
        <f t="shared" si="23"/>
        <v>1.6</v>
      </c>
    </row>
    <row r="172" spans="1:28">
      <c r="A172" t="s">
        <v>184</v>
      </c>
      <c r="B172" t="s">
        <v>155</v>
      </c>
      <c r="C172" t="s">
        <v>13</v>
      </c>
      <c r="D172" t="s">
        <v>138</v>
      </c>
      <c r="E172">
        <v>16</v>
      </c>
      <c r="F172" s="14">
        <v>30</v>
      </c>
      <c r="G172">
        <v>248</v>
      </c>
      <c r="H172">
        <v>0.7</v>
      </c>
      <c r="I172">
        <v>418</v>
      </c>
      <c r="J172">
        <v>731</v>
      </c>
      <c r="K172">
        <v>-1.6</v>
      </c>
      <c r="L172">
        <v>1209</v>
      </c>
      <c r="M172">
        <v>1522</v>
      </c>
      <c r="N172">
        <v>1.6</v>
      </c>
      <c r="O172">
        <v>1805</v>
      </c>
      <c r="P172">
        <v>2033</v>
      </c>
      <c r="Q172">
        <v>-1.3</v>
      </c>
      <c r="U172">
        <f t="shared" si="12"/>
        <v>0.7</v>
      </c>
      <c r="V172">
        <f t="shared" si="13"/>
        <v>1.6</v>
      </c>
      <c r="W172">
        <f t="shared" si="14"/>
        <v>1.6</v>
      </c>
      <c r="X172">
        <f t="shared" si="15"/>
        <v>1.3</v>
      </c>
      <c r="AA172">
        <f t="shared" si="22"/>
        <v>1.3</v>
      </c>
      <c r="AB172">
        <f t="shared" si="23"/>
        <v>1.6</v>
      </c>
    </row>
    <row r="173" spans="1:28">
      <c r="A173" t="s">
        <v>184</v>
      </c>
      <c r="B173" t="s">
        <v>155</v>
      </c>
      <c r="C173" t="s">
        <v>13</v>
      </c>
      <c r="D173" t="s">
        <v>138</v>
      </c>
      <c r="E173">
        <v>17</v>
      </c>
      <c r="F173" s="14">
        <v>104</v>
      </c>
      <c r="G173">
        <v>328</v>
      </c>
      <c r="H173">
        <v>0.8</v>
      </c>
      <c r="I173">
        <v>507</v>
      </c>
      <c r="J173">
        <v>812</v>
      </c>
      <c r="K173">
        <v>-1.6</v>
      </c>
      <c r="L173">
        <v>1245</v>
      </c>
      <c r="M173">
        <v>1558</v>
      </c>
      <c r="N173">
        <v>1.6</v>
      </c>
      <c r="O173">
        <v>1835</v>
      </c>
      <c r="P173">
        <v>2103</v>
      </c>
      <c r="Q173">
        <v>-1.4</v>
      </c>
      <c r="U173">
        <f t="shared" si="12"/>
        <v>0.8</v>
      </c>
      <c r="V173">
        <f t="shared" si="13"/>
        <v>1.6</v>
      </c>
      <c r="W173">
        <f t="shared" si="14"/>
        <v>1.6</v>
      </c>
      <c r="X173">
        <f t="shared" si="15"/>
        <v>1.4</v>
      </c>
      <c r="AA173">
        <f t="shared" si="22"/>
        <v>1.35</v>
      </c>
      <c r="AB173">
        <f t="shared" si="23"/>
        <v>1.6</v>
      </c>
    </row>
    <row r="174" spans="1:28">
      <c r="A174" t="s">
        <v>184</v>
      </c>
      <c r="B174" t="s">
        <v>155</v>
      </c>
      <c r="C174" t="s">
        <v>13</v>
      </c>
      <c r="D174" t="s">
        <v>138</v>
      </c>
      <c r="E174">
        <v>18</v>
      </c>
      <c r="F174" s="14">
        <v>138</v>
      </c>
      <c r="G174">
        <v>412</v>
      </c>
      <c r="H174">
        <v>0.9</v>
      </c>
      <c r="I174">
        <v>557</v>
      </c>
      <c r="J174">
        <v>853</v>
      </c>
      <c r="K174">
        <v>-1.6</v>
      </c>
      <c r="L174">
        <v>1322</v>
      </c>
      <c r="M174">
        <v>1637</v>
      </c>
      <c r="N174">
        <v>1.5</v>
      </c>
      <c r="O174">
        <v>1904</v>
      </c>
      <c r="P174">
        <v>2136</v>
      </c>
      <c r="Q174">
        <v>-1.6</v>
      </c>
      <c r="U174">
        <f t="shared" si="12"/>
        <v>0.9</v>
      </c>
      <c r="V174">
        <f t="shared" si="13"/>
        <v>1.6</v>
      </c>
      <c r="W174">
        <f t="shared" si="14"/>
        <v>1.5</v>
      </c>
      <c r="X174">
        <f t="shared" si="15"/>
        <v>1.6</v>
      </c>
      <c r="AA174">
        <f t="shared" si="22"/>
        <v>1.4</v>
      </c>
      <c r="AB174">
        <f t="shared" si="23"/>
        <v>1.6</v>
      </c>
    </row>
    <row r="175" spans="1:28">
      <c r="A175" t="s">
        <v>184</v>
      </c>
      <c r="B175" t="s">
        <v>155</v>
      </c>
      <c r="C175" t="s">
        <v>13</v>
      </c>
      <c r="D175" t="s">
        <v>138</v>
      </c>
      <c r="E175">
        <v>19</v>
      </c>
      <c r="F175" s="14">
        <v>214</v>
      </c>
      <c r="G175">
        <v>457</v>
      </c>
      <c r="H175">
        <v>1</v>
      </c>
      <c r="I175">
        <v>649</v>
      </c>
      <c r="J175">
        <v>935</v>
      </c>
      <c r="K175">
        <v>-1.6</v>
      </c>
      <c r="L175">
        <v>1403</v>
      </c>
      <c r="M175">
        <v>1718</v>
      </c>
      <c r="N175">
        <v>1.4</v>
      </c>
      <c r="O175">
        <v>1933</v>
      </c>
      <c r="P175">
        <v>2211</v>
      </c>
      <c r="Q175">
        <v>-1.6</v>
      </c>
      <c r="U175">
        <f t="shared" si="12"/>
        <v>1</v>
      </c>
      <c r="V175">
        <f t="shared" si="13"/>
        <v>1.6</v>
      </c>
      <c r="W175">
        <f t="shared" si="14"/>
        <v>1.4</v>
      </c>
      <c r="X175">
        <f t="shared" si="15"/>
        <v>1.6</v>
      </c>
      <c r="AA175">
        <f t="shared" si="22"/>
        <v>1.4</v>
      </c>
      <c r="AB175">
        <f t="shared" si="23"/>
        <v>1.6</v>
      </c>
    </row>
    <row r="176" spans="1:28">
      <c r="A176" t="s">
        <v>184</v>
      </c>
      <c r="B176" t="s">
        <v>155</v>
      </c>
      <c r="C176" t="s">
        <v>13</v>
      </c>
      <c r="D176" t="s">
        <v>138</v>
      </c>
      <c r="E176">
        <v>20</v>
      </c>
      <c r="F176" s="14">
        <v>253</v>
      </c>
      <c r="G176">
        <v>546</v>
      </c>
      <c r="H176">
        <v>1.1000000000000001</v>
      </c>
      <c r="I176">
        <v>744</v>
      </c>
      <c r="J176">
        <v>1020</v>
      </c>
      <c r="K176">
        <v>-1.4</v>
      </c>
      <c r="L176">
        <v>1447</v>
      </c>
      <c r="M176">
        <v>1801</v>
      </c>
      <c r="N176">
        <v>1.3</v>
      </c>
      <c r="O176">
        <v>2004</v>
      </c>
      <c r="P176">
        <v>2250</v>
      </c>
      <c r="Q176">
        <v>-1.7</v>
      </c>
      <c r="U176">
        <f t="shared" si="12"/>
        <v>1.1000000000000001</v>
      </c>
      <c r="V176">
        <f t="shared" si="13"/>
        <v>1.4</v>
      </c>
      <c r="W176">
        <f t="shared" si="14"/>
        <v>1.3</v>
      </c>
      <c r="X176">
        <f t="shared" si="15"/>
        <v>1.7</v>
      </c>
      <c r="AA176">
        <f t="shared" si="22"/>
        <v>1.375</v>
      </c>
      <c r="AB176">
        <f t="shared" si="23"/>
        <v>1.7</v>
      </c>
    </row>
    <row r="177" spans="1:28">
      <c r="A177" t="s">
        <v>184</v>
      </c>
      <c r="B177" t="s">
        <v>155</v>
      </c>
      <c r="C177" t="s">
        <v>13</v>
      </c>
      <c r="D177" t="s">
        <v>138</v>
      </c>
      <c r="E177">
        <v>21</v>
      </c>
      <c r="F177" s="14">
        <v>338</v>
      </c>
      <c r="G177">
        <v>637</v>
      </c>
      <c r="H177">
        <v>1.2</v>
      </c>
      <c r="I177">
        <v>844</v>
      </c>
      <c r="J177">
        <v>1111</v>
      </c>
      <c r="K177">
        <v>-1.2</v>
      </c>
      <c r="L177">
        <v>1538</v>
      </c>
      <c r="M177">
        <v>1846</v>
      </c>
      <c r="N177">
        <v>1.1000000000000001</v>
      </c>
      <c r="O177">
        <v>2037</v>
      </c>
      <c r="P177">
        <v>2334</v>
      </c>
      <c r="Q177">
        <v>-1.6</v>
      </c>
      <c r="U177">
        <f t="shared" si="12"/>
        <v>1.2</v>
      </c>
      <c r="V177">
        <f t="shared" si="13"/>
        <v>1.2</v>
      </c>
      <c r="W177">
        <f t="shared" si="14"/>
        <v>1.1000000000000001</v>
      </c>
      <c r="X177">
        <f t="shared" si="15"/>
        <v>1.6</v>
      </c>
      <c r="AA177">
        <f t="shared" si="22"/>
        <v>1.2749999999999999</v>
      </c>
      <c r="AB177">
        <f t="shared" si="23"/>
        <v>1.6</v>
      </c>
    </row>
    <row r="178" spans="1:28">
      <c r="A178" t="s">
        <v>184</v>
      </c>
      <c r="B178" t="s">
        <v>155</v>
      </c>
      <c r="C178" t="s">
        <v>13</v>
      </c>
      <c r="D178" t="s">
        <v>138</v>
      </c>
      <c r="E178">
        <v>22</v>
      </c>
      <c r="F178" s="14">
        <v>428</v>
      </c>
      <c r="G178">
        <v>731</v>
      </c>
      <c r="H178">
        <v>1.2</v>
      </c>
      <c r="I178">
        <v>953</v>
      </c>
      <c r="J178">
        <v>1212</v>
      </c>
      <c r="K178">
        <v>-1</v>
      </c>
      <c r="L178">
        <v>1639</v>
      </c>
      <c r="M178">
        <v>1935</v>
      </c>
      <c r="N178">
        <v>0.9</v>
      </c>
      <c r="O178">
        <v>2115</v>
      </c>
      <c r="U178">
        <f t="shared" si="12"/>
        <v>1.2</v>
      </c>
      <c r="V178">
        <f t="shared" si="13"/>
        <v>1</v>
      </c>
      <c r="W178">
        <f t="shared" si="14"/>
        <v>0.9</v>
      </c>
      <c r="AA178">
        <f t="shared" si="22"/>
        <v>1.0333333333333334</v>
      </c>
      <c r="AB178">
        <f t="shared" si="23"/>
        <v>1.2</v>
      </c>
    </row>
    <row r="179" spans="1:28">
      <c r="A179" t="s">
        <v>184</v>
      </c>
      <c r="B179" t="s">
        <v>155</v>
      </c>
      <c r="C179" t="s">
        <v>13</v>
      </c>
      <c r="D179" t="s">
        <v>138</v>
      </c>
      <c r="E179">
        <v>23</v>
      </c>
      <c r="G179">
        <v>27</v>
      </c>
      <c r="H179">
        <v>-1.6</v>
      </c>
      <c r="I179">
        <v>524</v>
      </c>
      <c r="J179">
        <v>829</v>
      </c>
      <c r="K179">
        <v>1.2</v>
      </c>
      <c r="L179">
        <v>1114</v>
      </c>
      <c r="M179">
        <v>1327</v>
      </c>
      <c r="N179">
        <v>-0.8</v>
      </c>
      <c r="O179">
        <v>1751</v>
      </c>
      <c r="P179">
        <v>2029</v>
      </c>
      <c r="Q179">
        <v>0.7</v>
      </c>
      <c r="R179">
        <v>2200</v>
      </c>
      <c r="U179">
        <f t="shared" si="12"/>
        <v>1.6</v>
      </c>
      <c r="V179">
        <f t="shared" si="13"/>
        <v>1.2</v>
      </c>
      <c r="W179">
        <f t="shared" si="14"/>
        <v>0.8</v>
      </c>
      <c r="X179">
        <f t="shared" si="15"/>
        <v>0.7</v>
      </c>
      <c r="AA179">
        <f t="shared" si="22"/>
        <v>1.075</v>
      </c>
      <c r="AB179">
        <f t="shared" si="23"/>
        <v>1.6</v>
      </c>
    </row>
    <row r="180" spans="1:28">
      <c r="A180" t="s">
        <v>184</v>
      </c>
      <c r="B180" t="s">
        <v>155</v>
      </c>
      <c r="C180" t="s">
        <v>13</v>
      </c>
      <c r="D180" t="s">
        <v>138</v>
      </c>
      <c r="E180">
        <v>24</v>
      </c>
      <c r="G180">
        <v>129</v>
      </c>
      <c r="H180">
        <v>-1.6</v>
      </c>
      <c r="I180">
        <v>625</v>
      </c>
      <c r="J180">
        <v>936</v>
      </c>
      <c r="K180">
        <v>1.2</v>
      </c>
      <c r="L180">
        <v>1240</v>
      </c>
      <c r="M180">
        <v>1450</v>
      </c>
      <c r="N180">
        <v>-0.8</v>
      </c>
      <c r="O180">
        <v>1912</v>
      </c>
      <c r="P180">
        <v>2132</v>
      </c>
      <c r="Q180">
        <v>0.5</v>
      </c>
      <c r="R180">
        <v>2259</v>
      </c>
      <c r="U180">
        <f t="shared" si="12"/>
        <v>1.6</v>
      </c>
      <c r="V180">
        <f t="shared" si="13"/>
        <v>1.2</v>
      </c>
      <c r="W180">
        <f t="shared" si="14"/>
        <v>0.8</v>
      </c>
      <c r="X180">
        <f t="shared" si="15"/>
        <v>0.5</v>
      </c>
      <c r="AA180">
        <f t="shared" si="22"/>
        <v>1.0249999999999999</v>
      </c>
      <c r="AB180">
        <f t="shared" si="23"/>
        <v>1.6</v>
      </c>
    </row>
    <row r="181" spans="1:28">
      <c r="A181" t="s">
        <v>184</v>
      </c>
      <c r="B181" t="s">
        <v>155</v>
      </c>
      <c r="C181" t="s">
        <v>13</v>
      </c>
      <c r="D181" t="s">
        <v>138</v>
      </c>
      <c r="E181">
        <v>25</v>
      </c>
      <c r="G181">
        <v>236</v>
      </c>
      <c r="H181">
        <v>-1.6</v>
      </c>
      <c r="I181">
        <v>729</v>
      </c>
      <c r="J181">
        <v>1053</v>
      </c>
      <c r="K181">
        <v>1.3</v>
      </c>
      <c r="L181">
        <v>1356</v>
      </c>
      <c r="M181">
        <v>1610</v>
      </c>
      <c r="N181">
        <v>-0.8</v>
      </c>
      <c r="O181">
        <v>2035</v>
      </c>
      <c r="P181">
        <v>2248</v>
      </c>
      <c r="Q181">
        <v>0.4</v>
      </c>
      <c r="U181">
        <f t="shared" si="12"/>
        <v>1.6</v>
      </c>
      <c r="V181">
        <f t="shared" si="13"/>
        <v>1.3</v>
      </c>
      <c r="W181">
        <f t="shared" si="14"/>
        <v>0.8</v>
      </c>
      <c r="X181">
        <f t="shared" si="15"/>
        <v>0.4</v>
      </c>
      <c r="AA181">
        <f t="shared" si="22"/>
        <v>1.0250000000000001</v>
      </c>
      <c r="AB181">
        <f t="shared" si="23"/>
        <v>1.6</v>
      </c>
    </row>
    <row r="182" spans="1:28">
      <c r="A182" t="s">
        <v>184</v>
      </c>
      <c r="B182" t="s">
        <v>155</v>
      </c>
      <c r="C182" t="s">
        <v>13</v>
      </c>
      <c r="D182" t="s">
        <v>138</v>
      </c>
      <c r="E182">
        <v>26</v>
      </c>
      <c r="F182" s="14">
        <v>14</v>
      </c>
      <c r="G182">
        <v>342</v>
      </c>
      <c r="H182">
        <v>-1.6</v>
      </c>
      <c r="I182">
        <v>835</v>
      </c>
      <c r="J182">
        <v>1209</v>
      </c>
      <c r="K182">
        <v>1.4</v>
      </c>
      <c r="L182">
        <v>1457</v>
      </c>
      <c r="M182">
        <v>1722</v>
      </c>
      <c r="N182">
        <v>-0.9</v>
      </c>
      <c r="O182">
        <v>2150</v>
      </c>
      <c r="U182">
        <f t="shared" si="12"/>
        <v>1.6</v>
      </c>
      <c r="V182">
        <f t="shared" si="13"/>
        <v>1.4</v>
      </c>
      <c r="W182">
        <f t="shared" si="14"/>
        <v>0.9</v>
      </c>
      <c r="AA182">
        <f t="shared" si="22"/>
        <v>1.3</v>
      </c>
      <c r="AB182">
        <f t="shared" si="23"/>
        <v>1.6</v>
      </c>
    </row>
    <row r="183" spans="1:28">
      <c r="A183" t="s">
        <v>184</v>
      </c>
      <c r="B183" t="s">
        <v>155</v>
      </c>
      <c r="C183" t="s">
        <v>13</v>
      </c>
      <c r="D183" t="s">
        <v>138</v>
      </c>
      <c r="E183">
        <v>27</v>
      </c>
      <c r="G183">
        <v>8</v>
      </c>
      <c r="H183">
        <v>0.5</v>
      </c>
      <c r="I183">
        <v>130</v>
      </c>
      <c r="J183">
        <v>446</v>
      </c>
      <c r="K183">
        <v>-1.6</v>
      </c>
      <c r="L183">
        <v>937</v>
      </c>
      <c r="M183">
        <v>1310</v>
      </c>
      <c r="N183">
        <v>1.5</v>
      </c>
      <c r="O183">
        <v>1549</v>
      </c>
      <c r="P183">
        <v>1824</v>
      </c>
      <c r="Q183">
        <v>-1.1000000000000001</v>
      </c>
      <c r="R183">
        <v>2249</v>
      </c>
      <c r="U183">
        <f t="shared" si="12"/>
        <v>0.5</v>
      </c>
      <c r="V183">
        <f t="shared" si="13"/>
        <v>1.6</v>
      </c>
      <c r="W183">
        <f t="shared" si="14"/>
        <v>1.5</v>
      </c>
      <c r="X183">
        <f t="shared" si="15"/>
        <v>1.1000000000000001</v>
      </c>
      <c r="AA183">
        <f t="shared" si="22"/>
        <v>1.175</v>
      </c>
      <c r="AB183">
        <f t="shared" si="23"/>
        <v>1.6</v>
      </c>
    </row>
    <row r="184" spans="1:28">
      <c r="A184" t="s">
        <v>184</v>
      </c>
      <c r="B184" t="s">
        <v>155</v>
      </c>
      <c r="C184" t="s">
        <v>13</v>
      </c>
      <c r="D184" t="s">
        <v>138</v>
      </c>
      <c r="E184">
        <v>28</v>
      </c>
      <c r="G184">
        <v>113</v>
      </c>
      <c r="H184">
        <v>0.6</v>
      </c>
      <c r="I184">
        <v>238</v>
      </c>
      <c r="J184">
        <v>548</v>
      </c>
      <c r="K184">
        <v>-1.6</v>
      </c>
      <c r="L184">
        <v>1034</v>
      </c>
      <c r="M184">
        <v>1358</v>
      </c>
      <c r="N184">
        <v>1.6</v>
      </c>
      <c r="O184">
        <v>1634</v>
      </c>
      <c r="P184">
        <v>1915</v>
      </c>
      <c r="Q184">
        <v>-1.3</v>
      </c>
      <c r="R184">
        <v>2336</v>
      </c>
      <c r="U184">
        <f t="shared" si="12"/>
        <v>0.6</v>
      </c>
      <c r="V184">
        <f t="shared" si="13"/>
        <v>1.6</v>
      </c>
      <c r="W184">
        <f t="shared" si="14"/>
        <v>1.6</v>
      </c>
      <c r="X184">
        <f t="shared" si="15"/>
        <v>1.3</v>
      </c>
      <c r="AA184">
        <f t="shared" si="22"/>
        <v>1.2750000000000001</v>
      </c>
      <c r="AB184">
        <f t="shared" si="23"/>
        <v>1.6</v>
      </c>
    </row>
    <row r="185" spans="1:28">
      <c r="A185" t="s">
        <v>184</v>
      </c>
      <c r="B185" t="s">
        <v>155</v>
      </c>
      <c r="C185" t="s">
        <v>13</v>
      </c>
      <c r="D185" t="s">
        <v>138</v>
      </c>
      <c r="E185">
        <v>29</v>
      </c>
      <c r="G185">
        <v>204</v>
      </c>
      <c r="H185">
        <v>0.8</v>
      </c>
      <c r="I185">
        <v>339</v>
      </c>
      <c r="J185">
        <v>646</v>
      </c>
      <c r="K185">
        <v>-1.7</v>
      </c>
      <c r="L185">
        <v>1124</v>
      </c>
      <c r="M185">
        <v>1440</v>
      </c>
      <c r="N185">
        <v>1.6</v>
      </c>
      <c r="O185">
        <v>1714</v>
      </c>
      <c r="P185">
        <v>1957</v>
      </c>
      <c r="Q185">
        <v>-1.4</v>
      </c>
      <c r="U185">
        <f t="shared" si="12"/>
        <v>0.8</v>
      </c>
      <c r="V185">
        <f t="shared" si="13"/>
        <v>1.7</v>
      </c>
      <c r="W185">
        <f t="shared" si="14"/>
        <v>1.6</v>
      </c>
      <c r="X185">
        <f t="shared" si="15"/>
        <v>1.4</v>
      </c>
      <c r="AA185">
        <f t="shared" si="22"/>
        <v>1.375</v>
      </c>
      <c r="AB185">
        <f t="shared" si="23"/>
        <v>1.7</v>
      </c>
    </row>
    <row r="186" spans="1:28">
      <c r="A186" t="s">
        <v>184</v>
      </c>
      <c r="B186" t="s">
        <v>155</v>
      </c>
      <c r="C186" t="s">
        <v>13</v>
      </c>
      <c r="D186" t="s">
        <v>138</v>
      </c>
      <c r="E186">
        <v>30</v>
      </c>
      <c r="F186" s="14">
        <v>18</v>
      </c>
      <c r="G186">
        <v>250</v>
      </c>
      <c r="H186">
        <v>0.9</v>
      </c>
      <c r="I186">
        <v>436</v>
      </c>
      <c r="J186">
        <v>738</v>
      </c>
      <c r="K186">
        <v>-1.7</v>
      </c>
      <c r="L186">
        <v>1209</v>
      </c>
      <c r="M186">
        <v>1519</v>
      </c>
      <c r="N186">
        <v>1.6</v>
      </c>
      <c r="O186">
        <v>1751</v>
      </c>
      <c r="P186">
        <v>2032</v>
      </c>
      <c r="Q186">
        <v>-1.6</v>
      </c>
      <c r="U186">
        <f t="shared" si="12"/>
        <v>0.9</v>
      </c>
      <c r="V186">
        <f t="shared" si="13"/>
        <v>1.7</v>
      </c>
      <c r="W186">
        <f t="shared" si="14"/>
        <v>1.6</v>
      </c>
      <c r="X186">
        <f t="shared" si="15"/>
        <v>1.6</v>
      </c>
      <c r="AA186">
        <f t="shared" si="22"/>
        <v>1.4500000000000002</v>
      </c>
      <c r="AB186">
        <f t="shared" si="23"/>
        <v>1.7</v>
      </c>
    </row>
    <row r="187" spans="1:28">
      <c r="A187" t="s">
        <v>184</v>
      </c>
      <c r="B187" t="s">
        <v>155</v>
      </c>
      <c r="C187" t="s">
        <v>13</v>
      </c>
      <c r="D187" t="s">
        <v>138</v>
      </c>
      <c r="E187">
        <v>31</v>
      </c>
      <c r="F187" s="14">
        <v>57</v>
      </c>
      <c r="G187">
        <v>333</v>
      </c>
      <c r="H187">
        <v>1</v>
      </c>
      <c r="I187">
        <v>529</v>
      </c>
      <c r="J187">
        <v>822</v>
      </c>
      <c r="K187">
        <v>-1.6</v>
      </c>
      <c r="L187">
        <v>1251</v>
      </c>
      <c r="M187">
        <v>1556</v>
      </c>
      <c r="N187">
        <v>1.4</v>
      </c>
      <c r="O187">
        <v>1824</v>
      </c>
      <c r="P187">
        <v>2103</v>
      </c>
      <c r="Q187">
        <v>-1.6</v>
      </c>
      <c r="U187">
        <f t="shared" si="12"/>
        <v>1</v>
      </c>
      <c r="V187">
        <f t="shared" si="13"/>
        <v>1.6</v>
      </c>
      <c r="W187">
        <f t="shared" si="14"/>
        <v>1.4</v>
      </c>
      <c r="X187">
        <f t="shared" si="15"/>
        <v>1.6</v>
      </c>
      <c r="AA187">
        <f t="shared" si="22"/>
        <v>1.4</v>
      </c>
      <c r="AB187">
        <f t="shared" si="23"/>
        <v>1.6</v>
      </c>
    </row>
    <row r="188" spans="1:28">
      <c r="A188" t="s">
        <v>185</v>
      </c>
      <c r="B188" t="s">
        <v>156</v>
      </c>
      <c r="C188" t="s">
        <v>13</v>
      </c>
      <c r="D188" t="s">
        <v>138</v>
      </c>
      <c r="E188">
        <v>1</v>
      </c>
      <c r="F188" s="14">
        <v>1</v>
      </c>
      <c r="G188">
        <v>244</v>
      </c>
      <c r="H188">
        <v>0.8</v>
      </c>
      <c r="I188">
        <v>356</v>
      </c>
      <c r="J188">
        <v>846</v>
      </c>
      <c r="K188">
        <v>-1.9</v>
      </c>
      <c r="L188">
        <v>1144</v>
      </c>
      <c r="M188">
        <v>1530</v>
      </c>
      <c r="N188">
        <v>1.8</v>
      </c>
      <c r="O188">
        <v>1800</v>
      </c>
      <c r="P188">
        <v>2203</v>
      </c>
      <c r="Q188">
        <v>-1.4</v>
      </c>
      <c r="U188">
        <f t="shared" si="12"/>
        <v>0.8</v>
      </c>
      <c r="V188">
        <f t="shared" si="13"/>
        <v>1.9</v>
      </c>
      <c r="W188">
        <f t="shared" si="14"/>
        <v>1.8</v>
      </c>
      <c r="X188">
        <f t="shared" si="15"/>
        <v>1.4</v>
      </c>
      <c r="AA188">
        <f t="shared" si="22"/>
        <v>1.4750000000000001</v>
      </c>
      <c r="AB188">
        <f t="shared" si="23"/>
        <v>1.9</v>
      </c>
    </row>
    <row r="189" spans="1:28">
      <c r="A189" t="s">
        <v>185</v>
      </c>
      <c r="B189" t="s">
        <v>156</v>
      </c>
      <c r="C189" t="s">
        <v>13</v>
      </c>
      <c r="D189" t="s">
        <v>138</v>
      </c>
      <c r="E189">
        <v>2</v>
      </c>
      <c r="F189" s="14">
        <v>46</v>
      </c>
      <c r="G189">
        <v>333</v>
      </c>
      <c r="H189">
        <v>0.8</v>
      </c>
      <c r="I189">
        <v>452</v>
      </c>
      <c r="J189">
        <v>933</v>
      </c>
      <c r="K189">
        <v>-1.9</v>
      </c>
      <c r="L189">
        <v>1227</v>
      </c>
      <c r="M189">
        <v>1612</v>
      </c>
      <c r="N189">
        <v>1.7</v>
      </c>
      <c r="O189">
        <v>1837</v>
      </c>
      <c r="P189">
        <v>2239</v>
      </c>
      <c r="Q189">
        <v>-1.5</v>
      </c>
      <c r="U189">
        <f t="shared" si="12"/>
        <v>0.8</v>
      </c>
      <c r="V189">
        <f t="shared" si="13"/>
        <v>1.9</v>
      </c>
      <c r="W189">
        <f t="shared" si="14"/>
        <v>1.7</v>
      </c>
      <c r="X189">
        <f t="shared" si="15"/>
        <v>1.5</v>
      </c>
      <c r="AA189">
        <f t="shared" si="22"/>
        <v>1.4750000000000001</v>
      </c>
      <c r="AB189">
        <f t="shared" si="23"/>
        <v>1.9</v>
      </c>
    </row>
    <row r="190" spans="1:28">
      <c r="A190" t="s">
        <v>185</v>
      </c>
      <c r="B190" t="s">
        <v>156</v>
      </c>
      <c r="C190" t="s">
        <v>13</v>
      </c>
      <c r="D190" t="s">
        <v>138</v>
      </c>
      <c r="E190">
        <v>3</v>
      </c>
      <c r="F190" s="14">
        <v>129</v>
      </c>
      <c r="G190">
        <v>422</v>
      </c>
      <c r="H190">
        <v>0.8</v>
      </c>
      <c r="I190">
        <v>547</v>
      </c>
      <c r="J190">
        <v>1016</v>
      </c>
      <c r="K190">
        <v>-1.8</v>
      </c>
      <c r="L190">
        <v>1309</v>
      </c>
      <c r="M190">
        <v>1653</v>
      </c>
      <c r="N190">
        <v>1.6</v>
      </c>
      <c r="O190">
        <v>1911</v>
      </c>
      <c r="P190">
        <v>2313</v>
      </c>
      <c r="Q190">
        <v>-1.5</v>
      </c>
      <c r="U190">
        <f t="shared" si="12"/>
        <v>0.8</v>
      </c>
      <c r="V190">
        <f t="shared" si="13"/>
        <v>1.8</v>
      </c>
      <c r="W190">
        <f t="shared" si="14"/>
        <v>1.6</v>
      </c>
      <c r="X190">
        <f t="shared" si="15"/>
        <v>1.5</v>
      </c>
      <c r="AA190">
        <f t="shared" si="22"/>
        <v>1.425</v>
      </c>
      <c r="AB190">
        <f t="shared" si="23"/>
        <v>1.8</v>
      </c>
    </row>
    <row r="191" spans="1:28">
      <c r="A191" t="s">
        <v>185</v>
      </c>
      <c r="B191" t="s">
        <v>156</v>
      </c>
      <c r="C191" t="s">
        <v>13</v>
      </c>
      <c r="D191" t="s">
        <v>138</v>
      </c>
      <c r="E191">
        <v>4</v>
      </c>
      <c r="F191" s="14">
        <v>213</v>
      </c>
      <c r="G191">
        <v>511</v>
      </c>
      <c r="H191">
        <v>0.8</v>
      </c>
      <c r="I191">
        <v>640</v>
      </c>
      <c r="J191">
        <v>1058</v>
      </c>
      <c r="K191">
        <v>-1.6</v>
      </c>
      <c r="L191">
        <v>1350</v>
      </c>
      <c r="M191">
        <v>1733</v>
      </c>
      <c r="N191">
        <v>1.4</v>
      </c>
      <c r="O191">
        <v>1943</v>
      </c>
      <c r="P191">
        <v>2347</v>
      </c>
      <c r="Q191">
        <v>-1.5</v>
      </c>
      <c r="U191">
        <f t="shared" si="12"/>
        <v>0.8</v>
      </c>
      <c r="V191">
        <f t="shared" si="13"/>
        <v>1.6</v>
      </c>
      <c r="W191">
        <f t="shared" si="14"/>
        <v>1.4</v>
      </c>
      <c r="X191">
        <f t="shared" si="15"/>
        <v>1.5</v>
      </c>
      <c r="AA191">
        <f t="shared" si="22"/>
        <v>1.3250000000000002</v>
      </c>
      <c r="AB191">
        <f t="shared" si="23"/>
        <v>1.6</v>
      </c>
    </row>
    <row r="192" spans="1:28">
      <c r="A192" t="s">
        <v>185</v>
      </c>
      <c r="B192" t="s">
        <v>156</v>
      </c>
      <c r="C192" t="s">
        <v>13</v>
      </c>
      <c r="D192" t="s">
        <v>138</v>
      </c>
      <c r="E192">
        <v>5</v>
      </c>
      <c r="F192" s="14">
        <v>257</v>
      </c>
      <c r="G192">
        <v>559</v>
      </c>
      <c r="H192">
        <v>0.8</v>
      </c>
      <c r="I192">
        <v>733</v>
      </c>
      <c r="J192">
        <v>1139</v>
      </c>
      <c r="K192">
        <v>-1.3</v>
      </c>
      <c r="L192">
        <v>1432</v>
      </c>
      <c r="M192">
        <v>1812</v>
      </c>
      <c r="N192">
        <v>1.2</v>
      </c>
      <c r="O192">
        <v>2014</v>
      </c>
      <c r="U192">
        <f t="shared" si="12"/>
        <v>0.8</v>
      </c>
      <c r="V192">
        <f t="shared" si="13"/>
        <v>1.3</v>
      </c>
      <c r="W192">
        <f t="shared" si="14"/>
        <v>1.2</v>
      </c>
      <c r="AA192">
        <f t="shared" si="22"/>
        <v>1.0999999999999999</v>
      </c>
      <c r="AB192">
        <f t="shared" si="23"/>
        <v>1.3</v>
      </c>
    </row>
    <row r="193" spans="1:28">
      <c r="A193" t="s">
        <v>185</v>
      </c>
      <c r="B193" t="s">
        <v>156</v>
      </c>
      <c r="C193" t="s">
        <v>13</v>
      </c>
      <c r="D193" t="s">
        <v>138</v>
      </c>
      <c r="E193">
        <v>6</v>
      </c>
      <c r="G193">
        <v>24</v>
      </c>
      <c r="H193">
        <v>-1.4</v>
      </c>
      <c r="I193">
        <v>342</v>
      </c>
      <c r="J193">
        <v>647</v>
      </c>
      <c r="K193">
        <v>0.8</v>
      </c>
      <c r="L193">
        <v>829</v>
      </c>
      <c r="M193">
        <v>1225</v>
      </c>
      <c r="N193">
        <v>-1</v>
      </c>
      <c r="O193">
        <v>1515</v>
      </c>
      <c r="P193">
        <v>1851</v>
      </c>
      <c r="Q193">
        <v>1</v>
      </c>
      <c r="R193">
        <v>2043</v>
      </c>
      <c r="U193">
        <f t="shared" si="12"/>
        <v>1.4</v>
      </c>
      <c r="V193">
        <f t="shared" si="13"/>
        <v>0.8</v>
      </c>
      <c r="W193">
        <f t="shared" si="14"/>
        <v>1</v>
      </c>
      <c r="X193">
        <f t="shared" si="15"/>
        <v>1</v>
      </c>
      <c r="AA193">
        <f t="shared" si="22"/>
        <v>1.05</v>
      </c>
      <c r="AB193">
        <f t="shared" si="23"/>
        <v>1.4</v>
      </c>
    </row>
    <row r="194" spans="1:28">
      <c r="A194" t="s">
        <v>185</v>
      </c>
      <c r="B194" t="s">
        <v>156</v>
      </c>
      <c r="C194" t="s">
        <v>13</v>
      </c>
      <c r="D194" t="s">
        <v>138</v>
      </c>
      <c r="E194">
        <v>7</v>
      </c>
      <c r="G194">
        <v>104</v>
      </c>
      <c r="H194">
        <v>-1.4</v>
      </c>
      <c r="I194">
        <v>428</v>
      </c>
      <c r="J194">
        <v>734</v>
      </c>
      <c r="K194">
        <v>0.8</v>
      </c>
      <c r="L194">
        <v>933</v>
      </c>
      <c r="M194">
        <v>1319</v>
      </c>
      <c r="N194">
        <v>-0.8</v>
      </c>
      <c r="O194">
        <v>1604</v>
      </c>
      <c r="P194">
        <v>1931</v>
      </c>
      <c r="Q194">
        <v>0.8</v>
      </c>
      <c r="R194">
        <v>2114</v>
      </c>
      <c r="U194">
        <f t="shared" si="12"/>
        <v>1.4</v>
      </c>
      <c r="V194">
        <f t="shared" si="13"/>
        <v>0.8</v>
      </c>
      <c r="W194">
        <f t="shared" si="14"/>
        <v>0.8</v>
      </c>
      <c r="X194">
        <f t="shared" si="15"/>
        <v>0.8</v>
      </c>
      <c r="AA194">
        <f t="shared" si="22"/>
        <v>0.95</v>
      </c>
      <c r="AB194">
        <f t="shared" si="23"/>
        <v>1.4</v>
      </c>
    </row>
    <row r="195" spans="1:28">
      <c r="A195" t="s">
        <v>185</v>
      </c>
      <c r="B195" t="s">
        <v>156</v>
      </c>
      <c r="C195" t="s">
        <v>13</v>
      </c>
      <c r="D195" t="s">
        <v>138</v>
      </c>
      <c r="E195">
        <v>8</v>
      </c>
      <c r="G195">
        <v>151</v>
      </c>
      <c r="H195">
        <v>-1.2</v>
      </c>
      <c r="I195">
        <v>516</v>
      </c>
      <c r="J195">
        <v>826</v>
      </c>
      <c r="K195">
        <v>0.8</v>
      </c>
      <c r="L195">
        <v>1050</v>
      </c>
      <c r="M195">
        <v>1427</v>
      </c>
      <c r="N195">
        <v>-0.6</v>
      </c>
      <c r="O195">
        <v>1702</v>
      </c>
      <c r="P195">
        <v>2015</v>
      </c>
      <c r="Q195">
        <v>0.6</v>
      </c>
      <c r="R195">
        <v>2147</v>
      </c>
      <c r="U195">
        <f t="shared" ref="U195:U258" si="24">ABS(H195)</f>
        <v>1.2</v>
      </c>
      <c r="V195">
        <f t="shared" ref="V195:V258" si="25">ABS(K195)</f>
        <v>0.8</v>
      </c>
      <c r="W195">
        <f t="shared" ref="W195:W258" si="26">ABS(N195)</f>
        <v>0.6</v>
      </c>
      <c r="X195">
        <f t="shared" ref="X195:X258" si="27">ABS(Q195)</f>
        <v>0.6</v>
      </c>
      <c r="AA195">
        <f t="shared" si="22"/>
        <v>0.8</v>
      </c>
      <c r="AB195">
        <f t="shared" si="23"/>
        <v>1.2</v>
      </c>
    </row>
    <row r="196" spans="1:28">
      <c r="A196" t="s">
        <v>185</v>
      </c>
      <c r="B196" t="s">
        <v>156</v>
      </c>
      <c r="C196" t="s">
        <v>13</v>
      </c>
      <c r="D196" t="s">
        <v>138</v>
      </c>
      <c r="E196">
        <v>9</v>
      </c>
      <c r="G196">
        <v>243</v>
      </c>
      <c r="H196">
        <v>-1.2</v>
      </c>
      <c r="I196">
        <v>606</v>
      </c>
      <c r="J196">
        <v>925</v>
      </c>
      <c r="K196">
        <v>0.8</v>
      </c>
      <c r="L196">
        <v>1214</v>
      </c>
      <c r="M196">
        <v>1545</v>
      </c>
      <c r="N196">
        <v>-0.5</v>
      </c>
      <c r="O196">
        <v>1810</v>
      </c>
      <c r="P196">
        <v>2106</v>
      </c>
      <c r="Q196">
        <v>0.5</v>
      </c>
      <c r="R196">
        <v>2229</v>
      </c>
      <c r="U196">
        <f t="shared" si="24"/>
        <v>1.2</v>
      </c>
      <c r="V196">
        <f t="shared" si="25"/>
        <v>0.8</v>
      </c>
      <c r="W196">
        <f t="shared" si="26"/>
        <v>0.5</v>
      </c>
      <c r="X196">
        <f t="shared" si="27"/>
        <v>0.5</v>
      </c>
      <c r="AA196">
        <f t="shared" si="22"/>
        <v>0.75</v>
      </c>
      <c r="AB196">
        <f t="shared" si="23"/>
        <v>1.2</v>
      </c>
    </row>
    <row r="197" spans="1:28">
      <c r="A197" t="s">
        <v>185</v>
      </c>
      <c r="B197" t="s">
        <v>156</v>
      </c>
      <c r="C197" t="s">
        <v>13</v>
      </c>
      <c r="D197" t="s">
        <v>138</v>
      </c>
      <c r="E197">
        <v>10</v>
      </c>
      <c r="G197">
        <v>338</v>
      </c>
      <c r="H197">
        <v>-1.2</v>
      </c>
      <c r="I197">
        <v>659</v>
      </c>
      <c r="J197">
        <v>1037</v>
      </c>
      <c r="K197">
        <v>0.8</v>
      </c>
      <c r="L197">
        <v>1328</v>
      </c>
      <c r="M197">
        <v>1700</v>
      </c>
      <c r="N197">
        <v>-0.5</v>
      </c>
      <c r="O197">
        <v>1928</v>
      </c>
      <c r="P197">
        <v>2209</v>
      </c>
      <c r="Q197">
        <v>0.4</v>
      </c>
      <c r="R197">
        <v>2323</v>
      </c>
      <c r="U197">
        <f t="shared" si="24"/>
        <v>1.2</v>
      </c>
      <c r="V197">
        <f t="shared" si="25"/>
        <v>0.8</v>
      </c>
      <c r="W197">
        <f t="shared" si="26"/>
        <v>0.5</v>
      </c>
      <c r="X197">
        <f t="shared" si="27"/>
        <v>0.4</v>
      </c>
      <c r="AA197">
        <f t="shared" si="22"/>
        <v>0.72499999999999998</v>
      </c>
      <c r="AB197">
        <f t="shared" si="23"/>
        <v>1.2</v>
      </c>
    </row>
    <row r="198" spans="1:28">
      <c r="A198" t="s">
        <v>185</v>
      </c>
      <c r="B198" t="s">
        <v>156</v>
      </c>
      <c r="C198" t="s">
        <v>13</v>
      </c>
      <c r="D198" t="s">
        <v>138</v>
      </c>
      <c r="E198">
        <v>11</v>
      </c>
      <c r="G198">
        <v>431</v>
      </c>
      <c r="H198">
        <v>-1.2</v>
      </c>
      <c r="I198">
        <v>753</v>
      </c>
      <c r="J198">
        <v>1150</v>
      </c>
      <c r="K198">
        <v>1</v>
      </c>
      <c r="L198">
        <v>1426</v>
      </c>
      <c r="M198">
        <v>1810</v>
      </c>
      <c r="N198">
        <v>-0.6</v>
      </c>
      <c r="O198">
        <v>2046</v>
      </c>
      <c r="P198">
        <v>2321</v>
      </c>
      <c r="Q198">
        <v>0.3</v>
      </c>
      <c r="U198">
        <f t="shared" si="24"/>
        <v>1.2</v>
      </c>
      <c r="V198">
        <f t="shared" si="25"/>
        <v>1</v>
      </c>
      <c r="W198">
        <f t="shared" si="26"/>
        <v>0.6</v>
      </c>
      <c r="X198">
        <f t="shared" si="27"/>
        <v>0.3</v>
      </c>
      <c r="AA198">
        <f t="shared" si="22"/>
        <v>0.77500000000000002</v>
      </c>
      <c r="AB198">
        <f t="shared" si="23"/>
        <v>1.2</v>
      </c>
    </row>
    <row r="199" spans="1:28">
      <c r="A199" t="s">
        <v>185</v>
      </c>
      <c r="B199" t="s">
        <v>156</v>
      </c>
      <c r="C199" t="s">
        <v>13</v>
      </c>
      <c r="D199" t="s">
        <v>138</v>
      </c>
      <c r="E199">
        <v>12</v>
      </c>
      <c r="F199" s="14">
        <v>23</v>
      </c>
      <c r="G199">
        <v>523</v>
      </c>
      <c r="H199">
        <v>-1.2</v>
      </c>
      <c r="I199">
        <v>844</v>
      </c>
      <c r="J199">
        <v>1243</v>
      </c>
      <c r="K199">
        <v>1.1000000000000001</v>
      </c>
      <c r="L199">
        <v>1513</v>
      </c>
      <c r="M199">
        <v>1911</v>
      </c>
      <c r="N199">
        <v>-0.7</v>
      </c>
      <c r="O199">
        <v>2149</v>
      </c>
      <c r="U199">
        <f t="shared" si="24"/>
        <v>1.2</v>
      </c>
      <c r="V199">
        <f t="shared" si="25"/>
        <v>1.1000000000000001</v>
      </c>
      <c r="W199">
        <f t="shared" si="26"/>
        <v>0.7</v>
      </c>
      <c r="AA199">
        <f t="shared" si="22"/>
        <v>1</v>
      </c>
      <c r="AB199">
        <f t="shared" si="23"/>
        <v>1.2</v>
      </c>
    </row>
    <row r="200" spans="1:28">
      <c r="A200" t="s">
        <v>185</v>
      </c>
      <c r="B200" t="s">
        <v>156</v>
      </c>
      <c r="C200" t="s">
        <v>13</v>
      </c>
      <c r="D200" t="s">
        <v>138</v>
      </c>
      <c r="E200">
        <v>13</v>
      </c>
      <c r="G200">
        <v>23</v>
      </c>
      <c r="H200">
        <v>0.4</v>
      </c>
      <c r="I200">
        <v>120</v>
      </c>
      <c r="J200">
        <v>613</v>
      </c>
      <c r="K200">
        <v>-1.4</v>
      </c>
      <c r="L200">
        <v>931</v>
      </c>
      <c r="M200">
        <v>1324</v>
      </c>
      <c r="N200">
        <v>1.3</v>
      </c>
      <c r="O200">
        <v>1554</v>
      </c>
      <c r="P200">
        <v>1959</v>
      </c>
      <c r="Q200">
        <v>-0.8</v>
      </c>
      <c r="R200">
        <v>2237</v>
      </c>
      <c r="U200">
        <f t="shared" si="24"/>
        <v>0.4</v>
      </c>
      <c r="V200">
        <f t="shared" si="25"/>
        <v>1.4</v>
      </c>
      <c r="W200">
        <f t="shared" si="26"/>
        <v>1.3</v>
      </c>
      <c r="X200">
        <f t="shared" si="27"/>
        <v>0.8</v>
      </c>
      <c r="AA200">
        <f t="shared" si="22"/>
        <v>0.97499999999999987</v>
      </c>
      <c r="AB200">
        <f t="shared" si="23"/>
        <v>1.4</v>
      </c>
    </row>
    <row r="201" spans="1:28">
      <c r="A201" t="s">
        <v>185</v>
      </c>
      <c r="B201" t="s">
        <v>156</v>
      </c>
      <c r="C201" t="s">
        <v>13</v>
      </c>
      <c r="D201" t="s">
        <v>138</v>
      </c>
      <c r="E201">
        <v>14</v>
      </c>
      <c r="G201">
        <v>112</v>
      </c>
      <c r="H201">
        <v>0.5</v>
      </c>
      <c r="I201">
        <v>212</v>
      </c>
      <c r="J201">
        <v>703</v>
      </c>
      <c r="K201">
        <v>-1.4</v>
      </c>
      <c r="L201">
        <v>1014</v>
      </c>
      <c r="M201">
        <v>1400</v>
      </c>
      <c r="N201">
        <v>1.4</v>
      </c>
      <c r="O201">
        <v>1630</v>
      </c>
      <c r="P201">
        <v>2035</v>
      </c>
      <c r="Q201">
        <v>-1</v>
      </c>
      <c r="R201">
        <v>2316</v>
      </c>
      <c r="U201">
        <f t="shared" si="24"/>
        <v>0.5</v>
      </c>
      <c r="V201">
        <f t="shared" si="25"/>
        <v>1.4</v>
      </c>
      <c r="W201">
        <f t="shared" si="26"/>
        <v>1.4</v>
      </c>
      <c r="X201">
        <f t="shared" si="27"/>
        <v>1</v>
      </c>
      <c r="AA201">
        <f t="shared" si="22"/>
        <v>1.075</v>
      </c>
      <c r="AB201">
        <f t="shared" si="23"/>
        <v>1.4</v>
      </c>
    </row>
    <row r="202" spans="1:28">
      <c r="A202" t="s">
        <v>185</v>
      </c>
      <c r="B202" t="s">
        <v>156</v>
      </c>
      <c r="C202" t="s">
        <v>13</v>
      </c>
      <c r="D202" t="s">
        <v>138</v>
      </c>
      <c r="E202">
        <v>15</v>
      </c>
      <c r="G202">
        <v>154</v>
      </c>
      <c r="H202">
        <v>0.6</v>
      </c>
      <c r="I202">
        <v>301</v>
      </c>
      <c r="J202">
        <v>749</v>
      </c>
      <c r="K202">
        <v>-1.6</v>
      </c>
      <c r="L202">
        <v>1053</v>
      </c>
      <c r="M202">
        <v>1434</v>
      </c>
      <c r="N202">
        <v>1.5</v>
      </c>
      <c r="O202">
        <v>1704</v>
      </c>
      <c r="P202">
        <v>2106</v>
      </c>
      <c r="Q202">
        <v>-1.1000000000000001</v>
      </c>
      <c r="R202">
        <v>2351</v>
      </c>
      <c r="U202">
        <f t="shared" si="24"/>
        <v>0.6</v>
      </c>
      <c r="V202">
        <f t="shared" si="25"/>
        <v>1.6</v>
      </c>
      <c r="W202">
        <f t="shared" si="26"/>
        <v>1.5</v>
      </c>
      <c r="X202">
        <f t="shared" si="27"/>
        <v>1.1000000000000001</v>
      </c>
      <c r="AA202">
        <f t="shared" si="22"/>
        <v>1.2000000000000002</v>
      </c>
      <c r="AB202">
        <f t="shared" si="23"/>
        <v>1.6</v>
      </c>
    </row>
    <row r="203" spans="1:28">
      <c r="A203" t="s">
        <v>185</v>
      </c>
      <c r="B203" t="s">
        <v>156</v>
      </c>
      <c r="C203" t="s">
        <v>13</v>
      </c>
      <c r="D203" t="s">
        <v>138</v>
      </c>
      <c r="E203">
        <v>16</v>
      </c>
      <c r="G203">
        <v>235</v>
      </c>
      <c r="H203">
        <v>0.7</v>
      </c>
      <c r="I203">
        <v>348</v>
      </c>
      <c r="J203">
        <v>833</v>
      </c>
      <c r="K203">
        <v>-1.6</v>
      </c>
      <c r="L203">
        <v>1130</v>
      </c>
      <c r="M203">
        <v>1509</v>
      </c>
      <c r="N203">
        <v>1.6</v>
      </c>
      <c r="O203">
        <v>1735</v>
      </c>
      <c r="P203">
        <v>2135</v>
      </c>
      <c r="Q203">
        <v>-1.3</v>
      </c>
      <c r="U203">
        <f t="shared" si="24"/>
        <v>0.7</v>
      </c>
      <c r="V203">
        <f t="shared" si="25"/>
        <v>1.6</v>
      </c>
      <c r="W203">
        <f t="shared" si="26"/>
        <v>1.6</v>
      </c>
      <c r="X203">
        <f t="shared" si="27"/>
        <v>1.3</v>
      </c>
      <c r="AA203">
        <f t="shared" si="22"/>
        <v>1.3</v>
      </c>
      <c r="AB203">
        <f t="shared" si="23"/>
        <v>1.6</v>
      </c>
    </row>
    <row r="204" spans="1:28">
      <c r="A204" t="s">
        <v>185</v>
      </c>
      <c r="B204" t="s">
        <v>156</v>
      </c>
      <c r="C204" t="s">
        <v>13</v>
      </c>
      <c r="D204" t="s">
        <v>138</v>
      </c>
      <c r="E204">
        <v>17</v>
      </c>
      <c r="F204" s="14">
        <v>25</v>
      </c>
      <c r="G204">
        <v>315</v>
      </c>
      <c r="H204">
        <v>0.8</v>
      </c>
      <c r="I204">
        <v>437</v>
      </c>
      <c r="J204">
        <v>914</v>
      </c>
      <c r="K204">
        <v>-1.6</v>
      </c>
      <c r="L204">
        <v>1206</v>
      </c>
      <c r="M204">
        <v>1545</v>
      </c>
      <c r="N204">
        <v>1.6</v>
      </c>
      <c r="O204">
        <v>1805</v>
      </c>
      <c r="P204">
        <v>2205</v>
      </c>
      <c r="Q204">
        <v>-1.4</v>
      </c>
      <c r="U204">
        <f t="shared" si="24"/>
        <v>0.8</v>
      </c>
      <c r="V204">
        <f t="shared" si="25"/>
        <v>1.6</v>
      </c>
      <c r="W204">
        <f t="shared" si="26"/>
        <v>1.6</v>
      </c>
      <c r="X204">
        <f t="shared" si="27"/>
        <v>1.4</v>
      </c>
      <c r="AA204">
        <f t="shared" si="22"/>
        <v>1.35</v>
      </c>
      <c r="AB204">
        <f t="shared" si="23"/>
        <v>1.6</v>
      </c>
    </row>
    <row r="205" spans="1:28">
      <c r="A205" t="s">
        <v>185</v>
      </c>
      <c r="B205" t="s">
        <v>156</v>
      </c>
      <c r="C205" t="s">
        <v>13</v>
      </c>
      <c r="D205" t="s">
        <v>138</v>
      </c>
      <c r="E205">
        <v>18</v>
      </c>
      <c r="F205" s="14">
        <v>59</v>
      </c>
      <c r="G205">
        <v>359</v>
      </c>
      <c r="H205">
        <v>0.9</v>
      </c>
      <c r="I205">
        <v>527</v>
      </c>
      <c r="J205">
        <v>955</v>
      </c>
      <c r="K205">
        <v>-1.6</v>
      </c>
      <c r="L205">
        <v>1243</v>
      </c>
      <c r="M205">
        <v>1624</v>
      </c>
      <c r="N205">
        <v>1.5</v>
      </c>
      <c r="O205">
        <v>1834</v>
      </c>
      <c r="P205">
        <v>2238</v>
      </c>
      <c r="Q205">
        <v>-1.6</v>
      </c>
      <c r="U205">
        <f t="shared" si="24"/>
        <v>0.9</v>
      </c>
      <c r="V205">
        <f t="shared" si="25"/>
        <v>1.6</v>
      </c>
      <c r="W205">
        <f t="shared" si="26"/>
        <v>1.5</v>
      </c>
      <c r="X205">
        <f t="shared" si="27"/>
        <v>1.6</v>
      </c>
      <c r="AA205">
        <f t="shared" si="22"/>
        <v>1.4</v>
      </c>
      <c r="AB205">
        <f t="shared" si="23"/>
        <v>1.6</v>
      </c>
    </row>
    <row r="206" spans="1:28">
      <c r="A206" t="s">
        <v>185</v>
      </c>
      <c r="B206" t="s">
        <v>156</v>
      </c>
      <c r="C206" t="s">
        <v>13</v>
      </c>
      <c r="D206" t="s">
        <v>138</v>
      </c>
      <c r="E206">
        <v>19</v>
      </c>
      <c r="F206" s="14">
        <v>135</v>
      </c>
      <c r="G206">
        <v>444</v>
      </c>
      <c r="H206">
        <v>1</v>
      </c>
      <c r="I206">
        <v>619</v>
      </c>
      <c r="J206">
        <v>1037</v>
      </c>
      <c r="K206">
        <v>-1.6</v>
      </c>
      <c r="L206">
        <v>1324</v>
      </c>
      <c r="M206">
        <v>1705</v>
      </c>
      <c r="N206">
        <v>1.4</v>
      </c>
      <c r="O206">
        <v>1903</v>
      </c>
      <c r="P206">
        <v>2313</v>
      </c>
      <c r="Q206">
        <v>-1.6</v>
      </c>
      <c r="U206">
        <f t="shared" si="24"/>
        <v>1</v>
      </c>
      <c r="V206">
        <f t="shared" si="25"/>
        <v>1.6</v>
      </c>
      <c r="W206">
        <f t="shared" si="26"/>
        <v>1.4</v>
      </c>
      <c r="X206">
        <f t="shared" si="27"/>
        <v>1.6</v>
      </c>
      <c r="AA206">
        <f t="shared" si="22"/>
        <v>1.4</v>
      </c>
      <c r="AB206">
        <f t="shared" si="23"/>
        <v>1.6</v>
      </c>
    </row>
    <row r="207" spans="1:28">
      <c r="A207" t="s">
        <v>185</v>
      </c>
      <c r="B207" t="s">
        <v>156</v>
      </c>
      <c r="C207" t="s">
        <v>13</v>
      </c>
      <c r="D207" t="s">
        <v>138</v>
      </c>
      <c r="E207">
        <v>20</v>
      </c>
      <c r="F207" s="14">
        <v>214</v>
      </c>
      <c r="G207">
        <v>533</v>
      </c>
      <c r="H207">
        <v>1.1000000000000001</v>
      </c>
      <c r="I207">
        <v>714</v>
      </c>
      <c r="J207">
        <v>1122</v>
      </c>
      <c r="K207">
        <v>-1.4</v>
      </c>
      <c r="L207">
        <v>1408</v>
      </c>
      <c r="M207">
        <v>1748</v>
      </c>
      <c r="N207">
        <v>1.3</v>
      </c>
      <c r="O207">
        <v>1934</v>
      </c>
      <c r="P207">
        <v>2352</v>
      </c>
      <c r="Q207">
        <v>-1.7</v>
      </c>
      <c r="U207">
        <f t="shared" si="24"/>
        <v>1.1000000000000001</v>
      </c>
      <c r="V207">
        <f t="shared" si="25"/>
        <v>1.4</v>
      </c>
      <c r="W207">
        <f t="shared" si="26"/>
        <v>1.3</v>
      </c>
      <c r="X207">
        <f t="shared" si="27"/>
        <v>1.7</v>
      </c>
      <c r="AA207">
        <f t="shared" si="22"/>
        <v>1.375</v>
      </c>
      <c r="AB207">
        <f t="shared" si="23"/>
        <v>1.7</v>
      </c>
    </row>
    <row r="208" spans="1:28">
      <c r="A208" t="s">
        <v>185</v>
      </c>
      <c r="B208" t="s">
        <v>156</v>
      </c>
      <c r="C208" t="s">
        <v>13</v>
      </c>
      <c r="D208" t="s">
        <v>138</v>
      </c>
      <c r="E208">
        <v>21</v>
      </c>
      <c r="F208" s="14">
        <v>259</v>
      </c>
      <c r="G208">
        <v>624</v>
      </c>
      <c r="H208">
        <v>1.2</v>
      </c>
      <c r="I208">
        <v>814</v>
      </c>
      <c r="J208">
        <v>1213</v>
      </c>
      <c r="K208">
        <v>-1.2</v>
      </c>
      <c r="L208">
        <v>1459</v>
      </c>
      <c r="M208">
        <v>1833</v>
      </c>
      <c r="N208">
        <v>1.1000000000000001</v>
      </c>
      <c r="O208">
        <v>2007</v>
      </c>
      <c r="U208">
        <f t="shared" si="24"/>
        <v>1.2</v>
      </c>
      <c r="V208">
        <f t="shared" si="25"/>
        <v>1.2</v>
      </c>
      <c r="W208">
        <f t="shared" si="26"/>
        <v>1.1000000000000001</v>
      </c>
      <c r="AA208">
        <f t="shared" si="22"/>
        <v>1.1666666666666667</v>
      </c>
      <c r="AB208">
        <f t="shared" si="23"/>
        <v>1.2</v>
      </c>
    </row>
    <row r="209" spans="1:28">
      <c r="A209" t="s">
        <v>185</v>
      </c>
      <c r="B209" t="s">
        <v>156</v>
      </c>
      <c r="C209" t="s">
        <v>13</v>
      </c>
      <c r="D209" t="s">
        <v>138</v>
      </c>
      <c r="E209">
        <v>22</v>
      </c>
      <c r="G209">
        <v>36</v>
      </c>
      <c r="H209">
        <v>-1.6</v>
      </c>
      <c r="I209">
        <v>349</v>
      </c>
      <c r="J209">
        <v>718</v>
      </c>
      <c r="K209">
        <v>1.2</v>
      </c>
      <c r="L209">
        <v>923</v>
      </c>
      <c r="M209">
        <v>1314</v>
      </c>
      <c r="N209">
        <v>-1</v>
      </c>
      <c r="O209">
        <v>1600</v>
      </c>
      <c r="P209">
        <v>1922</v>
      </c>
      <c r="Q209">
        <v>0.9</v>
      </c>
      <c r="R209">
        <v>2045</v>
      </c>
      <c r="U209">
        <f t="shared" si="24"/>
        <v>1.6</v>
      </c>
      <c r="V209">
        <f t="shared" si="25"/>
        <v>1.2</v>
      </c>
      <c r="W209">
        <f t="shared" si="26"/>
        <v>1</v>
      </c>
      <c r="X209">
        <f t="shared" si="27"/>
        <v>0.9</v>
      </c>
      <c r="AA209">
        <f t="shared" si="22"/>
        <v>1.175</v>
      </c>
      <c r="AB209">
        <f t="shared" si="23"/>
        <v>1.6</v>
      </c>
    </row>
    <row r="210" spans="1:28">
      <c r="A210" t="s">
        <v>185</v>
      </c>
      <c r="B210" t="s">
        <v>156</v>
      </c>
      <c r="C210" t="s">
        <v>13</v>
      </c>
      <c r="D210" t="s">
        <v>138</v>
      </c>
      <c r="E210">
        <v>23</v>
      </c>
      <c r="G210">
        <v>129</v>
      </c>
      <c r="H210">
        <v>-1.6</v>
      </c>
      <c r="I210">
        <v>445</v>
      </c>
      <c r="J210">
        <v>816</v>
      </c>
      <c r="K210">
        <v>1.2</v>
      </c>
      <c r="L210">
        <v>1044</v>
      </c>
      <c r="M210">
        <v>1429</v>
      </c>
      <c r="N210">
        <v>-0.8</v>
      </c>
      <c r="O210">
        <v>1712</v>
      </c>
      <c r="P210">
        <v>2016</v>
      </c>
      <c r="Q210">
        <v>0.7</v>
      </c>
      <c r="R210">
        <v>2130</v>
      </c>
      <c r="U210">
        <f t="shared" si="24"/>
        <v>1.6</v>
      </c>
      <c r="V210">
        <f t="shared" si="25"/>
        <v>1.2</v>
      </c>
      <c r="W210">
        <f t="shared" si="26"/>
        <v>0.8</v>
      </c>
      <c r="X210">
        <f t="shared" si="27"/>
        <v>0.7</v>
      </c>
      <c r="AA210">
        <f t="shared" si="22"/>
        <v>1.075</v>
      </c>
      <c r="AB210">
        <f t="shared" si="23"/>
        <v>1.6</v>
      </c>
    </row>
    <row r="211" spans="1:28">
      <c r="A211" t="s">
        <v>185</v>
      </c>
      <c r="B211" t="s">
        <v>156</v>
      </c>
      <c r="C211" t="s">
        <v>13</v>
      </c>
      <c r="D211" t="s">
        <v>138</v>
      </c>
      <c r="E211">
        <v>24</v>
      </c>
      <c r="G211">
        <v>231</v>
      </c>
      <c r="H211">
        <v>-1.6</v>
      </c>
      <c r="I211">
        <v>546</v>
      </c>
      <c r="J211">
        <v>923</v>
      </c>
      <c r="K211">
        <v>1.2</v>
      </c>
      <c r="L211">
        <v>1210</v>
      </c>
      <c r="M211">
        <v>1552</v>
      </c>
      <c r="N211">
        <v>-0.8</v>
      </c>
      <c r="O211">
        <v>1833</v>
      </c>
      <c r="P211">
        <v>2119</v>
      </c>
      <c r="Q211">
        <v>0.5</v>
      </c>
      <c r="R211">
        <v>2229</v>
      </c>
      <c r="U211">
        <f t="shared" si="24"/>
        <v>1.6</v>
      </c>
      <c r="V211">
        <f t="shared" si="25"/>
        <v>1.2</v>
      </c>
      <c r="W211">
        <f t="shared" si="26"/>
        <v>0.8</v>
      </c>
      <c r="X211">
        <f t="shared" si="27"/>
        <v>0.5</v>
      </c>
      <c r="AA211">
        <f t="shared" si="22"/>
        <v>1.0249999999999999</v>
      </c>
      <c r="AB211">
        <f t="shared" si="23"/>
        <v>1.6</v>
      </c>
    </row>
    <row r="212" spans="1:28">
      <c r="A212" t="s">
        <v>185</v>
      </c>
      <c r="B212" t="s">
        <v>156</v>
      </c>
      <c r="C212" t="s">
        <v>13</v>
      </c>
      <c r="D212" t="s">
        <v>138</v>
      </c>
      <c r="E212">
        <v>25</v>
      </c>
      <c r="G212">
        <v>338</v>
      </c>
      <c r="H212">
        <v>-1.6</v>
      </c>
      <c r="I212">
        <v>650</v>
      </c>
      <c r="J212">
        <v>1040</v>
      </c>
      <c r="K212">
        <v>1.3</v>
      </c>
      <c r="L212">
        <v>1326</v>
      </c>
      <c r="M212">
        <v>1712</v>
      </c>
      <c r="N212">
        <v>-0.8</v>
      </c>
      <c r="O212">
        <v>1956</v>
      </c>
      <c r="P212">
        <v>2235</v>
      </c>
      <c r="Q212">
        <v>0.4</v>
      </c>
      <c r="R212">
        <v>2344</v>
      </c>
      <c r="U212">
        <f t="shared" si="24"/>
        <v>1.6</v>
      </c>
      <c r="V212">
        <f t="shared" si="25"/>
        <v>1.3</v>
      </c>
      <c r="W212">
        <f t="shared" si="26"/>
        <v>0.8</v>
      </c>
      <c r="X212">
        <f t="shared" si="27"/>
        <v>0.4</v>
      </c>
      <c r="AA212">
        <f t="shared" si="22"/>
        <v>1.0250000000000001</v>
      </c>
      <c r="AB212">
        <f t="shared" si="23"/>
        <v>1.6</v>
      </c>
    </row>
    <row r="213" spans="1:28">
      <c r="A213" t="s">
        <v>185</v>
      </c>
      <c r="B213" t="s">
        <v>156</v>
      </c>
      <c r="C213" t="s">
        <v>13</v>
      </c>
      <c r="D213" t="s">
        <v>138</v>
      </c>
      <c r="E213">
        <v>26</v>
      </c>
      <c r="G213">
        <v>444</v>
      </c>
      <c r="H213">
        <v>-1.6</v>
      </c>
      <c r="I213">
        <v>756</v>
      </c>
      <c r="J213">
        <v>1156</v>
      </c>
      <c r="K213">
        <v>1.4</v>
      </c>
      <c r="L213">
        <v>1427</v>
      </c>
      <c r="M213">
        <v>1824</v>
      </c>
      <c r="N213">
        <v>-0.9</v>
      </c>
      <c r="O213">
        <v>2111</v>
      </c>
      <c r="P213">
        <v>2355</v>
      </c>
      <c r="Q213">
        <v>0.5</v>
      </c>
      <c r="U213">
        <f t="shared" si="24"/>
        <v>1.6</v>
      </c>
      <c r="V213">
        <f t="shared" si="25"/>
        <v>1.4</v>
      </c>
      <c r="W213">
        <f t="shared" si="26"/>
        <v>0.9</v>
      </c>
      <c r="X213">
        <f t="shared" si="27"/>
        <v>0.5</v>
      </c>
      <c r="AA213">
        <f t="shared" si="22"/>
        <v>1.1000000000000001</v>
      </c>
      <c r="AB213">
        <f t="shared" si="23"/>
        <v>1.6</v>
      </c>
    </row>
    <row r="214" spans="1:28">
      <c r="A214" t="s">
        <v>185</v>
      </c>
      <c r="B214" t="s">
        <v>156</v>
      </c>
      <c r="C214" t="s">
        <v>13</v>
      </c>
      <c r="D214" t="s">
        <v>138</v>
      </c>
      <c r="E214">
        <v>27</v>
      </c>
      <c r="F214" s="14">
        <v>100</v>
      </c>
      <c r="G214">
        <v>548</v>
      </c>
      <c r="H214">
        <v>-1.6</v>
      </c>
      <c r="I214">
        <v>858</v>
      </c>
      <c r="J214">
        <v>1257</v>
      </c>
      <c r="K214">
        <v>1.5</v>
      </c>
      <c r="L214">
        <v>1519</v>
      </c>
      <c r="M214">
        <v>1926</v>
      </c>
      <c r="N214">
        <v>-1.1000000000000001</v>
      </c>
      <c r="O214">
        <v>2210</v>
      </c>
      <c r="U214">
        <f t="shared" si="24"/>
        <v>1.6</v>
      </c>
      <c r="V214">
        <f t="shared" si="25"/>
        <v>1.5</v>
      </c>
      <c r="W214">
        <f t="shared" si="26"/>
        <v>1.1000000000000001</v>
      </c>
      <c r="AA214">
        <f t="shared" si="22"/>
        <v>1.4000000000000001</v>
      </c>
      <c r="AB214">
        <f t="shared" si="23"/>
        <v>1.6</v>
      </c>
    </row>
    <row r="215" spans="1:28">
      <c r="A215" t="s">
        <v>185</v>
      </c>
      <c r="B215" t="s">
        <v>156</v>
      </c>
      <c r="C215" t="s">
        <v>13</v>
      </c>
      <c r="D215" t="s">
        <v>138</v>
      </c>
      <c r="E215">
        <v>28</v>
      </c>
      <c r="G215">
        <v>100</v>
      </c>
      <c r="H215">
        <v>0.6</v>
      </c>
      <c r="I215">
        <v>208</v>
      </c>
      <c r="J215">
        <v>650</v>
      </c>
      <c r="K215">
        <v>-1.6</v>
      </c>
      <c r="L215">
        <v>955</v>
      </c>
      <c r="M215">
        <v>1345</v>
      </c>
      <c r="N215">
        <v>1.6</v>
      </c>
      <c r="O215">
        <v>1604</v>
      </c>
      <c r="P215">
        <v>2017</v>
      </c>
      <c r="Q215">
        <v>-1.3</v>
      </c>
      <c r="R215">
        <v>2257</v>
      </c>
      <c r="U215">
        <f t="shared" si="24"/>
        <v>0.6</v>
      </c>
      <c r="V215">
        <f t="shared" si="25"/>
        <v>1.6</v>
      </c>
      <c r="W215">
        <f t="shared" si="26"/>
        <v>1.6</v>
      </c>
      <c r="X215">
        <f t="shared" si="27"/>
        <v>1.3</v>
      </c>
      <c r="AA215">
        <f t="shared" si="22"/>
        <v>1.2750000000000001</v>
      </c>
      <c r="AB215">
        <f t="shared" si="23"/>
        <v>1.6</v>
      </c>
    </row>
    <row r="216" spans="1:28">
      <c r="A216" t="s">
        <v>185</v>
      </c>
      <c r="B216" t="s">
        <v>156</v>
      </c>
      <c r="C216" t="s">
        <v>13</v>
      </c>
      <c r="D216" t="s">
        <v>138</v>
      </c>
      <c r="E216">
        <v>29</v>
      </c>
      <c r="G216">
        <v>151</v>
      </c>
      <c r="H216">
        <v>0.8</v>
      </c>
      <c r="I216">
        <v>309</v>
      </c>
      <c r="J216">
        <v>748</v>
      </c>
      <c r="K216">
        <v>-1.7</v>
      </c>
      <c r="L216">
        <v>1045</v>
      </c>
      <c r="M216">
        <v>1427</v>
      </c>
      <c r="N216">
        <v>1.6</v>
      </c>
      <c r="O216">
        <v>1644</v>
      </c>
      <c r="P216">
        <v>2059</v>
      </c>
      <c r="Q216">
        <v>-1.4</v>
      </c>
      <c r="R216">
        <v>2339</v>
      </c>
      <c r="U216">
        <f t="shared" si="24"/>
        <v>0.8</v>
      </c>
      <c r="V216">
        <f t="shared" si="25"/>
        <v>1.7</v>
      </c>
      <c r="W216">
        <f t="shared" si="26"/>
        <v>1.6</v>
      </c>
      <c r="X216">
        <f t="shared" si="27"/>
        <v>1.4</v>
      </c>
      <c r="AA216">
        <f t="shared" si="22"/>
        <v>1.375</v>
      </c>
      <c r="AB216">
        <f t="shared" si="23"/>
        <v>1.7</v>
      </c>
    </row>
    <row r="217" spans="1:28">
      <c r="A217" t="s">
        <v>185</v>
      </c>
      <c r="B217" t="s">
        <v>156</v>
      </c>
      <c r="C217" t="s">
        <v>13</v>
      </c>
      <c r="D217" t="s">
        <v>138</v>
      </c>
      <c r="E217">
        <v>30</v>
      </c>
      <c r="G217">
        <v>237</v>
      </c>
      <c r="H217">
        <v>0.9</v>
      </c>
      <c r="I217">
        <v>406</v>
      </c>
      <c r="J217">
        <v>840</v>
      </c>
      <c r="K217">
        <v>-1.7</v>
      </c>
      <c r="L217">
        <v>1130</v>
      </c>
      <c r="M217">
        <v>1506</v>
      </c>
      <c r="N217">
        <v>1.6</v>
      </c>
      <c r="O217">
        <v>1721</v>
      </c>
      <c r="P217">
        <v>2134</v>
      </c>
      <c r="Q217">
        <v>-1.6</v>
      </c>
      <c r="U217">
        <f t="shared" si="24"/>
        <v>0.9</v>
      </c>
      <c r="V217">
        <f t="shared" si="25"/>
        <v>1.7</v>
      </c>
      <c r="W217">
        <f t="shared" si="26"/>
        <v>1.6</v>
      </c>
      <c r="X217">
        <f t="shared" si="27"/>
        <v>1.6</v>
      </c>
      <c r="AA217">
        <f t="shared" si="22"/>
        <v>1.4500000000000002</v>
      </c>
      <c r="AB217">
        <f t="shared" si="23"/>
        <v>1.7</v>
      </c>
    </row>
    <row r="218" spans="1:28">
      <c r="A218" t="s">
        <v>185</v>
      </c>
      <c r="B218" t="s">
        <v>156</v>
      </c>
      <c r="C218" t="s">
        <v>13</v>
      </c>
      <c r="D218" t="s">
        <v>138</v>
      </c>
      <c r="E218">
        <v>31</v>
      </c>
      <c r="F218" s="14">
        <v>18</v>
      </c>
      <c r="G218">
        <v>320</v>
      </c>
      <c r="H218">
        <v>1</v>
      </c>
      <c r="I218">
        <v>459</v>
      </c>
      <c r="J218">
        <v>924</v>
      </c>
      <c r="K218">
        <v>-1.6</v>
      </c>
      <c r="L218">
        <v>1212</v>
      </c>
      <c r="M218">
        <v>1543</v>
      </c>
      <c r="N218">
        <v>1.4</v>
      </c>
      <c r="O218">
        <v>1754</v>
      </c>
      <c r="P218">
        <v>2205</v>
      </c>
      <c r="Q218">
        <v>-1.6</v>
      </c>
      <c r="U218">
        <f t="shared" si="24"/>
        <v>1</v>
      </c>
      <c r="V218">
        <f t="shared" si="25"/>
        <v>1.6</v>
      </c>
      <c r="W218">
        <f t="shared" si="26"/>
        <v>1.4</v>
      </c>
      <c r="X218">
        <f t="shared" si="27"/>
        <v>1.6</v>
      </c>
      <c r="AA218">
        <f t="shared" si="22"/>
        <v>1.4</v>
      </c>
      <c r="AB218">
        <f t="shared" si="23"/>
        <v>1.6</v>
      </c>
    </row>
    <row r="219" spans="1:28">
      <c r="A219" t="s">
        <v>137</v>
      </c>
      <c r="B219" t="s">
        <v>157</v>
      </c>
      <c r="C219" t="s">
        <v>18</v>
      </c>
      <c r="D219" t="s">
        <v>138</v>
      </c>
      <c r="E219">
        <v>1</v>
      </c>
      <c r="G219">
        <v>156</v>
      </c>
      <c r="H219">
        <v>0.4</v>
      </c>
      <c r="I219">
        <v>417</v>
      </c>
      <c r="J219">
        <v>750</v>
      </c>
      <c r="K219">
        <v>-1.2</v>
      </c>
      <c r="L219">
        <v>1119</v>
      </c>
      <c r="M219">
        <v>1442</v>
      </c>
      <c r="N219">
        <v>0.9</v>
      </c>
      <c r="O219">
        <v>1821</v>
      </c>
      <c r="P219">
        <v>2107</v>
      </c>
      <c r="Q219">
        <v>-0.9</v>
      </c>
      <c r="U219">
        <f t="shared" si="24"/>
        <v>0.4</v>
      </c>
      <c r="V219">
        <f t="shared" si="25"/>
        <v>1.2</v>
      </c>
      <c r="W219">
        <f t="shared" si="26"/>
        <v>0.9</v>
      </c>
      <c r="X219">
        <f t="shared" si="27"/>
        <v>0.9</v>
      </c>
      <c r="AA219">
        <f t="shared" si="22"/>
        <v>0.85</v>
      </c>
      <c r="AB219">
        <f t="shared" si="23"/>
        <v>1.2</v>
      </c>
    </row>
    <row r="220" spans="1:28">
      <c r="A220" t="s">
        <v>137</v>
      </c>
      <c r="B220" t="s">
        <v>157</v>
      </c>
      <c r="C220" t="s">
        <v>18</v>
      </c>
      <c r="D220" t="s">
        <v>138</v>
      </c>
      <c r="E220">
        <v>2</v>
      </c>
      <c r="F220" s="14">
        <v>21</v>
      </c>
      <c r="G220">
        <v>245</v>
      </c>
      <c r="H220">
        <v>0.4</v>
      </c>
      <c r="I220">
        <v>513</v>
      </c>
      <c r="J220">
        <v>837</v>
      </c>
      <c r="K220">
        <v>-1.1000000000000001</v>
      </c>
      <c r="L220">
        <v>1202</v>
      </c>
      <c r="M220">
        <v>1524</v>
      </c>
      <c r="N220">
        <v>0.9</v>
      </c>
      <c r="O220">
        <v>1858</v>
      </c>
      <c r="P220">
        <v>2143</v>
      </c>
      <c r="Q220">
        <v>-0.9</v>
      </c>
      <c r="U220">
        <f t="shared" si="24"/>
        <v>0.4</v>
      </c>
      <c r="V220">
        <f t="shared" si="25"/>
        <v>1.1000000000000001</v>
      </c>
      <c r="W220">
        <f t="shared" si="26"/>
        <v>0.9</v>
      </c>
      <c r="X220">
        <f t="shared" si="27"/>
        <v>0.9</v>
      </c>
      <c r="AA220">
        <f t="shared" si="22"/>
        <v>0.82499999999999996</v>
      </c>
      <c r="AB220">
        <f t="shared" si="23"/>
        <v>1.1000000000000001</v>
      </c>
    </row>
    <row r="221" spans="1:28">
      <c r="A221" t="s">
        <v>137</v>
      </c>
      <c r="B221" t="s">
        <v>157</v>
      </c>
      <c r="C221" t="s">
        <v>18</v>
      </c>
      <c r="D221" t="s">
        <v>138</v>
      </c>
      <c r="E221">
        <v>3</v>
      </c>
      <c r="F221" s="14">
        <v>104</v>
      </c>
      <c r="G221">
        <v>334</v>
      </c>
      <c r="H221">
        <v>0.4</v>
      </c>
      <c r="I221">
        <v>608</v>
      </c>
      <c r="J221">
        <v>920</v>
      </c>
      <c r="K221">
        <v>-1.1000000000000001</v>
      </c>
      <c r="L221">
        <v>1244</v>
      </c>
      <c r="M221">
        <v>1605</v>
      </c>
      <c r="N221">
        <v>0.8</v>
      </c>
      <c r="O221">
        <v>1932</v>
      </c>
      <c r="P221">
        <v>2217</v>
      </c>
      <c r="Q221">
        <v>-0.9</v>
      </c>
      <c r="U221">
        <f t="shared" si="24"/>
        <v>0.4</v>
      </c>
      <c r="V221">
        <f t="shared" si="25"/>
        <v>1.1000000000000001</v>
      </c>
      <c r="W221">
        <f t="shared" si="26"/>
        <v>0.8</v>
      </c>
      <c r="X221">
        <f t="shared" si="27"/>
        <v>0.9</v>
      </c>
      <c r="AA221">
        <f t="shared" si="22"/>
        <v>0.79999999999999993</v>
      </c>
      <c r="AB221">
        <f t="shared" si="23"/>
        <v>1.1000000000000001</v>
      </c>
    </row>
    <row r="222" spans="1:28">
      <c r="A222" t="s">
        <v>137</v>
      </c>
      <c r="B222" t="s">
        <v>157</v>
      </c>
      <c r="C222" t="s">
        <v>18</v>
      </c>
      <c r="D222" t="s">
        <v>138</v>
      </c>
      <c r="E222">
        <v>4</v>
      </c>
      <c r="F222" s="14">
        <v>148</v>
      </c>
      <c r="G222">
        <v>423</v>
      </c>
      <c r="H222">
        <v>0.4</v>
      </c>
      <c r="I222">
        <v>701</v>
      </c>
      <c r="J222">
        <v>1002</v>
      </c>
      <c r="K222">
        <v>-0.9</v>
      </c>
      <c r="L222">
        <v>1325</v>
      </c>
      <c r="M222">
        <v>1645</v>
      </c>
      <c r="N222">
        <v>0.7</v>
      </c>
      <c r="O222">
        <v>2004</v>
      </c>
      <c r="P222">
        <v>2251</v>
      </c>
      <c r="Q222">
        <v>-0.9</v>
      </c>
      <c r="U222">
        <f t="shared" si="24"/>
        <v>0.4</v>
      </c>
      <c r="V222">
        <f t="shared" si="25"/>
        <v>0.9</v>
      </c>
      <c r="W222">
        <f t="shared" si="26"/>
        <v>0.7</v>
      </c>
      <c r="X222">
        <f t="shared" si="27"/>
        <v>0.9</v>
      </c>
      <c r="AA222">
        <f t="shared" si="22"/>
        <v>0.72499999999999998</v>
      </c>
      <c r="AB222">
        <f t="shared" si="23"/>
        <v>0.9</v>
      </c>
    </row>
    <row r="223" spans="1:28">
      <c r="A223" t="s">
        <v>137</v>
      </c>
      <c r="B223" t="s">
        <v>157</v>
      </c>
      <c r="C223" t="s">
        <v>18</v>
      </c>
      <c r="D223" t="s">
        <v>138</v>
      </c>
      <c r="E223">
        <v>5</v>
      </c>
      <c r="F223" s="14">
        <v>232</v>
      </c>
      <c r="G223">
        <v>511</v>
      </c>
      <c r="H223">
        <v>0.4</v>
      </c>
      <c r="I223">
        <v>754</v>
      </c>
      <c r="J223">
        <v>1043</v>
      </c>
      <c r="K223">
        <v>-0.8</v>
      </c>
      <c r="L223">
        <v>1407</v>
      </c>
      <c r="M223">
        <v>1724</v>
      </c>
      <c r="N223">
        <v>0.6</v>
      </c>
      <c r="O223">
        <v>2035</v>
      </c>
      <c r="P223">
        <v>2328</v>
      </c>
      <c r="Q223">
        <v>-0.8</v>
      </c>
      <c r="U223">
        <f t="shared" si="24"/>
        <v>0.4</v>
      </c>
      <c r="V223">
        <f t="shared" si="25"/>
        <v>0.8</v>
      </c>
      <c r="W223">
        <f t="shared" si="26"/>
        <v>0.6</v>
      </c>
      <c r="X223">
        <f t="shared" si="27"/>
        <v>0.8</v>
      </c>
      <c r="AA223">
        <f t="shared" si="22"/>
        <v>0.65000000000000013</v>
      </c>
      <c r="AB223">
        <f t="shared" si="23"/>
        <v>0.8</v>
      </c>
    </row>
    <row r="224" spans="1:28">
      <c r="A224" t="s">
        <v>137</v>
      </c>
      <c r="B224" t="s">
        <v>157</v>
      </c>
      <c r="C224" t="s">
        <v>18</v>
      </c>
      <c r="D224" t="s">
        <v>138</v>
      </c>
      <c r="E224">
        <v>6</v>
      </c>
      <c r="F224" s="14">
        <v>317</v>
      </c>
      <c r="G224">
        <v>559</v>
      </c>
      <c r="H224">
        <v>0.4</v>
      </c>
      <c r="I224">
        <v>850</v>
      </c>
      <c r="J224">
        <v>1129</v>
      </c>
      <c r="K224">
        <v>-0.6</v>
      </c>
      <c r="L224">
        <v>1450</v>
      </c>
      <c r="M224">
        <v>1803</v>
      </c>
      <c r="N224">
        <v>0.5</v>
      </c>
      <c r="O224">
        <v>2104</v>
      </c>
      <c r="U224">
        <f t="shared" si="24"/>
        <v>0.4</v>
      </c>
      <c r="V224">
        <f t="shared" si="25"/>
        <v>0.6</v>
      </c>
      <c r="W224">
        <f t="shared" si="26"/>
        <v>0.5</v>
      </c>
      <c r="AA224">
        <f t="shared" si="22"/>
        <v>0.5</v>
      </c>
      <c r="AB224">
        <f t="shared" si="23"/>
        <v>0.6</v>
      </c>
    </row>
    <row r="225" spans="1:28">
      <c r="A225" t="s">
        <v>137</v>
      </c>
      <c r="B225" t="s">
        <v>157</v>
      </c>
      <c r="C225" t="s">
        <v>18</v>
      </c>
      <c r="D225" t="s">
        <v>138</v>
      </c>
      <c r="E225">
        <v>7</v>
      </c>
      <c r="G225">
        <v>8</v>
      </c>
      <c r="H225">
        <v>-0.8</v>
      </c>
      <c r="I225">
        <v>403</v>
      </c>
      <c r="J225">
        <v>646</v>
      </c>
      <c r="K225">
        <v>0.4</v>
      </c>
      <c r="L225">
        <v>954</v>
      </c>
      <c r="M225">
        <v>1223</v>
      </c>
      <c r="N225">
        <v>-0.4</v>
      </c>
      <c r="O225">
        <v>1539</v>
      </c>
      <c r="P225">
        <v>1843</v>
      </c>
      <c r="Q225">
        <v>0.4</v>
      </c>
      <c r="R225">
        <v>2135</v>
      </c>
      <c r="U225">
        <f t="shared" si="24"/>
        <v>0.8</v>
      </c>
      <c r="V225">
        <f t="shared" si="25"/>
        <v>0.4</v>
      </c>
      <c r="W225">
        <f t="shared" si="26"/>
        <v>0.4</v>
      </c>
      <c r="X225">
        <f t="shared" si="27"/>
        <v>0.4</v>
      </c>
      <c r="AA225">
        <f t="shared" si="22"/>
        <v>0.5</v>
      </c>
      <c r="AB225">
        <f t="shared" si="23"/>
        <v>0.8</v>
      </c>
    </row>
    <row r="226" spans="1:28">
      <c r="A226" t="s">
        <v>137</v>
      </c>
      <c r="B226" t="s">
        <v>157</v>
      </c>
      <c r="C226" t="s">
        <v>18</v>
      </c>
      <c r="D226" t="s">
        <v>138</v>
      </c>
      <c r="E226">
        <v>8</v>
      </c>
      <c r="G226">
        <v>55</v>
      </c>
      <c r="H226">
        <v>-0.8</v>
      </c>
      <c r="I226">
        <v>451</v>
      </c>
      <c r="J226">
        <v>738</v>
      </c>
      <c r="K226">
        <v>0.4</v>
      </c>
      <c r="L226">
        <v>1111</v>
      </c>
      <c r="M226">
        <v>1331</v>
      </c>
      <c r="N226">
        <v>-0.3</v>
      </c>
      <c r="O226">
        <v>1637</v>
      </c>
      <c r="P226">
        <v>1927</v>
      </c>
      <c r="Q226">
        <v>0.3</v>
      </c>
      <c r="R226">
        <v>2208</v>
      </c>
      <c r="U226">
        <f t="shared" si="24"/>
        <v>0.8</v>
      </c>
      <c r="V226">
        <f t="shared" si="25"/>
        <v>0.4</v>
      </c>
      <c r="W226">
        <f t="shared" si="26"/>
        <v>0.3</v>
      </c>
      <c r="X226">
        <f t="shared" si="27"/>
        <v>0.3</v>
      </c>
      <c r="AA226">
        <f t="shared" si="22"/>
        <v>0.45000000000000007</v>
      </c>
      <c r="AB226">
        <f t="shared" si="23"/>
        <v>0.8</v>
      </c>
    </row>
    <row r="227" spans="1:28">
      <c r="A227" t="s">
        <v>137</v>
      </c>
      <c r="B227" t="s">
        <v>157</v>
      </c>
      <c r="C227" t="s">
        <v>18</v>
      </c>
      <c r="D227" t="s">
        <v>138</v>
      </c>
      <c r="E227">
        <v>9</v>
      </c>
      <c r="G227">
        <v>147</v>
      </c>
      <c r="H227">
        <v>-0.7</v>
      </c>
      <c r="I227">
        <v>541</v>
      </c>
      <c r="J227">
        <v>837</v>
      </c>
      <c r="K227">
        <v>0.4</v>
      </c>
      <c r="L227">
        <v>1235</v>
      </c>
      <c r="M227">
        <v>1449</v>
      </c>
      <c r="N227">
        <v>-0.3</v>
      </c>
      <c r="O227">
        <v>1745</v>
      </c>
      <c r="P227">
        <v>2018</v>
      </c>
      <c r="Q227">
        <v>0.2</v>
      </c>
      <c r="R227">
        <v>2250</v>
      </c>
      <c r="U227">
        <f t="shared" si="24"/>
        <v>0.7</v>
      </c>
      <c r="V227">
        <f t="shared" si="25"/>
        <v>0.4</v>
      </c>
      <c r="W227">
        <f t="shared" si="26"/>
        <v>0.3</v>
      </c>
      <c r="X227">
        <f t="shared" si="27"/>
        <v>0.2</v>
      </c>
      <c r="AA227">
        <f t="shared" si="22"/>
        <v>0.4</v>
      </c>
      <c r="AB227">
        <f t="shared" si="23"/>
        <v>0.7</v>
      </c>
    </row>
    <row r="228" spans="1:28">
      <c r="A228" t="s">
        <v>137</v>
      </c>
      <c r="B228" t="s">
        <v>157</v>
      </c>
      <c r="C228" t="s">
        <v>18</v>
      </c>
      <c r="D228" t="s">
        <v>138</v>
      </c>
      <c r="E228">
        <v>10</v>
      </c>
      <c r="G228">
        <v>242</v>
      </c>
      <c r="H228">
        <v>-0.7</v>
      </c>
      <c r="I228">
        <v>634</v>
      </c>
      <c r="J228">
        <v>949</v>
      </c>
      <c r="K228">
        <v>0.4</v>
      </c>
      <c r="L228">
        <v>1349</v>
      </c>
      <c r="M228">
        <v>1604</v>
      </c>
      <c r="N228">
        <v>-0.3</v>
      </c>
      <c r="O228">
        <v>1903</v>
      </c>
      <c r="P228">
        <v>2121</v>
      </c>
      <c r="Q228">
        <v>0.2</v>
      </c>
      <c r="R228">
        <v>2344</v>
      </c>
      <c r="U228">
        <f t="shared" si="24"/>
        <v>0.7</v>
      </c>
      <c r="V228">
        <f t="shared" si="25"/>
        <v>0.4</v>
      </c>
      <c r="W228">
        <f t="shared" si="26"/>
        <v>0.3</v>
      </c>
      <c r="X228">
        <f t="shared" si="27"/>
        <v>0.2</v>
      </c>
      <c r="AA228">
        <f t="shared" si="22"/>
        <v>0.4</v>
      </c>
      <c r="AB228">
        <f t="shared" si="23"/>
        <v>0.7</v>
      </c>
    </row>
    <row r="229" spans="1:28">
      <c r="A229" t="s">
        <v>137</v>
      </c>
      <c r="B229" t="s">
        <v>157</v>
      </c>
      <c r="C229" t="s">
        <v>18</v>
      </c>
      <c r="D229" t="s">
        <v>138</v>
      </c>
      <c r="E229">
        <v>11</v>
      </c>
      <c r="G229">
        <v>335</v>
      </c>
      <c r="H229">
        <v>-0.7</v>
      </c>
      <c r="I229">
        <v>728</v>
      </c>
      <c r="J229">
        <v>1102</v>
      </c>
      <c r="K229">
        <v>0.5</v>
      </c>
      <c r="L229">
        <v>1447</v>
      </c>
      <c r="M229">
        <v>1714</v>
      </c>
      <c r="N229">
        <v>-0.3</v>
      </c>
      <c r="O229">
        <v>2021</v>
      </c>
      <c r="P229">
        <v>2233</v>
      </c>
      <c r="Q229">
        <v>0.2</v>
      </c>
      <c r="U229">
        <f t="shared" si="24"/>
        <v>0.7</v>
      </c>
      <c r="V229">
        <f t="shared" si="25"/>
        <v>0.5</v>
      </c>
      <c r="W229">
        <f t="shared" si="26"/>
        <v>0.3</v>
      </c>
      <c r="X229">
        <f t="shared" si="27"/>
        <v>0.2</v>
      </c>
      <c r="AA229">
        <f t="shared" si="22"/>
        <v>0.42499999999999999</v>
      </c>
      <c r="AB229">
        <f t="shared" si="23"/>
        <v>0.7</v>
      </c>
    </row>
    <row r="230" spans="1:28">
      <c r="A230" t="s">
        <v>137</v>
      </c>
      <c r="B230" t="s">
        <v>157</v>
      </c>
      <c r="C230" t="s">
        <v>18</v>
      </c>
      <c r="D230" t="s">
        <v>138</v>
      </c>
      <c r="E230">
        <v>12</v>
      </c>
      <c r="F230" s="14">
        <v>44</v>
      </c>
      <c r="G230">
        <v>427</v>
      </c>
      <c r="H230">
        <v>-0.8</v>
      </c>
      <c r="I230">
        <v>819</v>
      </c>
      <c r="J230">
        <v>1155</v>
      </c>
      <c r="K230">
        <v>0.6</v>
      </c>
      <c r="L230">
        <v>1534</v>
      </c>
      <c r="M230">
        <v>1815</v>
      </c>
      <c r="N230">
        <v>-0.4</v>
      </c>
      <c r="O230">
        <v>2124</v>
      </c>
      <c r="P230">
        <v>2335</v>
      </c>
      <c r="Q230">
        <v>0.2</v>
      </c>
      <c r="U230">
        <f t="shared" si="24"/>
        <v>0.8</v>
      </c>
      <c r="V230">
        <f t="shared" si="25"/>
        <v>0.6</v>
      </c>
      <c r="W230">
        <f t="shared" si="26"/>
        <v>0.4</v>
      </c>
      <c r="X230">
        <f t="shared" si="27"/>
        <v>0.2</v>
      </c>
      <c r="AA230">
        <f t="shared" si="22"/>
        <v>0.49999999999999994</v>
      </c>
      <c r="AB230">
        <f t="shared" si="23"/>
        <v>0.8</v>
      </c>
    </row>
    <row r="231" spans="1:28">
      <c r="A231" t="s">
        <v>137</v>
      </c>
      <c r="B231" t="s">
        <v>157</v>
      </c>
      <c r="C231" t="s">
        <v>18</v>
      </c>
      <c r="D231" t="s">
        <v>138</v>
      </c>
      <c r="E231">
        <v>13</v>
      </c>
      <c r="F231" s="14">
        <v>141</v>
      </c>
      <c r="G231">
        <v>517</v>
      </c>
      <c r="H231">
        <v>-0.8</v>
      </c>
      <c r="I231">
        <v>906</v>
      </c>
      <c r="J231">
        <v>1236</v>
      </c>
      <c r="K231">
        <v>0.6</v>
      </c>
      <c r="L231">
        <v>1615</v>
      </c>
      <c r="M231">
        <v>1903</v>
      </c>
      <c r="N231">
        <v>-0.5</v>
      </c>
      <c r="O231">
        <v>2212</v>
      </c>
      <c r="U231">
        <f t="shared" si="24"/>
        <v>0.8</v>
      </c>
      <c r="V231">
        <f t="shared" si="25"/>
        <v>0.6</v>
      </c>
      <c r="W231">
        <f t="shared" si="26"/>
        <v>0.5</v>
      </c>
      <c r="AA231">
        <f t="shared" si="22"/>
        <v>0.6333333333333333</v>
      </c>
      <c r="AB231">
        <f t="shared" si="23"/>
        <v>0.8</v>
      </c>
    </row>
    <row r="232" spans="1:28">
      <c r="A232" t="s">
        <v>137</v>
      </c>
      <c r="B232" t="s">
        <v>157</v>
      </c>
      <c r="C232" t="s">
        <v>18</v>
      </c>
      <c r="D232" t="s">
        <v>138</v>
      </c>
      <c r="E232">
        <v>14</v>
      </c>
      <c r="G232">
        <v>24</v>
      </c>
      <c r="H232">
        <v>0.2</v>
      </c>
      <c r="I232">
        <v>233</v>
      </c>
      <c r="J232">
        <v>607</v>
      </c>
      <c r="K232">
        <v>-0.9</v>
      </c>
      <c r="L232">
        <v>949</v>
      </c>
      <c r="M232">
        <v>1312</v>
      </c>
      <c r="N232">
        <v>0.7</v>
      </c>
      <c r="O232">
        <v>1651</v>
      </c>
      <c r="P232">
        <v>1939</v>
      </c>
      <c r="Q232">
        <v>-0.6</v>
      </c>
      <c r="R232">
        <v>2251</v>
      </c>
      <c r="U232">
        <f t="shared" si="24"/>
        <v>0.2</v>
      </c>
      <c r="V232">
        <f t="shared" si="25"/>
        <v>0.9</v>
      </c>
      <c r="W232">
        <f t="shared" si="26"/>
        <v>0.7</v>
      </c>
      <c r="X232">
        <f t="shared" si="27"/>
        <v>0.6</v>
      </c>
      <c r="AA232">
        <f t="shared" si="22"/>
        <v>0.6</v>
      </c>
      <c r="AB232">
        <f t="shared" si="23"/>
        <v>0.9</v>
      </c>
    </row>
    <row r="233" spans="1:28">
      <c r="A233" t="s">
        <v>137</v>
      </c>
      <c r="B233" t="s">
        <v>157</v>
      </c>
      <c r="C233" t="s">
        <v>18</v>
      </c>
      <c r="D233" t="s">
        <v>138</v>
      </c>
      <c r="E233">
        <v>15</v>
      </c>
      <c r="G233">
        <v>106</v>
      </c>
      <c r="H233">
        <v>0.3</v>
      </c>
      <c r="I233">
        <v>322</v>
      </c>
      <c r="J233">
        <v>653</v>
      </c>
      <c r="K233">
        <v>-0.9</v>
      </c>
      <c r="L233">
        <v>1028</v>
      </c>
      <c r="M233">
        <v>1346</v>
      </c>
      <c r="N233">
        <v>0.7</v>
      </c>
      <c r="O233">
        <v>1725</v>
      </c>
      <c r="P233">
        <v>2010</v>
      </c>
      <c r="Q233">
        <v>-0.7</v>
      </c>
      <c r="R233">
        <v>2326</v>
      </c>
      <c r="U233">
        <f t="shared" si="24"/>
        <v>0.3</v>
      </c>
      <c r="V233">
        <f t="shared" si="25"/>
        <v>0.9</v>
      </c>
      <c r="W233">
        <f t="shared" si="26"/>
        <v>0.7</v>
      </c>
      <c r="X233">
        <f t="shared" si="27"/>
        <v>0.7</v>
      </c>
      <c r="AA233">
        <f t="shared" ref="AA233:AA296" si="28">AVERAGE(U233:Y233)</f>
        <v>0.64999999999999991</v>
      </c>
      <c r="AB233">
        <f t="shared" ref="AB233:AB296" si="29">MAX(U233:Y233)</f>
        <v>0.9</v>
      </c>
    </row>
    <row r="234" spans="1:28">
      <c r="A234" t="s">
        <v>137</v>
      </c>
      <c r="B234" t="s">
        <v>157</v>
      </c>
      <c r="C234" t="s">
        <v>18</v>
      </c>
      <c r="D234" t="s">
        <v>138</v>
      </c>
      <c r="E234">
        <v>16</v>
      </c>
      <c r="G234">
        <v>147</v>
      </c>
      <c r="H234">
        <v>0.3</v>
      </c>
      <c r="I234">
        <v>409</v>
      </c>
      <c r="J234">
        <v>737</v>
      </c>
      <c r="K234">
        <v>-1</v>
      </c>
      <c r="L234">
        <v>1105</v>
      </c>
      <c r="M234">
        <v>1421</v>
      </c>
      <c r="N234">
        <v>0.8</v>
      </c>
      <c r="O234">
        <v>1756</v>
      </c>
      <c r="P234">
        <v>2039</v>
      </c>
      <c r="Q234">
        <v>-0.8</v>
      </c>
      <c r="U234">
        <f t="shared" si="24"/>
        <v>0.3</v>
      </c>
      <c r="V234">
        <f t="shared" si="25"/>
        <v>1</v>
      </c>
      <c r="W234">
        <f t="shared" si="26"/>
        <v>0.8</v>
      </c>
      <c r="X234">
        <f t="shared" si="27"/>
        <v>0.8</v>
      </c>
      <c r="AA234">
        <f t="shared" si="28"/>
        <v>0.72500000000000009</v>
      </c>
      <c r="AB234">
        <f t="shared" si="29"/>
        <v>1</v>
      </c>
    </row>
    <row r="235" spans="1:28">
      <c r="A235" t="s">
        <v>137</v>
      </c>
      <c r="B235" t="s">
        <v>157</v>
      </c>
      <c r="C235" t="s">
        <v>18</v>
      </c>
      <c r="D235" t="s">
        <v>138</v>
      </c>
      <c r="E235">
        <v>17</v>
      </c>
      <c r="F235" s="14">
        <v>0</v>
      </c>
      <c r="G235">
        <v>227</v>
      </c>
      <c r="H235">
        <v>0.4</v>
      </c>
      <c r="I235">
        <v>458</v>
      </c>
      <c r="J235">
        <v>818</v>
      </c>
      <c r="K235">
        <v>-1</v>
      </c>
      <c r="L235">
        <v>1141</v>
      </c>
      <c r="M235">
        <v>1457</v>
      </c>
      <c r="N235">
        <v>0.8</v>
      </c>
      <c r="O235">
        <v>1826</v>
      </c>
      <c r="P235">
        <v>2109</v>
      </c>
      <c r="Q235">
        <v>-0.9</v>
      </c>
      <c r="U235">
        <f t="shared" si="24"/>
        <v>0.4</v>
      </c>
      <c r="V235">
        <f t="shared" si="25"/>
        <v>1</v>
      </c>
      <c r="W235">
        <f t="shared" si="26"/>
        <v>0.8</v>
      </c>
      <c r="X235">
        <f t="shared" si="27"/>
        <v>0.9</v>
      </c>
      <c r="AA235">
        <f t="shared" si="28"/>
        <v>0.77500000000000002</v>
      </c>
      <c r="AB235">
        <f t="shared" si="29"/>
        <v>1</v>
      </c>
    </row>
    <row r="236" spans="1:28">
      <c r="A236" t="s">
        <v>137</v>
      </c>
      <c r="B236" t="s">
        <v>157</v>
      </c>
      <c r="C236" t="s">
        <v>18</v>
      </c>
      <c r="D236" t="s">
        <v>138</v>
      </c>
      <c r="E236">
        <v>18</v>
      </c>
      <c r="F236" s="14">
        <v>34</v>
      </c>
      <c r="G236">
        <v>311</v>
      </c>
      <c r="H236">
        <v>0.5</v>
      </c>
      <c r="I236">
        <v>548</v>
      </c>
      <c r="J236">
        <v>859</v>
      </c>
      <c r="K236">
        <v>-1</v>
      </c>
      <c r="L236">
        <v>1218</v>
      </c>
      <c r="M236">
        <v>1536</v>
      </c>
      <c r="N236">
        <v>0.8</v>
      </c>
      <c r="O236">
        <v>1855</v>
      </c>
      <c r="P236">
        <v>2142</v>
      </c>
      <c r="Q236">
        <v>-1</v>
      </c>
      <c r="U236">
        <f t="shared" si="24"/>
        <v>0.5</v>
      </c>
      <c r="V236">
        <f t="shared" si="25"/>
        <v>1</v>
      </c>
      <c r="W236">
        <f t="shared" si="26"/>
        <v>0.8</v>
      </c>
      <c r="X236">
        <f t="shared" si="27"/>
        <v>1</v>
      </c>
      <c r="AA236">
        <f t="shared" si="28"/>
        <v>0.82499999999999996</v>
      </c>
      <c r="AB236">
        <f t="shared" si="29"/>
        <v>1</v>
      </c>
    </row>
    <row r="237" spans="1:28">
      <c r="A237" t="s">
        <v>137</v>
      </c>
      <c r="B237" t="s">
        <v>157</v>
      </c>
      <c r="C237" t="s">
        <v>18</v>
      </c>
      <c r="D237" t="s">
        <v>138</v>
      </c>
      <c r="E237">
        <v>19</v>
      </c>
      <c r="F237" s="14">
        <v>110</v>
      </c>
      <c r="G237">
        <v>356</v>
      </c>
      <c r="H237">
        <v>0.5</v>
      </c>
      <c r="I237">
        <v>640</v>
      </c>
      <c r="J237">
        <v>941</v>
      </c>
      <c r="K237">
        <v>-1</v>
      </c>
      <c r="L237">
        <v>1259</v>
      </c>
      <c r="M237">
        <v>1617</v>
      </c>
      <c r="N237">
        <v>0.7</v>
      </c>
      <c r="O237">
        <v>1924</v>
      </c>
      <c r="P237">
        <v>2217</v>
      </c>
      <c r="Q237">
        <v>-1</v>
      </c>
      <c r="U237">
        <f t="shared" si="24"/>
        <v>0.5</v>
      </c>
      <c r="V237">
        <f t="shared" si="25"/>
        <v>1</v>
      </c>
      <c r="W237">
        <f t="shared" si="26"/>
        <v>0.7</v>
      </c>
      <c r="X237">
        <f t="shared" si="27"/>
        <v>1</v>
      </c>
      <c r="AA237">
        <f t="shared" si="28"/>
        <v>0.8</v>
      </c>
      <c r="AB237">
        <f t="shared" si="29"/>
        <v>1</v>
      </c>
    </row>
    <row r="238" spans="1:28">
      <c r="A238" t="s">
        <v>137</v>
      </c>
      <c r="B238" t="s">
        <v>157</v>
      </c>
      <c r="C238" t="s">
        <v>18</v>
      </c>
      <c r="D238" t="s">
        <v>138</v>
      </c>
      <c r="E238">
        <v>20</v>
      </c>
      <c r="F238" s="14">
        <v>149</v>
      </c>
      <c r="G238">
        <v>445</v>
      </c>
      <c r="H238">
        <v>0.5</v>
      </c>
      <c r="I238">
        <v>735</v>
      </c>
      <c r="J238">
        <v>1026</v>
      </c>
      <c r="K238">
        <v>-0.9</v>
      </c>
      <c r="L238">
        <v>1343</v>
      </c>
      <c r="M238">
        <v>1700</v>
      </c>
      <c r="N238">
        <v>0.6</v>
      </c>
      <c r="O238">
        <v>1955</v>
      </c>
      <c r="P238">
        <v>2256</v>
      </c>
      <c r="Q238">
        <v>-1</v>
      </c>
      <c r="U238">
        <f t="shared" si="24"/>
        <v>0.5</v>
      </c>
      <c r="V238">
        <f t="shared" si="25"/>
        <v>0.9</v>
      </c>
      <c r="W238">
        <f t="shared" si="26"/>
        <v>0.6</v>
      </c>
      <c r="X238">
        <f t="shared" si="27"/>
        <v>1</v>
      </c>
      <c r="AA238">
        <f t="shared" si="28"/>
        <v>0.75</v>
      </c>
      <c r="AB238">
        <f t="shared" si="29"/>
        <v>1</v>
      </c>
    </row>
    <row r="239" spans="1:28">
      <c r="A239" t="s">
        <v>137</v>
      </c>
      <c r="B239" t="s">
        <v>157</v>
      </c>
      <c r="C239" t="s">
        <v>18</v>
      </c>
      <c r="D239" t="s">
        <v>138</v>
      </c>
      <c r="E239">
        <v>21</v>
      </c>
      <c r="F239" s="14">
        <v>234</v>
      </c>
      <c r="G239">
        <v>536</v>
      </c>
      <c r="H239">
        <v>0.6</v>
      </c>
      <c r="I239">
        <v>835</v>
      </c>
      <c r="J239">
        <v>1117</v>
      </c>
      <c r="K239">
        <v>-0.8</v>
      </c>
      <c r="L239">
        <v>1434</v>
      </c>
      <c r="M239">
        <v>1745</v>
      </c>
      <c r="N239">
        <v>0.5</v>
      </c>
      <c r="O239">
        <v>2028</v>
      </c>
      <c r="P239">
        <v>2340</v>
      </c>
      <c r="Q239">
        <v>-1</v>
      </c>
      <c r="U239">
        <f t="shared" si="24"/>
        <v>0.6</v>
      </c>
      <c r="V239">
        <f t="shared" si="25"/>
        <v>0.8</v>
      </c>
      <c r="W239">
        <f t="shared" si="26"/>
        <v>0.5</v>
      </c>
      <c r="X239">
        <f t="shared" si="27"/>
        <v>1</v>
      </c>
      <c r="AA239">
        <f t="shared" si="28"/>
        <v>0.72499999999999998</v>
      </c>
      <c r="AB239">
        <f t="shared" si="29"/>
        <v>1</v>
      </c>
    </row>
    <row r="240" spans="1:28">
      <c r="A240" t="s">
        <v>137</v>
      </c>
      <c r="B240" t="s">
        <v>157</v>
      </c>
      <c r="C240" t="s">
        <v>18</v>
      </c>
      <c r="D240" t="s">
        <v>138</v>
      </c>
      <c r="E240">
        <v>22</v>
      </c>
      <c r="F240" s="14">
        <v>324</v>
      </c>
      <c r="G240">
        <v>630</v>
      </c>
      <c r="H240">
        <v>0.6</v>
      </c>
      <c r="I240">
        <v>944</v>
      </c>
      <c r="J240">
        <v>1218</v>
      </c>
      <c r="K240">
        <v>-0.6</v>
      </c>
      <c r="L240">
        <v>1535</v>
      </c>
      <c r="M240">
        <v>1834</v>
      </c>
      <c r="N240">
        <v>0.5</v>
      </c>
      <c r="O240">
        <v>2106</v>
      </c>
      <c r="U240">
        <f t="shared" si="24"/>
        <v>0.6</v>
      </c>
      <c r="V240">
        <f t="shared" si="25"/>
        <v>0.6</v>
      </c>
      <c r="W240">
        <f t="shared" si="26"/>
        <v>0.5</v>
      </c>
      <c r="AA240">
        <f t="shared" si="28"/>
        <v>0.56666666666666665</v>
      </c>
      <c r="AB240">
        <f t="shared" si="29"/>
        <v>0.6</v>
      </c>
    </row>
    <row r="241" spans="1:28">
      <c r="A241" t="s">
        <v>137</v>
      </c>
      <c r="B241" t="s">
        <v>157</v>
      </c>
      <c r="C241" t="s">
        <v>18</v>
      </c>
      <c r="D241" t="s">
        <v>138</v>
      </c>
      <c r="E241">
        <v>23</v>
      </c>
      <c r="G241">
        <v>33</v>
      </c>
      <c r="H241">
        <v>-1</v>
      </c>
      <c r="I241">
        <v>420</v>
      </c>
      <c r="J241">
        <v>728</v>
      </c>
      <c r="K241">
        <v>0.6</v>
      </c>
      <c r="L241">
        <v>1105</v>
      </c>
      <c r="M241">
        <v>1333</v>
      </c>
      <c r="N241">
        <v>-0.5</v>
      </c>
      <c r="O241">
        <v>1647</v>
      </c>
      <c r="P241">
        <v>1928</v>
      </c>
      <c r="Q241">
        <v>0.4</v>
      </c>
      <c r="R241">
        <v>2151</v>
      </c>
      <c r="U241">
        <f t="shared" si="24"/>
        <v>1</v>
      </c>
      <c r="V241">
        <f t="shared" si="25"/>
        <v>0.6</v>
      </c>
      <c r="W241">
        <f t="shared" si="26"/>
        <v>0.5</v>
      </c>
      <c r="X241">
        <f t="shared" si="27"/>
        <v>0.4</v>
      </c>
      <c r="AA241">
        <f t="shared" si="28"/>
        <v>0.625</v>
      </c>
      <c r="AB241">
        <f t="shared" si="29"/>
        <v>1</v>
      </c>
    </row>
    <row r="242" spans="1:28">
      <c r="A242" t="s">
        <v>137</v>
      </c>
      <c r="B242" t="s">
        <v>157</v>
      </c>
      <c r="C242" t="s">
        <v>18</v>
      </c>
      <c r="D242" t="s">
        <v>138</v>
      </c>
      <c r="E242">
        <v>24</v>
      </c>
      <c r="G242">
        <v>135</v>
      </c>
      <c r="H242">
        <v>-0.9</v>
      </c>
      <c r="I242">
        <v>521</v>
      </c>
      <c r="J242">
        <v>835</v>
      </c>
      <c r="K242">
        <v>0.6</v>
      </c>
      <c r="L242">
        <v>1231</v>
      </c>
      <c r="M242">
        <v>1456</v>
      </c>
      <c r="N242">
        <v>-0.4</v>
      </c>
      <c r="O242">
        <v>1808</v>
      </c>
      <c r="P242">
        <v>2031</v>
      </c>
      <c r="Q242">
        <v>0.3</v>
      </c>
      <c r="R242">
        <v>2250</v>
      </c>
      <c r="U242">
        <f t="shared" si="24"/>
        <v>0.9</v>
      </c>
      <c r="V242">
        <f t="shared" si="25"/>
        <v>0.6</v>
      </c>
      <c r="W242">
        <f t="shared" si="26"/>
        <v>0.4</v>
      </c>
      <c r="X242">
        <f t="shared" si="27"/>
        <v>0.3</v>
      </c>
      <c r="AA242">
        <f t="shared" si="28"/>
        <v>0.54999999999999993</v>
      </c>
      <c r="AB242">
        <f t="shared" si="29"/>
        <v>0.9</v>
      </c>
    </row>
    <row r="243" spans="1:28">
      <c r="A243" t="s">
        <v>137</v>
      </c>
      <c r="B243" t="s">
        <v>157</v>
      </c>
      <c r="C243" t="s">
        <v>18</v>
      </c>
      <c r="D243" t="s">
        <v>138</v>
      </c>
      <c r="E243">
        <v>25</v>
      </c>
      <c r="G243">
        <v>242</v>
      </c>
      <c r="H243">
        <v>-0.9</v>
      </c>
      <c r="I243">
        <v>625</v>
      </c>
      <c r="J243">
        <v>952</v>
      </c>
      <c r="K243">
        <v>0.6</v>
      </c>
      <c r="L243">
        <v>1347</v>
      </c>
      <c r="M243">
        <v>1616</v>
      </c>
      <c r="N243">
        <v>-0.5</v>
      </c>
      <c r="O243">
        <v>1931</v>
      </c>
      <c r="P243">
        <v>2147</v>
      </c>
      <c r="Q243">
        <v>0.2</v>
      </c>
      <c r="U243">
        <f t="shared" si="24"/>
        <v>0.9</v>
      </c>
      <c r="V243">
        <f t="shared" si="25"/>
        <v>0.6</v>
      </c>
      <c r="W243">
        <f t="shared" si="26"/>
        <v>0.5</v>
      </c>
      <c r="X243">
        <f t="shared" si="27"/>
        <v>0.2</v>
      </c>
      <c r="AA243">
        <f t="shared" si="28"/>
        <v>0.55000000000000004</v>
      </c>
      <c r="AB243">
        <f t="shared" si="29"/>
        <v>0.9</v>
      </c>
    </row>
    <row r="244" spans="1:28">
      <c r="A244" t="s">
        <v>137</v>
      </c>
      <c r="B244" t="s">
        <v>157</v>
      </c>
      <c r="C244" t="s">
        <v>18</v>
      </c>
      <c r="D244" t="s">
        <v>138</v>
      </c>
      <c r="E244">
        <v>26</v>
      </c>
      <c r="F244" s="14">
        <v>5</v>
      </c>
      <c r="G244">
        <v>348</v>
      </c>
      <c r="H244">
        <v>-0.9</v>
      </c>
      <c r="I244">
        <v>731</v>
      </c>
      <c r="J244">
        <v>1108</v>
      </c>
      <c r="K244">
        <v>0.7</v>
      </c>
      <c r="L244">
        <v>1448</v>
      </c>
      <c r="M244">
        <v>1728</v>
      </c>
      <c r="N244">
        <v>-0.6</v>
      </c>
      <c r="O244">
        <v>2046</v>
      </c>
      <c r="P244">
        <v>2307</v>
      </c>
      <c r="Q244">
        <v>0.3</v>
      </c>
      <c r="U244">
        <f t="shared" si="24"/>
        <v>0.9</v>
      </c>
      <c r="V244">
        <f t="shared" si="25"/>
        <v>0.7</v>
      </c>
      <c r="W244">
        <f t="shared" si="26"/>
        <v>0.6</v>
      </c>
      <c r="X244">
        <f t="shared" si="27"/>
        <v>0.3</v>
      </c>
      <c r="AA244">
        <f t="shared" si="28"/>
        <v>0.625</v>
      </c>
      <c r="AB244">
        <f t="shared" si="29"/>
        <v>0.9</v>
      </c>
    </row>
    <row r="245" spans="1:28">
      <c r="A245" t="s">
        <v>137</v>
      </c>
      <c r="B245" t="s">
        <v>157</v>
      </c>
      <c r="C245" t="s">
        <v>18</v>
      </c>
      <c r="D245" t="s">
        <v>138</v>
      </c>
      <c r="E245">
        <v>27</v>
      </c>
      <c r="F245" s="14">
        <v>121</v>
      </c>
      <c r="G245">
        <v>452</v>
      </c>
      <c r="H245">
        <v>-1</v>
      </c>
      <c r="I245">
        <v>833</v>
      </c>
      <c r="J245">
        <v>1209</v>
      </c>
      <c r="K245">
        <v>0.8</v>
      </c>
      <c r="L245">
        <v>1540</v>
      </c>
      <c r="M245">
        <v>1830</v>
      </c>
      <c r="N245">
        <v>-0.7</v>
      </c>
      <c r="O245">
        <v>2145</v>
      </c>
      <c r="U245">
        <f t="shared" si="24"/>
        <v>1</v>
      </c>
      <c r="V245">
        <f t="shared" si="25"/>
        <v>0.8</v>
      </c>
      <c r="W245">
        <f t="shared" si="26"/>
        <v>0.7</v>
      </c>
      <c r="AA245">
        <f t="shared" si="28"/>
        <v>0.83333333333333337</v>
      </c>
      <c r="AB245">
        <f t="shared" si="29"/>
        <v>1</v>
      </c>
    </row>
    <row r="246" spans="1:28">
      <c r="A246" t="s">
        <v>137</v>
      </c>
      <c r="B246" t="s">
        <v>157</v>
      </c>
      <c r="C246" t="s">
        <v>18</v>
      </c>
      <c r="D246" t="s">
        <v>138</v>
      </c>
      <c r="E246">
        <v>28</v>
      </c>
      <c r="G246">
        <v>12</v>
      </c>
      <c r="H246">
        <v>0.3</v>
      </c>
      <c r="I246">
        <v>229</v>
      </c>
      <c r="J246">
        <v>554</v>
      </c>
      <c r="K246">
        <v>-1</v>
      </c>
      <c r="L246">
        <v>930</v>
      </c>
      <c r="M246">
        <v>1257</v>
      </c>
      <c r="N246">
        <v>0.8</v>
      </c>
      <c r="O246">
        <v>1625</v>
      </c>
      <c r="P246">
        <v>1921</v>
      </c>
      <c r="Q246">
        <v>-0.8</v>
      </c>
      <c r="R246">
        <v>2232</v>
      </c>
      <c r="U246">
        <f t="shared" si="24"/>
        <v>0.3</v>
      </c>
      <c r="V246">
        <f t="shared" si="25"/>
        <v>1</v>
      </c>
      <c r="W246">
        <f t="shared" si="26"/>
        <v>0.8</v>
      </c>
      <c r="X246">
        <f t="shared" si="27"/>
        <v>0.8</v>
      </c>
      <c r="AA246">
        <f t="shared" si="28"/>
        <v>0.72500000000000009</v>
      </c>
      <c r="AB246">
        <f t="shared" si="29"/>
        <v>1</v>
      </c>
    </row>
    <row r="247" spans="1:28">
      <c r="A247" t="s">
        <v>137</v>
      </c>
      <c r="B247" t="s">
        <v>157</v>
      </c>
      <c r="C247" t="s">
        <v>18</v>
      </c>
      <c r="D247" t="s">
        <v>138</v>
      </c>
      <c r="E247">
        <v>29</v>
      </c>
      <c r="G247">
        <v>103</v>
      </c>
      <c r="H247">
        <v>0.4</v>
      </c>
      <c r="I247">
        <v>330</v>
      </c>
      <c r="J247">
        <v>652</v>
      </c>
      <c r="K247">
        <v>-1</v>
      </c>
      <c r="L247">
        <v>1020</v>
      </c>
      <c r="M247">
        <v>1339</v>
      </c>
      <c r="N247">
        <v>0.8</v>
      </c>
      <c r="O247">
        <v>1705</v>
      </c>
      <c r="P247">
        <v>2003</v>
      </c>
      <c r="Q247">
        <v>-0.9</v>
      </c>
      <c r="R247">
        <v>2314</v>
      </c>
      <c r="U247">
        <f t="shared" si="24"/>
        <v>0.4</v>
      </c>
      <c r="V247">
        <f t="shared" si="25"/>
        <v>1</v>
      </c>
      <c r="W247">
        <f t="shared" si="26"/>
        <v>0.8</v>
      </c>
      <c r="X247">
        <f t="shared" si="27"/>
        <v>0.9</v>
      </c>
      <c r="AA247">
        <f t="shared" si="28"/>
        <v>0.77500000000000002</v>
      </c>
      <c r="AB247">
        <f t="shared" si="29"/>
        <v>1</v>
      </c>
    </row>
    <row r="248" spans="1:28">
      <c r="A248" t="s">
        <v>137</v>
      </c>
      <c r="B248" t="s">
        <v>157</v>
      </c>
      <c r="C248" t="s">
        <v>18</v>
      </c>
      <c r="D248" t="s">
        <v>138</v>
      </c>
      <c r="E248">
        <v>30</v>
      </c>
      <c r="G248">
        <v>149</v>
      </c>
      <c r="H248">
        <v>0.5</v>
      </c>
      <c r="I248">
        <v>427</v>
      </c>
      <c r="J248">
        <v>744</v>
      </c>
      <c r="K248">
        <v>-1</v>
      </c>
      <c r="L248">
        <v>1105</v>
      </c>
      <c r="M248">
        <v>1418</v>
      </c>
      <c r="N248">
        <v>0.8</v>
      </c>
      <c r="O248">
        <v>1742</v>
      </c>
      <c r="P248">
        <v>2038</v>
      </c>
      <c r="Q248">
        <v>-0.9</v>
      </c>
      <c r="R248">
        <v>2353</v>
      </c>
      <c r="U248">
        <f t="shared" si="24"/>
        <v>0.5</v>
      </c>
      <c r="V248">
        <f t="shared" si="25"/>
        <v>1</v>
      </c>
      <c r="W248">
        <f t="shared" si="26"/>
        <v>0.8</v>
      </c>
      <c r="X248">
        <f t="shared" si="27"/>
        <v>0.9</v>
      </c>
      <c r="AA248">
        <f t="shared" si="28"/>
        <v>0.79999999999999993</v>
      </c>
      <c r="AB248">
        <f t="shared" si="29"/>
        <v>1</v>
      </c>
    </row>
    <row r="249" spans="1:28">
      <c r="A249" t="s">
        <v>137</v>
      </c>
      <c r="B249" t="s">
        <v>157</v>
      </c>
      <c r="C249" t="s">
        <v>18</v>
      </c>
      <c r="D249" t="s">
        <v>138</v>
      </c>
      <c r="E249">
        <v>31</v>
      </c>
      <c r="G249">
        <v>232</v>
      </c>
      <c r="H249">
        <v>0.5</v>
      </c>
      <c r="I249">
        <v>520</v>
      </c>
      <c r="J249">
        <v>828</v>
      </c>
      <c r="K249">
        <v>-1</v>
      </c>
      <c r="L249">
        <v>1147</v>
      </c>
      <c r="M249">
        <v>1455</v>
      </c>
      <c r="N249">
        <v>0.7</v>
      </c>
      <c r="O249">
        <v>1815</v>
      </c>
      <c r="P249">
        <v>2109</v>
      </c>
      <c r="Q249">
        <v>-1</v>
      </c>
      <c r="U249">
        <f t="shared" si="24"/>
        <v>0.5</v>
      </c>
      <c r="V249">
        <f t="shared" si="25"/>
        <v>1</v>
      </c>
      <c r="W249">
        <f t="shared" si="26"/>
        <v>0.7</v>
      </c>
      <c r="X249">
        <f t="shared" si="27"/>
        <v>1</v>
      </c>
      <c r="AA249">
        <f t="shared" si="28"/>
        <v>0.8</v>
      </c>
      <c r="AB249">
        <f t="shared" si="29"/>
        <v>1</v>
      </c>
    </row>
    <row r="250" spans="1:28">
      <c r="A250" t="s">
        <v>186</v>
      </c>
      <c r="B250" t="s">
        <v>158</v>
      </c>
      <c r="C250" t="s">
        <v>18</v>
      </c>
      <c r="D250" t="s">
        <v>131</v>
      </c>
      <c r="E250">
        <v>1</v>
      </c>
      <c r="F250" s="14">
        <v>108</v>
      </c>
      <c r="G250">
        <v>303</v>
      </c>
      <c r="H250">
        <v>0.4</v>
      </c>
      <c r="I250">
        <v>401</v>
      </c>
      <c r="J250">
        <v>913</v>
      </c>
      <c r="K250">
        <v>-1.2</v>
      </c>
      <c r="L250">
        <v>1313</v>
      </c>
      <c r="M250">
        <v>1631</v>
      </c>
      <c r="N250">
        <v>1.3</v>
      </c>
      <c r="O250">
        <v>1932</v>
      </c>
      <c r="P250">
        <v>2230</v>
      </c>
      <c r="Q250">
        <v>-0.6</v>
      </c>
      <c r="U250">
        <f t="shared" si="24"/>
        <v>0.4</v>
      </c>
      <c r="V250">
        <f t="shared" si="25"/>
        <v>1.2</v>
      </c>
      <c r="W250">
        <f t="shared" si="26"/>
        <v>1.3</v>
      </c>
      <c r="X250">
        <f t="shared" si="27"/>
        <v>0.6</v>
      </c>
      <c r="AA250">
        <f t="shared" si="28"/>
        <v>0.87500000000000011</v>
      </c>
      <c r="AB250">
        <f t="shared" si="29"/>
        <v>1.3</v>
      </c>
    </row>
    <row r="251" spans="1:28">
      <c r="A251" t="s">
        <v>186</v>
      </c>
      <c r="B251" t="s">
        <v>158</v>
      </c>
      <c r="C251" t="s">
        <v>18</v>
      </c>
      <c r="D251" t="s">
        <v>131</v>
      </c>
      <c r="E251">
        <v>2</v>
      </c>
      <c r="F251" s="14">
        <v>157</v>
      </c>
      <c r="G251">
        <v>357</v>
      </c>
      <c r="H251">
        <v>0.4</v>
      </c>
      <c r="I251">
        <v>509</v>
      </c>
      <c r="J251">
        <v>1004</v>
      </c>
      <c r="K251">
        <v>-1.2</v>
      </c>
      <c r="L251">
        <v>1355</v>
      </c>
      <c r="M251">
        <v>1706</v>
      </c>
      <c r="N251">
        <v>1.3</v>
      </c>
      <c r="O251">
        <v>2003</v>
      </c>
      <c r="P251">
        <v>2308</v>
      </c>
      <c r="Q251">
        <v>-0.8</v>
      </c>
      <c r="U251">
        <f t="shared" si="24"/>
        <v>0.4</v>
      </c>
      <c r="V251">
        <f t="shared" si="25"/>
        <v>1.2</v>
      </c>
      <c r="W251">
        <f t="shared" si="26"/>
        <v>1.3</v>
      </c>
      <c r="X251">
        <f t="shared" si="27"/>
        <v>0.8</v>
      </c>
      <c r="AA251">
        <f t="shared" si="28"/>
        <v>0.92500000000000004</v>
      </c>
      <c r="AB251">
        <f t="shared" si="29"/>
        <v>1.3</v>
      </c>
    </row>
    <row r="252" spans="1:28">
      <c r="A252" t="s">
        <v>186</v>
      </c>
      <c r="B252" t="s">
        <v>158</v>
      </c>
      <c r="C252" t="s">
        <v>18</v>
      </c>
      <c r="D252" t="s">
        <v>131</v>
      </c>
      <c r="E252">
        <v>3</v>
      </c>
      <c r="F252" s="14">
        <v>245</v>
      </c>
      <c r="G252">
        <v>449</v>
      </c>
      <c r="H252">
        <v>0.5</v>
      </c>
      <c r="I252">
        <v>614</v>
      </c>
      <c r="J252">
        <v>1050</v>
      </c>
      <c r="K252">
        <v>-1.1000000000000001</v>
      </c>
      <c r="L252">
        <v>1435</v>
      </c>
      <c r="M252">
        <v>1742</v>
      </c>
      <c r="N252">
        <v>1.3</v>
      </c>
      <c r="O252">
        <v>2031</v>
      </c>
      <c r="P252">
        <v>2345</v>
      </c>
      <c r="Q252">
        <v>-0.8</v>
      </c>
      <c r="U252">
        <f t="shared" si="24"/>
        <v>0.5</v>
      </c>
      <c r="V252">
        <f t="shared" si="25"/>
        <v>1.1000000000000001</v>
      </c>
      <c r="W252">
        <f t="shared" si="26"/>
        <v>1.3</v>
      </c>
      <c r="X252">
        <f t="shared" si="27"/>
        <v>0.8</v>
      </c>
      <c r="AA252">
        <f t="shared" si="28"/>
        <v>0.92500000000000004</v>
      </c>
      <c r="AB252">
        <f t="shared" si="29"/>
        <v>1.3</v>
      </c>
    </row>
    <row r="253" spans="1:28">
      <c r="A253" t="s">
        <v>186</v>
      </c>
      <c r="B253" t="s">
        <v>158</v>
      </c>
      <c r="C253" t="s">
        <v>18</v>
      </c>
      <c r="D253" t="s">
        <v>131</v>
      </c>
      <c r="E253">
        <v>4</v>
      </c>
      <c r="F253" s="14">
        <v>333</v>
      </c>
      <c r="G253">
        <v>542</v>
      </c>
      <c r="H253">
        <v>0.5</v>
      </c>
      <c r="I253">
        <v>716</v>
      </c>
      <c r="J253">
        <v>1132</v>
      </c>
      <c r="K253">
        <v>-1</v>
      </c>
      <c r="L253">
        <v>1514</v>
      </c>
      <c r="M253">
        <v>1818</v>
      </c>
      <c r="N253">
        <v>1.3</v>
      </c>
      <c r="O253">
        <v>2056</v>
      </c>
      <c r="U253">
        <f t="shared" si="24"/>
        <v>0.5</v>
      </c>
      <c r="V253">
        <f t="shared" si="25"/>
        <v>1</v>
      </c>
      <c r="W253">
        <f t="shared" si="26"/>
        <v>1.3</v>
      </c>
      <c r="AA253">
        <f t="shared" si="28"/>
        <v>0.93333333333333324</v>
      </c>
      <c r="AB253">
        <f t="shared" si="29"/>
        <v>1.3</v>
      </c>
    </row>
    <row r="254" spans="1:28">
      <c r="A254" t="s">
        <v>186</v>
      </c>
      <c r="B254" t="s">
        <v>158</v>
      </c>
      <c r="C254" t="s">
        <v>18</v>
      </c>
      <c r="D254" t="s">
        <v>131</v>
      </c>
      <c r="E254">
        <v>5</v>
      </c>
      <c r="G254">
        <v>22</v>
      </c>
      <c r="H254">
        <v>-0.9</v>
      </c>
      <c r="I254">
        <v>421</v>
      </c>
      <c r="J254">
        <v>634</v>
      </c>
      <c r="K254">
        <v>0.5</v>
      </c>
      <c r="L254">
        <v>812</v>
      </c>
      <c r="M254">
        <v>1213</v>
      </c>
      <c r="N254">
        <v>-0.9</v>
      </c>
      <c r="O254">
        <v>1552</v>
      </c>
      <c r="P254">
        <v>1855</v>
      </c>
      <c r="Q254">
        <v>1.1000000000000001</v>
      </c>
      <c r="R254">
        <v>2120</v>
      </c>
      <c r="U254">
        <f t="shared" si="24"/>
        <v>0.9</v>
      </c>
      <c r="V254">
        <f t="shared" si="25"/>
        <v>0.5</v>
      </c>
      <c r="W254">
        <f t="shared" si="26"/>
        <v>0.9</v>
      </c>
      <c r="X254">
        <f t="shared" si="27"/>
        <v>1.1000000000000001</v>
      </c>
      <c r="AA254">
        <f t="shared" si="28"/>
        <v>0.85</v>
      </c>
      <c r="AB254">
        <f t="shared" si="29"/>
        <v>1.1000000000000001</v>
      </c>
    </row>
    <row r="255" spans="1:28">
      <c r="A255" t="s">
        <v>186</v>
      </c>
      <c r="B255" t="s">
        <v>158</v>
      </c>
      <c r="C255" t="s">
        <v>18</v>
      </c>
      <c r="D255" t="s">
        <v>131</v>
      </c>
      <c r="E255">
        <v>6</v>
      </c>
      <c r="G255">
        <v>100</v>
      </c>
      <c r="H255">
        <v>-0.9</v>
      </c>
      <c r="I255">
        <v>511</v>
      </c>
      <c r="J255">
        <v>725</v>
      </c>
      <c r="K255">
        <v>0.5</v>
      </c>
      <c r="L255">
        <v>905</v>
      </c>
      <c r="M255">
        <v>1255</v>
      </c>
      <c r="N255">
        <v>-0.7</v>
      </c>
      <c r="O255">
        <v>1630</v>
      </c>
      <c r="P255">
        <v>1933</v>
      </c>
      <c r="Q255">
        <v>1</v>
      </c>
      <c r="R255">
        <v>2142</v>
      </c>
      <c r="U255">
        <f t="shared" si="24"/>
        <v>0.9</v>
      </c>
      <c r="V255">
        <f t="shared" si="25"/>
        <v>0.5</v>
      </c>
      <c r="W255">
        <f t="shared" si="26"/>
        <v>0.7</v>
      </c>
      <c r="X255">
        <f t="shared" si="27"/>
        <v>1</v>
      </c>
      <c r="AA255">
        <f t="shared" si="28"/>
        <v>0.77499999999999991</v>
      </c>
      <c r="AB255">
        <f t="shared" si="29"/>
        <v>1</v>
      </c>
    </row>
    <row r="256" spans="1:28">
      <c r="A256" t="s">
        <v>186</v>
      </c>
      <c r="B256" t="s">
        <v>158</v>
      </c>
      <c r="C256" t="s">
        <v>18</v>
      </c>
      <c r="D256" t="s">
        <v>131</v>
      </c>
      <c r="E256">
        <v>7</v>
      </c>
      <c r="G256">
        <v>141</v>
      </c>
      <c r="H256">
        <v>-0.9</v>
      </c>
      <c r="I256">
        <v>601</v>
      </c>
      <c r="J256">
        <v>813</v>
      </c>
      <c r="K256">
        <v>0.5</v>
      </c>
      <c r="L256">
        <v>957</v>
      </c>
      <c r="M256">
        <v>1341</v>
      </c>
      <c r="N256">
        <v>-0.5</v>
      </c>
      <c r="O256">
        <v>1709</v>
      </c>
      <c r="P256">
        <v>2012</v>
      </c>
      <c r="Q256">
        <v>0.8</v>
      </c>
      <c r="R256">
        <v>2202</v>
      </c>
      <c r="U256">
        <f t="shared" si="24"/>
        <v>0.9</v>
      </c>
      <c r="V256">
        <f t="shared" si="25"/>
        <v>0.5</v>
      </c>
      <c r="W256">
        <f t="shared" si="26"/>
        <v>0.5</v>
      </c>
      <c r="X256">
        <f t="shared" si="27"/>
        <v>0.8</v>
      </c>
      <c r="AA256">
        <f t="shared" si="28"/>
        <v>0.67500000000000004</v>
      </c>
      <c r="AB256">
        <f t="shared" si="29"/>
        <v>0.9</v>
      </c>
    </row>
    <row r="257" spans="1:28">
      <c r="A257" t="s">
        <v>186</v>
      </c>
      <c r="B257" t="s">
        <v>158</v>
      </c>
      <c r="C257" t="s">
        <v>18</v>
      </c>
      <c r="D257" t="s">
        <v>131</v>
      </c>
      <c r="E257">
        <v>8</v>
      </c>
      <c r="G257">
        <v>226</v>
      </c>
      <c r="H257">
        <v>-0.9</v>
      </c>
      <c r="I257">
        <v>652</v>
      </c>
      <c r="J257">
        <v>900</v>
      </c>
      <c r="K257">
        <v>0.5</v>
      </c>
      <c r="L257">
        <v>1055</v>
      </c>
      <c r="M257">
        <v>1439</v>
      </c>
      <c r="N257">
        <v>-0.4</v>
      </c>
      <c r="O257">
        <v>1751</v>
      </c>
      <c r="P257">
        <v>2052</v>
      </c>
      <c r="Q257">
        <v>0.7</v>
      </c>
      <c r="R257">
        <v>2220</v>
      </c>
      <c r="U257">
        <f t="shared" si="24"/>
        <v>0.9</v>
      </c>
      <c r="V257">
        <f t="shared" si="25"/>
        <v>0.5</v>
      </c>
      <c r="W257">
        <f t="shared" si="26"/>
        <v>0.4</v>
      </c>
      <c r="X257">
        <f t="shared" si="27"/>
        <v>0.7</v>
      </c>
      <c r="AA257">
        <f t="shared" si="28"/>
        <v>0.625</v>
      </c>
      <c r="AB257">
        <f t="shared" si="29"/>
        <v>0.9</v>
      </c>
    </row>
    <row r="258" spans="1:28">
      <c r="A258" t="s">
        <v>186</v>
      </c>
      <c r="B258" t="s">
        <v>158</v>
      </c>
      <c r="C258" t="s">
        <v>18</v>
      </c>
      <c r="D258" t="s">
        <v>131</v>
      </c>
      <c r="E258">
        <v>9</v>
      </c>
      <c r="G258">
        <v>317</v>
      </c>
      <c r="H258">
        <v>-0.9</v>
      </c>
      <c r="I258">
        <v>744</v>
      </c>
      <c r="J258">
        <v>950</v>
      </c>
      <c r="K258">
        <v>0.5</v>
      </c>
      <c r="L258">
        <v>1216</v>
      </c>
      <c r="M258">
        <v>1548</v>
      </c>
      <c r="N258">
        <v>-0.2</v>
      </c>
      <c r="O258">
        <v>1843</v>
      </c>
      <c r="P258">
        <v>2134</v>
      </c>
      <c r="Q258">
        <v>0.5</v>
      </c>
      <c r="R258">
        <v>2238</v>
      </c>
      <c r="U258">
        <f t="shared" si="24"/>
        <v>0.9</v>
      </c>
      <c r="V258">
        <f t="shared" si="25"/>
        <v>0.5</v>
      </c>
      <c r="W258">
        <f t="shared" si="26"/>
        <v>0.2</v>
      </c>
      <c r="X258">
        <f t="shared" si="27"/>
        <v>0.5</v>
      </c>
      <c r="AA258">
        <f t="shared" si="28"/>
        <v>0.52499999999999991</v>
      </c>
      <c r="AB258">
        <f t="shared" si="29"/>
        <v>0.9</v>
      </c>
    </row>
    <row r="259" spans="1:28">
      <c r="A259" t="s">
        <v>186</v>
      </c>
      <c r="B259" t="s">
        <v>158</v>
      </c>
      <c r="C259" t="s">
        <v>18</v>
      </c>
      <c r="D259" t="s">
        <v>131</v>
      </c>
      <c r="E259">
        <v>10</v>
      </c>
      <c r="G259">
        <v>410</v>
      </c>
      <c r="H259">
        <v>-0.8</v>
      </c>
      <c r="I259">
        <v>838</v>
      </c>
      <c r="J259">
        <v>1046</v>
      </c>
      <c r="K259">
        <v>0.4</v>
      </c>
      <c r="L259">
        <v>1421</v>
      </c>
      <c r="M259">
        <v>1657</v>
      </c>
      <c r="N259">
        <v>-0.2</v>
      </c>
      <c r="O259">
        <v>1954</v>
      </c>
      <c r="P259">
        <v>2220</v>
      </c>
      <c r="Q259">
        <v>0.3</v>
      </c>
      <c r="R259">
        <v>2302</v>
      </c>
      <c r="U259">
        <f t="shared" ref="U259:U322" si="30">ABS(H259)</f>
        <v>0.8</v>
      </c>
      <c r="V259">
        <f t="shared" ref="V259:V322" si="31">ABS(K259)</f>
        <v>0.4</v>
      </c>
      <c r="W259">
        <f t="shared" ref="W259:W322" si="32">ABS(N259)</f>
        <v>0.2</v>
      </c>
      <c r="X259">
        <f t="shared" ref="X259:X322" si="33">ABS(Q259)</f>
        <v>0.3</v>
      </c>
      <c r="AA259">
        <f t="shared" si="28"/>
        <v>0.42500000000000004</v>
      </c>
      <c r="AB259">
        <f t="shared" si="29"/>
        <v>0.8</v>
      </c>
    </row>
    <row r="260" spans="1:28">
      <c r="A260" t="s">
        <v>186</v>
      </c>
      <c r="B260" t="s">
        <v>158</v>
      </c>
      <c r="C260" t="s">
        <v>18</v>
      </c>
      <c r="D260" t="s">
        <v>131</v>
      </c>
      <c r="E260">
        <v>11</v>
      </c>
      <c r="G260">
        <v>503</v>
      </c>
      <c r="H260">
        <v>-0.8</v>
      </c>
      <c r="I260">
        <v>934</v>
      </c>
      <c r="J260">
        <v>1211</v>
      </c>
      <c r="K260">
        <v>0.4</v>
      </c>
      <c r="L260">
        <v>1600</v>
      </c>
      <c r="M260">
        <v>1804</v>
      </c>
      <c r="N260">
        <v>-0.2</v>
      </c>
      <c r="O260">
        <v>2131</v>
      </c>
      <c r="P260">
        <v>2315</v>
      </c>
      <c r="Q260">
        <v>0.2</v>
      </c>
      <c r="R260">
        <v>2331</v>
      </c>
      <c r="U260">
        <f t="shared" si="30"/>
        <v>0.8</v>
      </c>
      <c r="V260">
        <f t="shared" si="31"/>
        <v>0.4</v>
      </c>
      <c r="W260">
        <f t="shared" si="32"/>
        <v>0.2</v>
      </c>
      <c r="X260">
        <f t="shared" si="33"/>
        <v>0.2</v>
      </c>
      <c r="AA260">
        <f t="shared" si="28"/>
        <v>0.4</v>
      </c>
      <c r="AB260">
        <f t="shared" si="29"/>
        <v>0.8</v>
      </c>
    </row>
    <row r="261" spans="1:28">
      <c r="A261" t="s">
        <v>186</v>
      </c>
      <c r="B261" t="s">
        <v>158</v>
      </c>
      <c r="C261" t="s">
        <v>18</v>
      </c>
      <c r="D261" t="s">
        <v>131</v>
      </c>
      <c r="E261">
        <v>12</v>
      </c>
      <c r="G261">
        <v>555</v>
      </c>
      <c r="H261">
        <v>-0.9</v>
      </c>
      <c r="I261">
        <v>1028</v>
      </c>
      <c r="J261">
        <v>1432</v>
      </c>
      <c r="K261">
        <v>0.6</v>
      </c>
      <c r="L261">
        <v>1701</v>
      </c>
      <c r="M261">
        <v>1917</v>
      </c>
      <c r="N261">
        <v>-0.2</v>
      </c>
      <c r="U261">
        <f t="shared" si="30"/>
        <v>0.9</v>
      </c>
      <c r="V261">
        <f t="shared" si="31"/>
        <v>0.6</v>
      </c>
      <c r="W261">
        <f t="shared" si="32"/>
        <v>0.2</v>
      </c>
      <c r="AA261">
        <f t="shared" si="28"/>
        <v>0.56666666666666665</v>
      </c>
      <c r="AB261">
        <f t="shared" si="29"/>
        <v>0.9</v>
      </c>
    </row>
    <row r="262" spans="1:28">
      <c r="A262" t="s">
        <v>186</v>
      </c>
      <c r="B262" t="s">
        <v>158</v>
      </c>
      <c r="C262" t="s">
        <v>18</v>
      </c>
      <c r="D262" t="s">
        <v>131</v>
      </c>
      <c r="E262">
        <v>13</v>
      </c>
      <c r="G262">
        <v>19</v>
      </c>
      <c r="H262">
        <v>0.1</v>
      </c>
      <c r="J262">
        <v>647</v>
      </c>
      <c r="K262">
        <v>-0.9</v>
      </c>
      <c r="L262">
        <v>1117</v>
      </c>
      <c r="M262">
        <v>1510</v>
      </c>
      <c r="N262">
        <v>0.8</v>
      </c>
      <c r="O262">
        <v>1747</v>
      </c>
      <c r="P262">
        <v>2103</v>
      </c>
      <c r="Q262">
        <v>-0.3</v>
      </c>
      <c r="U262">
        <f t="shared" si="30"/>
        <v>0.1</v>
      </c>
      <c r="V262">
        <f t="shared" si="31"/>
        <v>0.9</v>
      </c>
      <c r="W262">
        <f t="shared" si="32"/>
        <v>0.8</v>
      </c>
      <c r="X262">
        <f t="shared" si="33"/>
        <v>0.3</v>
      </c>
      <c r="AA262">
        <f t="shared" si="28"/>
        <v>0.52500000000000002</v>
      </c>
      <c r="AB262">
        <f t="shared" si="29"/>
        <v>0.9</v>
      </c>
    </row>
    <row r="263" spans="1:28">
      <c r="A263" t="s">
        <v>186</v>
      </c>
      <c r="B263" t="s">
        <v>158</v>
      </c>
      <c r="C263" t="s">
        <v>18</v>
      </c>
      <c r="D263" t="s">
        <v>131</v>
      </c>
      <c r="E263">
        <v>14</v>
      </c>
      <c r="G263">
        <v>125</v>
      </c>
      <c r="H263">
        <v>0.1</v>
      </c>
      <c r="J263">
        <v>740</v>
      </c>
      <c r="K263">
        <v>-0.9</v>
      </c>
      <c r="L263">
        <v>1200</v>
      </c>
      <c r="M263">
        <v>1536</v>
      </c>
      <c r="N263">
        <v>0.9</v>
      </c>
      <c r="O263">
        <v>1823</v>
      </c>
      <c r="P263">
        <v>2132</v>
      </c>
      <c r="Q263">
        <v>-0.4</v>
      </c>
      <c r="U263">
        <f t="shared" si="30"/>
        <v>0.1</v>
      </c>
      <c r="V263">
        <f t="shared" si="31"/>
        <v>0.9</v>
      </c>
      <c r="W263">
        <f t="shared" si="32"/>
        <v>0.9</v>
      </c>
      <c r="X263">
        <f t="shared" si="33"/>
        <v>0.4</v>
      </c>
      <c r="AA263">
        <f t="shared" si="28"/>
        <v>0.57499999999999996</v>
      </c>
      <c r="AB263">
        <f t="shared" si="29"/>
        <v>0.9</v>
      </c>
    </row>
    <row r="264" spans="1:28">
      <c r="A264" t="s">
        <v>186</v>
      </c>
      <c r="B264" t="s">
        <v>158</v>
      </c>
      <c r="C264" t="s">
        <v>18</v>
      </c>
      <c r="D264" t="s">
        <v>131</v>
      </c>
      <c r="E264">
        <v>15</v>
      </c>
      <c r="G264">
        <v>223</v>
      </c>
      <c r="H264">
        <v>0.1</v>
      </c>
      <c r="J264">
        <v>832</v>
      </c>
      <c r="K264">
        <v>-0.9</v>
      </c>
      <c r="L264">
        <v>1238</v>
      </c>
      <c r="M264">
        <v>1550</v>
      </c>
      <c r="N264">
        <v>1</v>
      </c>
      <c r="O264">
        <v>1851</v>
      </c>
      <c r="P264">
        <v>2158</v>
      </c>
      <c r="Q264">
        <v>-0.5</v>
      </c>
      <c r="U264">
        <f t="shared" si="30"/>
        <v>0.1</v>
      </c>
      <c r="V264">
        <f t="shared" si="31"/>
        <v>0.9</v>
      </c>
      <c r="W264">
        <f t="shared" si="32"/>
        <v>1</v>
      </c>
      <c r="X264">
        <f t="shared" si="33"/>
        <v>0.5</v>
      </c>
      <c r="AA264">
        <f t="shared" si="28"/>
        <v>0.625</v>
      </c>
      <c r="AB264">
        <f t="shared" si="29"/>
        <v>1</v>
      </c>
    </row>
    <row r="265" spans="1:28">
      <c r="A265" t="s">
        <v>186</v>
      </c>
      <c r="B265" t="s">
        <v>158</v>
      </c>
      <c r="C265" t="s">
        <v>18</v>
      </c>
      <c r="D265" t="s">
        <v>131</v>
      </c>
      <c r="E265">
        <v>16</v>
      </c>
      <c r="F265" s="14">
        <v>132</v>
      </c>
      <c r="G265">
        <v>313</v>
      </c>
      <c r="H265">
        <v>0.2</v>
      </c>
      <c r="I265">
        <v>358</v>
      </c>
      <c r="J265">
        <v>920</v>
      </c>
      <c r="K265">
        <v>-1</v>
      </c>
      <c r="L265">
        <v>1314</v>
      </c>
      <c r="M265">
        <v>1613</v>
      </c>
      <c r="N265">
        <v>1.1000000000000001</v>
      </c>
      <c r="O265">
        <v>1914</v>
      </c>
      <c r="P265">
        <v>2227</v>
      </c>
      <c r="Q265">
        <v>-0.6</v>
      </c>
      <c r="U265">
        <f t="shared" si="30"/>
        <v>0.2</v>
      </c>
      <c r="V265">
        <f t="shared" si="31"/>
        <v>1</v>
      </c>
      <c r="W265">
        <f t="shared" si="32"/>
        <v>1.1000000000000001</v>
      </c>
      <c r="X265">
        <f t="shared" si="33"/>
        <v>0.6</v>
      </c>
      <c r="AA265">
        <f t="shared" si="28"/>
        <v>0.72499999999999998</v>
      </c>
      <c r="AB265">
        <f t="shared" si="29"/>
        <v>1.1000000000000001</v>
      </c>
    </row>
    <row r="266" spans="1:28">
      <c r="A266" t="s">
        <v>186</v>
      </c>
      <c r="B266" t="s">
        <v>158</v>
      </c>
      <c r="C266" t="s">
        <v>18</v>
      </c>
      <c r="D266" t="s">
        <v>131</v>
      </c>
      <c r="E266">
        <v>17</v>
      </c>
      <c r="F266" s="14">
        <v>206</v>
      </c>
      <c r="G266">
        <v>400</v>
      </c>
      <c r="H266">
        <v>0.4</v>
      </c>
      <c r="I266">
        <v>502</v>
      </c>
      <c r="J266">
        <v>1002</v>
      </c>
      <c r="K266">
        <v>-1</v>
      </c>
      <c r="L266">
        <v>1348</v>
      </c>
      <c r="M266">
        <v>1644</v>
      </c>
      <c r="N266">
        <v>1.1000000000000001</v>
      </c>
      <c r="O266">
        <v>1934</v>
      </c>
      <c r="P266">
        <v>2257</v>
      </c>
      <c r="Q266">
        <v>-0.8</v>
      </c>
      <c r="U266">
        <f t="shared" si="30"/>
        <v>0.4</v>
      </c>
      <c r="V266">
        <f t="shared" si="31"/>
        <v>1</v>
      </c>
      <c r="W266">
        <f t="shared" si="32"/>
        <v>1.1000000000000001</v>
      </c>
      <c r="X266">
        <f t="shared" si="33"/>
        <v>0.8</v>
      </c>
      <c r="AA266">
        <f t="shared" si="28"/>
        <v>0.82499999999999996</v>
      </c>
      <c r="AB266">
        <f t="shared" si="29"/>
        <v>1.1000000000000001</v>
      </c>
    </row>
    <row r="267" spans="1:28">
      <c r="A267" t="s">
        <v>186</v>
      </c>
      <c r="B267" t="s">
        <v>158</v>
      </c>
      <c r="C267" t="s">
        <v>18</v>
      </c>
      <c r="D267" t="s">
        <v>131</v>
      </c>
      <c r="E267">
        <v>18</v>
      </c>
      <c r="F267" s="14">
        <v>240</v>
      </c>
      <c r="G267">
        <v>446</v>
      </c>
      <c r="H267">
        <v>0.5</v>
      </c>
      <c r="I267">
        <v>604</v>
      </c>
      <c r="J267">
        <v>1042</v>
      </c>
      <c r="K267">
        <v>-1</v>
      </c>
      <c r="L267">
        <v>1421</v>
      </c>
      <c r="M267">
        <v>1720</v>
      </c>
      <c r="N267">
        <v>1.1000000000000001</v>
      </c>
      <c r="O267">
        <v>1954</v>
      </c>
      <c r="P267">
        <v>2327</v>
      </c>
      <c r="Q267">
        <v>-0.8</v>
      </c>
      <c r="U267">
        <f t="shared" si="30"/>
        <v>0.5</v>
      </c>
      <c r="V267">
        <f t="shared" si="31"/>
        <v>1</v>
      </c>
      <c r="W267">
        <f t="shared" si="32"/>
        <v>1.1000000000000001</v>
      </c>
      <c r="X267">
        <f t="shared" si="33"/>
        <v>0.8</v>
      </c>
      <c r="AA267">
        <f t="shared" si="28"/>
        <v>0.85000000000000009</v>
      </c>
      <c r="AB267">
        <f t="shared" si="29"/>
        <v>1.1000000000000001</v>
      </c>
    </row>
    <row r="268" spans="1:28">
      <c r="A268" t="s">
        <v>186</v>
      </c>
      <c r="B268" t="s">
        <v>158</v>
      </c>
      <c r="C268" t="s">
        <v>18</v>
      </c>
      <c r="D268" t="s">
        <v>131</v>
      </c>
      <c r="E268">
        <v>19</v>
      </c>
      <c r="F268" s="14">
        <v>315</v>
      </c>
      <c r="G268">
        <v>533</v>
      </c>
      <c r="H268">
        <v>0.6</v>
      </c>
      <c r="I268">
        <v>704</v>
      </c>
      <c r="J268">
        <v>1119</v>
      </c>
      <c r="K268">
        <v>-0.9</v>
      </c>
      <c r="L268">
        <v>1453</v>
      </c>
      <c r="M268">
        <v>1757</v>
      </c>
      <c r="N268">
        <v>1.1000000000000001</v>
      </c>
      <c r="O268">
        <v>2013</v>
      </c>
      <c r="P268">
        <v>2358</v>
      </c>
      <c r="Q268">
        <v>-0.9</v>
      </c>
      <c r="U268">
        <f t="shared" si="30"/>
        <v>0.6</v>
      </c>
      <c r="V268">
        <f t="shared" si="31"/>
        <v>0.9</v>
      </c>
      <c r="W268">
        <f t="shared" si="32"/>
        <v>1.1000000000000001</v>
      </c>
      <c r="X268">
        <f t="shared" si="33"/>
        <v>0.9</v>
      </c>
      <c r="AA268">
        <f t="shared" si="28"/>
        <v>0.875</v>
      </c>
      <c r="AB268">
        <f t="shared" si="29"/>
        <v>1.1000000000000001</v>
      </c>
    </row>
    <row r="269" spans="1:28">
      <c r="A269" t="s">
        <v>186</v>
      </c>
      <c r="B269" t="s">
        <v>158</v>
      </c>
      <c r="C269" t="s">
        <v>18</v>
      </c>
      <c r="D269" t="s">
        <v>131</v>
      </c>
      <c r="E269">
        <v>20</v>
      </c>
      <c r="F269" s="14">
        <v>353</v>
      </c>
      <c r="G269">
        <v>622</v>
      </c>
      <c r="H269">
        <v>0.7</v>
      </c>
      <c r="I269">
        <v>802</v>
      </c>
      <c r="J269">
        <v>1155</v>
      </c>
      <c r="K269">
        <v>-0.8</v>
      </c>
      <c r="L269">
        <v>1525</v>
      </c>
      <c r="M269">
        <v>1837</v>
      </c>
      <c r="N269">
        <v>1.1000000000000001</v>
      </c>
      <c r="O269">
        <v>2033</v>
      </c>
      <c r="U269">
        <f t="shared" si="30"/>
        <v>0.7</v>
      </c>
      <c r="V269">
        <f t="shared" si="31"/>
        <v>0.8</v>
      </c>
      <c r="W269">
        <f t="shared" si="32"/>
        <v>1.1000000000000001</v>
      </c>
      <c r="AA269">
        <f t="shared" si="28"/>
        <v>0.8666666666666667</v>
      </c>
      <c r="AB269">
        <f t="shared" si="29"/>
        <v>1.1000000000000001</v>
      </c>
    </row>
    <row r="270" spans="1:28">
      <c r="A270" t="s">
        <v>186</v>
      </c>
      <c r="B270" t="s">
        <v>158</v>
      </c>
      <c r="C270" t="s">
        <v>18</v>
      </c>
      <c r="D270" t="s">
        <v>131</v>
      </c>
      <c r="E270">
        <v>21</v>
      </c>
      <c r="G270">
        <v>29</v>
      </c>
      <c r="H270">
        <v>-1</v>
      </c>
      <c r="I270">
        <v>435</v>
      </c>
      <c r="J270">
        <v>712</v>
      </c>
      <c r="K270">
        <v>0.8</v>
      </c>
      <c r="L270">
        <v>859</v>
      </c>
      <c r="M270">
        <v>1232</v>
      </c>
      <c r="N270">
        <v>-0.7</v>
      </c>
      <c r="O270">
        <v>1559</v>
      </c>
      <c r="P270">
        <v>1918</v>
      </c>
      <c r="Q270">
        <v>1</v>
      </c>
      <c r="R270">
        <v>2054</v>
      </c>
      <c r="U270">
        <f t="shared" si="30"/>
        <v>1</v>
      </c>
      <c r="V270">
        <f t="shared" si="31"/>
        <v>0.8</v>
      </c>
      <c r="W270">
        <f t="shared" si="32"/>
        <v>0.7</v>
      </c>
      <c r="X270">
        <f t="shared" si="33"/>
        <v>1</v>
      </c>
      <c r="AA270">
        <f t="shared" si="28"/>
        <v>0.875</v>
      </c>
      <c r="AB270">
        <f t="shared" si="29"/>
        <v>1</v>
      </c>
    </row>
    <row r="271" spans="1:28">
      <c r="A271" t="s">
        <v>186</v>
      </c>
      <c r="B271" t="s">
        <v>158</v>
      </c>
      <c r="C271" t="s">
        <v>18</v>
      </c>
      <c r="D271" t="s">
        <v>131</v>
      </c>
      <c r="E271">
        <v>22</v>
      </c>
      <c r="G271">
        <v>103</v>
      </c>
      <c r="H271">
        <v>-1</v>
      </c>
      <c r="I271">
        <v>522</v>
      </c>
      <c r="J271">
        <v>803</v>
      </c>
      <c r="K271">
        <v>0.8</v>
      </c>
      <c r="L271">
        <v>957</v>
      </c>
      <c r="M271">
        <v>1317</v>
      </c>
      <c r="N271">
        <v>-0.5</v>
      </c>
      <c r="O271">
        <v>1638</v>
      </c>
      <c r="P271">
        <v>2000</v>
      </c>
      <c r="Q271">
        <v>0.8</v>
      </c>
      <c r="R271">
        <v>2120</v>
      </c>
      <c r="U271">
        <f t="shared" si="30"/>
        <v>1</v>
      </c>
      <c r="V271">
        <f t="shared" si="31"/>
        <v>0.8</v>
      </c>
      <c r="W271">
        <f t="shared" si="32"/>
        <v>0.5</v>
      </c>
      <c r="X271">
        <f t="shared" si="33"/>
        <v>0.8</v>
      </c>
      <c r="AA271">
        <f t="shared" si="28"/>
        <v>0.77499999999999991</v>
      </c>
      <c r="AB271">
        <f t="shared" si="29"/>
        <v>1</v>
      </c>
    </row>
    <row r="272" spans="1:28">
      <c r="A272" t="s">
        <v>186</v>
      </c>
      <c r="B272" t="s">
        <v>158</v>
      </c>
      <c r="C272" t="s">
        <v>18</v>
      </c>
      <c r="D272" t="s">
        <v>131</v>
      </c>
      <c r="E272">
        <v>23</v>
      </c>
      <c r="G272">
        <v>144</v>
      </c>
      <c r="H272">
        <v>-1</v>
      </c>
      <c r="I272">
        <v>614</v>
      </c>
      <c r="J272">
        <v>854</v>
      </c>
      <c r="K272">
        <v>0.8</v>
      </c>
      <c r="L272">
        <v>1104</v>
      </c>
      <c r="M272">
        <v>1422</v>
      </c>
      <c r="N272">
        <v>-0.4</v>
      </c>
      <c r="O272">
        <v>1726</v>
      </c>
      <c r="P272">
        <v>2044</v>
      </c>
      <c r="Q272">
        <v>0.7</v>
      </c>
      <c r="R272">
        <v>2149</v>
      </c>
      <c r="U272">
        <f t="shared" si="30"/>
        <v>1</v>
      </c>
      <c r="V272">
        <f t="shared" si="31"/>
        <v>0.8</v>
      </c>
      <c r="W272">
        <f t="shared" si="32"/>
        <v>0.4</v>
      </c>
      <c r="X272">
        <f t="shared" si="33"/>
        <v>0.7</v>
      </c>
      <c r="AA272">
        <f t="shared" si="28"/>
        <v>0.72500000000000009</v>
      </c>
      <c r="AB272">
        <f t="shared" si="29"/>
        <v>1</v>
      </c>
    </row>
    <row r="273" spans="1:28">
      <c r="A273" t="s">
        <v>186</v>
      </c>
      <c r="B273" t="s">
        <v>158</v>
      </c>
      <c r="C273" t="s">
        <v>18</v>
      </c>
      <c r="D273" t="s">
        <v>131</v>
      </c>
      <c r="E273">
        <v>24</v>
      </c>
      <c r="G273">
        <v>239</v>
      </c>
      <c r="H273">
        <v>-1</v>
      </c>
      <c r="I273">
        <v>711</v>
      </c>
      <c r="J273">
        <v>948</v>
      </c>
      <c r="K273">
        <v>0.8</v>
      </c>
      <c r="L273">
        <v>1231</v>
      </c>
      <c r="M273">
        <v>1545</v>
      </c>
      <c r="N273">
        <v>-0.3</v>
      </c>
      <c r="O273">
        <v>1828</v>
      </c>
      <c r="P273">
        <v>2132</v>
      </c>
      <c r="Q273">
        <v>0.5</v>
      </c>
      <c r="R273">
        <v>2224</v>
      </c>
      <c r="U273">
        <f t="shared" si="30"/>
        <v>1</v>
      </c>
      <c r="V273">
        <f t="shared" si="31"/>
        <v>0.8</v>
      </c>
      <c r="W273">
        <f t="shared" si="32"/>
        <v>0.3</v>
      </c>
      <c r="X273">
        <f t="shared" si="33"/>
        <v>0.5</v>
      </c>
      <c r="AA273">
        <f t="shared" si="28"/>
        <v>0.65</v>
      </c>
      <c r="AB273">
        <f t="shared" si="29"/>
        <v>1</v>
      </c>
    </row>
    <row r="274" spans="1:28">
      <c r="A274" t="s">
        <v>186</v>
      </c>
      <c r="B274" t="s">
        <v>158</v>
      </c>
      <c r="C274" t="s">
        <v>18</v>
      </c>
      <c r="D274" t="s">
        <v>131</v>
      </c>
      <c r="E274">
        <v>25</v>
      </c>
      <c r="G274">
        <v>347</v>
      </c>
      <c r="H274">
        <v>-1</v>
      </c>
      <c r="I274">
        <v>813</v>
      </c>
      <c r="J274">
        <v>1049</v>
      </c>
      <c r="K274">
        <v>0.8</v>
      </c>
      <c r="L274">
        <v>1422</v>
      </c>
      <c r="M274">
        <v>1701</v>
      </c>
      <c r="N274">
        <v>-0.2</v>
      </c>
      <c r="O274">
        <v>1958</v>
      </c>
      <c r="P274">
        <v>2227</v>
      </c>
      <c r="Q274">
        <v>0.4</v>
      </c>
      <c r="R274">
        <v>2306</v>
      </c>
      <c r="U274">
        <f t="shared" si="30"/>
        <v>1</v>
      </c>
      <c r="V274">
        <f t="shared" si="31"/>
        <v>0.8</v>
      </c>
      <c r="W274">
        <f t="shared" si="32"/>
        <v>0.2</v>
      </c>
      <c r="X274">
        <f t="shared" si="33"/>
        <v>0.4</v>
      </c>
      <c r="AA274">
        <f t="shared" si="28"/>
        <v>0.6</v>
      </c>
      <c r="AB274">
        <f t="shared" si="29"/>
        <v>1</v>
      </c>
    </row>
    <row r="275" spans="1:28">
      <c r="A275" t="s">
        <v>186</v>
      </c>
      <c r="B275" t="s">
        <v>158</v>
      </c>
      <c r="C275" t="s">
        <v>18</v>
      </c>
      <c r="D275" t="s">
        <v>131</v>
      </c>
      <c r="E275">
        <v>26</v>
      </c>
      <c r="G275">
        <v>455</v>
      </c>
      <c r="H275">
        <v>-1</v>
      </c>
      <c r="I275">
        <v>918</v>
      </c>
      <c r="J275">
        <v>1206</v>
      </c>
      <c r="K275">
        <v>0.8</v>
      </c>
      <c r="L275">
        <v>1549</v>
      </c>
      <c r="M275">
        <v>1812</v>
      </c>
      <c r="N275">
        <v>-0.3</v>
      </c>
      <c r="O275">
        <v>2143</v>
      </c>
      <c r="P275">
        <v>2333</v>
      </c>
      <c r="Q275">
        <v>0.2</v>
      </c>
      <c r="U275">
        <f t="shared" si="30"/>
        <v>1</v>
      </c>
      <c r="V275">
        <f t="shared" si="31"/>
        <v>0.8</v>
      </c>
      <c r="W275">
        <f t="shared" si="32"/>
        <v>0.3</v>
      </c>
      <c r="X275">
        <f t="shared" si="33"/>
        <v>0.2</v>
      </c>
      <c r="AA275">
        <f t="shared" si="28"/>
        <v>0.57500000000000007</v>
      </c>
      <c r="AB275">
        <f t="shared" si="29"/>
        <v>1</v>
      </c>
    </row>
    <row r="276" spans="1:28">
      <c r="A276" t="s">
        <v>186</v>
      </c>
      <c r="B276" t="s">
        <v>158</v>
      </c>
      <c r="C276" t="s">
        <v>18</v>
      </c>
      <c r="D276" t="s">
        <v>131</v>
      </c>
      <c r="E276">
        <v>27</v>
      </c>
      <c r="F276" s="14">
        <v>1</v>
      </c>
      <c r="G276">
        <v>559</v>
      </c>
      <c r="H276">
        <v>-1</v>
      </c>
      <c r="I276">
        <v>1022</v>
      </c>
      <c r="J276">
        <v>1405</v>
      </c>
      <c r="K276">
        <v>0.8</v>
      </c>
      <c r="L276">
        <v>1646</v>
      </c>
      <c r="M276">
        <v>1923</v>
      </c>
      <c r="N276">
        <v>-0.4</v>
      </c>
      <c r="O276">
        <v>2309</v>
      </c>
      <c r="U276">
        <f t="shared" si="30"/>
        <v>1</v>
      </c>
      <c r="V276">
        <f t="shared" si="31"/>
        <v>0.8</v>
      </c>
      <c r="W276">
        <f t="shared" si="32"/>
        <v>0.4</v>
      </c>
      <c r="AA276">
        <f t="shared" si="28"/>
        <v>0.73333333333333339</v>
      </c>
      <c r="AB276">
        <f t="shared" si="29"/>
        <v>1</v>
      </c>
    </row>
    <row r="277" spans="1:28">
      <c r="A277" t="s">
        <v>186</v>
      </c>
      <c r="B277" t="s">
        <v>158</v>
      </c>
      <c r="C277" t="s">
        <v>18</v>
      </c>
      <c r="D277" t="s">
        <v>131</v>
      </c>
      <c r="E277">
        <v>28</v>
      </c>
      <c r="G277">
        <v>48</v>
      </c>
      <c r="H277">
        <v>0.2</v>
      </c>
      <c r="I277">
        <v>131</v>
      </c>
      <c r="J277">
        <v>703</v>
      </c>
      <c r="K277">
        <v>-1</v>
      </c>
      <c r="L277">
        <v>1120</v>
      </c>
      <c r="M277">
        <v>1458</v>
      </c>
      <c r="N277">
        <v>1</v>
      </c>
      <c r="O277">
        <v>1730</v>
      </c>
      <c r="P277">
        <v>2031</v>
      </c>
      <c r="Q277">
        <v>-0.5</v>
      </c>
      <c r="U277">
        <f t="shared" si="30"/>
        <v>0.2</v>
      </c>
      <c r="V277">
        <f t="shared" si="31"/>
        <v>1</v>
      </c>
      <c r="W277">
        <f t="shared" si="32"/>
        <v>1</v>
      </c>
      <c r="X277">
        <f t="shared" si="33"/>
        <v>0.5</v>
      </c>
      <c r="AA277">
        <f t="shared" si="28"/>
        <v>0.67500000000000004</v>
      </c>
      <c r="AB277">
        <f t="shared" si="29"/>
        <v>1</v>
      </c>
    </row>
    <row r="278" spans="1:28">
      <c r="A278" t="s">
        <v>186</v>
      </c>
      <c r="B278" t="s">
        <v>158</v>
      </c>
      <c r="C278" t="s">
        <v>18</v>
      </c>
      <c r="D278" t="s">
        <v>131</v>
      </c>
      <c r="E278">
        <v>29</v>
      </c>
      <c r="F278" s="14">
        <v>10</v>
      </c>
      <c r="G278">
        <v>204</v>
      </c>
      <c r="H278">
        <v>0.3</v>
      </c>
      <c r="I278">
        <v>315</v>
      </c>
      <c r="J278">
        <v>806</v>
      </c>
      <c r="K278">
        <v>-1</v>
      </c>
      <c r="L278">
        <v>1210</v>
      </c>
      <c r="M278">
        <v>1536</v>
      </c>
      <c r="N278">
        <v>1.1000000000000001</v>
      </c>
      <c r="O278">
        <v>1807</v>
      </c>
      <c r="P278">
        <v>2123</v>
      </c>
      <c r="Q278">
        <v>-0.6</v>
      </c>
      <c r="U278">
        <f t="shared" si="30"/>
        <v>0.3</v>
      </c>
      <c r="V278">
        <f t="shared" si="31"/>
        <v>1</v>
      </c>
      <c r="W278">
        <f t="shared" si="32"/>
        <v>1.1000000000000001</v>
      </c>
      <c r="X278">
        <f t="shared" si="33"/>
        <v>0.6</v>
      </c>
      <c r="AA278">
        <f t="shared" si="28"/>
        <v>0.75000000000000011</v>
      </c>
      <c r="AB278">
        <f t="shared" si="29"/>
        <v>1.1000000000000001</v>
      </c>
    </row>
    <row r="279" spans="1:28">
      <c r="A279" t="s">
        <v>186</v>
      </c>
      <c r="B279" t="s">
        <v>158</v>
      </c>
      <c r="C279" t="s">
        <v>18</v>
      </c>
      <c r="D279" t="s">
        <v>131</v>
      </c>
      <c r="E279">
        <v>30</v>
      </c>
      <c r="F279" s="14">
        <v>57</v>
      </c>
      <c r="G279">
        <v>306</v>
      </c>
      <c r="H279">
        <v>0.4</v>
      </c>
      <c r="I279">
        <v>435</v>
      </c>
      <c r="J279">
        <v>904</v>
      </c>
      <c r="K279">
        <v>-1</v>
      </c>
      <c r="L279">
        <v>1256</v>
      </c>
      <c r="M279">
        <v>1606</v>
      </c>
      <c r="N279">
        <v>1.1000000000000001</v>
      </c>
      <c r="O279">
        <v>1839</v>
      </c>
      <c r="P279">
        <v>2203</v>
      </c>
      <c r="Q279">
        <v>-0.8</v>
      </c>
      <c r="U279">
        <f t="shared" si="30"/>
        <v>0.4</v>
      </c>
      <c r="V279">
        <f t="shared" si="31"/>
        <v>1</v>
      </c>
      <c r="W279">
        <f t="shared" si="32"/>
        <v>1.1000000000000001</v>
      </c>
      <c r="X279">
        <f t="shared" si="33"/>
        <v>0.8</v>
      </c>
      <c r="AA279">
        <f t="shared" si="28"/>
        <v>0.82499999999999996</v>
      </c>
      <c r="AB279">
        <f t="shared" si="29"/>
        <v>1.1000000000000001</v>
      </c>
    </row>
    <row r="280" spans="1:28">
      <c r="A280" t="s">
        <v>186</v>
      </c>
      <c r="B280" t="s">
        <v>158</v>
      </c>
      <c r="C280" t="s">
        <v>18</v>
      </c>
      <c r="D280" t="s">
        <v>131</v>
      </c>
      <c r="E280">
        <v>31</v>
      </c>
      <c r="F280" s="14">
        <v>140</v>
      </c>
      <c r="G280">
        <v>358</v>
      </c>
      <c r="H280">
        <v>0.6</v>
      </c>
      <c r="I280">
        <v>543</v>
      </c>
      <c r="J280">
        <v>955</v>
      </c>
      <c r="K280">
        <v>-1</v>
      </c>
      <c r="L280">
        <v>1337</v>
      </c>
      <c r="M280">
        <v>1635</v>
      </c>
      <c r="N280">
        <v>1.1000000000000001</v>
      </c>
      <c r="O280">
        <v>1908</v>
      </c>
      <c r="P280">
        <v>2239</v>
      </c>
      <c r="Q280">
        <v>-0.9</v>
      </c>
      <c r="U280">
        <f t="shared" si="30"/>
        <v>0.6</v>
      </c>
      <c r="V280">
        <f t="shared" si="31"/>
        <v>1</v>
      </c>
      <c r="W280">
        <f t="shared" si="32"/>
        <v>1.1000000000000001</v>
      </c>
      <c r="X280">
        <f t="shared" si="33"/>
        <v>0.9</v>
      </c>
      <c r="AA280">
        <f t="shared" si="28"/>
        <v>0.9</v>
      </c>
      <c r="AB280">
        <f t="shared" si="29"/>
        <v>1.1000000000000001</v>
      </c>
    </row>
    <row r="281" spans="1:28">
      <c r="A281" t="s">
        <v>187</v>
      </c>
      <c r="B281" t="s">
        <v>160</v>
      </c>
      <c r="C281" t="s">
        <v>122</v>
      </c>
      <c r="D281" t="s">
        <v>161</v>
      </c>
      <c r="E281">
        <v>1</v>
      </c>
      <c r="F281" s="14">
        <v>16</v>
      </c>
      <c r="G281">
        <v>204</v>
      </c>
      <c r="H281">
        <v>0.4</v>
      </c>
      <c r="I281">
        <v>444</v>
      </c>
      <c r="J281">
        <v>847</v>
      </c>
      <c r="K281">
        <v>-2</v>
      </c>
      <c r="L281">
        <v>1139</v>
      </c>
      <c r="M281">
        <v>1438</v>
      </c>
      <c r="N281">
        <v>1.1000000000000001</v>
      </c>
      <c r="O281">
        <v>1834</v>
      </c>
      <c r="P281">
        <v>2158</v>
      </c>
      <c r="Q281">
        <v>-1.8</v>
      </c>
      <c r="U281">
        <f t="shared" si="30"/>
        <v>0.4</v>
      </c>
      <c r="V281">
        <f t="shared" si="31"/>
        <v>2</v>
      </c>
      <c r="W281">
        <f t="shared" si="32"/>
        <v>1.1000000000000001</v>
      </c>
      <c r="X281">
        <f t="shared" si="33"/>
        <v>1.8</v>
      </c>
      <c r="AA281">
        <f t="shared" si="28"/>
        <v>1.325</v>
      </c>
      <c r="AB281">
        <f t="shared" si="29"/>
        <v>2</v>
      </c>
    </row>
    <row r="282" spans="1:28">
      <c r="A282" t="s">
        <v>187</v>
      </c>
      <c r="B282" t="s">
        <v>160</v>
      </c>
      <c r="C282" t="s">
        <v>122</v>
      </c>
      <c r="D282" t="s">
        <v>161</v>
      </c>
      <c r="E282">
        <v>2</v>
      </c>
      <c r="F282" s="14">
        <v>100</v>
      </c>
      <c r="G282">
        <v>255</v>
      </c>
      <c r="H282">
        <v>0.5</v>
      </c>
      <c r="I282">
        <v>543</v>
      </c>
      <c r="J282">
        <v>937</v>
      </c>
      <c r="K282">
        <v>-2</v>
      </c>
      <c r="L282">
        <v>1227</v>
      </c>
      <c r="M282">
        <v>1521</v>
      </c>
      <c r="N282">
        <v>1.1000000000000001</v>
      </c>
      <c r="O282">
        <v>1912</v>
      </c>
      <c r="P282">
        <v>2239</v>
      </c>
      <c r="Q282">
        <v>-1.9</v>
      </c>
      <c r="U282">
        <f t="shared" si="30"/>
        <v>0.5</v>
      </c>
      <c r="V282">
        <f t="shared" si="31"/>
        <v>2</v>
      </c>
      <c r="W282">
        <f t="shared" si="32"/>
        <v>1.1000000000000001</v>
      </c>
      <c r="X282">
        <f t="shared" si="33"/>
        <v>1.9</v>
      </c>
      <c r="AA282">
        <f t="shared" si="28"/>
        <v>1.375</v>
      </c>
      <c r="AB282">
        <f t="shared" si="29"/>
        <v>2</v>
      </c>
    </row>
    <row r="283" spans="1:28">
      <c r="A283" t="s">
        <v>187</v>
      </c>
      <c r="B283" t="s">
        <v>160</v>
      </c>
      <c r="C283" t="s">
        <v>122</v>
      </c>
      <c r="D283" t="s">
        <v>161</v>
      </c>
      <c r="E283">
        <v>3</v>
      </c>
      <c r="F283" s="14">
        <v>141</v>
      </c>
      <c r="G283">
        <v>342</v>
      </c>
      <c r="H283">
        <v>0.6</v>
      </c>
      <c r="I283">
        <v>638</v>
      </c>
      <c r="J283">
        <v>1025</v>
      </c>
      <c r="K283">
        <v>-1.9</v>
      </c>
      <c r="L283">
        <v>1312</v>
      </c>
      <c r="M283">
        <v>1602</v>
      </c>
      <c r="N283">
        <v>1.1000000000000001</v>
      </c>
      <c r="O283">
        <v>1948</v>
      </c>
      <c r="P283">
        <v>2318</v>
      </c>
      <c r="Q283">
        <v>-1.9</v>
      </c>
      <c r="U283">
        <f t="shared" si="30"/>
        <v>0.6</v>
      </c>
      <c r="V283">
        <f t="shared" si="31"/>
        <v>1.9</v>
      </c>
      <c r="W283">
        <f t="shared" si="32"/>
        <v>1.1000000000000001</v>
      </c>
      <c r="X283">
        <f t="shared" si="33"/>
        <v>1.9</v>
      </c>
      <c r="AA283">
        <f t="shared" si="28"/>
        <v>1.375</v>
      </c>
      <c r="AB283">
        <f t="shared" si="29"/>
        <v>1.9</v>
      </c>
    </row>
    <row r="284" spans="1:28">
      <c r="A284" t="s">
        <v>187</v>
      </c>
      <c r="B284" t="s">
        <v>160</v>
      </c>
      <c r="C284" t="s">
        <v>122</v>
      </c>
      <c r="D284" t="s">
        <v>161</v>
      </c>
      <c r="E284">
        <v>4</v>
      </c>
      <c r="F284" s="14">
        <v>220</v>
      </c>
      <c r="G284">
        <v>427</v>
      </c>
      <c r="H284">
        <v>0.6</v>
      </c>
      <c r="I284">
        <v>731</v>
      </c>
      <c r="J284">
        <v>1110</v>
      </c>
      <c r="K284">
        <v>-1.8</v>
      </c>
      <c r="L284">
        <v>1355</v>
      </c>
      <c r="M284">
        <v>1641</v>
      </c>
      <c r="N284">
        <v>1</v>
      </c>
      <c r="O284">
        <v>2021</v>
      </c>
      <c r="P284">
        <v>2355</v>
      </c>
      <c r="Q284">
        <v>-2</v>
      </c>
      <c r="U284">
        <f t="shared" si="30"/>
        <v>0.6</v>
      </c>
      <c r="V284">
        <f t="shared" si="31"/>
        <v>1.8</v>
      </c>
      <c r="W284">
        <f t="shared" si="32"/>
        <v>1</v>
      </c>
      <c r="X284">
        <f t="shared" si="33"/>
        <v>2</v>
      </c>
      <c r="AA284">
        <f t="shared" si="28"/>
        <v>1.35</v>
      </c>
      <c r="AB284">
        <f t="shared" si="29"/>
        <v>2</v>
      </c>
    </row>
    <row r="285" spans="1:28">
      <c r="A285" t="s">
        <v>187</v>
      </c>
      <c r="B285" t="s">
        <v>160</v>
      </c>
      <c r="C285" t="s">
        <v>122</v>
      </c>
      <c r="D285" t="s">
        <v>161</v>
      </c>
      <c r="E285">
        <v>5</v>
      </c>
      <c r="F285" s="14">
        <v>259</v>
      </c>
      <c r="G285">
        <v>511</v>
      </c>
      <c r="H285">
        <v>0.6</v>
      </c>
      <c r="I285">
        <v>823</v>
      </c>
      <c r="J285">
        <v>1155</v>
      </c>
      <c r="K285">
        <v>-1.6</v>
      </c>
      <c r="L285">
        <v>1437</v>
      </c>
      <c r="M285">
        <v>1719</v>
      </c>
      <c r="N285">
        <v>0.9</v>
      </c>
      <c r="O285">
        <v>2051</v>
      </c>
      <c r="U285">
        <f t="shared" si="30"/>
        <v>0.6</v>
      </c>
      <c r="V285">
        <f t="shared" si="31"/>
        <v>1.6</v>
      </c>
      <c r="W285">
        <f t="shared" si="32"/>
        <v>0.9</v>
      </c>
      <c r="AA285">
        <f t="shared" si="28"/>
        <v>1.0333333333333334</v>
      </c>
      <c r="AB285">
        <f t="shared" si="29"/>
        <v>1.6</v>
      </c>
    </row>
    <row r="286" spans="1:28">
      <c r="A286" t="s">
        <v>187</v>
      </c>
      <c r="B286" t="s">
        <v>160</v>
      </c>
      <c r="C286" t="s">
        <v>122</v>
      </c>
      <c r="D286" t="s">
        <v>161</v>
      </c>
      <c r="E286">
        <v>6</v>
      </c>
      <c r="G286">
        <v>31</v>
      </c>
      <c r="H286">
        <v>-1.9</v>
      </c>
      <c r="I286">
        <v>337</v>
      </c>
      <c r="J286">
        <v>555</v>
      </c>
      <c r="K286">
        <v>0.7</v>
      </c>
      <c r="L286">
        <v>915</v>
      </c>
      <c r="M286">
        <v>1240</v>
      </c>
      <c r="N286">
        <v>-1.4</v>
      </c>
      <c r="O286">
        <v>1520</v>
      </c>
      <c r="P286">
        <v>1756</v>
      </c>
      <c r="Q286">
        <v>0.7</v>
      </c>
      <c r="R286">
        <v>2121</v>
      </c>
      <c r="U286">
        <f t="shared" si="30"/>
        <v>1.9</v>
      </c>
      <c r="V286">
        <f t="shared" si="31"/>
        <v>0.7</v>
      </c>
      <c r="W286">
        <f t="shared" si="32"/>
        <v>1.4</v>
      </c>
      <c r="X286">
        <f t="shared" si="33"/>
        <v>0.7</v>
      </c>
      <c r="AA286">
        <f t="shared" si="28"/>
        <v>1.1749999999999998</v>
      </c>
      <c r="AB286">
        <f t="shared" si="29"/>
        <v>1.9</v>
      </c>
    </row>
    <row r="287" spans="1:28">
      <c r="A287" t="s">
        <v>187</v>
      </c>
      <c r="B287" t="s">
        <v>160</v>
      </c>
      <c r="C287" t="s">
        <v>122</v>
      </c>
      <c r="D287" t="s">
        <v>161</v>
      </c>
      <c r="E287">
        <v>7</v>
      </c>
      <c r="G287">
        <v>107</v>
      </c>
      <c r="H287">
        <v>-1.8</v>
      </c>
      <c r="I287">
        <v>416</v>
      </c>
      <c r="J287">
        <v>640</v>
      </c>
      <c r="K287">
        <v>0.6</v>
      </c>
      <c r="L287">
        <v>1009</v>
      </c>
      <c r="M287">
        <v>1327</v>
      </c>
      <c r="N287">
        <v>-1.2</v>
      </c>
      <c r="O287">
        <v>1606</v>
      </c>
      <c r="P287">
        <v>1834</v>
      </c>
      <c r="Q287">
        <v>0.6</v>
      </c>
      <c r="R287">
        <v>2150</v>
      </c>
      <c r="U287">
        <f t="shared" si="30"/>
        <v>1.8</v>
      </c>
      <c r="V287">
        <f t="shared" si="31"/>
        <v>0.6</v>
      </c>
      <c r="W287">
        <f t="shared" si="32"/>
        <v>1.2</v>
      </c>
      <c r="X287">
        <f t="shared" si="33"/>
        <v>0.6</v>
      </c>
      <c r="AA287">
        <f t="shared" si="28"/>
        <v>1.0499999999999998</v>
      </c>
      <c r="AB287">
        <f t="shared" si="29"/>
        <v>1.8</v>
      </c>
    </row>
    <row r="288" spans="1:28">
      <c r="A288" t="s">
        <v>187</v>
      </c>
      <c r="B288" t="s">
        <v>160</v>
      </c>
      <c r="C288" t="s">
        <v>122</v>
      </c>
      <c r="D288" t="s">
        <v>161</v>
      </c>
      <c r="E288">
        <v>8</v>
      </c>
      <c r="G288">
        <v>145</v>
      </c>
      <c r="H288">
        <v>-1.7</v>
      </c>
      <c r="I288">
        <v>457</v>
      </c>
      <c r="J288">
        <v>727</v>
      </c>
      <c r="K288">
        <v>0.6</v>
      </c>
      <c r="L288">
        <v>1108</v>
      </c>
      <c r="M288">
        <v>1420</v>
      </c>
      <c r="N288">
        <v>-1</v>
      </c>
      <c r="O288">
        <v>1658</v>
      </c>
      <c r="P288">
        <v>1916</v>
      </c>
      <c r="Q288">
        <v>0.4</v>
      </c>
      <c r="R288">
        <v>2220</v>
      </c>
      <c r="U288">
        <f t="shared" si="30"/>
        <v>1.7</v>
      </c>
      <c r="V288">
        <f t="shared" si="31"/>
        <v>0.6</v>
      </c>
      <c r="W288">
        <f t="shared" si="32"/>
        <v>1</v>
      </c>
      <c r="X288">
        <f t="shared" si="33"/>
        <v>0.4</v>
      </c>
      <c r="AA288">
        <f t="shared" si="28"/>
        <v>0.92499999999999993</v>
      </c>
      <c r="AB288">
        <f t="shared" si="29"/>
        <v>1.7</v>
      </c>
    </row>
    <row r="289" spans="1:28">
      <c r="A289" t="s">
        <v>187</v>
      </c>
      <c r="B289" t="s">
        <v>160</v>
      </c>
      <c r="C289" t="s">
        <v>122</v>
      </c>
      <c r="D289" t="s">
        <v>161</v>
      </c>
      <c r="E289">
        <v>9</v>
      </c>
      <c r="G289">
        <v>227</v>
      </c>
      <c r="H289">
        <v>-1.6</v>
      </c>
      <c r="I289">
        <v>542</v>
      </c>
      <c r="J289">
        <v>821</v>
      </c>
      <c r="K289">
        <v>0.6</v>
      </c>
      <c r="L289">
        <v>1214</v>
      </c>
      <c r="M289">
        <v>1522</v>
      </c>
      <c r="N289">
        <v>-0.8</v>
      </c>
      <c r="O289">
        <v>1804</v>
      </c>
      <c r="P289">
        <v>2006</v>
      </c>
      <c r="Q289">
        <v>0.3</v>
      </c>
      <c r="R289">
        <v>2254</v>
      </c>
      <c r="U289">
        <f t="shared" si="30"/>
        <v>1.6</v>
      </c>
      <c r="V289">
        <f t="shared" si="31"/>
        <v>0.6</v>
      </c>
      <c r="W289">
        <f t="shared" si="32"/>
        <v>0.8</v>
      </c>
      <c r="X289">
        <f t="shared" si="33"/>
        <v>0.3</v>
      </c>
      <c r="AA289">
        <f t="shared" si="28"/>
        <v>0.82499999999999996</v>
      </c>
      <c r="AB289">
        <f t="shared" si="29"/>
        <v>1.6</v>
      </c>
    </row>
    <row r="290" spans="1:28">
      <c r="A290" t="s">
        <v>187</v>
      </c>
      <c r="B290" t="s">
        <v>160</v>
      </c>
      <c r="C290" t="s">
        <v>122</v>
      </c>
      <c r="D290" t="s">
        <v>161</v>
      </c>
      <c r="E290">
        <v>10</v>
      </c>
      <c r="G290">
        <v>314</v>
      </c>
      <c r="H290">
        <v>-1.4</v>
      </c>
      <c r="I290">
        <v>632</v>
      </c>
      <c r="J290">
        <v>921</v>
      </c>
      <c r="K290">
        <v>0.6</v>
      </c>
      <c r="L290">
        <v>1326</v>
      </c>
      <c r="M290">
        <v>1635</v>
      </c>
      <c r="N290">
        <v>-0.7</v>
      </c>
      <c r="O290">
        <v>1928</v>
      </c>
      <c r="P290">
        <v>2108</v>
      </c>
      <c r="Q290">
        <v>0.2</v>
      </c>
      <c r="R290">
        <v>2336</v>
      </c>
      <c r="U290">
        <f t="shared" si="30"/>
        <v>1.4</v>
      </c>
      <c r="V290">
        <f t="shared" si="31"/>
        <v>0.6</v>
      </c>
      <c r="W290">
        <f t="shared" si="32"/>
        <v>0.7</v>
      </c>
      <c r="X290">
        <f t="shared" si="33"/>
        <v>0.2</v>
      </c>
      <c r="AA290">
        <f t="shared" si="28"/>
        <v>0.72500000000000009</v>
      </c>
      <c r="AB290">
        <f t="shared" si="29"/>
        <v>1.4</v>
      </c>
    </row>
    <row r="291" spans="1:28">
      <c r="A291" t="s">
        <v>187</v>
      </c>
      <c r="B291" t="s">
        <v>160</v>
      </c>
      <c r="C291" t="s">
        <v>122</v>
      </c>
      <c r="D291" t="s">
        <v>161</v>
      </c>
      <c r="E291">
        <v>11</v>
      </c>
      <c r="G291">
        <v>411</v>
      </c>
      <c r="H291">
        <v>-1.3</v>
      </c>
      <c r="I291">
        <v>727</v>
      </c>
      <c r="J291">
        <v>1025</v>
      </c>
      <c r="K291">
        <v>0.6</v>
      </c>
      <c r="L291">
        <v>1436</v>
      </c>
      <c r="M291">
        <v>1751</v>
      </c>
      <c r="N291">
        <v>-0.8</v>
      </c>
      <c r="O291">
        <v>2059</v>
      </c>
      <c r="P291">
        <v>2220</v>
      </c>
      <c r="Q291">
        <v>0.1</v>
      </c>
      <c r="U291">
        <f t="shared" si="30"/>
        <v>1.3</v>
      </c>
      <c r="V291">
        <f t="shared" si="31"/>
        <v>0.6</v>
      </c>
      <c r="W291">
        <f t="shared" si="32"/>
        <v>0.8</v>
      </c>
      <c r="X291">
        <f t="shared" si="33"/>
        <v>0.1</v>
      </c>
      <c r="AA291">
        <f t="shared" si="28"/>
        <v>0.70000000000000007</v>
      </c>
      <c r="AB291">
        <f t="shared" si="29"/>
        <v>1.3</v>
      </c>
    </row>
    <row r="292" spans="1:28">
      <c r="A292" t="s">
        <v>187</v>
      </c>
      <c r="B292" t="s">
        <v>160</v>
      </c>
      <c r="C292" t="s">
        <v>122</v>
      </c>
      <c r="D292" t="s">
        <v>161</v>
      </c>
      <c r="E292">
        <v>12</v>
      </c>
      <c r="F292" s="14">
        <v>31</v>
      </c>
      <c r="G292">
        <v>513</v>
      </c>
      <c r="H292">
        <v>-1.3</v>
      </c>
      <c r="I292">
        <v>822</v>
      </c>
      <c r="J292">
        <v>1126</v>
      </c>
      <c r="K292">
        <v>0.7</v>
      </c>
      <c r="L292">
        <v>1536</v>
      </c>
      <c r="M292">
        <v>1856</v>
      </c>
      <c r="N292">
        <v>-0.9</v>
      </c>
      <c r="O292">
        <v>2210</v>
      </c>
      <c r="P292">
        <v>2329</v>
      </c>
      <c r="Q292">
        <v>0.1</v>
      </c>
      <c r="U292">
        <f t="shared" si="30"/>
        <v>1.3</v>
      </c>
      <c r="V292">
        <f t="shared" si="31"/>
        <v>0.7</v>
      </c>
      <c r="W292">
        <f t="shared" si="32"/>
        <v>0.9</v>
      </c>
      <c r="X292">
        <f t="shared" si="33"/>
        <v>0.1</v>
      </c>
      <c r="AA292">
        <f t="shared" si="28"/>
        <v>0.75</v>
      </c>
      <c r="AB292">
        <f t="shared" si="29"/>
        <v>1.3</v>
      </c>
    </row>
    <row r="293" spans="1:28">
      <c r="A293" t="s">
        <v>187</v>
      </c>
      <c r="B293" t="s">
        <v>160</v>
      </c>
      <c r="C293" t="s">
        <v>122</v>
      </c>
      <c r="D293" t="s">
        <v>161</v>
      </c>
      <c r="E293">
        <v>13</v>
      </c>
      <c r="F293" s="14">
        <v>138</v>
      </c>
      <c r="G293">
        <v>613</v>
      </c>
      <c r="H293">
        <v>-1.3</v>
      </c>
      <c r="I293">
        <v>915</v>
      </c>
      <c r="J293">
        <v>1219</v>
      </c>
      <c r="K293">
        <v>0.7</v>
      </c>
      <c r="L293">
        <v>1624</v>
      </c>
      <c r="M293">
        <v>1947</v>
      </c>
      <c r="N293">
        <v>-1</v>
      </c>
      <c r="O293">
        <v>2259</v>
      </c>
      <c r="U293">
        <f t="shared" si="30"/>
        <v>1.3</v>
      </c>
      <c r="V293">
        <f t="shared" si="31"/>
        <v>0.7</v>
      </c>
      <c r="W293">
        <f t="shared" si="32"/>
        <v>1</v>
      </c>
      <c r="AA293">
        <f t="shared" si="28"/>
        <v>1</v>
      </c>
      <c r="AB293">
        <f t="shared" si="29"/>
        <v>1.3</v>
      </c>
    </row>
    <row r="294" spans="1:28">
      <c r="A294" t="s">
        <v>187</v>
      </c>
      <c r="B294" t="s">
        <v>160</v>
      </c>
      <c r="C294" t="s">
        <v>122</v>
      </c>
      <c r="D294" t="s">
        <v>161</v>
      </c>
      <c r="E294">
        <v>14</v>
      </c>
      <c r="G294">
        <v>25</v>
      </c>
      <c r="H294">
        <v>0.2</v>
      </c>
      <c r="I294">
        <v>244</v>
      </c>
      <c r="J294">
        <v>706</v>
      </c>
      <c r="K294">
        <v>-1.4</v>
      </c>
      <c r="L294">
        <v>1002</v>
      </c>
      <c r="M294">
        <v>1305</v>
      </c>
      <c r="N294">
        <v>0.8</v>
      </c>
      <c r="O294">
        <v>1705</v>
      </c>
      <c r="P294">
        <v>2028</v>
      </c>
      <c r="Q294">
        <v>-1.2</v>
      </c>
      <c r="R294">
        <v>2336</v>
      </c>
      <c r="U294">
        <f t="shared" si="30"/>
        <v>0.2</v>
      </c>
      <c r="V294">
        <f t="shared" si="31"/>
        <v>1.4</v>
      </c>
      <c r="W294">
        <f t="shared" si="32"/>
        <v>0.8</v>
      </c>
      <c r="X294">
        <f t="shared" si="33"/>
        <v>1.2</v>
      </c>
      <c r="AA294">
        <f t="shared" si="28"/>
        <v>0.89999999999999991</v>
      </c>
      <c r="AB294">
        <f t="shared" si="29"/>
        <v>1.4</v>
      </c>
    </row>
    <row r="295" spans="1:28">
      <c r="A295" t="s">
        <v>187</v>
      </c>
      <c r="B295" t="s">
        <v>160</v>
      </c>
      <c r="C295" t="s">
        <v>122</v>
      </c>
      <c r="D295" t="s">
        <v>161</v>
      </c>
      <c r="E295">
        <v>15</v>
      </c>
      <c r="G295">
        <v>113</v>
      </c>
      <c r="H295">
        <v>0.3</v>
      </c>
      <c r="I295">
        <v>342</v>
      </c>
      <c r="J295">
        <v>752</v>
      </c>
      <c r="K295">
        <v>-1.6</v>
      </c>
      <c r="L295">
        <v>1046</v>
      </c>
      <c r="M295">
        <v>1345</v>
      </c>
      <c r="N295">
        <v>0.9</v>
      </c>
      <c r="O295">
        <v>1741</v>
      </c>
      <c r="P295">
        <v>2105</v>
      </c>
      <c r="Q295">
        <v>-1.4</v>
      </c>
      <c r="U295">
        <f t="shared" si="30"/>
        <v>0.3</v>
      </c>
      <c r="V295">
        <f t="shared" si="31"/>
        <v>1.6</v>
      </c>
      <c r="W295">
        <f t="shared" si="32"/>
        <v>0.9</v>
      </c>
      <c r="X295">
        <f t="shared" si="33"/>
        <v>1.4</v>
      </c>
      <c r="AA295">
        <f t="shared" si="28"/>
        <v>1.05</v>
      </c>
      <c r="AB295">
        <f t="shared" si="29"/>
        <v>1.6</v>
      </c>
    </row>
    <row r="296" spans="1:28">
      <c r="A296" t="s">
        <v>187</v>
      </c>
      <c r="B296" t="s">
        <v>160</v>
      </c>
      <c r="C296" t="s">
        <v>122</v>
      </c>
      <c r="D296" t="s">
        <v>161</v>
      </c>
      <c r="E296">
        <v>16</v>
      </c>
      <c r="F296" s="14">
        <v>7</v>
      </c>
      <c r="G296">
        <v>155</v>
      </c>
      <c r="H296">
        <v>0.4</v>
      </c>
      <c r="I296">
        <v>434</v>
      </c>
      <c r="J296">
        <v>836</v>
      </c>
      <c r="K296">
        <v>-1.7</v>
      </c>
      <c r="L296">
        <v>1127</v>
      </c>
      <c r="M296">
        <v>1422</v>
      </c>
      <c r="N296">
        <v>0.9</v>
      </c>
      <c r="O296">
        <v>1814</v>
      </c>
      <c r="P296">
        <v>2138</v>
      </c>
      <c r="Q296">
        <v>-1.5</v>
      </c>
      <c r="U296">
        <f t="shared" si="30"/>
        <v>0.4</v>
      </c>
      <c r="V296">
        <f t="shared" si="31"/>
        <v>1.7</v>
      </c>
      <c r="W296">
        <f t="shared" si="32"/>
        <v>0.9</v>
      </c>
      <c r="X296">
        <f t="shared" si="33"/>
        <v>1.5</v>
      </c>
      <c r="AA296">
        <f t="shared" si="28"/>
        <v>1.125</v>
      </c>
      <c r="AB296">
        <f t="shared" si="29"/>
        <v>1.7</v>
      </c>
    </row>
    <row r="297" spans="1:28">
      <c r="A297" t="s">
        <v>187</v>
      </c>
      <c r="B297" t="s">
        <v>160</v>
      </c>
      <c r="C297" t="s">
        <v>122</v>
      </c>
      <c r="D297" t="s">
        <v>161</v>
      </c>
      <c r="E297">
        <v>17</v>
      </c>
      <c r="F297" s="14">
        <v>37</v>
      </c>
      <c r="G297">
        <v>234</v>
      </c>
      <c r="H297">
        <v>0.5</v>
      </c>
      <c r="I297">
        <v>523</v>
      </c>
      <c r="J297">
        <v>917</v>
      </c>
      <c r="K297">
        <v>-1.8</v>
      </c>
      <c r="L297">
        <v>1208</v>
      </c>
      <c r="M297">
        <v>1458</v>
      </c>
      <c r="N297">
        <v>1</v>
      </c>
      <c r="O297">
        <v>1845</v>
      </c>
      <c r="P297">
        <v>2211</v>
      </c>
      <c r="Q297">
        <v>-1.7</v>
      </c>
      <c r="U297">
        <f t="shared" si="30"/>
        <v>0.5</v>
      </c>
      <c r="V297">
        <f t="shared" si="31"/>
        <v>1.8</v>
      </c>
      <c r="W297">
        <f t="shared" si="32"/>
        <v>1</v>
      </c>
      <c r="X297">
        <f t="shared" si="33"/>
        <v>1.7</v>
      </c>
      <c r="AA297">
        <f t="shared" ref="AA297:AA360" si="34">AVERAGE(U297:Y297)</f>
        <v>1.25</v>
      </c>
      <c r="AB297">
        <f t="shared" ref="AB297:AB360" si="35">MAX(U297:Y297)</f>
        <v>1.8</v>
      </c>
    </row>
    <row r="298" spans="1:28">
      <c r="A298" t="s">
        <v>187</v>
      </c>
      <c r="B298" t="s">
        <v>160</v>
      </c>
      <c r="C298" t="s">
        <v>122</v>
      </c>
      <c r="D298" t="s">
        <v>161</v>
      </c>
      <c r="E298">
        <v>18</v>
      </c>
      <c r="F298" s="14">
        <v>108</v>
      </c>
      <c r="G298">
        <v>314</v>
      </c>
      <c r="H298">
        <v>0.6</v>
      </c>
      <c r="I298">
        <v>612</v>
      </c>
      <c r="J298">
        <v>959</v>
      </c>
      <c r="K298">
        <v>-1.8</v>
      </c>
      <c r="L298">
        <v>1248</v>
      </c>
      <c r="M298">
        <v>1534</v>
      </c>
      <c r="N298">
        <v>1</v>
      </c>
      <c r="O298">
        <v>1915</v>
      </c>
      <c r="P298">
        <v>2244</v>
      </c>
      <c r="Q298">
        <v>-1.8</v>
      </c>
      <c r="U298">
        <f t="shared" si="30"/>
        <v>0.6</v>
      </c>
      <c r="V298">
        <f t="shared" si="31"/>
        <v>1.8</v>
      </c>
      <c r="W298">
        <f t="shared" si="32"/>
        <v>1</v>
      </c>
      <c r="X298">
        <f t="shared" si="33"/>
        <v>1.8</v>
      </c>
      <c r="AA298">
        <f t="shared" si="34"/>
        <v>1.3</v>
      </c>
      <c r="AB298">
        <f t="shared" si="35"/>
        <v>1.8</v>
      </c>
    </row>
    <row r="299" spans="1:28">
      <c r="A299" t="s">
        <v>187</v>
      </c>
      <c r="B299" t="s">
        <v>160</v>
      </c>
      <c r="C299" t="s">
        <v>122</v>
      </c>
      <c r="D299" t="s">
        <v>161</v>
      </c>
      <c r="E299">
        <v>19</v>
      </c>
      <c r="F299" s="14">
        <v>140</v>
      </c>
      <c r="G299">
        <v>354</v>
      </c>
      <c r="H299">
        <v>0.7</v>
      </c>
      <c r="I299">
        <v>702</v>
      </c>
      <c r="J299">
        <v>1042</v>
      </c>
      <c r="K299">
        <v>-1.8</v>
      </c>
      <c r="L299">
        <v>1330</v>
      </c>
      <c r="M299">
        <v>1611</v>
      </c>
      <c r="N299">
        <v>0.9</v>
      </c>
      <c r="O299">
        <v>1945</v>
      </c>
      <c r="P299">
        <v>2319</v>
      </c>
      <c r="Q299">
        <v>-1.9</v>
      </c>
      <c r="U299">
        <f t="shared" si="30"/>
        <v>0.7</v>
      </c>
      <c r="V299">
        <f t="shared" si="31"/>
        <v>1.8</v>
      </c>
      <c r="W299">
        <f t="shared" si="32"/>
        <v>0.9</v>
      </c>
      <c r="X299">
        <f t="shared" si="33"/>
        <v>1.9</v>
      </c>
      <c r="AA299">
        <f t="shared" si="34"/>
        <v>1.325</v>
      </c>
      <c r="AB299">
        <f t="shared" si="35"/>
        <v>1.9</v>
      </c>
    </row>
    <row r="300" spans="1:28">
      <c r="A300" t="s">
        <v>187</v>
      </c>
      <c r="B300" t="s">
        <v>160</v>
      </c>
      <c r="C300" t="s">
        <v>122</v>
      </c>
      <c r="D300" t="s">
        <v>161</v>
      </c>
      <c r="E300">
        <v>20</v>
      </c>
      <c r="F300" s="14">
        <v>215</v>
      </c>
      <c r="G300">
        <v>436</v>
      </c>
      <c r="H300">
        <v>0.7</v>
      </c>
      <c r="I300">
        <v>754</v>
      </c>
      <c r="J300">
        <v>1127</v>
      </c>
      <c r="K300">
        <v>-1.8</v>
      </c>
      <c r="L300">
        <v>1414</v>
      </c>
      <c r="M300">
        <v>1649</v>
      </c>
      <c r="N300">
        <v>0.9</v>
      </c>
      <c r="O300">
        <v>2016</v>
      </c>
      <c r="P300">
        <v>2355</v>
      </c>
      <c r="Q300">
        <v>-2</v>
      </c>
      <c r="U300">
        <f t="shared" si="30"/>
        <v>0.7</v>
      </c>
      <c r="V300">
        <f t="shared" si="31"/>
        <v>1.8</v>
      </c>
      <c r="W300">
        <f t="shared" si="32"/>
        <v>0.9</v>
      </c>
      <c r="X300">
        <f t="shared" si="33"/>
        <v>2</v>
      </c>
      <c r="AA300">
        <f t="shared" si="34"/>
        <v>1.35</v>
      </c>
      <c r="AB300">
        <f t="shared" si="35"/>
        <v>2</v>
      </c>
    </row>
    <row r="301" spans="1:28">
      <c r="A301" t="s">
        <v>187</v>
      </c>
      <c r="B301" t="s">
        <v>160</v>
      </c>
      <c r="C301" t="s">
        <v>122</v>
      </c>
      <c r="D301" t="s">
        <v>161</v>
      </c>
      <c r="E301">
        <v>21</v>
      </c>
      <c r="F301" s="14">
        <v>253</v>
      </c>
      <c r="G301">
        <v>521</v>
      </c>
      <c r="H301">
        <v>0.8</v>
      </c>
      <c r="I301">
        <v>849</v>
      </c>
      <c r="J301">
        <v>1215</v>
      </c>
      <c r="K301">
        <v>-1.6</v>
      </c>
      <c r="L301">
        <v>1501</v>
      </c>
      <c r="M301">
        <v>1730</v>
      </c>
      <c r="N301">
        <v>0.8</v>
      </c>
      <c r="O301">
        <v>2049</v>
      </c>
      <c r="U301">
        <f t="shared" si="30"/>
        <v>0.8</v>
      </c>
      <c r="V301">
        <f t="shared" si="31"/>
        <v>1.6</v>
      </c>
      <c r="W301">
        <f t="shared" si="32"/>
        <v>0.8</v>
      </c>
      <c r="AA301">
        <f t="shared" si="34"/>
        <v>1.0666666666666667</v>
      </c>
      <c r="AB301">
        <f t="shared" si="35"/>
        <v>1.6</v>
      </c>
    </row>
    <row r="302" spans="1:28">
      <c r="A302" t="s">
        <v>187</v>
      </c>
      <c r="B302" t="s">
        <v>160</v>
      </c>
      <c r="C302" t="s">
        <v>122</v>
      </c>
      <c r="D302" t="s">
        <v>161</v>
      </c>
      <c r="E302">
        <v>22</v>
      </c>
      <c r="G302">
        <v>35</v>
      </c>
      <c r="H302">
        <v>-2</v>
      </c>
      <c r="I302">
        <v>336</v>
      </c>
      <c r="J302">
        <v>610</v>
      </c>
      <c r="K302">
        <v>0.8</v>
      </c>
      <c r="L302">
        <v>948</v>
      </c>
      <c r="M302">
        <v>1308</v>
      </c>
      <c r="N302">
        <v>-1.4</v>
      </c>
      <c r="O302">
        <v>1553</v>
      </c>
      <c r="P302">
        <v>1814</v>
      </c>
      <c r="Q302">
        <v>0.6</v>
      </c>
      <c r="R302">
        <v>2125</v>
      </c>
      <c r="U302">
        <f t="shared" si="30"/>
        <v>2</v>
      </c>
      <c r="V302">
        <f t="shared" si="31"/>
        <v>0.8</v>
      </c>
      <c r="W302">
        <f t="shared" si="32"/>
        <v>1.4</v>
      </c>
      <c r="X302">
        <f t="shared" si="33"/>
        <v>0.6</v>
      </c>
      <c r="AA302">
        <f t="shared" si="34"/>
        <v>1.1999999999999997</v>
      </c>
      <c r="AB302">
        <f t="shared" si="35"/>
        <v>2</v>
      </c>
    </row>
    <row r="303" spans="1:28">
      <c r="A303" t="s">
        <v>187</v>
      </c>
      <c r="B303" t="s">
        <v>160</v>
      </c>
      <c r="C303" t="s">
        <v>122</v>
      </c>
      <c r="D303" t="s">
        <v>161</v>
      </c>
      <c r="E303">
        <v>23</v>
      </c>
      <c r="G303">
        <v>119</v>
      </c>
      <c r="H303">
        <v>-1.9</v>
      </c>
      <c r="I303">
        <v>425</v>
      </c>
      <c r="J303">
        <v>705</v>
      </c>
      <c r="K303">
        <v>0.8</v>
      </c>
      <c r="L303">
        <v>1054</v>
      </c>
      <c r="M303">
        <v>1409</v>
      </c>
      <c r="N303">
        <v>-1.2</v>
      </c>
      <c r="O303">
        <v>1655</v>
      </c>
      <c r="P303">
        <v>1906</v>
      </c>
      <c r="Q303">
        <v>0.5</v>
      </c>
      <c r="R303">
        <v>2205</v>
      </c>
      <c r="U303">
        <f t="shared" si="30"/>
        <v>1.9</v>
      </c>
      <c r="V303">
        <f t="shared" si="31"/>
        <v>0.8</v>
      </c>
      <c r="W303">
        <f t="shared" si="32"/>
        <v>1.2</v>
      </c>
      <c r="X303">
        <f t="shared" si="33"/>
        <v>0.5</v>
      </c>
      <c r="AA303">
        <f t="shared" si="34"/>
        <v>1.1000000000000001</v>
      </c>
      <c r="AB303">
        <f t="shared" si="35"/>
        <v>1.9</v>
      </c>
    </row>
    <row r="304" spans="1:28">
      <c r="A304" t="s">
        <v>187</v>
      </c>
      <c r="B304" t="s">
        <v>160</v>
      </c>
      <c r="C304" t="s">
        <v>122</v>
      </c>
      <c r="D304" t="s">
        <v>161</v>
      </c>
      <c r="E304">
        <v>24</v>
      </c>
      <c r="G304">
        <v>211</v>
      </c>
      <c r="H304">
        <v>-1.8</v>
      </c>
      <c r="I304">
        <v>520</v>
      </c>
      <c r="J304">
        <v>809</v>
      </c>
      <c r="K304">
        <v>0.8</v>
      </c>
      <c r="L304">
        <v>1209</v>
      </c>
      <c r="M304">
        <v>1522</v>
      </c>
      <c r="N304">
        <v>-1</v>
      </c>
      <c r="O304">
        <v>1813</v>
      </c>
      <c r="P304">
        <v>2009</v>
      </c>
      <c r="Q304">
        <v>0.3</v>
      </c>
      <c r="R304">
        <v>2254</v>
      </c>
      <c r="U304">
        <f t="shared" si="30"/>
        <v>1.8</v>
      </c>
      <c r="V304">
        <f t="shared" si="31"/>
        <v>0.8</v>
      </c>
      <c r="W304">
        <f t="shared" si="32"/>
        <v>1</v>
      </c>
      <c r="X304">
        <f t="shared" si="33"/>
        <v>0.3</v>
      </c>
      <c r="AA304">
        <f t="shared" si="34"/>
        <v>0.97499999999999998</v>
      </c>
      <c r="AB304">
        <f t="shared" si="35"/>
        <v>1.8</v>
      </c>
    </row>
    <row r="305" spans="1:28">
      <c r="A305" t="s">
        <v>187</v>
      </c>
      <c r="B305" t="s">
        <v>160</v>
      </c>
      <c r="C305" t="s">
        <v>122</v>
      </c>
      <c r="D305" t="s">
        <v>161</v>
      </c>
      <c r="E305">
        <v>25</v>
      </c>
      <c r="G305">
        <v>313</v>
      </c>
      <c r="H305">
        <v>-1.7</v>
      </c>
      <c r="I305">
        <v>623</v>
      </c>
      <c r="J305">
        <v>921</v>
      </c>
      <c r="K305">
        <v>0.8</v>
      </c>
      <c r="L305">
        <v>1330</v>
      </c>
      <c r="M305">
        <v>1645</v>
      </c>
      <c r="N305">
        <v>-1</v>
      </c>
      <c r="O305">
        <v>1946</v>
      </c>
      <c r="P305">
        <v>2127</v>
      </c>
      <c r="Q305">
        <v>0.2</v>
      </c>
      <c r="R305">
        <v>2358</v>
      </c>
      <c r="U305">
        <f t="shared" si="30"/>
        <v>1.7</v>
      </c>
      <c r="V305">
        <f t="shared" si="31"/>
        <v>0.8</v>
      </c>
      <c r="W305">
        <f t="shared" si="32"/>
        <v>1</v>
      </c>
      <c r="X305">
        <f t="shared" si="33"/>
        <v>0.2</v>
      </c>
      <c r="AA305">
        <f t="shared" si="34"/>
        <v>0.92500000000000004</v>
      </c>
      <c r="AB305">
        <f t="shared" si="35"/>
        <v>1.7</v>
      </c>
    </row>
    <row r="306" spans="1:28">
      <c r="A306" t="s">
        <v>187</v>
      </c>
      <c r="B306" t="s">
        <v>160</v>
      </c>
      <c r="C306" t="s">
        <v>122</v>
      </c>
      <c r="D306" t="s">
        <v>161</v>
      </c>
      <c r="E306">
        <v>26</v>
      </c>
      <c r="G306">
        <v>425</v>
      </c>
      <c r="H306">
        <v>-1.6</v>
      </c>
      <c r="I306">
        <v>733</v>
      </c>
      <c r="J306">
        <v>1036</v>
      </c>
      <c r="K306">
        <v>0.8</v>
      </c>
      <c r="L306">
        <v>1445</v>
      </c>
      <c r="M306">
        <v>1806</v>
      </c>
      <c r="N306">
        <v>-1.1000000000000001</v>
      </c>
      <c r="O306">
        <v>2114</v>
      </c>
      <c r="P306">
        <v>2251</v>
      </c>
      <c r="Q306">
        <v>0.2</v>
      </c>
      <c r="U306">
        <f t="shared" si="30"/>
        <v>1.6</v>
      </c>
      <c r="V306">
        <f t="shared" si="31"/>
        <v>0.8</v>
      </c>
      <c r="W306">
        <f t="shared" si="32"/>
        <v>1.1000000000000001</v>
      </c>
      <c r="X306">
        <f t="shared" si="33"/>
        <v>0.2</v>
      </c>
      <c r="AA306">
        <f t="shared" si="34"/>
        <v>0.92500000000000016</v>
      </c>
      <c r="AB306">
        <f t="shared" si="35"/>
        <v>1.6</v>
      </c>
    </row>
    <row r="307" spans="1:28">
      <c r="A307" t="s">
        <v>187</v>
      </c>
      <c r="B307" t="s">
        <v>160</v>
      </c>
      <c r="C307" t="s">
        <v>122</v>
      </c>
      <c r="D307" t="s">
        <v>161</v>
      </c>
      <c r="E307">
        <v>27</v>
      </c>
      <c r="F307" s="14">
        <v>118</v>
      </c>
      <c r="G307">
        <v>541</v>
      </c>
      <c r="H307">
        <v>-1.6</v>
      </c>
      <c r="I307">
        <v>841</v>
      </c>
      <c r="J307">
        <v>1145</v>
      </c>
      <c r="K307">
        <v>0.9</v>
      </c>
      <c r="L307">
        <v>1548</v>
      </c>
      <c r="M307">
        <v>1913</v>
      </c>
      <c r="N307">
        <v>-1.3</v>
      </c>
      <c r="O307">
        <v>2220</v>
      </c>
      <c r="U307">
        <f t="shared" si="30"/>
        <v>1.6</v>
      </c>
      <c r="V307">
        <f t="shared" si="31"/>
        <v>0.9</v>
      </c>
      <c r="W307">
        <f t="shared" si="32"/>
        <v>1.3</v>
      </c>
      <c r="AA307">
        <f t="shared" si="34"/>
        <v>1.2666666666666666</v>
      </c>
      <c r="AB307">
        <f t="shared" si="35"/>
        <v>1.6</v>
      </c>
    </row>
    <row r="308" spans="1:28">
      <c r="A308" t="s">
        <v>187</v>
      </c>
      <c r="B308" t="s">
        <v>160</v>
      </c>
      <c r="C308" t="s">
        <v>122</v>
      </c>
      <c r="D308" t="s">
        <v>161</v>
      </c>
      <c r="E308">
        <v>28</v>
      </c>
      <c r="G308">
        <v>4</v>
      </c>
      <c r="H308">
        <v>0.3</v>
      </c>
      <c r="I308">
        <v>240</v>
      </c>
      <c r="J308">
        <v>649</v>
      </c>
      <c r="K308">
        <v>-1.6</v>
      </c>
      <c r="L308">
        <v>944</v>
      </c>
      <c r="M308">
        <v>1244</v>
      </c>
      <c r="N308">
        <v>0.9</v>
      </c>
      <c r="O308">
        <v>1640</v>
      </c>
      <c r="P308">
        <v>2007</v>
      </c>
      <c r="Q308">
        <v>-1.5</v>
      </c>
      <c r="R308">
        <v>2310</v>
      </c>
      <c r="U308">
        <f t="shared" si="30"/>
        <v>0.3</v>
      </c>
      <c r="V308">
        <f t="shared" si="31"/>
        <v>1.6</v>
      </c>
      <c r="W308">
        <f t="shared" si="32"/>
        <v>0.9</v>
      </c>
      <c r="X308">
        <f t="shared" si="33"/>
        <v>1.5</v>
      </c>
      <c r="AA308">
        <f t="shared" si="34"/>
        <v>1.0750000000000002</v>
      </c>
      <c r="AB308">
        <f t="shared" si="35"/>
        <v>1.6</v>
      </c>
    </row>
    <row r="309" spans="1:28">
      <c r="A309" t="s">
        <v>187</v>
      </c>
      <c r="B309" t="s">
        <v>160</v>
      </c>
      <c r="C309" t="s">
        <v>122</v>
      </c>
      <c r="D309" t="s">
        <v>161</v>
      </c>
      <c r="E309">
        <v>29</v>
      </c>
      <c r="G309">
        <v>104</v>
      </c>
      <c r="H309">
        <v>0.4</v>
      </c>
      <c r="I309">
        <v>351</v>
      </c>
      <c r="J309">
        <v>749</v>
      </c>
      <c r="K309">
        <v>-1.8</v>
      </c>
      <c r="L309">
        <v>1040</v>
      </c>
      <c r="M309">
        <v>1334</v>
      </c>
      <c r="N309">
        <v>1</v>
      </c>
      <c r="O309">
        <v>1724</v>
      </c>
      <c r="P309">
        <v>2052</v>
      </c>
      <c r="Q309">
        <v>-1.7</v>
      </c>
      <c r="R309">
        <v>2352</v>
      </c>
      <c r="U309">
        <f t="shared" si="30"/>
        <v>0.4</v>
      </c>
      <c r="V309">
        <f t="shared" si="31"/>
        <v>1.8</v>
      </c>
      <c r="W309">
        <f t="shared" si="32"/>
        <v>1</v>
      </c>
      <c r="X309">
        <f t="shared" si="33"/>
        <v>1.7</v>
      </c>
      <c r="AA309">
        <f t="shared" si="34"/>
        <v>1.2250000000000001</v>
      </c>
      <c r="AB309">
        <f t="shared" si="35"/>
        <v>1.8</v>
      </c>
    </row>
    <row r="310" spans="1:28">
      <c r="A310" t="s">
        <v>187</v>
      </c>
      <c r="B310" t="s">
        <v>160</v>
      </c>
      <c r="C310" t="s">
        <v>122</v>
      </c>
      <c r="D310" t="s">
        <v>161</v>
      </c>
      <c r="E310">
        <v>30</v>
      </c>
      <c r="G310">
        <v>156</v>
      </c>
      <c r="H310">
        <v>0.5</v>
      </c>
      <c r="I310">
        <v>452</v>
      </c>
      <c r="J310">
        <v>841</v>
      </c>
      <c r="K310">
        <v>-1.8</v>
      </c>
      <c r="L310">
        <v>1130</v>
      </c>
      <c r="M310">
        <v>1419</v>
      </c>
      <c r="N310">
        <v>1</v>
      </c>
      <c r="O310">
        <v>1802</v>
      </c>
      <c r="P310">
        <v>2132</v>
      </c>
      <c r="Q310">
        <v>-1.8</v>
      </c>
      <c r="U310">
        <f t="shared" si="30"/>
        <v>0.5</v>
      </c>
      <c r="V310">
        <f t="shared" si="31"/>
        <v>1.8</v>
      </c>
      <c r="W310">
        <f t="shared" si="32"/>
        <v>1</v>
      </c>
      <c r="X310">
        <f t="shared" si="33"/>
        <v>1.8</v>
      </c>
      <c r="AA310">
        <f t="shared" si="34"/>
        <v>1.2749999999999999</v>
      </c>
      <c r="AB310">
        <f t="shared" si="35"/>
        <v>1.8</v>
      </c>
    </row>
    <row r="311" spans="1:28">
      <c r="A311" t="s">
        <v>187</v>
      </c>
      <c r="B311" t="s">
        <v>160</v>
      </c>
      <c r="C311" t="s">
        <v>122</v>
      </c>
      <c r="D311" t="s">
        <v>161</v>
      </c>
      <c r="E311">
        <v>31</v>
      </c>
      <c r="F311" s="14">
        <v>30</v>
      </c>
      <c r="G311">
        <v>241</v>
      </c>
      <c r="H311">
        <v>0.6</v>
      </c>
      <c r="I311">
        <v>547</v>
      </c>
      <c r="J311">
        <v>928</v>
      </c>
      <c r="K311">
        <v>-1.8</v>
      </c>
      <c r="L311">
        <v>1216</v>
      </c>
      <c r="M311">
        <v>1459</v>
      </c>
      <c r="N311">
        <v>1</v>
      </c>
      <c r="O311">
        <v>1836</v>
      </c>
      <c r="P311">
        <v>2208</v>
      </c>
      <c r="Q311">
        <v>-1.9</v>
      </c>
      <c r="U311">
        <f t="shared" si="30"/>
        <v>0.6</v>
      </c>
      <c r="V311">
        <f t="shared" si="31"/>
        <v>1.8</v>
      </c>
      <c r="W311">
        <f t="shared" si="32"/>
        <v>1</v>
      </c>
      <c r="X311">
        <f t="shared" si="33"/>
        <v>1.9</v>
      </c>
      <c r="AA311">
        <f t="shared" si="34"/>
        <v>1.325</v>
      </c>
      <c r="AB311">
        <f t="shared" si="35"/>
        <v>1.9</v>
      </c>
    </row>
    <row r="312" spans="1:28">
      <c r="A312" t="s">
        <v>188</v>
      </c>
      <c r="B312" t="s">
        <v>189</v>
      </c>
      <c r="C312" t="s">
        <v>122</v>
      </c>
      <c r="D312" t="s">
        <v>131</v>
      </c>
      <c r="E312">
        <v>1</v>
      </c>
      <c r="F312" s="14">
        <v>59</v>
      </c>
      <c r="G312">
        <v>309</v>
      </c>
      <c r="H312">
        <v>0.4</v>
      </c>
      <c r="I312">
        <v>335</v>
      </c>
      <c r="J312">
        <v>852</v>
      </c>
      <c r="K312">
        <v>-1.5</v>
      </c>
      <c r="L312">
        <v>1304</v>
      </c>
      <c r="M312">
        <v>1637</v>
      </c>
      <c r="N312">
        <v>1.3</v>
      </c>
      <c r="O312">
        <v>1906</v>
      </c>
      <c r="P312">
        <v>2209</v>
      </c>
      <c r="Q312">
        <v>-0.8</v>
      </c>
      <c r="U312">
        <f t="shared" si="30"/>
        <v>0.4</v>
      </c>
      <c r="V312">
        <f t="shared" si="31"/>
        <v>1.5</v>
      </c>
      <c r="W312">
        <f t="shared" si="32"/>
        <v>1.3</v>
      </c>
      <c r="X312">
        <f t="shared" si="33"/>
        <v>0.8</v>
      </c>
      <c r="AA312">
        <f t="shared" si="34"/>
        <v>1</v>
      </c>
      <c r="AB312">
        <f t="shared" si="35"/>
        <v>1.5</v>
      </c>
    </row>
    <row r="313" spans="1:28">
      <c r="A313" t="s">
        <v>188</v>
      </c>
      <c r="B313" t="s">
        <v>189</v>
      </c>
      <c r="C313" t="s">
        <v>122</v>
      </c>
      <c r="D313" t="s">
        <v>131</v>
      </c>
      <c r="E313">
        <v>2</v>
      </c>
      <c r="F313" s="14">
        <v>148</v>
      </c>
      <c r="G313">
        <v>403</v>
      </c>
      <c r="H313">
        <v>0.4</v>
      </c>
      <c r="I313">
        <v>443</v>
      </c>
      <c r="J313">
        <v>943</v>
      </c>
      <c r="K313">
        <v>-1.5</v>
      </c>
      <c r="L313">
        <v>1346</v>
      </c>
      <c r="M313">
        <v>1712</v>
      </c>
      <c r="N313">
        <v>1.3</v>
      </c>
      <c r="O313">
        <v>1937</v>
      </c>
      <c r="P313">
        <v>2247</v>
      </c>
      <c r="Q313">
        <v>-0.9</v>
      </c>
      <c r="U313">
        <f t="shared" si="30"/>
        <v>0.4</v>
      </c>
      <c r="V313">
        <f t="shared" si="31"/>
        <v>1.5</v>
      </c>
      <c r="W313">
        <f t="shared" si="32"/>
        <v>1.3</v>
      </c>
      <c r="X313">
        <f t="shared" si="33"/>
        <v>0.9</v>
      </c>
      <c r="AA313">
        <f t="shared" si="34"/>
        <v>1.0250000000000001</v>
      </c>
      <c r="AB313">
        <f t="shared" si="35"/>
        <v>1.5</v>
      </c>
    </row>
    <row r="314" spans="1:28">
      <c r="A314" t="s">
        <v>188</v>
      </c>
      <c r="B314" t="s">
        <v>189</v>
      </c>
      <c r="C314" t="s">
        <v>122</v>
      </c>
      <c r="D314" t="s">
        <v>131</v>
      </c>
      <c r="E314">
        <v>3</v>
      </c>
      <c r="F314" s="14">
        <v>236</v>
      </c>
      <c r="G314">
        <v>455</v>
      </c>
      <c r="H314">
        <v>0.5</v>
      </c>
      <c r="I314">
        <v>548</v>
      </c>
      <c r="J314">
        <v>1029</v>
      </c>
      <c r="K314">
        <v>-1.4</v>
      </c>
      <c r="L314">
        <v>1426</v>
      </c>
      <c r="M314">
        <v>1748</v>
      </c>
      <c r="N314">
        <v>1.3</v>
      </c>
      <c r="O314">
        <v>2005</v>
      </c>
      <c r="P314">
        <v>2324</v>
      </c>
      <c r="Q314">
        <v>-1.1000000000000001</v>
      </c>
      <c r="U314">
        <f t="shared" si="30"/>
        <v>0.5</v>
      </c>
      <c r="V314">
        <f t="shared" si="31"/>
        <v>1.4</v>
      </c>
      <c r="W314">
        <f t="shared" si="32"/>
        <v>1.3</v>
      </c>
      <c r="X314">
        <f t="shared" si="33"/>
        <v>1.1000000000000001</v>
      </c>
      <c r="AA314">
        <f t="shared" si="34"/>
        <v>1.0750000000000002</v>
      </c>
      <c r="AB314">
        <f t="shared" si="35"/>
        <v>1.4</v>
      </c>
    </row>
    <row r="315" spans="1:28">
      <c r="A315" t="s">
        <v>188</v>
      </c>
      <c r="B315" t="s">
        <v>189</v>
      </c>
      <c r="C315" t="s">
        <v>122</v>
      </c>
      <c r="D315" t="s">
        <v>131</v>
      </c>
      <c r="E315">
        <v>4</v>
      </c>
      <c r="F315" s="14">
        <v>324</v>
      </c>
      <c r="G315">
        <v>548</v>
      </c>
      <c r="H315">
        <v>0.5</v>
      </c>
      <c r="I315">
        <v>650</v>
      </c>
      <c r="J315">
        <v>1111</v>
      </c>
      <c r="K315">
        <v>-1.3</v>
      </c>
      <c r="L315">
        <v>1505</v>
      </c>
      <c r="M315">
        <v>1824</v>
      </c>
      <c r="N315">
        <v>1.3</v>
      </c>
      <c r="O315">
        <v>2030</v>
      </c>
      <c r="U315">
        <f t="shared" si="30"/>
        <v>0.5</v>
      </c>
      <c r="V315">
        <f t="shared" si="31"/>
        <v>1.3</v>
      </c>
      <c r="W315">
        <f t="shared" si="32"/>
        <v>1.3</v>
      </c>
      <c r="AA315">
        <f t="shared" si="34"/>
        <v>1.0333333333333334</v>
      </c>
      <c r="AB315">
        <f t="shared" si="35"/>
        <v>1.3</v>
      </c>
    </row>
    <row r="316" spans="1:28">
      <c r="A316" t="s">
        <v>188</v>
      </c>
      <c r="B316" t="s">
        <v>189</v>
      </c>
      <c r="C316" t="s">
        <v>122</v>
      </c>
      <c r="D316" t="s">
        <v>131</v>
      </c>
      <c r="E316">
        <v>5</v>
      </c>
      <c r="G316">
        <v>1</v>
      </c>
      <c r="H316">
        <v>-1.1000000000000001</v>
      </c>
      <c r="I316">
        <v>412</v>
      </c>
      <c r="J316">
        <v>640</v>
      </c>
      <c r="K316">
        <v>0.5</v>
      </c>
      <c r="L316">
        <v>746</v>
      </c>
      <c r="M316">
        <v>1152</v>
      </c>
      <c r="N316">
        <v>-1.1000000000000001</v>
      </c>
      <c r="O316">
        <v>1543</v>
      </c>
      <c r="P316">
        <v>1901</v>
      </c>
      <c r="Q316">
        <v>1.1000000000000001</v>
      </c>
      <c r="R316">
        <v>2054</v>
      </c>
      <c r="U316">
        <f t="shared" si="30"/>
        <v>1.1000000000000001</v>
      </c>
      <c r="V316">
        <f t="shared" si="31"/>
        <v>0.5</v>
      </c>
      <c r="W316">
        <f t="shared" si="32"/>
        <v>1.1000000000000001</v>
      </c>
      <c r="X316">
        <f t="shared" si="33"/>
        <v>1.1000000000000001</v>
      </c>
      <c r="AA316">
        <f t="shared" si="34"/>
        <v>0.95000000000000007</v>
      </c>
      <c r="AB316">
        <f t="shared" si="35"/>
        <v>1.1000000000000001</v>
      </c>
    </row>
    <row r="317" spans="1:28">
      <c r="A317" t="s">
        <v>188</v>
      </c>
      <c r="B317" t="s">
        <v>189</v>
      </c>
      <c r="C317" t="s">
        <v>122</v>
      </c>
      <c r="D317" t="s">
        <v>131</v>
      </c>
      <c r="E317">
        <v>6</v>
      </c>
      <c r="G317">
        <v>39</v>
      </c>
      <c r="H317">
        <v>-1.1000000000000001</v>
      </c>
      <c r="I317">
        <v>502</v>
      </c>
      <c r="J317">
        <v>731</v>
      </c>
      <c r="K317">
        <v>0.5</v>
      </c>
      <c r="L317">
        <v>839</v>
      </c>
      <c r="M317">
        <v>1234</v>
      </c>
      <c r="N317">
        <v>-0.9</v>
      </c>
      <c r="O317">
        <v>1621</v>
      </c>
      <c r="P317">
        <v>1939</v>
      </c>
      <c r="Q317">
        <v>1</v>
      </c>
      <c r="R317">
        <v>2116</v>
      </c>
      <c r="U317">
        <f t="shared" si="30"/>
        <v>1.1000000000000001</v>
      </c>
      <c r="V317">
        <f t="shared" si="31"/>
        <v>0.5</v>
      </c>
      <c r="W317">
        <f t="shared" si="32"/>
        <v>0.9</v>
      </c>
      <c r="X317">
        <f t="shared" si="33"/>
        <v>1</v>
      </c>
      <c r="AA317">
        <f t="shared" si="34"/>
        <v>0.875</v>
      </c>
      <c r="AB317">
        <f t="shared" si="35"/>
        <v>1.1000000000000001</v>
      </c>
    </row>
    <row r="318" spans="1:28">
      <c r="A318" t="s">
        <v>188</v>
      </c>
      <c r="B318" t="s">
        <v>189</v>
      </c>
      <c r="C318" t="s">
        <v>122</v>
      </c>
      <c r="D318" t="s">
        <v>131</v>
      </c>
      <c r="E318">
        <v>7</v>
      </c>
      <c r="G318">
        <v>120</v>
      </c>
      <c r="H318">
        <v>-1.1000000000000001</v>
      </c>
      <c r="I318">
        <v>552</v>
      </c>
      <c r="J318">
        <v>819</v>
      </c>
      <c r="K318">
        <v>0.5</v>
      </c>
      <c r="L318">
        <v>931</v>
      </c>
      <c r="M318">
        <v>1320</v>
      </c>
      <c r="N318">
        <v>-0.7</v>
      </c>
      <c r="O318">
        <v>1700</v>
      </c>
      <c r="P318">
        <v>2018</v>
      </c>
      <c r="Q318">
        <v>0.8</v>
      </c>
      <c r="R318">
        <v>2136</v>
      </c>
      <c r="U318">
        <f t="shared" si="30"/>
        <v>1.1000000000000001</v>
      </c>
      <c r="V318">
        <f t="shared" si="31"/>
        <v>0.5</v>
      </c>
      <c r="W318">
        <f t="shared" si="32"/>
        <v>0.7</v>
      </c>
      <c r="X318">
        <f t="shared" si="33"/>
        <v>0.8</v>
      </c>
      <c r="AA318">
        <f t="shared" si="34"/>
        <v>0.77499999999999991</v>
      </c>
      <c r="AB318">
        <f t="shared" si="35"/>
        <v>1.1000000000000001</v>
      </c>
    </row>
    <row r="319" spans="1:28">
      <c r="A319" t="s">
        <v>188</v>
      </c>
      <c r="B319" t="s">
        <v>189</v>
      </c>
      <c r="C319" t="s">
        <v>122</v>
      </c>
      <c r="D319" t="s">
        <v>131</v>
      </c>
      <c r="E319">
        <v>8</v>
      </c>
      <c r="G319">
        <v>205</v>
      </c>
      <c r="H319">
        <v>-1.1000000000000001</v>
      </c>
      <c r="I319">
        <v>643</v>
      </c>
      <c r="J319">
        <v>906</v>
      </c>
      <c r="K319">
        <v>0.5</v>
      </c>
      <c r="L319">
        <v>1029</v>
      </c>
      <c r="M319">
        <v>1418</v>
      </c>
      <c r="N319">
        <v>-0.5</v>
      </c>
      <c r="O319">
        <v>1742</v>
      </c>
      <c r="P319">
        <v>2058</v>
      </c>
      <c r="Q319">
        <v>0.7</v>
      </c>
      <c r="R319">
        <v>2154</v>
      </c>
      <c r="U319">
        <f t="shared" si="30"/>
        <v>1.1000000000000001</v>
      </c>
      <c r="V319">
        <f t="shared" si="31"/>
        <v>0.5</v>
      </c>
      <c r="W319">
        <f t="shared" si="32"/>
        <v>0.5</v>
      </c>
      <c r="X319">
        <f t="shared" si="33"/>
        <v>0.7</v>
      </c>
      <c r="AA319">
        <f t="shared" si="34"/>
        <v>0.7</v>
      </c>
      <c r="AB319">
        <f t="shared" si="35"/>
        <v>1.1000000000000001</v>
      </c>
    </row>
    <row r="320" spans="1:28">
      <c r="A320" t="s">
        <v>188</v>
      </c>
      <c r="B320" t="s">
        <v>189</v>
      </c>
      <c r="C320" t="s">
        <v>122</v>
      </c>
      <c r="D320" t="s">
        <v>131</v>
      </c>
      <c r="E320">
        <v>9</v>
      </c>
      <c r="G320">
        <v>256</v>
      </c>
      <c r="H320">
        <v>-1.1000000000000001</v>
      </c>
      <c r="I320">
        <v>735</v>
      </c>
      <c r="J320">
        <v>956</v>
      </c>
      <c r="K320">
        <v>0.5</v>
      </c>
      <c r="L320">
        <v>1150</v>
      </c>
      <c r="M320">
        <v>1527</v>
      </c>
      <c r="N320">
        <v>-0.3</v>
      </c>
      <c r="O320">
        <v>1834</v>
      </c>
      <c r="P320">
        <v>2140</v>
      </c>
      <c r="Q320">
        <v>0.5</v>
      </c>
      <c r="R320">
        <v>2212</v>
      </c>
      <c r="U320">
        <f t="shared" si="30"/>
        <v>1.1000000000000001</v>
      </c>
      <c r="V320">
        <f t="shared" si="31"/>
        <v>0.5</v>
      </c>
      <c r="W320">
        <f t="shared" si="32"/>
        <v>0.3</v>
      </c>
      <c r="X320">
        <f t="shared" si="33"/>
        <v>0.5</v>
      </c>
      <c r="AA320">
        <f t="shared" si="34"/>
        <v>0.60000000000000009</v>
      </c>
      <c r="AB320">
        <f t="shared" si="35"/>
        <v>1.1000000000000001</v>
      </c>
    </row>
    <row r="321" spans="1:28">
      <c r="A321" t="s">
        <v>188</v>
      </c>
      <c r="B321" t="s">
        <v>189</v>
      </c>
      <c r="C321" t="s">
        <v>122</v>
      </c>
      <c r="D321" t="s">
        <v>131</v>
      </c>
      <c r="E321">
        <v>10</v>
      </c>
      <c r="G321">
        <v>349</v>
      </c>
      <c r="H321">
        <v>-1.1000000000000001</v>
      </c>
      <c r="I321">
        <v>829</v>
      </c>
      <c r="J321">
        <v>1052</v>
      </c>
      <c r="K321">
        <v>0.4</v>
      </c>
      <c r="L321">
        <v>1355</v>
      </c>
      <c r="M321">
        <v>1636</v>
      </c>
      <c r="N321">
        <v>-0.2</v>
      </c>
      <c r="O321">
        <v>1945</v>
      </c>
      <c r="P321">
        <v>2226</v>
      </c>
      <c r="Q321">
        <v>0.3</v>
      </c>
      <c r="R321">
        <v>2236</v>
      </c>
      <c r="U321">
        <f t="shared" si="30"/>
        <v>1.1000000000000001</v>
      </c>
      <c r="V321">
        <f t="shared" si="31"/>
        <v>0.4</v>
      </c>
      <c r="W321">
        <f t="shared" si="32"/>
        <v>0.2</v>
      </c>
      <c r="X321">
        <f t="shared" si="33"/>
        <v>0.3</v>
      </c>
      <c r="AA321">
        <f t="shared" si="34"/>
        <v>0.5</v>
      </c>
      <c r="AB321">
        <f t="shared" si="35"/>
        <v>1.1000000000000001</v>
      </c>
    </row>
    <row r="322" spans="1:28">
      <c r="A322" t="s">
        <v>188</v>
      </c>
      <c r="B322" t="s">
        <v>189</v>
      </c>
      <c r="C322" t="s">
        <v>122</v>
      </c>
      <c r="D322" t="s">
        <v>131</v>
      </c>
      <c r="E322">
        <v>11</v>
      </c>
      <c r="G322">
        <v>442</v>
      </c>
      <c r="H322">
        <v>-1.1000000000000001</v>
      </c>
      <c r="I322">
        <v>925</v>
      </c>
      <c r="J322">
        <v>1217</v>
      </c>
      <c r="K322">
        <v>0.4</v>
      </c>
      <c r="L322">
        <v>1534</v>
      </c>
      <c r="M322">
        <v>1743</v>
      </c>
      <c r="N322">
        <v>-0.2</v>
      </c>
      <c r="O322">
        <v>2122</v>
      </c>
      <c r="P322">
        <v>2321</v>
      </c>
      <c r="Q322">
        <v>0.2</v>
      </c>
      <c r="R322">
        <v>2305</v>
      </c>
      <c r="U322">
        <f t="shared" si="30"/>
        <v>1.1000000000000001</v>
      </c>
      <c r="V322">
        <f t="shared" si="31"/>
        <v>0.4</v>
      </c>
      <c r="W322">
        <f t="shared" si="32"/>
        <v>0.2</v>
      </c>
      <c r="X322">
        <f t="shared" si="33"/>
        <v>0.2</v>
      </c>
      <c r="AA322">
        <f t="shared" si="34"/>
        <v>0.47499999999999998</v>
      </c>
      <c r="AB322">
        <f t="shared" si="35"/>
        <v>1.1000000000000001</v>
      </c>
    </row>
    <row r="323" spans="1:28">
      <c r="A323" t="s">
        <v>188</v>
      </c>
      <c r="B323" t="s">
        <v>189</v>
      </c>
      <c r="C323" t="s">
        <v>122</v>
      </c>
      <c r="D323" t="s">
        <v>131</v>
      </c>
      <c r="E323">
        <v>12</v>
      </c>
      <c r="G323">
        <v>534</v>
      </c>
      <c r="H323">
        <v>-1.1000000000000001</v>
      </c>
      <c r="I323">
        <v>1019</v>
      </c>
      <c r="J323">
        <v>1438</v>
      </c>
      <c r="K323">
        <v>0.6</v>
      </c>
      <c r="L323">
        <v>1635</v>
      </c>
      <c r="M323">
        <v>1856</v>
      </c>
      <c r="N323">
        <v>-0.2</v>
      </c>
      <c r="U323">
        <f t="shared" ref="U323:U386" si="36">ABS(H323)</f>
        <v>1.1000000000000001</v>
      </c>
      <c r="V323">
        <f t="shared" ref="V323:V386" si="37">ABS(K323)</f>
        <v>0.6</v>
      </c>
      <c r="W323">
        <f t="shared" ref="W323:W386" si="38">ABS(N323)</f>
        <v>0.2</v>
      </c>
      <c r="AA323">
        <f t="shared" si="34"/>
        <v>0.63333333333333341</v>
      </c>
      <c r="AB323">
        <f t="shared" si="35"/>
        <v>1.1000000000000001</v>
      </c>
    </row>
    <row r="324" spans="1:28">
      <c r="A324" t="s">
        <v>188</v>
      </c>
      <c r="B324" t="s">
        <v>189</v>
      </c>
      <c r="C324" t="s">
        <v>122</v>
      </c>
      <c r="D324" t="s">
        <v>131</v>
      </c>
      <c r="E324">
        <v>13</v>
      </c>
      <c r="G324">
        <v>25</v>
      </c>
      <c r="H324">
        <v>0.1</v>
      </c>
      <c r="J324">
        <v>626</v>
      </c>
      <c r="K324">
        <v>-1.1000000000000001</v>
      </c>
      <c r="L324">
        <v>1108</v>
      </c>
      <c r="M324">
        <v>1516</v>
      </c>
      <c r="N324">
        <v>0.8</v>
      </c>
      <c r="O324">
        <v>1721</v>
      </c>
      <c r="P324">
        <v>2042</v>
      </c>
      <c r="Q324">
        <v>-0.3</v>
      </c>
      <c r="U324">
        <f t="shared" si="36"/>
        <v>0.1</v>
      </c>
      <c r="V324">
        <f t="shared" si="37"/>
        <v>1.1000000000000001</v>
      </c>
      <c r="W324">
        <f t="shared" si="38"/>
        <v>0.8</v>
      </c>
      <c r="X324">
        <f t="shared" ref="X324:X386" si="39">ABS(Q324)</f>
        <v>0.3</v>
      </c>
      <c r="AA324">
        <f t="shared" si="34"/>
        <v>0.57499999999999996</v>
      </c>
      <c r="AB324">
        <f t="shared" si="35"/>
        <v>1.1000000000000001</v>
      </c>
    </row>
    <row r="325" spans="1:28">
      <c r="A325" t="s">
        <v>188</v>
      </c>
      <c r="B325" t="s">
        <v>189</v>
      </c>
      <c r="C325" t="s">
        <v>122</v>
      </c>
      <c r="D325" t="s">
        <v>131</v>
      </c>
      <c r="E325">
        <v>14</v>
      </c>
      <c r="G325">
        <v>131</v>
      </c>
      <c r="H325">
        <v>0.1</v>
      </c>
      <c r="J325">
        <v>719</v>
      </c>
      <c r="K325">
        <v>-1.1000000000000001</v>
      </c>
      <c r="L325">
        <v>1151</v>
      </c>
      <c r="M325">
        <v>1542</v>
      </c>
      <c r="N325">
        <v>0.9</v>
      </c>
      <c r="O325">
        <v>1757</v>
      </c>
      <c r="P325">
        <v>2111</v>
      </c>
      <c r="Q325">
        <v>-0.5</v>
      </c>
      <c r="U325">
        <f t="shared" si="36"/>
        <v>0.1</v>
      </c>
      <c r="V325">
        <f t="shared" si="37"/>
        <v>1.1000000000000001</v>
      </c>
      <c r="W325">
        <f t="shared" si="38"/>
        <v>0.9</v>
      </c>
      <c r="X325">
        <f t="shared" si="39"/>
        <v>0.5</v>
      </c>
      <c r="AA325">
        <f t="shared" si="34"/>
        <v>0.65</v>
      </c>
      <c r="AB325">
        <f t="shared" si="35"/>
        <v>1.1000000000000001</v>
      </c>
    </row>
    <row r="326" spans="1:28">
      <c r="A326" t="s">
        <v>188</v>
      </c>
      <c r="B326" t="s">
        <v>189</v>
      </c>
      <c r="C326" t="s">
        <v>122</v>
      </c>
      <c r="D326" t="s">
        <v>131</v>
      </c>
      <c r="E326">
        <v>15</v>
      </c>
      <c r="G326">
        <v>229</v>
      </c>
      <c r="H326">
        <v>0.1</v>
      </c>
      <c r="J326">
        <v>811</v>
      </c>
      <c r="K326">
        <v>-1.1000000000000001</v>
      </c>
      <c r="L326">
        <v>1229</v>
      </c>
      <c r="M326">
        <v>1556</v>
      </c>
      <c r="N326">
        <v>1</v>
      </c>
      <c r="O326">
        <v>1825</v>
      </c>
      <c r="P326">
        <v>2137</v>
      </c>
      <c r="Q326">
        <v>-0.7</v>
      </c>
      <c r="U326">
        <f t="shared" si="36"/>
        <v>0.1</v>
      </c>
      <c r="V326">
        <f t="shared" si="37"/>
        <v>1.1000000000000001</v>
      </c>
      <c r="W326">
        <f t="shared" si="38"/>
        <v>1</v>
      </c>
      <c r="X326">
        <f t="shared" si="39"/>
        <v>0.7</v>
      </c>
      <c r="AA326">
        <f t="shared" si="34"/>
        <v>0.72500000000000009</v>
      </c>
      <c r="AB326">
        <f t="shared" si="35"/>
        <v>1.1000000000000001</v>
      </c>
    </row>
    <row r="327" spans="1:28">
      <c r="A327" t="s">
        <v>188</v>
      </c>
      <c r="B327" t="s">
        <v>189</v>
      </c>
      <c r="C327" t="s">
        <v>122</v>
      </c>
      <c r="D327" t="s">
        <v>131</v>
      </c>
      <c r="E327">
        <v>16</v>
      </c>
      <c r="F327" s="14">
        <v>123</v>
      </c>
      <c r="G327">
        <v>319</v>
      </c>
      <c r="H327">
        <v>0.2</v>
      </c>
      <c r="I327">
        <v>332</v>
      </c>
      <c r="J327">
        <v>859</v>
      </c>
      <c r="K327">
        <v>-1.2</v>
      </c>
      <c r="L327">
        <v>1305</v>
      </c>
      <c r="M327">
        <v>1619</v>
      </c>
      <c r="N327">
        <v>1.1000000000000001</v>
      </c>
      <c r="O327">
        <v>1848</v>
      </c>
      <c r="P327">
        <v>2206</v>
      </c>
      <c r="Q327">
        <v>-0.8</v>
      </c>
      <c r="U327">
        <f t="shared" si="36"/>
        <v>0.2</v>
      </c>
      <c r="V327">
        <f t="shared" si="37"/>
        <v>1.2</v>
      </c>
      <c r="W327">
        <f t="shared" si="38"/>
        <v>1.1000000000000001</v>
      </c>
      <c r="X327">
        <f t="shared" si="39"/>
        <v>0.8</v>
      </c>
      <c r="AA327">
        <f t="shared" si="34"/>
        <v>0.82499999999999996</v>
      </c>
      <c r="AB327">
        <f t="shared" si="35"/>
        <v>1.2</v>
      </c>
    </row>
    <row r="328" spans="1:28">
      <c r="A328" t="s">
        <v>188</v>
      </c>
      <c r="B328" t="s">
        <v>189</v>
      </c>
      <c r="C328" t="s">
        <v>122</v>
      </c>
      <c r="D328" t="s">
        <v>131</v>
      </c>
      <c r="E328">
        <v>17</v>
      </c>
      <c r="F328" s="14">
        <v>157</v>
      </c>
      <c r="G328">
        <v>406</v>
      </c>
      <c r="H328">
        <v>0.4</v>
      </c>
      <c r="I328">
        <v>436</v>
      </c>
      <c r="J328">
        <v>941</v>
      </c>
      <c r="K328">
        <v>-1.2</v>
      </c>
      <c r="L328">
        <v>1339</v>
      </c>
      <c r="M328">
        <v>1650</v>
      </c>
      <c r="N328">
        <v>1.1000000000000001</v>
      </c>
      <c r="O328">
        <v>1908</v>
      </c>
      <c r="P328">
        <v>2236</v>
      </c>
      <c r="Q328">
        <v>-0.9</v>
      </c>
      <c r="U328">
        <f t="shared" si="36"/>
        <v>0.4</v>
      </c>
      <c r="V328">
        <f t="shared" si="37"/>
        <v>1.2</v>
      </c>
      <c r="W328">
        <f t="shared" si="38"/>
        <v>1.1000000000000001</v>
      </c>
      <c r="X328">
        <f t="shared" si="39"/>
        <v>0.9</v>
      </c>
      <c r="AA328">
        <f t="shared" si="34"/>
        <v>0.9</v>
      </c>
      <c r="AB328">
        <f t="shared" si="35"/>
        <v>1.2</v>
      </c>
    </row>
    <row r="329" spans="1:28">
      <c r="A329" t="s">
        <v>188</v>
      </c>
      <c r="B329" t="s">
        <v>189</v>
      </c>
      <c r="C329" t="s">
        <v>122</v>
      </c>
      <c r="D329" t="s">
        <v>131</v>
      </c>
      <c r="E329">
        <v>18</v>
      </c>
      <c r="F329" s="14">
        <v>231</v>
      </c>
      <c r="G329">
        <v>452</v>
      </c>
      <c r="H329">
        <v>0.5</v>
      </c>
      <c r="I329">
        <v>538</v>
      </c>
      <c r="J329">
        <v>1021</v>
      </c>
      <c r="K329">
        <v>-1.2</v>
      </c>
      <c r="L329">
        <v>1412</v>
      </c>
      <c r="M329">
        <v>1726</v>
      </c>
      <c r="N329">
        <v>1.1000000000000001</v>
      </c>
      <c r="O329">
        <v>1928</v>
      </c>
      <c r="P329">
        <v>2306</v>
      </c>
      <c r="Q329">
        <v>-1.1000000000000001</v>
      </c>
      <c r="U329">
        <f t="shared" si="36"/>
        <v>0.5</v>
      </c>
      <c r="V329">
        <f t="shared" si="37"/>
        <v>1.2</v>
      </c>
      <c r="W329">
        <f t="shared" si="38"/>
        <v>1.1000000000000001</v>
      </c>
      <c r="X329">
        <f t="shared" si="39"/>
        <v>1.1000000000000001</v>
      </c>
      <c r="AA329">
        <f t="shared" si="34"/>
        <v>0.97499999999999998</v>
      </c>
      <c r="AB329">
        <f t="shared" si="35"/>
        <v>1.2</v>
      </c>
    </row>
    <row r="330" spans="1:28">
      <c r="A330" t="s">
        <v>188</v>
      </c>
      <c r="B330" t="s">
        <v>189</v>
      </c>
      <c r="C330" t="s">
        <v>122</v>
      </c>
      <c r="D330" t="s">
        <v>131</v>
      </c>
      <c r="E330">
        <v>19</v>
      </c>
      <c r="F330" s="14">
        <v>306</v>
      </c>
      <c r="G330">
        <v>539</v>
      </c>
      <c r="H330">
        <v>0.6</v>
      </c>
      <c r="I330">
        <v>638</v>
      </c>
      <c r="J330">
        <v>1058</v>
      </c>
      <c r="K330">
        <v>-1.1000000000000001</v>
      </c>
      <c r="L330">
        <v>1444</v>
      </c>
      <c r="M330">
        <v>1803</v>
      </c>
      <c r="N330">
        <v>1.1000000000000001</v>
      </c>
      <c r="O330">
        <v>1947</v>
      </c>
      <c r="P330">
        <v>2337</v>
      </c>
      <c r="Q330">
        <v>-1.1000000000000001</v>
      </c>
      <c r="U330">
        <f t="shared" si="36"/>
        <v>0.6</v>
      </c>
      <c r="V330">
        <f t="shared" si="37"/>
        <v>1.1000000000000001</v>
      </c>
      <c r="W330">
        <f t="shared" si="38"/>
        <v>1.1000000000000001</v>
      </c>
      <c r="X330">
        <f t="shared" si="39"/>
        <v>1.1000000000000001</v>
      </c>
      <c r="AA330">
        <f t="shared" si="34"/>
        <v>0.97500000000000009</v>
      </c>
      <c r="AB330">
        <f t="shared" si="35"/>
        <v>1.1000000000000001</v>
      </c>
    </row>
    <row r="331" spans="1:28">
      <c r="A331" t="s">
        <v>188</v>
      </c>
      <c r="B331" t="s">
        <v>189</v>
      </c>
      <c r="C331" t="s">
        <v>122</v>
      </c>
      <c r="D331" t="s">
        <v>131</v>
      </c>
      <c r="E331">
        <v>20</v>
      </c>
      <c r="F331" s="14">
        <v>344</v>
      </c>
      <c r="G331">
        <v>628</v>
      </c>
      <c r="H331">
        <v>0.7</v>
      </c>
      <c r="I331">
        <v>736</v>
      </c>
      <c r="J331">
        <v>1134</v>
      </c>
      <c r="K331">
        <v>-1</v>
      </c>
      <c r="L331">
        <v>1516</v>
      </c>
      <c r="M331">
        <v>1843</v>
      </c>
      <c r="N331">
        <v>1.1000000000000001</v>
      </c>
      <c r="O331">
        <v>2007</v>
      </c>
      <c r="U331">
        <f t="shared" si="36"/>
        <v>0.7</v>
      </c>
      <c r="V331">
        <f t="shared" si="37"/>
        <v>1</v>
      </c>
      <c r="W331">
        <f t="shared" si="38"/>
        <v>1.1000000000000001</v>
      </c>
      <c r="AA331">
        <f t="shared" si="34"/>
        <v>0.93333333333333324</v>
      </c>
      <c r="AB331">
        <f t="shared" si="35"/>
        <v>1.1000000000000001</v>
      </c>
    </row>
    <row r="332" spans="1:28">
      <c r="A332" t="s">
        <v>188</v>
      </c>
      <c r="B332" t="s">
        <v>189</v>
      </c>
      <c r="C332" t="s">
        <v>122</v>
      </c>
      <c r="D332" t="s">
        <v>131</v>
      </c>
      <c r="E332">
        <v>21</v>
      </c>
      <c r="G332">
        <v>8</v>
      </c>
      <c r="H332">
        <v>-1.2</v>
      </c>
      <c r="I332">
        <v>426</v>
      </c>
      <c r="J332">
        <v>718</v>
      </c>
      <c r="K332">
        <v>0.8</v>
      </c>
      <c r="L332">
        <v>833</v>
      </c>
      <c r="M332">
        <v>1211</v>
      </c>
      <c r="N332">
        <v>-0.8</v>
      </c>
      <c r="O332">
        <v>1550</v>
      </c>
      <c r="P332">
        <v>1924</v>
      </c>
      <c r="Q332">
        <v>1</v>
      </c>
      <c r="R332">
        <v>2028</v>
      </c>
      <c r="U332">
        <f t="shared" si="36"/>
        <v>1.2</v>
      </c>
      <c r="V332">
        <f t="shared" si="37"/>
        <v>0.8</v>
      </c>
      <c r="W332">
        <f t="shared" si="38"/>
        <v>0.8</v>
      </c>
      <c r="X332">
        <f t="shared" si="39"/>
        <v>1</v>
      </c>
      <c r="AA332">
        <f t="shared" si="34"/>
        <v>0.95</v>
      </c>
      <c r="AB332">
        <f t="shared" si="35"/>
        <v>1.2</v>
      </c>
    </row>
    <row r="333" spans="1:28">
      <c r="A333" t="s">
        <v>188</v>
      </c>
      <c r="B333" t="s">
        <v>189</v>
      </c>
      <c r="C333" t="s">
        <v>122</v>
      </c>
      <c r="D333" t="s">
        <v>131</v>
      </c>
      <c r="E333">
        <v>22</v>
      </c>
      <c r="G333">
        <v>42</v>
      </c>
      <c r="H333">
        <v>-1.3</v>
      </c>
      <c r="I333">
        <v>513</v>
      </c>
      <c r="J333">
        <v>809</v>
      </c>
      <c r="K333">
        <v>0.8</v>
      </c>
      <c r="L333">
        <v>931</v>
      </c>
      <c r="M333">
        <v>1256</v>
      </c>
      <c r="N333">
        <v>-0.7</v>
      </c>
      <c r="O333">
        <v>1629</v>
      </c>
      <c r="P333">
        <v>2006</v>
      </c>
      <c r="Q333">
        <v>0.8</v>
      </c>
      <c r="R333">
        <v>2054</v>
      </c>
      <c r="U333">
        <f t="shared" si="36"/>
        <v>1.3</v>
      </c>
      <c r="V333">
        <f t="shared" si="37"/>
        <v>0.8</v>
      </c>
      <c r="W333">
        <f t="shared" si="38"/>
        <v>0.7</v>
      </c>
      <c r="X333">
        <f t="shared" si="39"/>
        <v>0.8</v>
      </c>
      <c r="AA333">
        <f t="shared" si="34"/>
        <v>0.89999999999999991</v>
      </c>
      <c r="AB333">
        <f t="shared" si="35"/>
        <v>1.3</v>
      </c>
    </row>
    <row r="334" spans="1:28">
      <c r="A334" t="s">
        <v>188</v>
      </c>
      <c r="B334" t="s">
        <v>189</v>
      </c>
      <c r="C334" t="s">
        <v>122</v>
      </c>
      <c r="D334" t="s">
        <v>131</v>
      </c>
      <c r="E334">
        <v>23</v>
      </c>
      <c r="G334">
        <v>123</v>
      </c>
      <c r="H334">
        <v>-1.3</v>
      </c>
      <c r="I334">
        <v>605</v>
      </c>
      <c r="J334">
        <v>900</v>
      </c>
      <c r="K334">
        <v>0.8</v>
      </c>
      <c r="L334">
        <v>1038</v>
      </c>
      <c r="M334">
        <v>1401</v>
      </c>
      <c r="N334">
        <v>-0.5</v>
      </c>
      <c r="O334">
        <v>1717</v>
      </c>
      <c r="P334">
        <v>2050</v>
      </c>
      <c r="Q334">
        <v>0.7</v>
      </c>
      <c r="R334">
        <v>2123</v>
      </c>
      <c r="U334">
        <f t="shared" si="36"/>
        <v>1.3</v>
      </c>
      <c r="V334">
        <f t="shared" si="37"/>
        <v>0.8</v>
      </c>
      <c r="W334">
        <f t="shared" si="38"/>
        <v>0.5</v>
      </c>
      <c r="X334">
        <f t="shared" si="39"/>
        <v>0.7</v>
      </c>
      <c r="AA334">
        <f t="shared" si="34"/>
        <v>0.82499999999999996</v>
      </c>
      <c r="AB334">
        <f t="shared" si="35"/>
        <v>1.3</v>
      </c>
    </row>
    <row r="335" spans="1:28">
      <c r="A335" t="s">
        <v>188</v>
      </c>
      <c r="B335" t="s">
        <v>189</v>
      </c>
      <c r="C335" t="s">
        <v>122</v>
      </c>
      <c r="D335" t="s">
        <v>131</v>
      </c>
      <c r="E335">
        <v>24</v>
      </c>
      <c r="G335">
        <v>218</v>
      </c>
      <c r="H335">
        <v>-1.3</v>
      </c>
      <c r="I335">
        <v>702</v>
      </c>
      <c r="J335">
        <v>954</v>
      </c>
      <c r="K335">
        <v>0.8</v>
      </c>
      <c r="L335">
        <v>1205</v>
      </c>
      <c r="M335">
        <v>1524</v>
      </c>
      <c r="N335">
        <v>-0.3</v>
      </c>
      <c r="O335">
        <v>1819</v>
      </c>
      <c r="P335">
        <v>2138</v>
      </c>
      <c r="Q335">
        <v>0.5</v>
      </c>
      <c r="R335">
        <v>2158</v>
      </c>
      <c r="U335">
        <f t="shared" si="36"/>
        <v>1.3</v>
      </c>
      <c r="V335">
        <f t="shared" si="37"/>
        <v>0.8</v>
      </c>
      <c r="W335">
        <f t="shared" si="38"/>
        <v>0.3</v>
      </c>
      <c r="X335">
        <f t="shared" si="39"/>
        <v>0.5</v>
      </c>
      <c r="AA335">
        <f t="shared" si="34"/>
        <v>0.72499999999999998</v>
      </c>
      <c r="AB335">
        <f t="shared" si="35"/>
        <v>1.3</v>
      </c>
    </row>
    <row r="336" spans="1:28">
      <c r="A336" t="s">
        <v>188</v>
      </c>
      <c r="B336" t="s">
        <v>189</v>
      </c>
      <c r="C336" t="s">
        <v>122</v>
      </c>
      <c r="D336" t="s">
        <v>131</v>
      </c>
      <c r="E336">
        <v>25</v>
      </c>
      <c r="G336">
        <v>326</v>
      </c>
      <c r="H336">
        <v>-1.2</v>
      </c>
      <c r="I336">
        <v>804</v>
      </c>
      <c r="J336">
        <v>1055</v>
      </c>
      <c r="K336">
        <v>0.8</v>
      </c>
      <c r="L336">
        <v>1356</v>
      </c>
      <c r="M336">
        <v>1640</v>
      </c>
      <c r="N336">
        <v>-0.3</v>
      </c>
      <c r="O336">
        <v>1949</v>
      </c>
      <c r="P336">
        <v>2233</v>
      </c>
      <c r="Q336">
        <v>0.4</v>
      </c>
      <c r="R336">
        <v>2240</v>
      </c>
      <c r="U336">
        <f t="shared" si="36"/>
        <v>1.2</v>
      </c>
      <c r="V336">
        <f t="shared" si="37"/>
        <v>0.8</v>
      </c>
      <c r="W336">
        <f t="shared" si="38"/>
        <v>0.3</v>
      </c>
      <c r="X336">
        <f t="shared" si="39"/>
        <v>0.4</v>
      </c>
      <c r="AA336">
        <f t="shared" si="34"/>
        <v>0.67499999999999993</v>
      </c>
      <c r="AB336">
        <f t="shared" si="35"/>
        <v>1.2</v>
      </c>
    </row>
    <row r="337" spans="1:28">
      <c r="A337" t="s">
        <v>188</v>
      </c>
      <c r="B337" t="s">
        <v>189</v>
      </c>
      <c r="C337" t="s">
        <v>122</v>
      </c>
      <c r="D337" t="s">
        <v>131</v>
      </c>
      <c r="E337">
        <v>26</v>
      </c>
      <c r="G337">
        <v>434</v>
      </c>
      <c r="H337">
        <v>-1.2</v>
      </c>
      <c r="I337">
        <v>909</v>
      </c>
      <c r="J337">
        <v>1212</v>
      </c>
      <c r="K337">
        <v>0.8</v>
      </c>
      <c r="L337">
        <v>1523</v>
      </c>
      <c r="M337">
        <v>1751</v>
      </c>
      <c r="N337">
        <v>-0.3</v>
      </c>
      <c r="O337">
        <v>2134</v>
      </c>
      <c r="P337">
        <v>2339</v>
      </c>
      <c r="Q337">
        <v>0.2</v>
      </c>
      <c r="R337">
        <v>2335</v>
      </c>
      <c r="U337">
        <f t="shared" si="36"/>
        <v>1.2</v>
      </c>
      <c r="V337">
        <f t="shared" si="37"/>
        <v>0.8</v>
      </c>
      <c r="W337">
        <f t="shared" si="38"/>
        <v>0.3</v>
      </c>
      <c r="X337">
        <f t="shared" si="39"/>
        <v>0.2</v>
      </c>
      <c r="AA337">
        <f t="shared" si="34"/>
        <v>0.625</v>
      </c>
      <c r="AB337">
        <f t="shared" si="35"/>
        <v>1.2</v>
      </c>
    </row>
    <row r="338" spans="1:28">
      <c r="A338" t="s">
        <v>188</v>
      </c>
      <c r="B338" t="s">
        <v>189</v>
      </c>
      <c r="C338" t="s">
        <v>122</v>
      </c>
      <c r="D338" t="s">
        <v>131</v>
      </c>
      <c r="E338">
        <v>27</v>
      </c>
      <c r="G338">
        <v>538</v>
      </c>
      <c r="H338">
        <v>-1.2</v>
      </c>
      <c r="I338">
        <v>1013</v>
      </c>
      <c r="J338">
        <v>1411</v>
      </c>
      <c r="K338">
        <v>0.8</v>
      </c>
      <c r="L338">
        <v>1620</v>
      </c>
      <c r="M338">
        <v>1902</v>
      </c>
      <c r="N338">
        <v>-0.5</v>
      </c>
      <c r="O338">
        <v>2300</v>
      </c>
      <c r="U338">
        <f t="shared" si="36"/>
        <v>1.2</v>
      </c>
      <c r="V338">
        <f t="shared" si="37"/>
        <v>0.8</v>
      </c>
      <c r="W338">
        <f t="shared" si="38"/>
        <v>0.5</v>
      </c>
      <c r="AA338">
        <f t="shared" si="34"/>
        <v>0.83333333333333337</v>
      </c>
      <c r="AB338">
        <f t="shared" si="35"/>
        <v>1.2</v>
      </c>
    </row>
    <row r="339" spans="1:28">
      <c r="A339" t="s">
        <v>188</v>
      </c>
      <c r="B339" t="s">
        <v>189</v>
      </c>
      <c r="C339" t="s">
        <v>122</v>
      </c>
      <c r="D339" t="s">
        <v>131</v>
      </c>
      <c r="E339">
        <v>28</v>
      </c>
      <c r="G339">
        <v>54</v>
      </c>
      <c r="H339">
        <v>0.2</v>
      </c>
      <c r="I339">
        <v>105</v>
      </c>
      <c r="J339">
        <v>642</v>
      </c>
      <c r="K339">
        <v>-1.2</v>
      </c>
      <c r="L339">
        <v>1111</v>
      </c>
      <c r="M339">
        <v>1504</v>
      </c>
      <c r="N339">
        <v>1</v>
      </c>
      <c r="O339">
        <v>1704</v>
      </c>
      <c r="P339">
        <v>2010</v>
      </c>
      <c r="Q339">
        <v>-0.7</v>
      </c>
      <c r="U339">
        <f t="shared" si="36"/>
        <v>0.2</v>
      </c>
      <c r="V339">
        <f t="shared" si="37"/>
        <v>1.2</v>
      </c>
      <c r="W339">
        <f t="shared" si="38"/>
        <v>1</v>
      </c>
      <c r="X339">
        <f t="shared" si="39"/>
        <v>0.7</v>
      </c>
      <c r="AA339">
        <f t="shared" si="34"/>
        <v>0.77499999999999991</v>
      </c>
      <c r="AB339">
        <f t="shared" si="35"/>
        <v>1.2</v>
      </c>
    </row>
    <row r="340" spans="1:28">
      <c r="A340" t="s">
        <v>188</v>
      </c>
      <c r="B340" t="s">
        <v>189</v>
      </c>
      <c r="C340" t="s">
        <v>122</v>
      </c>
      <c r="D340" t="s">
        <v>131</v>
      </c>
      <c r="E340">
        <v>29</v>
      </c>
      <c r="F340" s="14">
        <v>1</v>
      </c>
      <c r="G340">
        <v>210</v>
      </c>
      <c r="H340">
        <v>0.3</v>
      </c>
      <c r="I340">
        <v>249</v>
      </c>
      <c r="J340">
        <v>745</v>
      </c>
      <c r="K340">
        <v>-1.2</v>
      </c>
      <c r="L340">
        <v>1201</v>
      </c>
      <c r="M340">
        <v>1542</v>
      </c>
      <c r="N340">
        <v>1.1000000000000001</v>
      </c>
      <c r="O340">
        <v>1741</v>
      </c>
      <c r="P340">
        <v>2102</v>
      </c>
      <c r="Q340">
        <v>-0.8</v>
      </c>
      <c r="U340">
        <f t="shared" si="36"/>
        <v>0.3</v>
      </c>
      <c r="V340">
        <f t="shared" si="37"/>
        <v>1.2</v>
      </c>
      <c r="W340">
        <f t="shared" si="38"/>
        <v>1.1000000000000001</v>
      </c>
      <c r="X340">
        <f t="shared" si="39"/>
        <v>0.8</v>
      </c>
      <c r="AA340">
        <f t="shared" si="34"/>
        <v>0.85000000000000009</v>
      </c>
      <c r="AB340">
        <f t="shared" si="35"/>
        <v>1.2</v>
      </c>
    </row>
    <row r="341" spans="1:28">
      <c r="A341" t="s">
        <v>188</v>
      </c>
      <c r="B341" t="s">
        <v>189</v>
      </c>
      <c r="C341" t="s">
        <v>122</v>
      </c>
      <c r="D341" t="s">
        <v>131</v>
      </c>
      <c r="E341">
        <v>30</v>
      </c>
      <c r="F341" s="14">
        <v>48</v>
      </c>
      <c r="G341">
        <v>312</v>
      </c>
      <c r="H341">
        <v>0.4</v>
      </c>
      <c r="I341">
        <v>409</v>
      </c>
      <c r="J341">
        <v>843</v>
      </c>
      <c r="K341">
        <v>-1.2</v>
      </c>
      <c r="L341">
        <v>1247</v>
      </c>
      <c r="M341">
        <v>1612</v>
      </c>
      <c r="N341">
        <v>1.1000000000000001</v>
      </c>
      <c r="O341">
        <v>1813</v>
      </c>
      <c r="P341">
        <v>2142</v>
      </c>
      <c r="Q341">
        <v>-1</v>
      </c>
      <c r="U341">
        <f t="shared" si="36"/>
        <v>0.4</v>
      </c>
      <c r="V341">
        <f t="shared" si="37"/>
        <v>1.2</v>
      </c>
      <c r="W341">
        <f t="shared" si="38"/>
        <v>1.1000000000000001</v>
      </c>
      <c r="X341">
        <f t="shared" si="39"/>
        <v>1</v>
      </c>
      <c r="AA341">
        <f t="shared" si="34"/>
        <v>0.92500000000000004</v>
      </c>
      <c r="AB341">
        <f t="shared" si="35"/>
        <v>1.2</v>
      </c>
    </row>
    <row r="342" spans="1:28">
      <c r="A342" t="s">
        <v>188</v>
      </c>
      <c r="B342" t="s">
        <v>189</v>
      </c>
      <c r="C342" t="s">
        <v>122</v>
      </c>
      <c r="D342" t="s">
        <v>131</v>
      </c>
      <c r="E342">
        <v>31</v>
      </c>
      <c r="F342" s="14">
        <v>131</v>
      </c>
      <c r="G342">
        <v>404</v>
      </c>
      <c r="H342">
        <v>0.6</v>
      </c>
      <c r="I342">
        <v>517</v>
      </c>
      <c r="J342">
        <v>934</v>
      </c>
      <c r="K342">
        <v>-1.2</v>
      </c>
      <c r="L342">
        <v>1328</v>
      </c>
      <c r="M342">
        <v>1641</v>
      </c>
      <c r="N342">
        <v>1.1000000000000001</v>
      </c>
      <c r="O342">
        <v>1842</v>
      </c>
      <c r="P342">
        <v>2218</v>
      </c>
      <c r="Q342">
        <v>-1.1000000000000001</v>
      </c>
      <c r="U342">
        <f t="shared" si="36"/>
        <v>0.6</v>
      </c>
      <c r="V342">
        <f t="shared" si="37"/>
        <v>1.2</v>
      </c>
      <c r="W342">
        <f t="shared" si="38"/>
        <v>1.1000000000000001</v>
      </c>
      <c r="X342">
        <f t="shared" si="39"/>
        <v>1.1000000000000001</v>
      </c>
      <c r="AA342">
        <f t="shared" si="34"/>
        <v>1</v>
      </c>
      <c r="AB342">
        <f t="shared" si="35"/>
        <v>1.2</v>
      </c>
    </row>
    <row r="343" spans="1:28">
      <c r="A343" t="s">
        <v>190</v>
      </c>
      <c r="B343" t="s">
        <v>191</v>
      </c>
      <c r="C343" t="s">
        <v>122</v>
      </c>
      <c r="D343" t="s">
        <v>131</v>
      </c>
      <c r="E343">
        <v>1</v>
      </c>
      <c r="F343" s="14">
        <v>118</v>
      </c>
      <c r="G343">
        <v>247</v>
      </c>
      <c r="H343">
        <v>0.7</v>
      </c>
      <c r="I343">
        <v>441</v>
      </c>
      <c r="J343">
        <v>939</v>
      </c>
      <c r="K343">
        <v>-2.4</v>
      </c>
      <c r="L343">
        <v>1323</v>
      </c>
      <c r="M343">
        <v>1615</v>
      </c>
      <c r="N343">
        <v>2.6</v>
      </c>
      <c r="O343">
        <v>2012</v>
      </c>
      <c r="P343">
        <v>2256</v>
      </c>
      <c r="Q343">
        <v>-1.3</v>
      </c>
      <c r="U343">
        <f t="shared" si="36"/>
        <v>0.7</v>
      </c>
      <c r="V343">
        <f t="shared" si="37"/>
        <v>2.4</v>
      </c>
      <c r="W343">
        <f t="shared" si="38"/>
        <v>2.6</v>
      </c>
      <c r="X343">
        <f t="shared" si="39"/>
        <v>1.3</v>
      </c>
      <c r="AA343">
        <f t="shared" si="34"/>
        <v>1.7499999999999998</v>
      </c>
      <c r="AB343">
        <f t="shared" si="35"/>
        <v>2.6</v>
      </c>
    </row>
    <row r="344" spans="1:28">
      <c r="A344" t="s">
        <v>190</v>
      </c>
      <c r="B344" t="s">
        <v>191</v>
      </c>
      <c r="C344" t="s">
        <v>122</v>
      </c>
      <c r="D344" t="s">
        <v>131</v>
      </c>
      <c r="E344">
        <v>2</v>
      </c>
      <c r="F344" s="14">
        <v>207</v>
      </c>
      <c r="G344">
        <v>341</v>
      </c>
      <c r="H344">
        <v>0.8</v>
      </c>
      <c r="I344">
        <v>549</v>
      </c>
      <c r="J344">
        <v>1030</v>
      </c>
      <c r="K344">
        <v>-2.4</v>
      </c>
      <c r="L344">
        <v>1405</v>
      </c>
      <c r="M344">
        <v>1650</v>
      </c>
      <c r="N344">
        <v>2.6</v>
      </c>
      <c r="O344">
        <v>2043</v>
      </c>
      <c r="P344">
        <v>2334</v>
      </c>
      <c r="Q344">
        <v>-1.5</v>
      </c>
      <c r="U344">
        <f t="shared" si="36"/>
        <v>0.8</v>
      </c>
      <c r="V344">
        <f t="shared" si="37"/>
        <v>2.4</v>
      </c>
      <c r="W344">
        <f t="shared" si="38"/>
        <v>2.6</v>
      </c>
      <c r="X344">
        <f t="shared" si="39"/>
        <v>1.5</v>
      </c>
      <c r="AA344">
        <f t="shared" si="34"/>
        <v>1.8250000000000002</v>
      </c>
      <c r="AB344">
        <f t="shared" si="35"/>
        <v>2.6</v>
      </c>
    </row>
    <row r="345" spans="1:28">
      <c r="A345" t="s">
        <v>190</v>
      </c>
      <c r="B345" t="s">
        <v>191</v>
      </c>
      <c r="C345" t="s">
        <v>122</v>
      </c>
      <c r="D345" t="s">
        <v>131</v>
      </c>
      <c r="E345">
        <v>3</v>
      </c>
      <c r="F345" s="14">
        <v>255</v>
      </c>
      <c r="G345">
        <v>433</v>
      </c>
      <c r="H345">
        <v>1</v>
      </c>
      <c r="I345">
        <v>654</v>
      </c>
      <c r="J345">
        <v>1116</v>
      </c>
      <c r="K345">
        <v>-2.2000000000000002</v>
      </c>
      <c r="L345">
        <v>1445</v>
      </c>
      <c r="M345">
        <v>1726</v>
      </c>
      <c r="N345">
        <v>2.6</v>
      </c>
      <c r="O345">
        <v>2111</v>
      </c>
      <c r="U345">
        <f t="shared" si="36"/>
        <v>1</v>
      </c>
      <c r="V345">
        <f t="shared" si="37"/>
        <v>2.2000000000000002</v>
      </c>
      <c r="W345">
        <f t="shared" si="38"/>
        <v>2.6</v>
      </c>
      <c r="AA345">
        <f t="shared" si="34"/>
        <v>1.9333333333333336</v>
      </c>
      <c r="AB345">
        <f t="shared" si="35"/>
        <v>2.6</v>
      </c>
    </row>
    <row r="346" spans="1:28">
      <c r="A346" t="s">
        <v>190</v>
      </c>
      <c r="B346" t="s">
        <v>191</v>
      </c>
      <c r="C346" t="s">
        <v>122</v>
      </c>
      <c r="D346" t="s">
        <v>131</v>
      </c>
      <c r="E346">
        <v>4</v>
      </c>
      <c r="G346">
        <v>11</v>
      </c>
      <c r="H346">
        <v>-1.7</v>
      </c>
      <c r="I346">
        <v>343</v>
      </c>
      <c r="J346">
        <v>526</v>
      </c>
      <c r="K346">
        <v>1.1000000000000001</v>
      </c>
      <c r="L346">
        <v>756</v>
      </c>
      <c r="M346">
        <v>1158</v>
      </c>
      <c r="N346">
        <v>-2.1</v>
      </c>
      <c r="O346">
        <v>1524</v>
      </c>
      <c r="P346">
        <v>1802</v>
      </c>
      <c r="Q346">
        <v>2.5</v>
      </c>
      <c r="R346">
        <v>2136</v>
      </c>
      <c r="U346">
        <f t="shared" si="36"/>
        <v>1.7</v>
      </c>
      <c r="V346">
        <f t="shared" si="37"/>
        <v>1.1000000000000001</v>
      </c>
      <c r="W346">
        <f t="shared" si="38"/>
        <v>2.1</v>
      </c>
      <c r="X346">
        <f t="shared" si="39"/>
        <v>2.5</v>
      </c>
      <c r="AA346">
        <f t="shared" si="34"/>
        <v>1.85</v>
      </c>
      <c r="AB346">
        <f t="shared" si="35"/>
        <v>2.5</v>
      </c>
    </row>
    <row r="347" spans="1:28">
      <c r="A347" t="s">
        <v>190</v>
      </c>
      <c r="B347" t="s">
        <v>191</v>
      </c>
      <c r="C347" t="s">
        <v>122</v>
      </c>
      <c r="D347" t="s">
        <v>131</v>
      </c>
      <c r="E347">
        <v>5</v>
      </c>
      <c r="G347">
        <v>48</v>
      </c>
      <c r="H347">
        <v>-1.8</v>
      </c>
      <c r="I347">
        <v>431</v>
      </c>
      <c r="J347">
        <v>618</v>
      </c>
      <c r="K347">
        <v>1.1000000000000001</v>
      </c>
      <c r="L347">
        <v>852</v>
      </c>
      <c r="M347">
        <v>1239</v>
      </c>
      <c r="N347">
        <v>-1.8</v>
      </c>
      <c r="O347">
        <v>1602</v>
      </c>
      <c r="P347">
        <v>1839</v>
      </c>
      <c r="Q347">
        <v>2.2999999999999998</v>
      </c>
      <c r="R347">
        <v>2200</v>
      </c>
      <c r="U347">
        <f t="shared" si="36"/>
        <v>1.8</v>
      </c>
      <c r="V347">
        <f t="shared" si="37"/>
        <v>1.1000000000000001</v>
      </c>
      <c r="W347">
        <f t="shared" si="38"/>
        <v>1.8</v>
      </c>
      <c r="X347">
        <f t="shared" si="39"/>
        <v>2.2999999999999998</v>
      </c>
      <c r="AA347">
        <f t="shared" si="34"/>
        <v>1.75</v>
      </c>
      <c r="AB347">
        <f t="shared" si="35"/>
        <v>2.2999999999999998</v>
      </c>
    </row>
    <row r="348" spans="1:28">
      <c r="A348" t="s">
        <v>190</v>
      </c>
      <c r="B348" t="s">
        <v>191</v>
      </c>
      <c r="C348" t="s">
        <v>122</v>
      </c>
      <c r="D348" t="s">
        <v>131</v>
      </c>
      <c r="E348">
        <v>6</v>
      </c>
      <c r="G348">
        <v>126</v>
      </c>
      <c r="H348">
        <v>-1.8</v>
      </c>
      <c r="I348">
        <v>521</v>
      </c>
      <c r="J348">
        <v>709</v>
      </c>
      <c r="K348">
        <v>1.1000000000000001</v>
      </c>
      <c r="L348">
        <v>945</v>
      </c>
      <c r="M348">
        <v>1321</v>
      </c>
      <c r="N348">
        <v>-1.4</v>
      </c>
      <c r="O348">
        <v>1640</v>
      </c>
      <c r="P348">
        <v>1917</v>
      </c>
      <c r="Q348">
        <v>2</v>
      </c>
      <c r="R348">
        <v>2222</v>
      </c>
      <c r="U348">
        <f t="shared" si="36"/>
        <v>1.8</v>
      </c>
      <c r="V348">
        <f t="shared" si="37"/>
        <v>1.1000000000000001</v>
      </c>
      <c r="W348">
        <f t="shared" si="38"/>
        <v>1.4</v>
      </c>
      <c r="X348">
        <f t="shared" si="39"/>
        <v>2</v>
      </c>
      <c r="AA348">
        <f t="shared" si="34"/>
        <v>1.5750000000000002</v>
      </c>
      <c r="AB348">
        <f t="shared" si="35"/>
        <v>2</v>
      </c>
    </row>
    <row r="349" spans="1:28">
      <c r="A349" t="s">
        <v>190</v>
      </c>
      <c r="B349" t="s">
        <v>191</v>
      </c>
      <c r="C349" t="s">
        <v>122</v>
      </c>
      <c r="D349" t="s">
        <v>131</v>
      </c>
      <c r="E349">
        <v>7</v>
      </c>
      <c r="G349">
        <v>207</v>
      </c>
      <c r="H349">
        <v>-1.8</v>
      </c>
      <c r="I349">
        <v>611</v>
      </c>
      <c r="J349">
        <v>757</v>
      </c>
      <c r="K349">
        <v>1.1000000000000001</v>
      </c>
      <c r="L349">
        <v>1037</v>
      </c>
      <c r="M349">
        <v>1407</v>
      </c>
      <c r="N349">
        <v>-1</v>
      </c>
      <c r="O349">
        <v>1719</v>
      </c>
      <c r="P349">
        <v>1956</v>
      </c>
      <c r="Q349">
        <v>1.7</v>
      </c>
      <c r="R349">
        <v>2242</v>
      </c>
      <c r="U349">
        <f t="shared" si="36"/>
        <v>1.8</v>
      </c>
      <c r="V349">
        <f t="shared" si="37"/>
        <v>1.1000000000000001</v>
      </c>
      <c r="W349">
        <f t="shared" si="38"/>
        <v>1</v>
      </c>
      <c r="X349">
        <f t="shared" si="39"/>
        <v>1.7</v>
      </c>
      <c r="AA349">
        <f t="shared" si="34"/>
        <v>1.4000000000000001</v>
      </c>
      <c r="AB349">
        <f t="shared" si="35"/>
        <v>1.8</v>
      </c>
    </row>
    <row r="350" spans="1:28">
      <c r="A350" t="s">
        <v>190</v>
      </c>
      <c r="B350" t="s">
        <v>191</v>
      </c>
      <c r="C350" t="s">
        <v>122</v>
      </c>
      <c r="D350" t="s">
        <v>131</v>
      </c>
      <c r="E350">
        <v>8</v>
      </c>
      <c r="G350">
        <v>252</v>
      </c>
      <c r="H350">
        <v>-1.8</v>
      </c>
      <c r="I350">
        <v>702</v>
      </c>
      <c r="J350">
        <v>844</v>
      </c>
      <c r="K350">
        <v>1</v>
      </c>
      <c r="L350">
        <v>1135</v>
      </c>
      <c r="M350">
        <v>1505</v>
      </c>
      <c r="N350">
        <v>-0.7</v>
      </c>
      <c r="O350">
        <v>1801</v>
      </c>
      <c r="P350">
        <v>2036</v>
      </c>
      <c r="Q350">
        <v>1.4</v>
      </c>
      <c r="R350">
        <v>2300</v>
      </c>
      <c r="U350">
        <f t="shared" si="36"/>
        <v>1.8</v>
      </c>
      <c r="V350">
        <f t="shared" si="37"/>
        <v>1</v>
      </c>
      <c r="W350">
        <f t="shared" si="38"/>
        <v>0.7</v>
      </c>
      <c r="X350">
        <f t="shared" si="39"/>
        <v>1.4</v>
      </c>
      <c r="AA350">
        <f t="shared" si="34"/>
        <v>1.2250000000000001</v>
      </c>
      <c r="AB350">
        <f t="shared" si="35"/>
        <v>1.8</v>
      </c>
    </row>
    <row r="351" spans="1:28">
      <c r="A351" t="s">
        <v>190</v>
      </c>
      <c r="B351" t="s">
        <v>191</v>
      </c>
      <c r="C351" t="s">
        <v>122</v>
      </c>
      <c r="D351" t="s">
        <v>131</v>
      </c>
      <c r="E351">
        <v>9</v>
      </c>
      <c r="G351">
        <v>343</v>
      </c>
      <c r="H351">
        <v>-1.8</v>
      </c>
      <c r="I351">
        <v>754</v>
      </c>
      <c r="J351">
        <v>934</v>
      </c>
      <c r="K351">
        <v>1</v>
      </c>
      <c r="L351">
        <v>1256</v>
      </c>
      <c r="M351">
        <v>1614</v>
      </c>
      <c r="N351">
        <v>-0.5</v>
      </c>
      <c r="O351">
        <v>1853</v>
      </c>
      <c r="P351">
        <v>2118</v>
      </c>
      <c r="Q351">
        <v>1.1000000000000001</v>
      </c>
      <c r="R351">
        <v>2318</v>
      </c>
      <c r="U351">
        <f t="shared" si="36"/>
        <v>1.8</v>
      </c>
      <c r="V351">
        <f t="shared" si="37"/>
        <v>1</v>
      </c>
      <c r="W351">
        <f t="shared" si="38"/>
        <v>0.5</v>
      </c>
      <c r="X351">
        <f t="shared" si="39"/>
        <v>1.1000000000000001</v>
      </c>
      <c r="AA351">
        <f t="shared" si="34"/>
        <v>1.1000000000000001</v>
      </c>
      <c r="AB351">
        <f t="shared" si="35"/>
        <v>1.8</v>
      </c>
    </row>
    <row r="352" spans="1:28">
      <c r="A352" t="s">
        <v>190</v>
      </c>
      <c r="B352" t="s">
        <v>191</v>
      </c>
      <c r="C352" t="s">
        <v>122</v>
      </c>
      <c r="D352" t="s">
        <v>131</v>
      </c>
      <c r="E352">
        <v>10</v>
      </c>
      <c r="G352">
        <v>436</v>
      </c>
      <c r="H352">
        <v>-1.7</v>
      </c>
      <c r="I352">
        <v>848</v>
      </c>
      <c r="J352">
        <v>1030</v>
      </c>
      <c r="K352">
        <v>0.8</v>
      </c>
      <c r="L352">
        <v>1501</v>
      </c>
      <c r="M352">
        <v>1723</v>
      </c>
      <c r="N352">
        <v>-0.4</v>
      </c>
      <c r="O352">
        <v>2004</v>
      </c>
      <c r="P352">
        <v>2204</v>
      </c>
      <c r="Q352">
        <v>0.6</v>
      </c>
      <c r="R352">
        <v>2342</v>
      </c>
      <c r="U352">
        <f t="shared" si="36"/>
        <v>1.7</v>
      </c>
      <c r="V352">
        <f t="shared" si="37"/>
        <v>0.8</v>
      </c>
      <c r="W352">
        <f t="shared" si="38"/>
        <v>0.4</v>
      </c>
      <c r="X352">
        <f t="shared" si="39"/>
        <v>0.6</v>
      </c>
      <c r="AA352">
        <f t="shared" si="34"/>
        <v>0.875</v>
      </c>
      <c r="AB352">
        <f t="shared" si="35"/>
        <v>1.7</v>
      </c>
    </row>
    <row r="353" spans="1:28">
      <c r="A353" t="s">
        <v>190</v>
      </c>
      <c r="B353" t="s">
        <v>191</v>
      </c>
      <c r="C353" t="s">
        <v>122</v>
      </c>
      <c r="D353" t="s">
        <v>131</v>
      </c>
      <c r="E353">
        <v>11</v>
      </c>
      <c r="G353">
        <v>529</v>
      </c>
      <c r="H353">
        <v>-1.7</v>
      </c>
      <c r="I353">
        <v>944</v>
      </c>
      <c r="J353">
        <v>1155</v>
      </c>
      <c r="K353">
        <v>0.8</v>
      </c>
      <c r="L353">
        <v>1640</v>
      </c>
      <c r="M353">
        <v>1830</v>
      </c>
      <c r="N353">
        <v>-0.3</v>
      </c>
      <c r="O353">
        <v>2141</v>
      </c>
      <c r="P353">
        <v>2259</v>
      </c>
      <c r="Q353">
        <v>0.4</v>
      </c>
      <c r="U353">
        <f t="shared" si="36"/>
        <v>1.7</v>
      </c>
      <c r="V353">
        <f t="shared" si="37"/>
        <v>0.8</v>
      </c>
      <c r="W353">
        <f t="shared" si="38"/>
        <v>0.3</v>
      </c>
      <c r="X353">
        <f t="shared" si="39"/>
        <v>0.4</v>
      </c>
      <c r="AA353">
        <f t="shared" si="34"/>
        <v>0.79999999999999993</v>
      </c>
      <c r="AB353">
        <f t="shared" si="35"/>
        <v>1.7</v>
      </c>
    </row>
    <row r="354" spans="1:28">
      <c r="A354" t="s">
        <v>190</v>
      </c>
      <c r="B354" t="s">
        <v>191</v>
      </c>
      <c r="C354" t="s">
        <v>122</v>
      </c>
      <c r="D354" t="s">
        <v>131</v>
      </c>
      <c r="E354">
        <v>12</v>
      </c>
      <c r="F354" s="14">
        <v>11</v>
      </c>
      <c r="G354">
        <v>621</v>
      </c>
      <c r="H354">
        <v>-1.8</v>
      </c>
      <c r="I354">
        <v>1038</v>
      </c>
      <c r="J354">
        <v>1416</v>
      </c>
      <c r="K354">
        <v>1.2</v>
      </c>
      <c r="L354">
        <v>1741</v>
      </c>
      <c r="M354">
        <v>1943</v>
      </c>
      <c r="N354">
        <v>-0.4</v>
      </c>
      <c r="U354">
        <f t="shared" si="36"/>
        <v>1.8</v>
      </c>
      <c r="V354">
        <f t="shared" si="37"/>
        <v>1.2</v>
      </c>
      <c r="W354">
        <f t="shared" si="38"/>
        <v>0.4</v>
      </c>
      <c r="AA354">
        <f t="shared" si="34"/>
        <v>1.1333333333333333</v>
      </c>
      <c r="AB354">
        <f t="shared" si="35"/>
        <v>1.8</v>
      </c>
    </row>
    <row r="355" spans="1:28">
      <c r="A355" t="s">
        <v>190</v>
      </c>
      <c r="B355" t="s">
        <v>191</v>
      </c>
      <c r="C355" t="s">
        <v>122</v>
      </c>
      <c r="D355" t="s">
        <v>131</v>
      </c>
      <c r="E355">
        <v>13</v>
      </c>
      <c r="G355">
        <v>3</v>
      </c>
      <c r="H355">
        <v>0.1</v>
      </c>
      <c r="J355">
        <v>713</v>
      </c>
      <c r="K355">
        <v>-1.8</v>
      </c>
      <c r="L355">
        <v>1127</v>
      </c>
      <c r="M355">
        <v>1454</v>
      </c>
      <c r="N355">
        <v>1.6</v>
      </c>
      <c r="O355">
        <v>1827</v>
      </c>
      <c r="P355">
        <v>2129</v>
      </c>
      <c r="Q355">
        <v>-0.6</v>
      </c>
      <c r="U355">
        <f t="shared" si="36"/>
        <v>0.1</v>
      </c>
      <c r="V355">
        <f t="shared" si="37"/>
        <v>1.8</v>
      </c>
      <c r="W355">
        <f t="shared" si="38"/>
        <v>1.6</v>
      </c>
      <c r="X355">
        <f t="shared" si="39"/>
        <v>0.6</v>
      </c>
      <c r="AA355">
        <f t="shared" si="34"/>
        <v>1.0249999999999999</v>
      </c>
      <c r="AB355">
        <f t="shared" si="35"/>
        <v>1.8</v>
      </c>
    </row>
    <row r="356" spans="1:28">
      <c r="A356" t="s">
        <v>190</v>
      </c>
      <c r="B356" t="s">
        <v>191</v>
      </c>
      <c r="C356" t="s">
        <v>122</v>
      </c>
      <c r="D356" t="s">
        <v>131</v>
      </c>
      <c r="E356">
        <v>14</v>
      </c>
      <c r="G356">
        <v>109</v>
      </c>
      <c r="H356">
        <v>0.1</v>
      </c>
      <c r="J356">
        <v>806</v>
      </c>
      <c r="K356">
        <v>-1.8</v>
      </c>
      <c r="L356">
        <v>1210</v>
      </c>
      <c r="M356">
        <v>1520</v>
      </c>
      <c r="N356">
        <v>1.8</v>
      </c>
      <c r="O356">
        <v>1903</v>
      </c>
      <c r="P356">
        <v>2158</v>
      </c>
      <c r="Q356">
        <v>-0.8</v>
      </c>
      <c r="U356">
        <f t="shared" si="36"/>
        <v>0.1</v>
      </c>
      <c r="V356">
        <f t="shared" si="37"/>
        <v>1.8</v>
      </c>
      <c r="W356">
        <f t="shared" si="38"/>
        <v>1.8</v>
      </c>
      <c r="X356">
        <f t="shared" si="39"/>
        <v>0.8</v>
      </c>
      <c r="AA356">
        <f t="shared" si="34"/>
        <v>1.125</v>
      </c>
      <c r="AB356">
        <f t="shared" si="35"/>
        <v>1.8</v>
      </c>
    </row>
    <row r="357" spans="1:28">
      <c r="A357" t="s">
        <v>190</v>
      </c>
      <c r="B357" t="s">
        <v>191</v>
      </c>
      <c r="C357" t="s">
        <v>122</v>
      </c>
      <c r="D357" t="s">
        <v>131</v>
      </c>
      <c r="E357">
        <v>15</v>
      </c>
      <c r="G357">
        <v>207</v>
      </c>
      <c r="H357">
        <v>0.2</v>
      </c>
      <c r="J357">
        <v>858</v>
      </c>
      <c r="K357">
        <v>-1.8</v>
      </c>
      <c r="L357">
        <v>1248</v>
      </c>
      <c r="M357">
        <v>1534</v>
      </c>
      <c r="N357">
        <v>2</v>
      </c>
      <c r="O357">
        <v>1931</v>
      </c>
      <c r="P357">
        <v>2224</v>
      </c>
      <c r="Q357">
        <v>-1</v>
      </c>
      <c r="U357">
        <f t="shared" si="36"/>
        <v>0.2</v>
      </c>
      <c r="V357">
        <f t="shared" si="37"/>
        <v>1.8</v>
      </c>
      <c r="W357">
        <f t="shared" si="38"/>
        <v>2</v>
      </c>
      <c r="X357">
        <f t="shared" si="39"/>
        <v>1</v>
      </c>
      <c r="AA357">
        <f t="shared" si="34"/>
        <v>1.25</v>
      </c>
      <c r="AB357">
        <f t="shared" si="35"/>
        <v>2</v>
      </c>
    </row>
    <row r="358" spans="1:28">
      <c r="A358" t="s">
        <v>190</v>
      </c>
      <c r="B358" t="s">
        <v>191</v>
      </c>
      <c r="C358" t="s">
        <v>122</v>
      </c>
      <c r="D358" t="s">
        <v>131</v>
      </c>
      <c r="E358">
        <v>16</v>
      </c>
      <c r="F358" s="14">
        <v>142</v>
      </c>
      <c r="G358">
        <v>257</v>
      </c>
      <c r="H358">
        <v>0.5</v>
      </c>
      <c r="I358">
        <v>438</v>
      </c>
      <c r="J358">
        <v>946</v>
      </c>
      <c r="K358">
        <v>-1.9</v>
      </c>
      <c r="L358">
        <v>1324</v>
      </c>
      <c r="M358">
        <v>1557</v>
      </c>
      <c r="N358">
        <v>2.2000000000000002</v>
      </c>
      <c r="O358">
        <v>1954</v>
      </c>
      <c r="P358">
        <v>2253</v>
      </c>
      <c r="Q358">
        <v>-1.3</v>
      </c>
      <c r="U358">
        <f t="shared" si="36"/>
        <v>0.5</v>
      </c>
      <c r="V358">
        <f t="shared" si="37"/>
        <v>1.9</v>
      </c>
      <c r="W358">
        <f t="shared" si="38"/>
        <v>2.2000000000000002</v>
      </c>
      <c r="X358">
        <f t="shared" si="39"/>
        <v>1.3</v>
      </c>
      <c r="AA358">
        <f t="shared" si="34"/>
        <v>1.4749999999999999</v>
      </c>
      <c r="AB358">
        <f t="shared" si="35"/>
        <v>2.2000000000000002</v>
      </c>
    </row>
    <row r="359" spans="1:28">
      <c r="A359" t="s">
        <v>190</v>
      </c>
      <c r="B359" t="s">
        <v>191</v>
      </c>
      <c r="C359" t="s">
        <v>122</v>
      </c>
      <c r="D359" t="s">
        <v>131</v>
      </c>
      <c r="E359">
        <v>17</v>
      </c>
      <c r="F359" s="14">
        <v>216</v>
      </c>
      <c r="G359">
        <v>344</v>
      </c>
      <c r="H359">
        <v>0.7</v>
      </c>
      <c r="I359">
        <v>542</v>
      </c>
      <c r="J359">
        <v>1028</v>
      </c>
      <c r="K359">
        <v>-1.9</v>
      </c>
      <c r="L359">
        <v>1358</v>
      </c>
      <c r="M359">
        <v>1628</v>
      </c>
      <c r="N359">
        <v>2.2999999999999998</v>
      </c>
      <c r="O359">
        <v>2014</v>
      </c>
      <c r="P359">
        <v>2323</v>
      </c>
      <c r="Q359">
        <v>-1.5</v>
      </c>
      <c r="U359">
        <f t="shared" si="36"/>
        <v>0.7</v>
      </c>
      <c r="V359">
        <f t="shared" si="37"/>
        <v>1.9</v>
      </c>
      <c r="W359">
        <f t="shared" si="38"/>
        <v>2.2999999999999998</v>
      </c>
      <c r="X359">
        <f t="shared" si="39"/>
        <v>1.5</v>
      </c>
      <c r="AA359">
        <f t="shared" si="34"/>
        <v>1.5999999999999999</v>
      </c>
      <c r="AB359">
        <f t="shared" si="35"/>
        <v>2.2999999999999998</v>
      </c>
    </row>
    <row r="360" spans="1:28">
      <c r="A360" t="s">
        <v>190</v>
      </c>
      <c r="B360" t="s">
        <v>191</v>
      </c>
      <c r="C360" t="s">
        <v>122</v>
      </c>
      <c r="D360" t="s">
        <v>131</v>
      </c>
      <c r="E360">
        <v>18</v>
      </c>
      <c r="F360" s="14">
        <v>250</v>
      </c>
      <c r="G360">
        <v>430</v>
      </c>
      <c r="H360">
        <v>1.1000000000000001</v>
      </c>
      <c r="I360">
        <v>644</v>
      </c>
      <c r="J360">
        <v>1108</v>
      </c>
      <c r="K360">
        <v>-1.9</v>
      </c>
      <c r="L360">
        <v>1431</v>
      </c>
      <c r="M360">
        <v>1704</v>
      </c>
      <c r="N360">
        <v>2.2999999999999998</v>
      </c>
      <c r="O360">
        <v>2034</v>
      </c>
      <c r="P360">
        <v>2353</v>
      </c>
      <c r="Q360">
        <v>-1.7</v>
      </c>
      <c r="U360">
        <f t="shared" si="36"/>
        <v>1.1000000000000001</v>
      </c>
      <c r="V360">
        <f t="shared" si="37"/>
        <v>1.9</v>
      </c>
      <c r="W360">
        <f t="shared" si="38"/>
        <v>2.2999999999999998</v>
      </c>
      <c r="X360">
        <f t="shared" si="39"/>
        <v>1.7</v>
      </c>
      <c r="AA360">
        <f t="shared" si="34"/>
        <v>1.75</v>
      </c>
      <c r="AB360">
        <f t="shared" si="35"/>
        <v>2.2999999999999998</v>
      </c>
    </row>
    <row r="361" spans="1:28">
      <c r="A361" t="s">
        <v>190</v>
      </c>
      <c r="B361" t="s">
        <v>191</v>
      </c>
      <c r="C361" t="s">
        <v>122</v>
      </c>
      <c r="D361" t="s">
        <v>131</v>
      </c>
      <c r="E361">
        <v>19</v>
      </c>
      <c r="F361" s="14">
        <v>325</v>
      </c>
      <c r="G361">
        <v>517</v>
      </c>
      <c r="H361">
        <v>1.2</v>
      </c>
      <c r="I361">
        <v>744</v>
      </c>
      <c r="J361">
        <v>1145</v>
      </c>
      <c r="K361">
        <v>-1.8</v>
      </c>
      <c r="L361">
        <v>1503</v>
      </c>
      <c r="M361">
        <v>1741</v>
      </c>
      <c r="N361">
        <v>2.2999999999999998</v>
      </c>
      <c r="O361">
        <v>2053</v>
      </c>
      <c r="U361">
        <f t="shared" si="36"/>
        <v>1.2</v>
      </c>
      <c r="V361">
        <f t="shared" si="37"/>
        <v>1.8</v>
      </c>
      <c r="W361">
        <f t="shared" si="38"/>
        <v>2.2999999999999998</v>
      </c>
      <c r="AA361">
        <f t="shared" ref="AA361:AA424" si="40">AVERAGE(U361:Y361)</f>
        <v>1.7666666666666666</v>
      </c>
      <c r="AB361">
        <f t="shared" ref="AB361:AB424" si="41">MAX(U361:Y361)</f>
        <v>2.2999999999999998</v>
      </c>
    </row>
    <row r="362" spans="1:28">
      <c r="A362" t="s">
        <v>190</v>
      </c>
      <c r="B362" t="s">
        <v>191</v>
      </c>
      <c r="C362" t="s">
        <v>122</v>
      </c>
      <c r="D362" t="s">
        <v>131</v>
      </c>
      <c r="E362">
        <v>20</v>
      </c>
      <c r="G362">
        <v>24</v>
      </c>
      <c r="H362">
        <v>-1.8</v>
      </c>
      <c r="I362">
        <v>403</v>
      </c>
      <c r="J362">
        <v>606</v>
      </c>
      <c r="K362">
        <v>1.4</v>
      </c>
      <c r="L362">
        <v>842</v>
      </c>
      <c r="M362">
        <v>1221</v>
      </c>
      <c r="N362">
        <v>-1.6</v>
      </c>
      <c r="O362">
        <v>1535</v>
      </c>
      <c r="P362">
        <v>1821</v>
      </c>
      <c r="Q362">
        <v>2.2000000000000002</v>
      </c>
      <c r="R362">
        <v>2113</v>
      </c>
      <c r="U362">
        <f t="shared" si="36"/>
        <v>1.8</v>
      </c>
      <c r="V362">
        <f t="shared" si="37"/>
        <v>1.4</v>
      </c>
      <c r="W362">
        <f t="shared" si="38"/>
        <v>1.6</v>
      </c>
      <c r="X362">
        <f t="shared" si="39"/>
        <v>2.2000000000000002</v>
      </c>
      <c r="AA362">
        <f t="shared" si="40"/>
        <v>1.7500000000000002</v>
      </c>
      <c r="AB362">
        <f t="shared" si="41"/>
        <v>2.2000000000000002</v>
      </c>
    </row>
    <row r="363" spans="1:28">
      <c r="A363" t="s">
        <v>190</v>
      </c>
      <c r="B363" t="s">
        <v>191</v>
      </c>
      <c r="C363" t="s">
        <v>122</v>
      </c>
      <c r="D363" t="s">
        <v>131</v>
      </c>
      <c r="E363">
        <v>21</v>
      </c>
      <c r="G363">
        <v>55</v>
      </c>
      <c r="H363">
        <v>-2</v>
      </c>
      <c r="I363">
        <v>445</v>
      </c>
      <c r="J363">
        <v>656</v>
      </c>
      <c r="K363">
        <v>1.6</v>
      </c>
      <c r="L363">
        <v>939</v>
      </c>
      <c r="M363">
        <v>1258</v>
      </c>
      <c r="N363">
        <v>-1.4</v>
      </c>
      <c r="O363">
        <v>1609</v>
      </c>
      <c r="P363">
        <v>1902</v>
      </c>
      <c r="Q363">
        <v>1.9</v>
      </c>
      <c r="R363">
        <v>2134</v>
      </c>
      <c r="U363">
        <f t="shared" si="36"/>
        <v>2</v>
      </c>
      <c r="V363">
        <f t="shared" si="37"/>
        <v>1.6</v>
      </c>
      <c r="W363">
        <f t="shared" si="38"/>
        <v>1.4</v>
      </c>
      <c r="X363">
        <f t="shared" si="39"/>
        <v>1.9</v>
      </c>
      <c r="AA363">
        <f t="shared" si="40"/>
        <v>1.7250000000000001</v>
      </c>
      <c r="AB363">
        <f t="shared" si="41"/>
        <v>2</v>
      </c>
    </row>
    <row r="364" spans="1:28">
      <c r="A364" t="s">
        <v>190</v>
      </c>
      <c r="B364" t="s">
        <v>191</v>
      </c>
      <c r="C364" t="s">
        <v>122</v>
      </c>
      <c r="D364" t="s">
        <v>131</v>
      </c>
      <c r="E364">
        <v>22</v>
      </c>
      <c r="G364">
        <v>129</v>
      </c>
      <c r="H364">
        <v>-2.1</v>
      </c>
      <c r="I364">
        <v>532</v>
      </c>
      <c r="J364">
        <v>747</v>
      </c>
      <c r="K364">
        <v>1.7</v>
      </c>
      <c r="L364">
        <v>1037</v>
      </c>
      <c r="M364">
        <v>1343</v>
      </c>
      <c r="N364">
        <v>-1</v>
      </c>
      <c r="O364">
        <v>1648</v>
      </c>
      <c r="P364">
        <v>1944</v>
      </c>
      <c r="Q364">
        <v>1.7</v>
      </c>
      <c r="R364">
        <v>2200</v>
      </c>
      <c r="U364">
        <f t="shared" si="36"/>
        <v>2.1</v>
      </c>
      <c r="V364">
        <f t="shared" si="37"/>
        <v>1.7</v>
      </c>
      <c r="W364">
        <f t="shared" si="38"/>
        <v>1</v>
      </c>
      <c r="X364">
        <f t="shared" si="39"/>
        <v>1.7</v>
      </c>
      <c r="AA364">
        <f t="shared" si="40"/>
        <v>1.625</v>
      </c>
      <c r="AB364">
        <f t="shared" si="41"/>
        <v>2.1</v>
      </c>
    </row>
    <row r="365" spans="1:28">
      <c r="A365" t="s">
        <v>190</v>
      </c>
      <c r="B365" t="s">
        <v>191</v>
      </c>
      <c r="C365" t="s">
        <v>122</v>
      </c>
      <c r="D365" t="s">
        <v>131</v>
      </c>
      <c r="E365">
        <v>23</v>
      </c>
      <c r="G365">
        <v>210</v>
      </c>
      <c r="H365">
        <v>-2.1</v>
      </c>
      <c r="I365">
        <v>624</v>
      </c>
      <c r="J365">
        <v>838</v>
      </c>
      <c r="K365">
        <v>1.7</v>
      </c>
      <c r="L365">
        <v>1144</v>
      </c>
      <c r="M365">
        <v>1448</v>
      </c>
      <c r="N365">
        <v>-0.8</v>
      </c>
      <c r="O365">
        <v>1736</v>
      </c>
      <c r="P365">
        <v>2028</v>
      </c>
      <c r="Q365">
        <v>1.4</v>
      </c>
      <c r="R365">
        <v>2229</v>
      </c>
      <c r="U365">
        <f t="shared" si="36"/>
        <v>2.1</v>
      </c>
      <c r="V365">
        <f t="shared" si="37"/>
        <v>1.7</v>
      </c>
      <c r="W365">
        <f t="shared" si="38"/>
        <v>0.8</v>
      </c>
      <c r="X365">
        <f t="shared" si="39"/>
        <v>1.4</v>
      </c>
      <c r="AA365">
        <f t="shared" si="40"/>
        <v>1.5</v>
      </c>
      <c r="AB365">
        <f t="shared" si="41"/>
        <v>2.1</v>
      </c>
    </row>
    <row r="366" spans="1:28">
      <c r="A366" t="s">
        <v>190</v>
      </c>
      <c r="B366" t="s">
        <v>191</v>
      </c>
      <c r="C366" t="s">
        <v>122</v>
      </c>
      <c r="D366" t="s">
        <v>131</v>
      </c>
      <c r="E366">
        <v>24</v>
      </c>
      <c r="G366">
        <v>305</v>
      </c>
      <c r="H366">
        <v>-2.1</v>
      </c>
      <c r="I366">
        <v>721</v>
      </c>
      <c r="J366">
        <v>932</v>
      </c>
      <c r="K366">
        <v>1.7</v>
      </c>
      <c r="L366">
        <v>1311</v>
      </c>
      <c r="M366">
        <v>1611</v>
      </c>
      <c r="N366">
        <v>-0.6</v>
      </c>
      <c r="O366">
        <v>1838</v>
      </c>
      <c r="P366">
        <v>2116</v>
      </c>
      <c r="Q366">
        <v>1.1000000000000001</v>
      </c>
      <c r="R366">
        <v>2304</v>
      </c>
      <c r="U366">
        <f t="shared" si="36"/>
        <v>2.1</v>
      </c>
      <c r="V366">
        <f t="shared" si="37"/>
        <v>1.7</v>
      </c>
      <c r="W366">
        <f t="shared" si="38"/>
        <v>0.6</v>
      </c>
      <c r="X366">
        <f t="shared" si="39"/>
        <v>1.1000000000000001</v>
      </c>
      <c r="AA366">
        <f t="shared" si="40"/>
        <v>1.375</v>
      </c>
      <c r="AB366">
        <f t="shared" si="41"/>
        <v>2.1</v>
      </c>
    </row>
    <row r="367" spans="1:28">
      <c r="A367" t="s">
        <v>190</v>
      </c>
      <c r="B367" t="s">
        <v>191</v>
      </c>
      <c r="C367" t="s">
        <v>122</v>
      </c>
      <c r="D367" t="s">
        <v>131</v>
      </c>
      <c r="E367">
        <v>25</v>
      </c>
      <c r="G367">
        <v>413</v>
      </c>
      <c r="H367">
        <v>-2</v>
      </c>
      <c r="I367">
        <v>823</v>
      </c>
      <c r="J367">
        <v>1033</v>
      </c>
      <c r="K367">
        <v>1.6</v>
      </c>
      <c r="L367">
        <v>1502</v>
      </c>
      <c r="M367">
        <v>1727</v>
      </c>
      <c r="N367">
        <v>-0.5</v>
      </c>
      <c r="O367">
        <v>2008</v>
      </c>
      <c r="P367">
        <v>2211</v>
      </c>
      <c r="Q367">
        <v>0.7</v>
      </c>
      <c r="R367">
        <v>2346</v>
      </c>
      <c r="U367">
        <f t="shared" si="36"/>
        <v>2</v>
      </c>
      <c r="V367">
        <f t="shared" si="37"/>
        <v>1.6</v>
      </c>
      <c r="W367">
        <f t="shared" si="38"/>
        <v>0.5</v>
      </c>
      <c r="X367">
        <f t="shared" si="39"/>
        <v>0.7</v>
      </c>
      <c r="AA367">
        <f t="shared" si="40"/>
        <v>1.2</v>
      </c>
      <c r="AB367">
        <f t="shared" si="41"/>
        <v>2</v>
      </c>
    </row>
    <row r="368" spans="1:28">
      <c r="A368" t="s">
        <v>190</v>
      </c>
      <c r="B368" t="s">
        <v>191</v>
      </c>
      <c r="C368" t="s">
        <v>122</v>
      </c>
      <c r="D368" t="s">
        <v>131</v>
      </c>
      <c r="E368">
        <v>26</v>
      </c>
      <c r="G368">
        <v>521</v>
      </c>
      <c r="H368">
        <v>-2</v>
      </c>
      <c r="I368">
        <v>928</v>
      </c>
      <c r="J368">
        <v>1150</v>
      </c>
      <c r="K368">
        <v>1.6</v>
      </c>
      <c r="L368">
        <v>1629</v>
      </c>
      <c r="M368">
        <v>1838</v>
      </c>
      <c r="N368">
        <v>-0.6</v>
      </c>
      <c r="O368">
        <v>2153</v>
      </c>
      <c r="P368">
        <v>2317</v>
      </c>
      <c r="Q368">
        <v>0.5</v>
      </c>
      <c r="U368">
        <f t="shared" si="36"/>
        <v>2</v>
      </c>
      <c r="V368">
        <f t="shared" si="37"/>
        <v>1.6</v>
      </c>
      <c r="W368">
        <f t="shared" si="38"/>
        <v>0.6</v>
      </c>
      <c r="X368">
        <f t="shared" si="39"/>
        <v>0.5</v>
      </c>
      <c r="AA368">
        <f t="shared" si="40"/>
        <v>1.175</v>
      </c>
      <c r="AB368">
        <f t="shared" si="41"/>
        <v>2</v>
      </c>
    </row>
    <row r="369" spans="1:28">
      <c r="A369" t="s">
        <v>190</v>
      </c>
      <c r="B369" t="s">
        <v>191</v>
      </c>
      <c r="C369" t="s">
        <v>122</v>
      </c>
      <c r="D369" t="s">
        <v>131</v>
      </c>
      <c r="E369">
        <v>27</v>
      </c>
      <c r="F369" s="14">
        <v>41</v>
      </c>
      <c r="G369">
        <v>625</v>
      </c>
      <c r="H369">
        <v>-2</v>
      </c>
      <c r="I369">
        <v>1032</v>
      </c>
      <c r="J369">
        <v>1349</v>
      </c>
      <c r="K369">
        <v>1.7</v>
      </c>
      <c r="L369">
        <v>1726</v>
      </c>
      <c r="M369">
        <v>1949</v>
      </c>
      <c r="N369">
        <v>-0.7</v>
      </c>
      <c r="O369">
        <v>2319</v>
      </c>
      <c r="U369">
        <f t="shared" si="36"/>
        <v>2</v>
      </c>
      <c r="V369">
        <f t="shared" si="37"/>
        <v>1.7</v>
      </c>
      <c r="W369">
        <f t="shared" si="38"/>
        <v>0.7</v>
      </c>
      <c r="AA369">
        <f t="shared" si="40"/>
        <v>1.4666666666666668</v>
      </c>
      <c r="AB369">
        <f t="shared" si="41"/>
        <v>2</v>
      </c>
    </row>
    <row r="370" spans="1:28">
      <c r="A370" t="s">
        <v>190</v>
      </c>
      <c r="B370" t="s">
        <v>191</v>
      </c>
      <c r="C370" t="s">
        <v>122</v>
      </c>
      <c r="D370" t="s">
        <v>131</v>
      </c>
      <c r="E370">
        <v>28</v>
      </c>
      <c r="G370">
        <v>32</v>
      </c>
      <c r="H370">
        <v>0.4</v>
      </c>
      <c r="I370">
        <v>211</v>
      </c>
      <c r="J370">
        <v>729</v>
      </c>
      <c r="K370">
        <v>-2</v>
      </c>
      <c r="L370">
        <v>1130</v>
      </c>
      <c r="M370">
        <v>1442</v>
      </c>
      <c r="N370">
        <v>1.9</v>
      </c>
      <c r="O370">
        <v>1810</v>
      </c>
      <c r="P370">
        <v>2057</v>
      </c>
      <c r="Q370">
        <v>-1</v>
      </c>
      <c r="U370">
        <f t="shared" si="36"/>
        <v>0.4</v>
      </c>
      <c r="V370">
        <f t="shared" si="37"/>
        <v>2</v>
      </c>
      <c r="W370">
        <f t="shared" si="38"/>
        <v>1.9</v>
      </c>
      <c r="X370">
        <f t="shared" si="39"/>
        <v>1</v>
      </c>
      <c r="AA370">
        <f t="shared" si="40"/>
        <v>1.325</v>
      </c>
      <c r="AB370">
        <f t="shared" si="41"/>
        <v>2</v>
      </c>
    </row>
    <row r="371" spans="1:28">
      <c r="A371" t="s">
        <v>190</v>
      </c>
      <c r="B371" t="s">
        <v>191</v>
      </c>
      <c r="C371" t="s">
        <v>122</v>
      </c>
      <c r="D371" t="s">
        <v>131</v>
      </c>
      <c r="E371">
        <v>29</v>
      </c>
      <c r="F371" s="14">
        <v>20</v>
      </c>
      <c r="G371">
        <v>148</v>
      </c>
      <c r="H371">
        <v>0.6</v>
      </c>
      <c r="I371">
        <v>355</v>
      </c>
      <c r="J371">
        <v>832</v>
      </c>
      <c r="K371">
        <v>-2</v>
      </c>
      <c r="L371">
        <v>1220</v>
      </c>
      <c r="M371">
        <v>1520</v>
      </c>
      <c r="N371">
        <v>2.2000000000000002</v>
      </c>
      <c r="O371">
        <v>1847</v>
      </c>
      <c r="P371">
        <v>2149</v>
      </c>
      <c r="Q371">
        <v>-1.3</v>
      </c>
      <c r="U371">
        <f t="shared" si="36"/>
        <v>0.6</v>
      </c>
      <c r="V371">
        <f t="shared" si="37"/>
        <v>2</v>
      </c>
      <c r="W371">
        <f t="shared" si="38"/>
        <v>2.2000000000000002</v>
      </c>
      <c r="X371">
        <f t="shared" si="39"/>
        <v>1.3</v>
      </c>
      <c r="AA371">
        <f t="shared" si="40"/>
        <v>1.5250000000000001</v>
      </c>
      <c r="AB371">
        <f t="shared" si="41"/>
        <v>2.2000000000000002</v>
      </c>
    </row>
    <row r="372" spans="1:28">
      <c r="A372" t="s">
        <v>190</v>
      </c>
      <c r="B372" t="s">
        <v>191</v>
      </c>
      <c r="C372" t="s">
        <v>122</v>
      </c>
      <c r="D372" t="s">
        <v>131</v>
      </c>
      <c r="E372">
        <v>30</v>
      </c>
      <c r="F372" s="14">
        <v>107</v>
      </c>
      <c r="G372">
        <v>250</v>
      </c>
      <c r="H372">
        <v>0.8</v>
      </c>
      <c r="I372">
        <v>515</v>
      </c>
      <c r="J372">
        <v>930</v>
      </c>
      <c r="K372">
        <v>-2</v>
      </c>
      <c r="L372">
        <v>1306</v>
      </c>
      <c r="M372">
        <v>1550</v>
      </c>
      <c r="N372">
        <v>2.2000000000000002</v>
      </c>
      <c r="O372">
        <v>1919</v>
      </c>
      <c r="P372">
        <v>2229</v>
      </c>
      <c r="Q372">
        <v>-1.6</v>
      </c>
      <c r="U372">
        <f t="shared" si="36"/>
        <v>0.8</v>
      </c>
      <c r="V372">
        <f t="shared" si="37"/>
        <v>2</v>
      </c>
      <c r="W372">
        <f t="shared" si="38"/>
        <v>2.2000000000000002</v>
      </c>
      <c r="X372">
        <f t="shared" si="39"/>
        <v>1.6</v>
      </c>
      <c r="AA372">
        <f t="shared" si="40"/>
        <v>1.65</v>
      </c>
      <c r="AB372">
        <f t="shared" si="41"/>
        <v>2.2000000000000002</v>
      </c>
    </row>
    <row r="373" spans="1:28">
      <c r="A373" t="s">
        <v>190</v>
      </c>
      <c r="B373" t="s">
        <v>191</v>
      </c>
      <c r="C373" t="s">
        <v>122</v>
      </c>
      <c r="D373" t="s">
        <v>131</v>
      </c>
      <c r="E373">
        <v>31</v>
      </c>
      <c r="F373" s="14">
        <v>150</v>
      </c>
      <c r="G373">
        <v>342</v>
      </c>
      <c r="H373">
        <v>1.2</v>
      </c>
      <c r="I373">
        <v>623</v>
      </c>
      <c r="J373">
        <v>1021</v>
      </c>
      <c r="K373">
        <v>-2</v>
      </c>
      <c r="L373">
        <v>1347</v>
      </c>
      <c r="M373">
        <v>1619</v>
      </c>
      <c r="N373">
        <v>2.2000000000000002</v>
      </c>
      <c r="O373">
        <v>1948</v>
      </c>
      <c r="P373">
        <v>2305</v>
      </c>
      <c r="Q373">
        <v>-1.8</v>
      </c>
      <c r="U373">
        <f t="shared" si="36"/>
        <v>1.2</v>
      </c>
      <c r="V373">
        <f t="shared" si="37"/>
        <v>2</v>
      </c>
      <c r="W373">
        <f t="shared" si="38"/>
        <v>2.2000000000000002</v>
      </c>
      <c r="X373">
        <f t="shared" si="39"/>
        <v>1.8</v>
      </c>
      <c r="AA373">
        <f t="shared" si="40"/>
        <v>1.8</v>
      </c>
      <c r="AB373">
        <f t="shared" si="41"/>
        <v>2.2000000000000002</v>
      </c>
    </row>
    <row r="374" spans="1:28">
      <c r="A374" t="s">
        <v>192</v>
      </c>
      <c r="B374" t="s">
        <v>193</v>
      </c>
      <c r="C374" t="s">
        <v>122</v>
      </c>
      <c r="D374" t="s">
        <v>131</v>
      </c>
      <c r="E374">
        <v>1</v>
      </c>
      <c r="F374" s="14">
        <v>30</v>
      </c>
      <c r="G374">
        <v>301</v>
      </c>
      <c r="H374">
        <v>0.7</v>
      </c>
      <c r="I374">
        <v>431</v>
      </c>
      <c r="J374">
        <v>829</v>
      </c>
      <c r="K374">
        <v>-3</v>
      </c>
      <c r="L374">
        <v>1235</v>
      </c>
      <c r="M374">
        <v>1629</v>
      </c>
      <c r="N374">
        <v>2.6</v>
      </c>
      <c r="O374">
        <v>2002</v>
      </c>
      <c r="P374">
        <v>2146</v>
      </c>
      <c r="Q374">
        <v>-1.6</v>
      </c>
      <c r="U374">
        <f t="shared" si="36"/>
        <v>0.7</v>
      </c>
      <c r="V374">
        <f t="shared" si="37"/>
        <v>3</v>
      </c>
      <c r="W374">
        <f t="shared" si="38"/>
        <v>2.6</v>
      </c>
      <c r="X374">
        <f t="shared" si="39"/>
        <v>1.6</v>
      </c>
      <c r="AA374">
        <f t="shared" si="40"/>
        <v>1.9750000000000001</v>
      </c>
      <c r="AB374">
        <f t="shared" si="41"/>
        <v>3</v>
      </c>
    </row>
    <row r="375" spans="1:28">
      <c r="A375" t="s">
        <v>192</v>
      </c>
      <c r="B375" t="s">
        <v>193</v>
      </c>
      <c r="C375" t="s">
        <v>122</v>
      </c>
      <c r="D375" t="s">
        <v>131</v>
      </c>
      <c r="E375">
        <v>2</v>
      </c>
      <c r="F375" s="14">
        <v>119</v>
      </c>
      <c r="G375">
        <v>355</v>
      </c>
      <c r="H375">
        <v>0.8</v>
      </c>
      <c r="I375">
        <v>539</v>
      </c>
      <c r="J375">
        <v>920</v>
      </c>
      <c r="K375">
        <v>-3</v>
      </c>
      <c r="L375">
        <v>1317</v>
      </c>
      <c r="M375">
        <v>1704</v>
      </c>
      <c r="N375">
        <v>2.6</v>
      </c>
      <c r="O375">
        <v>2033</v>
      </c>
      <c r="P375">
        <v>2224</v>
      </c>
      <c r="Q375">
        <v>-1.9</v>
      </c>
      <c r="U375">
        <f t="shared" si="36"/>
        <v>0.8</v>
      </c>
      <c r="V375">
        <f t="shared" si="37"/>
        <v>3</v>
      </c>
      <c r="W375">
        <f t="shared" si="38"/>
        <v>2.6</v>
      </c>
      <c r="X375">
        <f t="shared" si="39"/>
        <v>1.9</v>
      </c>
      <c r="AA375">
        <f t="shared" si="40"/>
        <v>2.0750000000000002</v>
      </c>
      <c r="AB375">
        <f t="shared" si="41"/>
        <v>3</v>
      </c>
    </row>
    <row r="376" spans="1:28">
      <c r="A376" t="s">
        <v>192</v>
      </c>
      <c r="B376" t="s">
        <v>193</v>
      </c>
      <c r="C376" t="s">
        <v>122</v>
      </c>
      <c r="D376" t="s">
        <v>131</v>
      </c>
      <c r="E376">
        <v>3</v>
      </c>
      <c r="F376" s="14">
        <v>207</v>
      </c>
      <c r="G376">
        <v>447</v>
      </c>
      <c r="H376">
        <v>1</v>
      </c>
      <c r="I376">
        <v>644</v>
      </c>
      <c r="J376">
        <v>1006</v>
      </c>
      <c r="K376">
        <v>-2.8</v>
      </c>
      <c r="L376">
        <v>1357</v>
      </c>
      <c r="M376">
        <v>1740</v>
      </c>
      <c r="N376">
        <v>2.6</v>
      </c>
      <c r="O376">
        <v>2101</v>
      </c>
      <c r="P376">
        <v>2301</v>
      </c>
      <c r="Q376">
        <v>-2.1</v>
      </c>
      <c r="U376">
        <f t="shared" si="36"/>
        <v>1</v>
      </c>
      <c r="V376">
        <f t="shared" si="37"/>
        <v>2.8</v>
      </c>
      <c r="W376">
        <f t="shared" si="38"/>
        <v>2.6</v>
      </c>
      <c r="X376">
        <f t="shared" si="39"/>
        <v>2.1</v>
      </c>
      <c r="AA376">
        <f t="shared" si="40"/>
        <v>2.125</v>
      </c>
      <c r="AB376">
        <f t="shared" si="41"/>
        <v>2.8</v>
      </c>
    </row>
    <row r="377" spans="1:28">
      <c r="A377" t="s">
        <v>192</v>
      </c>
      <c r="B377" t="s">
        <v>193</v>
      </c>
      <c r="C377" t="s">
        <v>122</v>
      </c>
      <c r="D377" t="s">
        <v>131</v>
      </c>
      <c r="E377">
        <v>4</v>
      </c>
      <c r="F377" s="14">
        <v>255</v>
      </c>
      <c r="G377">
        <v>540</v>
      </c>
      <c r="H377">
        <v>1.1000000000000001</v>
      </c>
      <c r="I377">
        <v>746</v>
      </c>
      <c r="J377">
        <v>1048</v>
      </c>
      <c r="K377">
        <v>-2.6</v>
      </c>
      <c r="L377">
        <v>1436</v>
      </c>
      <c r="M377">
        <v>1816</v>
      </c>
      <c r="N377">
        <v>2.5</v>
      </c>
      <c r="O377">
        <v>2126</v>
      </c>
      <c r="P377">
        <v>2338</v>
      </c>
      <c r="Q377">
        <v>-2.2999999999999998</v>
      </c>
      <c r="U377">
        <f t="shared" si="36"/>
        <v>1.1000000000000001</v>
      </c>
      <c r="V377">
        <f t="shared" si="37"/>
        <v>2.6</v>
      </c>
      <c r="W377">
        <f t="shared" si="38"/>
        <v>2.5</v>
      </c>
      <c r="X377">
        <f t="shared" si="39"/>
        <v>2.2999999999999998</v>
      </c>
      <c r="AA377">
        <f t="shared" si="40"/>
        <v>2.125</v>
      </c>
      <c r="AB377">
        <f t="shared" si="41"/>
        <v>2.6</v>
      </c>
    </row>
    <row r="378" spans="1:28">
      <c r="A378" t="s">
        <v>192</v>
      </c>
      <c r="B378" t="s">
        <v>193</v>
      </c>
      <c r="C378" t="s">
        <v>122</v>
      </c>
      <c r="D378" t="s">
        <v>131</v>
      </c>
      <c r="E378">
        <v>5</v>
      </c>
      <c r="F378" s="14">
        <v>343</v>
      </c>
      <c r="G378">
        <v>632</v>
      </c>
      <c r="H378">
        <v>1.1000000000000001</v>
      </c>
      <c r="I378">
        <v>842</v>
      </c>
      <c r="J378">
        <v>1129</v>
      </c>
      <c r="K378">
        <v>-2.2000000000000002</v>
      </c>
      <c r="L378">
        <v>1514</v>
      </c>
      <c r="M378">
        <v>1853</v>
      </c>
      <c r="N378">
        <v>2.2999999999999998</v>
      </c>
      <c r="O378">
        <v>2150</v>
      </c>
      <c r="U378">
        <f t="shared" si="36"/>
        <v>1.1000000000000001</v>
      </c>
      <c r="V378">
        <f t="shared" si="37"/>
        <v>2.2000000000000002</v>
      </c>
      <c r="W378">
        <f t="shared" si="38"/>
        <v>2.2999999999999998</v>
      </c>
      <c r="AA378">
        <f t="shared" si="40"/>
        <v>1.8666666666666665</v>
      </c>
      <c r="AB378">
        <f t="shared" si="41"/>
        <v>2.2999999999999998</v>
      </c>
    </row>
    <row r="379" spans="1:28">
      <c r="A379" t="s">
        <v>192</v>
      </c>
      <c r="B379" t="s">
        <v>193</v>
      </c>
      <c r="C379" t="s">
        <v>122</v>
      </c>
      <c r="D379" t="s">
        <v>131</v>
      </c>
      <c r="E379">
        <v>6</v>
      </c>
      <c r="G379">
        <v>16</v>
      </c>
      <c r="H379">
        <v>-2.2999999999999998</v>
      </c>
      <c r="I379">
        <v>433</v>
      </c>
      <c r="J379">
        <v>723</v>
      </c>
      <c r="K379">
        <v>1.1000000000000001</v>
      </c>
      <c r="L379">
        <v>935</v>
      </c>
      <c r="M379">
        <v>1211</v>
      </c>
      <c r="N379">
        <v>-1.8</v>
      </c>
      <c r="O379">
        <v>1552</v>
      </c>
      <c r="P379">
        <v>1931</v>
      </c>
      <c r="Q379">
        <v>2</v>
      </c>
      <c r="R379">
        <v>2212</v>
      </c>
      <c r="U379">
        <f t="shared" si="36"/>
        <v>2.2999999999999998</v>
      </c>
      <c r="V379">
        <f t="shared" si="37"/>
        <v>1.1000000000000001</v>
      </c>
      <c r="W379">
        <f t="shared" si="38"/>
        <v>1.8</v>
      </c>
      <c r="X379">
        <f t="shared" si="39"/>
        <v>2</v>
      </c>
      <c r="AA379">
        <f t="shared" si="40"/>
        <v>1.8</v>
      </c>
      <c r="AB379">
        <f t="shared" si="41"/>
        <v>2.2999999999999998</v>
      </c>
    </row>
    <row r="380" spans="1:28">
      <c r="A380" t="s">
        <v>192</v>
      </c>
      <c r="B380" t="s">
        <v>193</v>
      </c>
      <c r="C380" t="s">
        <v>122</v>
      </c>
      <c r="D380" t="s">
        <v>131</v>
      </c>
      <c r="E380">
        <v>7</v>
      </c>
      <c r="G380">
        <v>57</v>
      </c>
      <c r="H380">
        <v>-2.2999999999999998</v>
      </c>
      <c r="I380">
        <v>523</v>
      </c>
      <c r="J380">
        <v>811</v>
      </c>
      <c r="K380">
        <v>1.1000000000000001</v>
      </c>
      <c r="L380">
        <v>1027</v>
      </c>
      <c r="M380">
        <v>1257</v>
      </c>
      <c r="N380">
        <v>-1.3</v>
      </c>
      <c r="O380">
        <v>1631</v>
      </c>
      <c r="P380">
        <v>2010</v>
      </c>
      <c r="Q380">
        <v>1.7</v>
      </c>
      <c r="R380">
        <v>2232</v>
      </c>
      <c r="U380">
        <f t="shared" si="36"/>
        <v>2.2999999999999998</v>
      </c>
      <c r="V380">
        <f t="shared" si="37"/>
        <v>1.1000000000000001</v>
      </c>
      <c r="W380">
        <f t="shared" si="38"/>
        <v>1.3</v>
      </c>
      <c r="X380">
        <f t="shared" si="39"/>
        <v>1.7</v>
      </c>
      <c r="AA380">
        <f t="shared" si="40"/>
        <v>1.6</v>
      </c>
      <c r="AB380">
        <f t="shared" si="41"/>
        <v>2.2999999999999998</v>
      </c>
    </row>
    <row r="381" spans="1:28">
      <c r="A381" t="s">
        <v>192</v>
      </c>
      <c r="B381" t="s">
        <v>193</v>
      </c>
      <c r="C381" t="s">
        <v>122</v>
      </c>
      <c r="D381" t="s">
        <v>131</v>
      </c>
      <c r="E381">
        <v>8</v>
      </c>
      <c r="G381">
        <v>142</v>
      </c>
      <c r="H381">
        <v>-2.2999999999999998</v>
      </c>
      <c r="I381">
        <v>614</v>
      </c>
      <c r="J381">
        <v>858</v>
      </c>
      <c r="K381">
        <v>1</v>
      </c>
      <c r="L381">
        <v>1125</v>
      </c>
      <c r="M381">
        <v>1355</v>
      </c>
      <c r="N381">
        <v>-0.9</v>
      </c>
      <c r="O381">
        <v>1713</v>
      </c>
      <c r="P381">
        <v>2050</v>
      </c>
      <c r="Q381">
        <v>1.4</v>
      </c>
      <c r="R381">
        <v>2250</v>
      </c>
      <c r="U381">
        <f t="shared" si="36"/>
        <v>2.2999999999999998</v>
      </c>
      <c r="V381">
        <f t="shared" si="37"/>
        <v>1</v>
      </c>
      <c r="W381">
        <f t="shared" si="38"/>
        <v>0.9</v>
      </c>
      <c r="X381">
        <f t="shared" si="39"/>
        <v>1.4</v>
      </c>
      <c r="AA381">
        <f t="shared" si="40"/>
        <v>1.4</v>
      </c>
      <c r="AB381">
        <f t="shared" si="41"/>
        <v>2.2999999999999998</v>
      </c>
    </row>
    <row r="382" spans="1:28">
      <c r="A382" t="s">
        <v>192</v>
      </c>
      <c r="B382" t="s">
        <v>193</v>
      </c>
      <c r="C382" t="s">
        <v>122</v>
      </c>
      <c r="D382" t="s">
        <v>131</v>
      </c>
      <c r="E382">
        <v>9</v>
      </c>
      <c r="G382">
        <v>233</v>
      </c>
      <c r="H382">
        <v>-2.2000000000000002</v>
      </c>
      <c r="I382">
        <v>706</v>
      </c>
      <c r="J382">
        <v>948</v>
      </c>
      <c r="K382">
        <v>1</v>
      </c>
      <c r="L382">
        <v>1246</v>
      </c>
      <c r="M382">
        <v>1504</v>
      </c>
      <c r="N382">
        <v>-0.6</v>
      </c>
      <c r="O382">
        <v>1805</v>
      </c>
      <c r="P382">
        <v>2132</v>
      </c>
      <c r="Q382">
        <v>1.1000000000000001</v>
      </c>
      <c r="R382">
        <v>2308</v>
      </c>
      <c r="U382">
        <f t="shared" si="36"/>
        <v>2.2000000000000002</v>
      </c>
      <c r="V382">
        <f t="shared" si="37"/>
        <v>1</v>
      </c>
      <c r="W382">
        <f t="shared" si="38"/>
        <v>0.6</v>
      </c>
      <c r="X382">
        <f t="shared" si="39"/>
        <v>1.1000000000000001</v>
      </c>
      <c r="AA382">
        <f t="shared" si="40"/>
        <v>1.2250000000000001</v>
      </c>
      <c r="AB382">
        <f t="shared" si="41"/>
        <v>2.2000000000000002</v>
      </c>
    </row>
    <row r="383" spans="1:28">
      <c r="A383" t="s">
        <v>192</v>
      </c>
      <c r="B383" t="s">
        <v>193</v>
      </c>
      <c r="C383" t="s">
        <v>122</v>
      </c>
      <c r="D383" t="s">
        <v>131</v>
      </c>
      <c r="E383">
        <v>10</v>
      </c>
      <c r="G383">
        <v>326</v>
      </c>
      <c r="H383">
        <v>-2.1</v>
      </c>
      <c r="I383">
        <v>800</v>
      </c>
      <c r="J383">
        <v>1044</v>
      </c>
      <c r="K383">
        <v>0.8</v>
      </c>
      <c r="L383">
        <v>1451</v>
      </c>
      <c r="M383">
        <v>1613</v>
      </c>
      <c r="N383">
        <v>-0.5</v>
      </c>
      <c r="O383">
        <v>1916</v>
      </c>
      <c r="P383">
        <v>2218</v>
      </c>
      <c r="Q383">
        <v>0.6</v>
      </c>
      <c r="R383">
        <v>2332</v>
      </c>
      <c r="U383">
        <f t="shared" si="36"/>
        <v>2.1</v>
      </c>
      <c r="V383">
        <f t="shared" si="37"/>
        <v>0.8</v>
      </c>
      <c r="W383">
        <f t="shared" si="38"/>
        <v>0.5</v>
      </c>
      <c r="X383">
        <f t="shared" si="39"/>
        <v>0.6</v>
      </c>
      <c r="AA383">
        <f t="shared" si="40"/>
        <v>1</v>
      </c>
      <c r="AB383">
        <f t="shared" si="41"/>
        <v>2.1</v>
      </c>
    </row>
    <row r="384" spans="1:28">
      <c r="A384" t="s">
        <v>192</v>
      </c>
      <c r="B384" t="s">
        <v>193</v>
      </c>
      <c r="C384" t="s">
        <v>122</v>
      </c>
      <c r="D384" t="s">
        <v>131</v>
      </c>
      <c r="E384">
        <v>11</v>
      </c>
      <c r="G384">
        <v>419</v>
      </c>
      <c r="H384">
        <v>-2.1</v>
      </c>
      <c r="I384">
        <v>856</v>
      </c>
      <c r="J384">
        <v>1209</v>
      </c>
      <c r="K384">
        <v>0.8</v>
      </c>
      <c r="L384">
        <v>1630</v>
      </c>
      <c r="M384">
        <v>1720</v>
      </c>
      <c r="N384">
        <v>-0.4</v>
      </c>
      <c r="O384">
        <v>2053</v>
      </c>
      <c r="P384">
        <v>2313</v>
      </c>
      <c r="Q384">
        <v>0.4</v>
      </c>
      <c r="U384">
        <f t="shared" si="36"/>
        <v>2.1</v>
      </c>
      <c r="V384">
        <f t="shared" si="37"/>
        <v>0.8</v>
      </c>
      <c r="W384">
        <f t="shared" si="38"/>
        <v>0.4</v>
      </c>
      <c r="X384">
        <f t="shared" si="39"/>
        <v>0.4</v>
      </c>
      <c r="AA384">
        <f t="shared" si="40"/>
        <v>0.92500000000000004</v>
      </c>
      <c r="AB384">
        <f t="shared" si="41"/>
        <v>2.1</v>
      </c>
    </row>
    <row r="385" spans="1:28">
      <c r="A385" t="s">
        <v>192</v>
      </c>
      <c r="B385" t="s">
        <v>193</v>
      </c>
      <c r="C385" t="s">
        <v>122</v>
      </c>
      <c r="D385" t="s">
        <v>131</v>
      </c>
      <c r="E385">
        <v>12</v>
      </c>
      <c r="F385" s="14">
        <v>1</v>
      </c>
      <c r="G385">
        <v>511</v>
      </c>
      <c r="H385">
        <v>-2.2000000000000002</v>
      </c>
      <c r="I385">
        <v>950</v>
      </c>
      <c r="J385">
        <v>1430</v>
      </c>
      <c r="K385">
        <v>1.2</v>
      </c>
      <c r="L385">
        <v>1731</v>
      </c>
      <c r="M385">
        <v>1833</v>
      </c>
      <c r="N385">
        <v>-0.5</v>
      </c>
      <c r="U385">
        <f t="shared" si="36"/>
        <v>2.2000000000000002</v>
      </c>
      <c r="V385">
        <f t="shared" si="37"/>
        <v>1.2</v>
      </c>
      <c r="W385">
        <f t="shared" si="38"/>
        <v>0.5</v>
      </c>
      <c r="AA385">
        <f t="shared" si="40"/>
        <v>1.3</v>
      </c>
      <c r="AB385">
        <f t="shared" si="41"/>
        <v>2.2000000000000002</v>
      </c>
    </row>
    <row r="386" spans="1:28">
      <c r="A386" t="s">
        <v>192</v>
      </c>
      <c r="B386" t="s">
        <v>193</v>
      </c>
      <c r="C386" t="s">
        <v>122</v>
      </c>
      <c r="D386" t="s">
        <v>131</v>
      </c>
      <c r="E386">
        <v>13</v>
      </c>
      <c r="G386">
        <v>17</v>
      </c>
      <c r="H386">
        <v>0.1</v>
      </c>
      <c r="J386">
        <v>603</v>
      </c>
      <c r="K386">
        <v>-2.2000000000000002</v>
      </c>
      <c r="L386">
        <v>1039</v>
      </c>
      <c r="M386">
        <v>1508</v>
      </c>
      <c r="N386">
        <v>1.6</v>
      </c>
      <c r="O386">
        <v>1817</v>
      </c>
      <c r="P386">
        <v>2019</v>
      </c>
      <c r="Q386">
        <v>-0.7</v>
      </c>
      <c r="U386">
        <f t="shared" si="36"/>
        <v>0.1</v>
      </c>
      <c r="V386">
        <f t="shared" si="37"/>
        <v>2.2000000000000002</v>
      </c>
      <c r="W386">
        <f t="shared" si="38"/>
        <v>1.6</v>
      </c>
      <c r="X386">
        <f t="shared" si="39"/>
        <v>0.7</v>
      </c>
      <c r="AA386">
        <f t="shared" si="40"/>
        <v>1.1500000000000001</v>
      </c>
      <c r="AB386">
        <f t="shared" si="41"/>
        <v>2.2000000000000002</v>
      </c>
    </row>
    <row r="387" spans="1:28">
      <c r="A387" t="s">
        <v>192</v>
      </c>
      <c r="B387" t="s">
        <v>193</v>
      </c>
      <c r="C387" t="s">
        <v>122</v>
      </c>
      <c r="D387" t="s">
        <v>131</v>
      </c>
      <c r="E387">
        <v>14</v>
      </c>
      <c r="G387">
        <v>123</v>
      </c>
      <c r="H387">
        <v>0.1</v>
      </c>
      <c r="J387">
        <v>656</v>
      </c>
      <c r="K387">
        <v>-2.2999999999999998</v>
      </c>
      <c r="L387">
        <v>1122</v>
      </c>
      <c r="M387">
        <v>1534</v>
      </c>
      <c r="N387">
        <v>1.8</v>
      </c>
      <c r="O387">
        <v>1853</v>
      </c>
      <c r="P387">
        <v>2048</v>
      </c>
      <c r="Q387">
        <v>-1</v>
      </c>
      <c r="U387">
        <f t="shared" ref="U387:U450" si="42">ABS(H387)</f>
        <v>0.1</v>
      </c>
      <c r="V387">
        <f t="shared" ref="V387:V450" si="43">ABS(K387)</f>
        <v>2.2999999999999998</v>
      </c>
      <c r="W387">
        <f t="shared" ref="W387:W450" si="44">ABS(N387)</f>
        <v>1.8</v>
      </c>
      <c r="X387">
        <f t="shared" ref="X387:X450" si="45">ABS(Q387)</f>
        <v>1</v>
      </c>
      <c r="AA387">
        <f t="shared" si="40"/>
        <v>1.3</v>
      </c>
      <c r="AB387">
        <f t="shared" si="41"/>
        <v>2.2999999999999998</v>
      </c>
    </row>
    <row r="388" spans="1:28">
      <c r="A388" t="s">
        <v>192</v>
      </c>
      <c r="B388" t="s">
        <v>193</v>
      </c>
      <c r="C388" t="s">
        <v>122</v>
      </c>
      <c r="D388" t="s">
        <v>131</v>
      </c>
      <c r="E388">
        <v>15</v>
      </c>
      <c r="G388">
        <v>221</v>
      </c>
      <c r="H388">
        <v>0.2</v>
      </c>
      <c r="J388">
        <v>748</v>
      </c>
      <c r="K388">
        <v>-2.2999999999999998</v>
      </c>
      <c r="L388">
        <v>1200</v>
      </c>
      <c r="M388">
        <v>1548</v>
      </c>
      <c r="N388">
        <v>2</v>
      </c>
      <c r="O388">
        <v>1921</v>
      </c>
      <c r="P388">
        <v>2114</v>
      </c>
      <c r="Q388">
        <v>-1.3</v>
      </c>
      <c r="U388">
        <f t="shared" si="42"/>
        <v>0.2</v>
      </c>
      <c r="V388">
        <f t="shared" si="43"/>
        <v>2.2999999999999998</v>
      </c>
      <c r="W388">
        <f t="shared" si="44"/>
        <v>2</v>
      </c>
      <c r="X388">
        <f t="shared" si="45"/>
        <v>1.3</v>
      </c>
      <c r="AA388">
        <f t="shared" si="40"/>
        <v>1.45</v>
      </c>
      <c r="AB388">
        <f t="shared" si="41"/>
        <v>2.2999999999999998</v>
      </c>
    </row>
    <row r="389" spans="1:28">
      <c r="A389" t="s">
        <v>192</v>
      </c>
      <c r="B389" t="s">
        <v>193</v>
      </c>
      <c r="C389" t="s">
        <v>122</v>
      </c>
      <c r="D389" t="s">
        <v>131</v>
      </c>
      <c r="E389">
        <v>16</v>
      </c>
      <c r="F389" s="14">
        <v>54</v>
      </c>
      <c r="G389">
        <v>311</v>
      </c>
      <c r="H389">
        <v>0.5</v>
      </c>
      <c r="I389">
        <v>428</v>
      </c>
      <c r="J389">
        <v>836</v>
      </c>
      <c r="K389">
        <v>-2.4</v>
      </c>
      <c r="L389">
        <v>1236</v>
      </c>
      <c r="M389">
        <v>1611</v>
      </c>
      <c r="N389">
        <v>2.2000000000000002</v>
      </c>
      <c r="O389">
        <v>1944</v>
      </c>
      <c r="P389">
        <v>2143</v>
      </c>
      <c r="Q389">
        <v>-1.6</v>
      </c>
      <c r="U389">
        <f t="shared" si="42"/>
        <v>0.5</v>
      </c>
      <c r="V389">
        <f t="shared" si="43"/>
        <v>2.4</v>
      </c>
      <c r="W389">
        <f t="shared" si="44"/>
        <v>2.2000000000000002</v>
      </c>
      <c r="X389">
        <f t="shared" si="45"/>
        <v>1.6</v>
      </c>
      <c r="AA389">
        <f t="shared" si="40"/>
        <v>1.6749999999999998</v>
      </c>
      <c r="AB389">
        <f t="shared" si="41"/>
        <v>2.4</v>
      </c>
    </row>
    <row r="390" spans="1:28">
      <c r="A390" t="s">
        <v>192</v>
      </c>
      <c r="B390" t="s">
        <v>193</v>
      </c>
      <c r="C390" t="s">
        <v>122</v>
      </c>
      <c r="D390" t="s">
        <v>131</v>
      </c>
      <c r="E390">
        <v>17</v>
      </c>
      <c r="F390" s="14">
        <v>128</v>
      </c>
      <c r="G390">
        <v>358</v>
      </c>
      <c r="H390">
        <v>0.7</v>
      </c>
      <c r="I390">
        <v>532</v>
      </c>
      <c r="J390">
        <v>918</v>
      </c>
      <c r="K390">
        <v>-2.4</v>
      </c>
      <c r="L390">
        <v>1310</v>
      </c>
      <c r="M390">
        <v>1642</v>
      </c>
      <c r="N390">
        <v>2.2999999999999998</v>
      </c>
      <c r="O390">
        <v>2004</v>
      </c>
      <c r="P390">
        <v>2213</v>
      </c>
      <c r="Q390">
        <v>-1.9</v>
      </c>
      <c r="U390">
        <f t="shared" si="42"/>
        <v>0.7</v>
      </c>
      <c r="V390">
        <f t="shared" si="43"/>
        <v>2.4</v>
      </c>
      <c r="W390">
        <f t="shared" si="44"/>
        <v>2.2999999999999998</v>
      </c>
      <c r="X390">
        <f t="shared" si="45"/>
        <v>1.9</v>
      </c>
      <c r="AA390">
        <f t="shared" si="40"/>
        <v>1.8249999999999997</v>
      </c>
      <c r="AB390">
        <f t="shared" si="41"/>
        <v>2.4</v>
      </c>
    </row>
    <row r="391" spans="1:28">
      <c r="A391" t="s">
        <v>192</v>
      </c>
      <c r="B391" t="s">
        <v>193</v>
      </c>
      <c r="C391" t="s">
        <v>122</v>
      </c>
      <c r="D391" t="s">
        <v>131</v>
      </c>
      <c r="E391">
        <v>18</v>
      </c>
      <c r="F391" s="14">
        <v>202</v>
      </c>
      <c r="G391">
        <v>444</v>
      </c>
      <c r="H391">
        <v>1.1000000000000001</v>
      </c>
      <c r="I391">
        <v>634</v>
      </c>
      <c r="J391">
        <v>958</v>
      </c>
      <c r="K391">
        <v>-2.4</v>
      </c>
      <c r="L391">
        <v>1343</v>
      </c>
      <c r="M391">
        <v>1718</v>
      </c>
      <c r="N391">
        <v>2.2999999999999998</v>
      </c>
      <c r="O391">
        <v>2024</v>
      </c>
      <c r="P391">
        <v>2243</v>
      </c>
      <c r="Q391">
        <v>-2.1</v>
      </c>
      <c r="U391">
        <f t="shared" si="42"/>
        <v>1.1000000000000001</v>
      </c>
      <c r="V391">
        <f t="shared" si="43"/>
        <v>2.4</v>
      </c>
      <c r="W391">
        <f t="shared" si="44"/>
        <v>2.2999999999999998</v>
      </c>
      <c r="X391">
        <f t="shared" si="45"/>
        <v>2.1</v>
      </c>
      <c r="AA391">
        <f t="shared" si="40"/>
        <v>1.9750000000000001</v>
      </c>
      <c r="AB391">
        <f t="shared" si="41"/>
        <v>2.4</v>
      </c>
    </row>
    <row r="392" spans="1:28">
      <c r="A392" t="s">
        <v>192</v>
      </c>
      <c r="B392" t="s">
        <v>193</v>
      </c>
      <c r="C392" t="s">
        <v>122</v>
      </c>
      <c r="D392" t="s">
        <v>131</v>
      </c>
      <c r="E392">
        <v>19</v>
      </c>
      <c r="F392" s="14">
        <v>237</v>
      </c>
      <c r="G392">
        <v>531</v>
      </c>
      <c r="H392">
        <v>1.2</v>
      </c>
      <c r="I392">
        <v>734</v>
      </c>
      <c r="J392">
        <v>1035</v>
      </c>
      <c r="K392">
        <v>-2.2999999999999998</v>
      </c>
      <c r="L392">
        <v>1415</v>
      </c>
      <c r="M392">
        <v>1755</v>
      </c>
      <c r="N392">
        <v>2.2999999999999998</v>
      </c>
      <c r="O392">
        <v>2043</v>
      </c>
      <c r="P392">
        <v>2314</v>
      </c>
      <c r="Q392">
        <v>-2.2999999999999998</v>
      </c>
      <c r="U392">
        <f t="shared" si="42"/>
        <v>1.2</v>
      </c>
      <c r="V392">
        <f t="shared" si="43"/>
        <v>2.2999999999999998</v>
      </c>
      <c r="W392">
        <f t="shared" si="44"/>
        <v>2.2999999999999998</v>
      </c>
      <c r="X392">
        <f t="shared" si="45"/>
        <v>2.2999999999999998</v>
      </c>
      <c r="AA392">
        <f t="shared" si="40"/>
        <v>2.0249999999999999</v>
      </c>
      <c r="AB392">
        <f t="shared" si="41"/>
        <v>2.2999999999999998</v>
      </c>
    </row>
    <row r="393" spans="1:28">
      <c r="A393" t="s">
        <v>192</v>
      </c>
      <c r="B393" t="s">
        <v>193</v>
      </c>
      <c r="C393" t="s">
        <v>122</v>
      </c>
      <c r="D393" t="s">
        <v>131</v>
      </c>
      <c r="E393">
        <v>20</v>
      </c>
      <c r="F393" s="14">
        <v>315</v>
      </c>
      <c r="G393">
        <v>620</v>
      </c>
      <c r="H393">
        <v>1.4</v>
      </c>
      <c r="I393">
        <v>832</v>
      </c>
      <c r="J393">
        <v>1111</v>
      </c>
      <c r="K393">
        <v>-2</v>
      </c>
      <c r="L393">
        <v>1447</v>
      </c>
      <c r="M393">
        <v>1835</v>
      </c>
      <c r="N393">
        <v>2.2000000000000002</v>
      </c>
      <c r="O393">
        <v>2103</v>
      </c>
      <c r="P393">
        <v>2345</v>
      </c>
      <c r="Q393">
        <v>-2.5</v>
      </c>
      <c r="U393">
        <f t="shared" si="42"/>
        <v>1.4</v>
      </c>
      <c r="V393">
        <f t="shared" si="43"/>
        <v>2</v>
      </c>
      <c r="W393">
        <f t="shared" si="44"/>
        <v>2.2000000000000002</v>
      </c>
      <c r="X393">
        <f t="shared" si="45"/>
        <v>2.5</v>
      </c>
      <c r="AA393">
        <f t="shared" si="40"/>
        <v>2.0249999999999999</v>
      </c>
      <c r="AB393">
        <f t="shared" si="41"/>
        <v>2.5</v>
      </c>
    </row>
    <row r="394" spans="1:28">
      <c r="A394" t="s">
        <v>192</v>
      </c>
      <c r="B394" t="s">
        <v>193</v>
      </c>
      <c r="C394" t="s">
        <v>122</v>
      </c>
      <c r="D394" t="s">
        <v>131</v>
      </c>
      <c r="E394">
        <v>21</v>
      </c>
      <c r="F394" s="14">
        <v>357</v>
      </c>
      <c r="G394">
        <v>710</v>
      </c>
      <c r="H394">
        <v>1.6</v>
      </c>
      <c r="I394">
        <v>929</v>
      </c>
      <c r="J394">
        <v>1148</v>
      </c>
      <c r="K394">
        <v>-1.7</v>
      </c>
      <c r="L394">
        <v>1521</v>
      </c>
      <c r="M394">
        <v>1916</v>
      </c>
      <c r="N394">
        <v>1.9</v>
      </c>
      <c r="O394">
        <v>2124</v>
      </c>
      <c r="U394">
        <f t="shared" si="42"/>
        <v>1.6</v>
      </c>
      <c r="V394">
        <f t="shared" si="43"/>
        <v>1.7</v>
      </c>
      <c r="W394">
        <f t="shared" si="44"/>
        <v>1.9</v>
      </c>
      <c r="AA394">
        <f t="shared" si="40"/>
        <v>1.7333333333333332</v>
      </c>
      <c r="AB394">
        <f t="shared" si="41"/>
        <v>1.9</v>
      </c>
    </row>
    <row r="395" spans="1:28">
      <c r="A395" t="s">
        <v>192</v>
      </c>
      <c r="B395" t="s">
        <v>193</v>
      </c>
      <c r="C395" t="s">
        <v>122</v>
      </c>
      <c r="D395" t="s">
        <v>131</v>
      </c>
      <c r="E395">
        <v>22</v>
      </c>
      <c r="G395">
        <v>19</v>
      </c>
      <c r="H395">
        <v>-2.6</v>
      </c>
      <c r="I395">
        <v>444</v>
      </c>
      <c r="J395">
        <v>801</v>
      </c>
      <c r="K395">
        <v>1.7</v>
      </c>
      <c r="L395">
        <v>1027</v>
      </c>
      <c r="M395">
        <v>1233</v>
      </c>
      <c r="N395">
        <v>-1.3</v>
      </c>
      <c r="O395">
        <v>1600</v>
      </c>
      <c r="P395">
        <v>1958</v>
      </c>
      <c r="Q395">
        <v>1.7</v>
      </c>
      <c r="R395">
        <v>2150</v>
      </c>
      <c r="U395">
        <f t="shared" si="42"/>
        <v>2.6</v>
      </c>
      <c r="V395">
        <f t="shared" si="43"/>
        <v>1.7</v>
      </c>
      <c r="W395">
        <f t="shared" si="44"/>
        <v>1.3</v>
      </c>
      <c r="X395">
        <f t="shared" si="45"/>
        <v>1.7</v>
      </c>
      <c r="AA395">
        <f t="shared" si="40"/>
        <v>1.825</v>
      </c>
      <c r="AB395">
        <f t="shared" si="41"/>
        <v>2.6</v>
      </c>
    </row>
    <row r="396" spans="1:28">
      <c r="A396" t="s">
        <v>192</v>
      </c>
      <c r="B396" t="s">
        <v>193</v>
      </c>
      <c r="C396" t="s">
        <v>122</v>
      </c>
      <c r="D396" t="s">
        <v>131</v>
      </c>
      <c r="E396">
        <v>23</v>
      </c>
      <c r="G396">
        <v>100</v>
      </c>
      <c r="H396">
        <v>-2.6</v>
      </c>
      <c r="I396">
        <v>536</v>
      </c>
      <c r="J396">
        <v>852</v>
      </c>
      <c r="K396">
        <v>1.7</v>
      </c>
      <c r="L396">
        <v>1134</v>
      </c>
      <c r="M396">
        <v>1338</v>
      </c>
      <c r="N396">
        <v>-1</v>
      </c>
      <c r="O396">
        <v>1648</v>
      </c>
      <c r="P396">
        <v>2042</v>
      </c>
      <c r="Q396">
        <v>1.4</v>
      </c>
      <c r="R396">
        <v>2219</v>
      </c>
      <c r="U396">
        <f t="shared" si="42"/>
        <v>2.6</v>
      </c>
      <c r="V396">
        <f t="shared" si="43"/>
        <v>1.7</v>
      </c>
      <c r="W396">
        <f t="shared" si="44"/>
        <v>1</v>
      </c>
      <c r="X396">
        <f t="shared" si="45"/>
        <v>1.4</v>
      </c>
      <c r="AA396">
        <f t="shared" si="40"/>
        <v>1.6749999999999998</v>
      </c>
      <c r="AB396">
        <f t="shared" si="41"/>
        <v>2.6</v>
      </c>
    </row>
    <row r="397" spans="1:28">
      <c r="A397" t="s">
        <v>192</v>
      </c>
      <c r="B397" t="s">
        <v>193</v>
      </c>
      <c r="C397" t="s">
        <v>122</v>
      </c>
      <c r="D397" t="s">
        <v>131</v>
      </c>
      <c r="E397">
        <v>24</v>
      </c>
      <c r="G397">
        <v>155</v>
      </c>
      <c r="H397">
        <v>-2.6</v>
      </c>
      <c r="I397">
        <v>633</v>
      </c>
      <c r="J397">
        <v>946</v>
      </c>
      <c r="K397">
        <v>1.7</v>
      </c>
      <c r="L397">
        <v>1301</v>
      </c>
      <c r="M397">
        <v>1501</v>
      </c>
      <c r="N397">
        <v>-0.7</v>
      </c>
      <c r="O397">
        <v>1750</v>
      </c>
      <c r="P397">
        <v>2130</v>
      </c>
      <c r="Q397">
        <v>1.1000000000000001</v>
      </c>
      <c r="R397">
        <v>2254</v>
      </c>
      <c r="U397">
        <f t="shared" si="42"/>
        <v>2.6</v>
      </c>
      <c r="V397">
        <f t="shared" si="43"/>
        <v>1.7</v>
      </c>
      <c r="W397">
        <f t="shared" si="44"/>
        <v>0.7</v>
      </c>
      <c r="X397">
        <f t="shared" si="45"/>
        <v>1.1000000000000001</v>
      </c>
      <c r="AA397">
        <f t="shared" si="40"/>
        <v>1.5249999999999999</v>
      </c>
      <c r="AB397">
        <f t="shared" si="41"/>
        <v>2.6</v>
      </c>
    </row>
    <row r="398" spans="1:28">
      <c r="A398" t="s">
        <v>192</v>
      </c>
      <c r="B398" t="s">
        <v>193</v>
      </c>
      <c r="C398" t="s">
        <v>122</v>
      </c>
      <c r="D398" t="s">
        <v>131</v>
      </c>
      <c r="E398">
        <v>25</v>
      </c>
      <c r="G398">
        <v>303</v>
      </c>
      <c r="H398">
        <v>-2.5</v>
      </c>
      <c r="I398">
        <v>735</v>
      </c>
      <c r="J398">
        <v>1047</v>
      </c>
      <c r="K398">
        <v>1.6</v>
      </c>
      <c r="L398">
        <v>1452</v>
      </c>
      <c r="M398">
        <v>1617</v>
      </c>
      <c r="N398">
        <v>-0.6</v>
      </c>
      <c r="O398">
        <v>1920</v>
      </c>
      <c r="P398">
        <v>2225</v>
      </c>
      <c r="Q398">
        <v>0.7</v>
      </c>
      <c r="R398">
        <v>2336</v>
      </c>
      <c r="U398">
        <f t="shared" si="42"/>
        <v>2.5</v>
      </c>
      <c r="V398">
        <f t="shared" si="43"/>
        <v>1.6</v>
      </c>
      <c r="W398">
        <f t="shared" si="44"/>
        <v>0.6</v>
      </c>
      <c r="X398">
        <f t="shared" si="45"/>
        <v>0.7</v>
      </c>
      <c r="AA398">
        <f t="shared" si="40"/>
        <v>1.3499999999999999</v>
      </c>
      <c r="AB398">
        <f t="shared" si="41"/>
        <v>2.5</v>
      </c>
    </row>
    <row r="399" spans="1:28">
      <c r="A399" t="s">
        <v>192</v>
      </c>
      <c r="B399" t="s">
        <v>193</v>
      </c>
      <c r="C399" t="s">
        <v>122</v>
      </c>
      <c r="D399" t="s">
        <v>131</v>
      </c>
      <c r="E399">
        <v>26</v>
      </c>
      <c r="G399">
        <v>411</v>
      </c>
      <c r="H399">
        <v>-2.5</v>
      </c>
      <c r="I399">
        <v>840</v>
      </c>
      <c r="J399">
        <v>1204</v>
      </c>
      <c r="K399">
        <v>1.6</v>
      </c>
      <c r="L399">
        <v>1619</v>
      </c>
      <c r="M399">
        <v>1728</v>
      </c>
      <c r="N399">
        <v>-0.7</v>
      </c>
      <c r="O399">
        <v>2105</v>
      </c>
      <c r="P399">
        <v>2331</v>
      </c>
      <c r="Q399">
        <v>0.5</v>
      </c>
      <c r="U399">
        <f t="shared" si="42"/>
        <v>2.5</v>
      </c>
      <c r="V399">
        <f t="shared" si="43"/>
        <v>1.6</v>
      </c>
      <c r="W399">
        <f t="shared" si="44"/>
        <v>0.7</v>
      </c>
      <c r="X399">
        <f t="shared" si="45"/>
        <v>0.5</v>
      </c>
      <c r="AA399">
        <f t="shared" si="40"/>
        <v>1.325</v>
      </c>
      <c r="AB399">
        <f t="shared" si="41"/>
        <v>2.5</v>
      </c>
    </row>
    <row r="400" spans="1:28">
      <c r="A400" t="s">
        <v>192</v>
      </c>
      <c r="B400" t="s">
        <v>193</v>
      </c>
      <c r="C400" t="s">
        <v>122</v>
      </c>
      <c r="D400" t="s">
        <v>131</v>
      </c>
      <c r="E400">
        <v>27</v>
      </c>
      <c r="F400" s="14">
        <v>31</v>
      </c>
      <c r="G400">
        <v>515</v>
      </c>
      <c r="H400">
        <v>-2.5</v>
      </c>
      <c r="I400">
        <v>944</v>
      </c>
      <c r="J400">
        <v>1403</v>
      </c>
      <c r="K400">
        <v>1.7</v>
      </c>
      <c r="L400">
        <v>1716</v>
      </c>
      <c r="M400">
        <v>1839</v>
      </c>
      <c r="N400">
        <v>-0.9</v>
      </c>
      <c r="O400">
        <v>2231</v>
      </c>
      <c r="U400">
        <f t="shared" si="42"/>
        <v>2.5</v>
      </c>
      <c r="V400">
        <f t="shared" si="43"/>
        <v>1.7</v>
      </c>
      <c r="W400">
        <f t="shared" si="44"/>
        <v>0.9</v>
      </c>
      <c r="AA400">
        <f t="shared" si="40"/>
        <v>1.7000000000000002</v>
      </c>
      <c r="AB400">
        <f t="shared" si="41"/>
        <v>2.5</v>
      </c>
    </row>
    <row r="401" spans="1:28">
      <c r="A401" t="s">
        <v>192</v>
      </c>
      <c r="B401" t="s">
        <v>193</v>
      </c>
      <c r="C401" t="s">
        <v>122</v>
      </c>
      <c r="D401" t="s">
        <v>131</v>
      </c>
      <c r="E401">
        <v>28</v>
      </c>
      <c r="G401">
        <v>46</v>
      </c>
      <c r="H401">
        <v>0.4</v>
      </c>
      <c r="I401">
        <v>201</v>
      </c>
      <c r="J401">
        <v>619</v>
      </c>
      <c r="K401">
        <v>-2.5</v>
      </c>
      <c r="L401">
        <v>1042</v>
      </c>
      <c r="M401">
        <v>1456</v>
      </c>
      <c r="N401">
        <v>1.9</v>
      </c>
      <c r="O401">
        <v>1800</v>
      </c>
      <c r="P401">
        <v>1947</v>
      </c>
      <c r="Q401">
        <v>-1.3</v>
      </c>
      <c r="R401">
        <v>2332</v>
      </c>
      <c r="U401">
        <f t="shared" si="42"/>
        <v>0.4</v>
      </c>
      <c r="V401">
        <f t="shared" si="43"/>
        <v>2.5</v>
      </c>
      <c r="W401">
        <f t="shared" si="44"/>
        <v>1.9</v>
      </c>
      <c r="X401">
        <f t="shared" si="45"/>
        <v>1.3</v>
      </c>
      <c r="AA401">
        <f t="shared" si="40"/>
        <v>1.5249999999999999</v>
      </c>
      <c r="AB401">
        <f t="shared" si="41"/>
        <v>2.5</v>
      </c>
    </row>
    <row r="402" spans="1:28">
      <c r="A402" t="s">
        <v>192</v>
      </c>
      <c r="B402" t="s">
        <v>193</v>
      </c>
      <c r="C402" t="s">
        <v>122</v>
      </c>
      <c r="D402" t="s">
        <v>131</v>
      </c>
      <c r="E402">
        <v>29</v>
      </c>
      <c r="G402">
        <v>202</v>
      </c>
      <c r="H402">
        <v>0.6</v>
      </c>
      <c r="I402">
        <v>345</v>
      </c>
      <c r="J402">
        <v>722</v>
      </c>
      <c r="K402">
        <v>-2.5</v>
      </c>
      <c r="L402">
        <v>1132</v>
      </c>
      <c r="M402">
        <v>1534</v>
      </c>
      <c r="N402">
        <v>2.2000000000000002</v>
      </c>
      <c r="O402">
        <v>1837</v>
      </c>
      <c r="P402">
        <v>2039</v>
      </c>
      <c r="Q402">
        <v>-1.6</v>
      </c>
      <c r="U402">
        <f t="shared" si="42"/>
        <v>0.6</v>
      </c>
      <c r="V402">
        <f t="shared" si="43"/>
        <v>2.5</v>
      </c>
      <c r="W402">
        <f t="shared" si="44"/>
        <v>2.2000000000000002</v>
      </c>
      <c r="X402">
        <f t="shared" si="45"/>
        <v>1.6</v>
      </c>
      <c r="AA402">
        <f t="shared" si="40"/>
        <v>1.7250000000000001</v>
      </c>
      <c r="AB402">
        <f t="shared" si="41"/>
        <v>2.5</v>
      </c>
    </row>
    <row r="403" spans="1:28">
      <c r="A403" t="s">
        <v>192</v>
      </c>
      <c r="B403" t="s">
        <v>193</v>
      </c>
      <c r="C403" t="s">
        <v>122</v>
      </c>
      <c r="D403" t="s">
        <v>131</v>
      </c>
      <c r="E403">
        <v>30</v>
      </c>
      <c r="F403" s="14">
        <v>19</v>
      </c>
      <c r="G403">
        <v>304</v>
      </c>
      <c r="H403">
        <v>0.8</v>
      </c>
      <c r="I403">
        <v>505</v>
      </c>
      <c r="J403">
        <v>820</v>
      </c>
      <c r="K403">
        <v>-2.5</v>
      </c>
      <c r="L403">
        <v>1218</v>
      </c>
      <c r="M403">
        <v>1604</v>
      </c>
      <c r="N403">
        <v>2.2000000000000002</v>
      </c>
      <c r="O403">
        <v>1909</v>
      </c>
      <c r="P403">
        <v>2119</v>
      </c>
      <c r="Q403">
        <v>-2</v>
      </c>
      <c r="U403">
        <f t="shared" si="42"/>
        <v>0.8</v>
      </c>
      <c r="V403">
        <f t="shared" si="43"/>
        <v>2.5</v>
      </c>
      <c r="W403">
        <f t="shared" si="44"/>
        <v>2.2000000000000002</v>
      </c>
      <c r="X403">
        <f t="shared" si="45"/>
        <v>2</v>
      </c>
      <c r="AA403">
        <f t="shared" si="40"/>
        <v>1.875</v>
      </c>
      <c r="AB403">
        <f t="shared" si="41"/>
        <v>2.5</v>
      </c>
    </row>
    <row r="404" spans="1:28">
      <c r="A404" t="s">
        <v>192</v>
      </c>
      <c r="B404" t="s">
        <v>193</v>
      </c>
      <c r="C404" t="s">
        <v>122</v>
      </c>
      <c r="D404" t="s">
        <v>131</v>
      </c>
      <c r="E404">
        <v>31</v>
      </c>
      <c r="F404" s="14">
        <v>102</v>
      </c>
      <c r="G404">
        <v>356</v>
      </c>
      <c r="H404">
        <v>1.2</v>
      </c>
      <c r="I404">
        <v>613</v>
      </c>
      <c r="J404">
        <v>911</v>
      </c>
      <c r="K404">
        <v>-2.5</v>
      </c>
      <c r="L404">
        <v>1259</v>
      </c>
      <c r="M404">
        <v>1633</v>
      </c>
      <c r="N404">
        <v>2.2000000000000002</v>
      </c>
      <c r="O404">
        <v>1938</v>
      </c>
      <c r="P404">
        <v>2155</v>
      </c>
      <c r="Q404">
        <v>-2.2999999999999998</v>
      </c>
      <c r="U404">
        <f t="shared" si="42"/>
        <v>1.2</v>
      </c>
      <c r="V404">
        <f t="shared" si="43"/>
        <v>2.5</v>
      </c>
      <c r="W404">
        <f t="shared" si="44"/>
        <v>2.2000000000000002</v>
      </c>
      <c r="X404">
        <f t="shared" si="45"/>
        <v>2.2999999999999998</v>
      </c>
      <c r="AA404">
        <f t="shared" si="40"/>
        <v>2.0499999999999998</v>
      </c>
      <c r="AB404">
        <f t="shared" si="41"/>
        <v>2.5</v>
      </c>
    </row>
    <row r="405" spans="1:28">
      <c r="A405" t="s">
        <v>194</v>
      </c>
      <c r="B405" t="s">
        <v>195</v>
      </c>
      <c r="C405" t="s">
        <v>122</v>
      </c>
      <c r="D405" t="s">
        <v>131</v>
      </c>
      <c r="E405">
        <v>1</v>
      </c>
      <c r="F405" s="14">
        <v>105</v>
      </c>
      <c r="G405">
        <v>235</v>
      </c>
      <c r="H405">
        <v>0.8</v>
      </c>
      <c r="I405">
        <v>419</v>
      </c>
      <c r="J405">
        <v>914</v>
      </c>
      <c r="K405">
        <v>-4.2</v>
      </c>
      <c r="L405">
        <v>1310</v>
      </c>
      <c r="M405">
        <v>1603</v>
      </c>
      <c r="N405">
        <v>3.1</v>
      </c>
      <c r="O405">
        <v>1950</v>
      </c>
      <c r="P405">
        <v>2231</v>
      </c>
      <c r="Q405">
        <v>-2.2000000000000002</v>
      </c>
      <c r="U405">
        <f t="shared" si="42"/>
        <v>0.8</v>
      </c>
      <c r="V405">
        <f t="shared" si="43"/>
        <v>4.2</v>
      </c>
      <c r="W405">
        <f t="shared" si="44"/>
        <v>3.1</v>
      </c>
      <c r="X405">
        <f t="shared" si="45"/>
        <v>2.2000000000000002</v>
      </c>
      <c r="AA405">
        <f t="shared" si="40"/>
        <v>2.5750000000000002</v>
      </c>
      <c r="AB405">
        <f t="shared" si="41"/>
        <v>4.2</v>
      </c>
    </row>
    <row r="406" spans="1:28">
      <c r="A406" t="s">
        <v>194</v>
      </c>
      <c r="B406" t="s">
        <v>195</v>
      </c>
      <c r="C406" t="s">
        <v>122</v>
      </c>
      <c r="D406" t="s">
        <v>131</v>
      </c>
      <c r="E406">
        <v>2</v>
      </c>
      <c r="F406" s="14">
        <v>154</v>
      </c>
      <c r="G406">
        <v>329</v>
      </c>
      <c r="H406">
        <v>1</v>
      </c>
      <c r="I406">
        <v>527</v>
      </c>
      <c r="J406">
        <v>1005</v>
      </c>
      <c r="K406">
        <v>-4.2</v>
      </c>
      <c r="L406">
        <v>1352</v>
      </c>
      <c r="M406">
        <v>1638</v>
      </c>
      <c r="N406">
        <v>3.1</v>
      </c>
      <c r="O406">
        <v>2021</v>
      </c>
      <c r="P406">
        <v>2309</v>
      </c>
      <c r="Q406">
        <v>-2.7</v>
      </c>
      <c r="U406">
        <f t="shared" si="42"/>
        <v>1</v>
      </c>
      <c r="V406">
        <f t="shared" si="43"/>
        <v>4.2</v>
      </c>
      <c r="W406">
        <f t="shared" si="44"/>
        <v>3.1</v>
      </c>
      <c r="X406">
        <f t="shared" si="45"/>
        <v>2.7</v>
      </c>
      <c r="AA406">
        <f t="shared" si="40"/>
        <v>2.75</v>
      </c>
      <c r="AB406">
        <f t="shared" si="41"/>
        <v>4.2</v>
      </c>
    </row>
    <row r="407" spans="1:28">
      <c r="A407" t="s">
        <v>194</v>
      </c>
      <c r="B407" t="s">
        <v>195</v>
      </c>
      <c r="C407" t="s">
        <v>122</v>
      </c>
      <c r="D407" t="s">
        <v>131</v>
      </c>
      <c r="E407">
        <v>3</v>
      </c>
      <c r="F407" s="14">
        <v>242</v>
      </c>
      <c r="G407">
        <v>421</v>
      </c>
      <c r="H407">
        <v>1.1000000000000001</v>
      </c>
      <c r="I407">
        <v>632</v>
      </c>
      <c r="J407">
        <v>1051</v>
      </c>
      <c r="K407">
        <v>-3.9</v>
      </c>
      <c r="L407">
        <v>1432</v>
      </c>
      <c r="M407">
        <v>1714</v>
      </c>
      <c r="N407">
        <v>3.1</v>
      </c>
      <c r="O407">
        <v>2049</v>
      </c>
      <c r="P407">
        <v>2346</v>
      </c>
      <c r="Q407">
        <v>-2.9</v>
      </c>
      <c r="U407">
        <f t="shared" si="42"/>
        <v>1.1000000000000001</v>
      </c>
      <c r="V407">
        <f t="shared" si="43"/>
        <v>3.9</v>
      </c>
      <c r="W407">
        <f t="shared" si="44"/>
        <v>3.1</v>
      </c>
      <c r="X407">
        <f t="shared" si="45"/>
        <v>2.9</v>
      </c>
      <c r="AA407">
        <f t="shared" si="40"/>
        <v>2.75</v>
      </c>
      <c r="AB407">
        <f t="shared" si="41"/>
        <v>3.9</v>
      </c>
    </row>
    <row r="408" spans="1:28">
      <c r="A408" t="s">
        <v>194</v>
      </c>
      <c r="B408" t="s">
        <v>195</v>
      </c>
      <c r="C408" t="s">
        <v>122</v>
      </c>
      <c r="D408" t="s">
        <v>131</v>
      </c>
      <c r="E408">
        <v>4</v>
      </c>
      <c r="F408" s="14">
        <v>330</v>
      </c>
      <c r="G408">
        <v>514</v>
      </c>
      <c r="H408">
        <v>1.3</v>
      </c>
      <c r="I408">
        <v>734</v>
      </c>
      <c r="J408">
        <v>1133</v>
      </c>
      <c r="K408">
        <v>-3.6</v>
      </c>
      <c r="L408">
        <v>1511</v>
      </c>
      <c r="M408">
        <v>1750</v>
      </c>
      <c r="N408">
        <v>2.9</v>
      </c>
      <c r="O408">
        <v>2114</v>
      </c>
      <c r="U408">
        <f t="shared" si="42"/>
        <v>1.3</v>
      </c>
      <c r="V408">
        <f t="shared" si="43"/>
        <v>3.6</v>
      </c>
      <c r="W408">
        <f t="shared" si="44"/>
        <v>2.9</v>
      </c>
      <c r="AA408">
        <f t="shared" si="40"/>
        <v>2.6</v>
      </c>
      <c r="AB408">
        <f t="shared" si="41"/>
        <v>3.6</v>
      </c>
    </row>
    <row r="409" spans="1:28">
      <c r="A409" t="s">
        <v>194</v>
      </c>
      <c r="B409" t="s">
        <v>195</v>
      </c>
      <c r="C409" t="s">
        <v>122</v>
      </c>
      <c r="D409" t="s">
        <v>131</v>
      </c>
      <c r="E409">
        <v>5</v>
      </c>
      <c r="G409">
        <v>23</v>
      </c>
      <c r="H409">
        <v>-3.2</v>
      </c>
      <c r="I409">
        <v>418</v>
      </c>
      <c r="J409">
        <v>606</v>
      </c>
      <c r="K409">
        <v>1.3</v>
      </c>
      <c r="L409">
        <v>830</v>
      </c>
      <c r="M409">
        <v>1214</v>
      </c>
      <c r="N409">
        <v>-3.1</v>
      </c>
      <c r="O409">
        <v>1549</v>
      </c>
      <c r="P409">
        <v>1827</v>
      </c>
      <c r="Q409">
        <v>2.7</v>
      </c>
      <c r="R409">
        <v>2138</v>
      </c>
      <c r="U409">
        <f t="shared" si="42"/>
        <v>3.2</v>
      </c>
      <c r="V409">
        <f t="shared" si="43"/>
        <v>1.3</v>
      </c>
      <c r="W409">
        <f t="shared" si="44"/>
        <v>3.1</v>
      </c>
      <c r="X409">
        <f t="shared" si="45"/>
        <v>2.7</v>
      </c>
      <c r="AA409">
        <f t="shared" si="40"/>
        <v>2.5750000000000002</v>
      </c>
      <c r="AB409">
        <f t="shared" si="41"/>
        <v>3.2</v>
      </c>
    </row>
    <row r="410" spans="1:28">
      <c r="A410" t="s">
        <v>194</v>
      </c>
      <c r="B410" t="s">
        <v>195</v>
      </c>
      <c r="C410" t="s">
        <v>122</v>
      </c>
      <c r="D410" t="s">
        <v>131</v>
      </c>
      <c r="E410">
        <v>6</v>
      </c>
      <c r="G410">
        <v>101</v>
      </c>
      <c r="H410">
        <v>-3.2</v>
      </c>
      <c r="I410">
        <v>508</v>
      </c>
      <c r="J410">
        <v>657</v>
      </c>
      <c r="K410">
        <v>1.3</v>
      </c>
      <c r="L410">
        <v>923</v>
      </c>
      <c r="M410">
        <v>1256</v>
      </c>
      <c r="N410">
        <v>-2.5</v>
      </c>
      <c r="O410">
        <v>1627</v>
      </c>
      <c r="P410">
        <v>1905</v>
      </c>
      <c r="Q410">
        <v>2.4</v>
      </c>
      <c r="R410">
        <v>2200</v>
      </c>
      <c r="U410">
        <f t="shared" si="42"/>
        <v>3.2</v>
      </c>
      <c r="V410">
        <f t="shared" si="43"/>
        <v>1.3</v>
      </c>
      <c r="W410">
        <f t="shared" si="44"/>
        <v>2.5</v>
      </c>
      <c r="X410">
        <f t="shared" si="45"/>
        <v>2.4</v>
      </c>
      <c r="AA410">
        <f t="shared" si="40"/>
        <v>2.35</v>
      </c>
      <c r="AB410">
        <f t="shared" si="41"/>
        <v>3.2</v>
      </c>
    </row>
    <row r="411" spans="1:28">
      <c r="A411" t="s">
        <v>194</v>
      </c>
      <c r="B411" t="s">
        <v>195</v>
      </c>
      <c r="C411" t="s">
        <v>122</v>
      </c>
      <c r="D411" t="s">
        <v>131</v>
      </c>
      <c r="E411">
        <v>7</v>
      </c>
      <c r="G411">
        <v>142</v>
      </c>
      <c r="H411">
        <v>-3.2</v>
      </c>
      <c r="I411">
        <v>558</v>
      </c>
      <c r="J411">
        <v>745</v>
      </c>
      <c r="K411">
        <v>1.3</v>
      </c>
      <c r="L411">
        <v>1015</v>
      </c>
      <c r="M411">
        <v>1342</v>
      </c>
      <c r="N411">
        <v>-1.8</v>
      </c>
      <c r="O411">
        <v>1706</v>
      </c>
      <c r="P411">
        <v>1944</v>
      </c>
      <c r="Q411">
        <v>2</v>
      </c>
      <c r="R411">
        <v>2220</v>
      </c>
      <c r="U411">
        <f t="shared" si="42"/>
        <v>3.2</v>
      </c>
      <c r="V411">
        <f t="shared" si="43"/>
        <v>1.3</v>
      </c>
      <c r="W411">
        <f t="shared" si="44"/>
        <v>1.8</v>
      </c>
      <c r="X411">
        <f t="shared" si="45"/>
        <v>2</v>
      </c>
      <c r="AA411">
        <f t="shared" si="40"/>
        <v>2.0750000000000002</v>
      </c>
      <c r="AB411">
        <f t="shared" si="41"/>
        <v>3.2</v>
      </c>
    </row>
    <row r="412" spans="1:28">
      <c r="A412" t="s">
        <v>194</v>
      </c>
      <c r="B412" t="s">
        <v>195</v>
      </c>
      <c r="C412" t="s">
        <v>122</v>
      </c>
      <c r="D412" t="s">
        <v>131</v>
      </c>
      <c r="E412">
        <v>8</v>
      </c>
      <c r="G412">
        <v>227</v>
      </c>
      <c r="H412">
        <v>-3.2</v>
      </c>
      <c r="I412">
        <v>649</v>
      </c>
      <c r="J412">
        <v>832</v>
      </c>
      <c r="K412">
        <v>1.1000000000000001</v>
      </c>
      <c r="L412">
        <v>1113</v>
      </c>
      <c r="M412">
        <v>1440</v>
      </c>
      <c r="N412">
        <v>-1.3</v>
      </c>
      <c r="O412">
        <v>1748</v>
      </c>
      <c r="P412">
        <v>2024</v>
      </c>
      <c r="Q412">
        <v>1.7</v>
      </c>
      <c r="R412">
        <v>2238</v>
      </c>
      <c r="U412">
        <f t="shared" si="42"/>
        <v>3.2</v>
      </c>
      <c r="V412">
        <f t="shared" si="43"/>
        <v>1.1000000000000001</v>
      </c>
      <c r="W412">
        <f t="shared" si="44"/>
        <v>1.3</v>
      </c>
      <c r="X412">
        <f t="shared" si="45"/>
        <v>1.7</v>
      </c>
      <c r="AA412">
        <f t="shared" si="40"/>
        <v>1.8250000000000002</v>
      </c>
      <c r="AB412">
        <f t="shared" si="41"/>
        <v>3.2</v>
      </c>
    </row>
    <row r="413" spans="1:28">
      <c r="A413" t="s">
        <v>194</v>
      </c>
      <c r="B413" t="s">
        <v>195</v>
      </c>
      <c r="C413" t="s">
        <v>122</v>
      </c>
      <c r="D413" t="s">
        <v>131</v>
      </c>
      <c r="E413">
        <v>9</v>
      </c>
      <c r="G413">
        <v>318</v>
      </c>
      <c r="H413">
        <v>-3.1</v>
      </c>
      <c r="I413">
        <v>741</v>
      </c>
      <c r="J413">
        <v>922</v>
      </c>
      <c r="K413">
        <v>1.1000000000000001</v>
      </c>
      <c r="L413">
        <v>1234</v>
      </c>
      <c r="M413">
        <v>1549</v>
      </c>
      <c r="N413">
        <v>-0.8</v>
      </c>
      <c r="O413">
        <v>1840</v>
      </c>
      <c r="P413">
        <v>2106</v>
      </c>
      <c r="Q413">
        <v>1.3</v>
      </c>
      <c r="R413">
        <v>2256</v>
      </c>
      <c r="U413">
        <f t="shared" si="42"/>
        <v>3.1</v>
      </c>
      <c r="V413">
        <f t="shared" si="43"/>
        <v>1.1000000000000001</v>
      </c>
      <c r="W413">
        <f t="shared" si="44"/>
        <v>0.8</v>
      </c>
      <c r="X413">
        <f t="shared" si="45"/>
        <v>1.3</v>
      </c>
      <c r="AA413">
        <f t="shared" si="40"/>
        <v>1.575</v>
      </c>
      <c r="AB413">
        <f t="shared" si="41"/>
        <v>3.1</v>
      </c>
    </row>
    <row r="414" spans="1:28">
      <c r="A414" t="s">
        <v>194</v>
      </c>
      <c r="B414" t="s">
        <v>195</v>
      </c>
      <c r="C414" t="s">
        <v>122</v>
      </c>
      <c r="D414" t="s">
        <v>131</v>
      </c>
      <c r="E414">
        <v>10</v>
      </c>
      <c r="G414">
        <v>411</v>
      </c>
      <c r="H414">
        <v>-2.9</v>
      </c>
      <c r="I414">
        <v>835</v>
      </c>
      <c r="J414">
        <v>1018</v>
      </c>
      <c r="K414">
        <v>1</v>
      </c>
      <c r="L414">
        <v>1439</v>
      </c>
      <c r="M414">
        <v>1658</v>
      </c>
      <c r="N414">
        <v>-0.7</v>
      </c>
      <c r="O414">
        <v>1951</v>
      </c>
      <c r="P414">
        <v>2152</v>
      </c>
      <c r="Q414">
        <v>0.7</v>
      </c>
      <c r="R414">
        <v>2320</v>
      </c>
      <c r="U414">
        <f t="shared" si="42"/>
        <v>2.9</v>
      </c>
      <c r="V414">
        <f t="shared" si="43"/>
        <v>1</v>
      </c>
      <c r="W414">
        <f t="shared" si="44"/>
        <v>0.7</v>
      </c>
      <c r="X414">
        <f t="shared" si="45"/>
        <v>0.7</v>
      </c>
      <c r="AA414">
        <f t="shared" si="40"/>
        <v>1.325</v>
      </c>
      <c r="AB414">
        <f t="shared" si="41"/>
        <v>2.9</v>
      </c>
    </row>
    <row r="415" spans="1:28">
      <c r="A415" t="s">
        <v>194</v>
      </c>
      <c r="B415" t="s">
        <v>195</v>
      </c>
      <c r="C415" t="s">
        <v>122</v>
      </c>
      <c r="D415" t="s">
        <v>131</v>
      </c>
      <c r="E415">
        <v>11</v>
      </c>
      <c r="G415">
        <v>504</v>
      </c>
      <c r="H415">
        <v>-2.9</v>
      </c>
      <c r="I415">
        <v>931</v>
      </c>
      <c r="J415">
        <v>1143</v>
      </c>
      <c r="K415">
        <v>1</v>
      </c>
      <c r="L415">
        <v>1618</v>
      </c>
      <c r="M415">
        <v>1805</v>
      </c>
      <c r="N415">
        <v>-0.6</v>
      </c>
      <c r="O415">
        <v>2128</v>
      </c>
      <c r="P415">
        <v>2247</v>
      </c>
      <c r="Q415">
        <v>0.4</v>
      </c>
      <c r="R415">
        <v>2349</v>
      </c>
      <c r="U415">
        <f t="shared" si="42"/>
        <v>2.9</v>
      </c>
      <c r="V415">
        <f t="shared" si="43"/>
        <v>1</v>
      </c>
      <c r="W415">
        <f t="shared" si="44"/>
        <v>0.6</v>
      </c>
      <c r="X415">
        <f t="shared" si="45"/>
        <v>0.4</v>
      </c>
      <c r="AA415">
        <f t="shared" si="40"/>
        <v>1.2250000000000001</v>
      </c>
      <c r="AB415">
        <f t="shared" si="41"/>
        <v>2.9</v>
      </c>
    </row>
    <row r="416" spans="1:28">
      <c r="A416" t="s">
        <v>194</v>
      </c>
      <c r="B416" t="s">
        <v>195</v>
      </c>
      <c r="C416" t="s">
        <v>122</v>
      </c>
      <c r="D416" t="s">
        <v>131</v>
      </c>
      <c r="E416">
        <v>12</v>
      </c>
      <c r="G416">
        <v>556</v>
      </c>
      <c r="H416">
        <v>-3.1</v>
      </c>
      <c r="I416">
        <v>1025</v>
      </c>
      <c r="J416">
        <v>1404</v>
      </c>
      <c r="K416">
        <v>1.4</v>
      </c>
      <c r="L416">
        <v>1719</v>
      </c>
      <c r="M416">
        <v>1918</v>
      </c>
      <c r="N416">
        <v>-0.7</v>
      </c>
      <c r="P416">
        <v>2351</v>
      </c>
      <c r="Q416">
        <v>0.1</v>
      </c>
      <c r="U416">
        <f t="shared" si="42"/>
        <v>3.1</v>
      </c>
      <c r="V416">
        <f t="shared" si="43"/>
        <v>1.4</v>
      </c>
      <c r="W416">
        <f t="shared" si="44"/>
        <v>0.7</v>
      </c>
      <c r="X416">
        <f t="shared" si="45"/>
        <v>0.1</v>
      </c>
      <c r="AA416">
        <f t="shared" si="40"/>
        <v>1.325</v>
      </c>
      <c r="AB416">
        <f t="shared" si="41"/>
        <v>3.1</v>
      </c>
    </row>
    <row r="417" spans="1:28">
      <c r="A417" t="s">
        <v>194</v>
      </c>
      <c r="B417" t="s">
        <v>195</v>
      </c>
      <c r="C417" t="s">
        <v>122</v>
      </c>
      <c r="D417" t="s">
        <v>131</v>
      </c>
      <c r="E417">
        <v>13</v>
      </c>
      <c r="G417">
        <v>648</v>
      </c>
      <c r="H417">
        <v>-3.1</v>
      </c>
      <c r="I417">
        <v>1114</v>
      </c>
      <c r="J417">
        <v>1442</v>
      </c>
      <c r="K417">
        <v>1.8</v>
      </c>
      <c r="L417">
        <v>1805</v>
      </c>
      <c r="M417">
        <v>2104</v>
      </c>
      <c r="N417">
        <v>-1</v>
      </c>
      <c r="U417">
        <f t="shared" si="42"/>
        <v>3.1</v>
      </c>
      <c r="V417">
        <f t="shared" si="43"/>
        <v>1.8</v>
      </c>
      <c r="W417">
        <f t="shared" si="44"/>
        <v>1</v>
      </c>
      <c r="AA417">
        <f t="shared" si="40"/>
        <v>1.9666666666666668</v>
      </c>
      <c r="AB417">
        <f t="shared" si="41"/>
        <v>3.1</v>
      </c>
    </row>
    <row r="418" spans="1:28">
      <c r="A418" t="s">
        <v>194</v>
      </c>
      <c r="B418" t="s">
        <v>195</v>
      </c>
      <c r="C418" t="s">
        <v>122</v>
      </c>
      <c r="D418" t="s">
        <v>131</v>
      </c>
      <c r="E418">
        <v>14</v>
      </c>
      <c r="G418">
        <v>57</v>
      </c>
      <c r="H418">
        <v>0.1</v>
      </c>
      <c r="J418">
        <v>741</v>
      </c>
      <c r="K418">
        <v>-3.2</v>
      </c>
      <c r="L418">
        <v>1157</v>
      </c>
      <c r="M418">
        <v>1508</v>
      </c>
      <c r="N418">
        <v>2.1</v>
      </c>
      <c r="O418">
        <v>1841</v>
      </c>
      <c r="P418">
        <v>2133</v>
      </c>
      <c r="Q418">
        <v>-1.4</v>
      </c>
      <c r="U418">
        <f t="shared" si="42"/>
        <v>0.1</v>
      </c>
      <c r="V418">
        <f t="shared" si="43"/>
        <v>3.2</v>
      </c>
      <c r="W418">
        <f t="shared" si="44"/>
        <v>2.1</v>
      </c>
      <c r="X418">
        <f t="shared" si="45"/>
        <v>1.4</v>
      </c>
      <c r="AA418">
        <f t="shared" si="40"/>
        <v>1.7000000000000002</v>
      </c>
      <c r="AB418">
        <f t="shared" si="41"/>
        <v>3.2</v>
      </c>
    </row>
    <row r="419" spans="1:28">
      <c r="A419" t="s">
        <v>194</v>
      </c>
      <c r="B419" t="s">
        <v>195</v>
      </c>
      <c r="C419" t="s">
        <v>122</v>
      </c>
      <c r="D419" t="s">
        <v>131</v>
      </c>
      <c r="E419">
        <v>15</v>
      </c>
      <c r="G419">
        <v>155</v>
      </c>
      <c r="H419">
        <v>0.3</v>
      </c>
      <c r="J419">
        <v>833</v>
      </c>
      <c r="K419">
        <v>-3.2</v>
      </c>
      <c r="L419">
        <v>1235</v>
      </c>
      <c r="M419">
        <v>1522</v>
      </c>
      <c r="N419">
        <v>2.4</v>
      </c>
      <c r="O419">
        <v>1909</v>
      </c>
      <c r="P419">
        <v>2159</v>
      </c>
      <c r="Q419">
        <v>-1.8</v>
      </c>
      <c r="U419">
        <f t="shared" si="42"/>
        <v>0.3</v>
      </c>
      <c r="V419">
        <f t="shared" si="43"/>
        <v>3.2</v>
      </c>
      <c r="W419">
        <f t="shared" si="44"/>
        <v>2.4</v>
      </c>
      <c r="X419">
        <f t="shared" si="45"/>
        <v>1.8</v>
      </c>
      <c r="AA419">
        <f t="shared" si="40"/>
        <v>1.925</v>
      </c>
      <c r="AB419">
        <f t="shared" si="41"/>
        <v>3.2</v>
      </c>
    </row>
    <row r="420" spans="1:28">
      <c r="A420" t="s">
        <v>194</v>
      </c>
      <c r="B420" t="s">
        <v>195</v>
      </c>
      <c r="C420" t="s">
        <v>122</v>
      </c>
      <c r="D420" t="s">
        <v>131</v>
      </c>
      <c r="E420">
        <v>16</v>
      </c>
      <c r="F420" s="14">
        <v>129</v>
      </c>
      <c r="G420">
        <v>245</v>
      </c>
      <c r="H420">
        <v>0.6</v>
      </c>
      <c r="I420">
        <v>416</v>
      </c>
      <c r="J420">
        <v>921</v>
      </c>
      <c r="K420">
        <v>-3.4</v>
      </c>
      <c r="L420">
        <v>1311</v>
      </c>
      <c r="M420">
        <v>1545</v>
      </c>
      <c r="N420">
        <v>2.5</v>
      </c>
      <c r="O420">
        <v>1932</v>
      </c>
      <c r="P420">
        <v>2228</v>
      </c>
      <c r="Q420">
        <v>-2.2000000000000002</v>
      </c>
      <c r="U420">
        <f t="shared" si="42"/>
        <v>0.6</v>
      </c>
      <c r="V420">
        <f t="shared" si="43"/>
        <v>3.4</v>
      </c>
      <c r="W420">
        <f t="shared" si="44"/>
        <v>2.5</v>
      </c>
      <c r="X420">
        <f t="shared" si="45"/>
        <v>2.2000000000000002</v>
      </c>
      <c r="AA420">
        <f t="shared" si="40"/>
        <v>2.1749999999999998</v>
      </c>
      <c r="AB420">
        <f t="shared" si="41"/>
        <v>3.4</v>
      </c>
    </row>
    <row r="421" spans="1:28">
      <c r="A421" t="s">
        <v>194</v>
      </c>
      <c r="B421" t="s">
        <v>195</v>
      </c>
      <c r="C421" t="s">
        <v>122</v>
      </c>
      <c r="D421" t="s">
        <v>131</v>
      </c>
      <c r="E421">
        <v>17</v>
      </c>
      <c r="F421" s="14">
        <v>203</v>
      </c>
      <c r="G421">
        <v>332</v>
      </c>
      <c r="H421">
        <v>0.8</v>
      </c>
      <c r="I421">
        <v>520</v>
      </c>
      <c r="J421">
        <v>1003</v>
      </c>
      <c r="K421">
        <v>-3.4</v>
      </c>
      <c r="L421">
        <v>1345</v>
      </c>
      <c r="M421">
        <v>1616</v>
      </c>
      <c r="N421">
        <v>2.7</v>
      </c>
      <c r="O421">
        <v>1952</v>
      </c>
      <c r="P421">
        <v>2258</v>
      </c>
      <c r="Q421">
        <v>-2.7</v>
      </c>
      <c r="U421">
        <f t="shared" si="42"/>
        <v>0.8</v>
      </c>
      <c r="V421">
        <f t="shared" si="43"/>
        <v>3.4</v>
      </c>
      <c r="W421">
        <f t="shared" si="44"/>
        <v>2.7</v>
      </c>
      <c r="X421">
        <f t="shared" si="45"/>
        <v>2.7</v>
      </c>
      <c r="AA421">
        <f t="shared" si="40"/>
        <v>2.4000000000000004</v>
      </c>
      <c r="AB421">
        <f t="shared" si="41"/>
        <v>3.4</v>
      </c>
    </row>
    <row r="422" spans="1:28">
      <c r="A422" t="s">
        <v>194</v>
      </c>
      <c r="B422" t="s">
        <v>195</v>
      </c>
      <c r="C422" t="s">
        <v>122</v>
      </c>
      <c r="D422" t="s">
        <v>131</v>
      </c>
      <c r="E422">
        <v>18</v>
      </c>
      <c r="F422" s="14">
        <v>237</v>
      </c>
      <c r="G422">
        <v>418</v>
      </c>
      <c r="H422">
        <v>1.3</v>
      </c>
      <c r="I422">
        <v>622</v>
      </c>
      <c r="J422">
        <v>1043</v>
      </c>
      <c r="K422">
        <v>-3.4</v>
      </c>
      <c r="L422">
        <v>1418</v>
      </c>
      <c r="M422">
        <v>1652</v>
      </c>
      <c r="N422">
        <v>2.7</v>
      </c>
      <c r="O422">
        <v>2012</v>
      </c>
      <c r="P422">
        <v>2328</v>
      </c>
      <c r="Q422">
        <v>-2.9</v>
      </c>
      <c r="U422">
        <f t="shared" si="42"/>
        <v>1.3</v>
      </c>
      <c r="V422">
        <f t="shared" si="43"/>
        <v>3.4</v>
      </c>
      <c r="W422">
        <f t="shared" si="44"/>
        <v>2.7</v>
      </c>
      <c r="X422">
        <f t="shared" si="45"/>
        <v>2.9</v>
      </c>
      <c r="AA422">
        <f t="shared" si="40"/>
        <v>2.5750000000000002</v>
      </c>
      <c r="AB422">
        <f t="shared" si="41"/>
        <v>3.4</v>
      </c>
    </row>
    <row r="423" spans="1:28">
      <c r="A423" t="s">
        <v>194</v>
      </c>
      <c r="B423" t="s">
        <v>195</v>
      </c>
      <c r="C423" t="s">
        <v>122</v>
      </c>
      <c r="D423" t="s">
        <v>131</v>
      </c>
      <c r="E423">
        <v>19</v>
      </c>
      <c r="F423" s="14">
        <v>312</v>
      </c>
      <c r="G423">
        <v>505</v>
      </c>
      <c r="H423">
        <v>1.4</v>
      </c>
      <c r="I423">
        <v>722</v>
      </c>
      <c r="J423">
        <v>1120</v>
      </c>
      <c r="K423">
        <v>-3.2</v>
      </c>
      <c r="L423">
        <v>1450</v>
      </c>
      <c r="M423">
        <v>1729</v>
      </c>
      <c r="N423">
        <v>2.7</v>
      </c>
      <c r="O423">
        <v>2031</v>
      </c>
      <c r="P423">
        <v>2359</v>
      </c>
      <c r="Q423">
        <v>-3.2</v>
      </c>
      <c r="U423">
        <f t="shared" si="42"/>
        <v>1.4</v>
      </c>
      <c r="V423">
        <f t="shared" si="43"/>
        <v>3.2</v>
      </c>
      <c r="W423">
        <f t="shared" si="44"/>
        <v>2.7</v>
      </c>
      <c r="X423">
        <f t="shared" si="45"/>
        <v>3.2</v>
      </c>
      <c r="AA423">
        <f t="shared" si="40"/>
        <v>2.625</v>
      </c>
      <c r="AB423">
        <f t="shared" si="41"/>
        <v>3.2</v>
      </c>
    </row>
    <row r="424" spans="1:28">
      <c r="A424" t="s">
        <v>194</v>
      </c>
      <c r="B424" t="s">
        <v>195</v>
      </c>
      <c r="C424" t="s">
        <v>122</v>
      </c>
      <c r="D424" t="s">
        <v>131</v>
      </c>
      <c r="E424">
        <v>20</v>
      </c>
      <c r="F424" s="14">
        <v>350</v>
      </c>
      <c r="G424">
        <v>554</v>
      </c>
      <c r="H424">
        <v>1.7</v>
      </c>
      <c r="I424">
        <v>820</v>
      </c>
      <c r="J424">
        <v>1156</v>
      </c>
      <c r="K424">
        <v>-2.8</v>
      </c>
      <c r="L424">
        <v>1522</v>
      </c>
      <c r="M424">
        <v>1809</v>
      </c>
      <c r="N424">
        <v>2.5</v>
      </c>
      <c r="O424">
        <v>2051</v>
      </c>
      <c r="U424">
        <f t="shared" si="42"/>
        <v>1.7</v>
      </c>
      <c r="V424">
        <f t="shared" si="43"/>
        <v>2.8</v>
      </c>
      <c r="W424">
        <f t="shared" si="44"/>
        <v>2.5</v>
      </c>
      <c r="AA424">
        <f t="shared" si="40"/>
        <v>2.3333333333333335</v>
      </c>
      <c r="AB424">
        <f t="shared" si="41"/>
        <v>2.8</v>
      </c>
    </row>
    <row r="425" spans="1:28">
      <c r="A425" t="s">
        <v>194</v>
      </c>
      <c r="B425" t="s">
        <v>195</v>
      </c>
      <c r="C425" t="s">
        <v>122</v>
      </c>
      <c r="D425" t="s">
        <v>131</v>
      </c>
      <c r="E425">
        <v>21</v>
      </c>
      <c r="G425">
        <v>30</v>
      </c>
      <c r="H425">
        <v>-3.5</v>
      </c>
      <c r="I425">
        <v>432</v>
      </c>
      <c r="J425">
        <v>644</v>
      </c>
      <c r="K425">
        <v>1.8</v>
      </c>
      <c r="L425">
        <v>917</v>
      </c>
      <c r="M425">
        <v>1233</v>
      </c>
      <c r="N425">
        <v>-2.4</v>
      </c>
      <c r="O425">
        <v>1556</v>
      </c>
      <c r="P425">
        <v>1850</v>
      </c>
      <c r="Q425">
        <v>2.2000000000000002</v>
      </c>
      <c r="R425">
        <v>2112</v>
      </c>
      <c r="U425">
        <f t="shared" si="42"/>
        <v>3.5</v>
      </c>
      <c r="V425">
        <f t="shared" si="43"/>
        <v>1.8</v>
      </c>
      <c r="W425">
        <f t="shared" si="44"/>
        <v>2.4</v>
      </c>
      <c r="X425">
        <f t="shared" si="45"/>
        <v>2.2000000000000002</v>
      </c>
      <c r="AA425">
        <f t="shared" ref="AA425:AA488" si="46">AVERAGE(U425:Y425)</f>
        <v>2.4749999999999996</v>
      </c>
      <c r="AB425">
        <f t="shared" ref="AB425:AB488" si="47">MAX(U425:Y425)</f>
        <v>3.5</v>
      </c>
    </row>
    <row r="426" spans="1:28">
      <c r="A426" t="s">
        <v>194</v>
      </c>
      <c r="B426" t="s">
        <v>195</v>
      </c>
      <c r="C426" t="s">
        <v>122</v>
      </c>
      <c r="D426" t="s">
        <v>131</v>
      </c>
      <c r="E426">
        <v>22</v>
      </c>
      <c r="G426">
        <v>104</v>
      </c>
      <c r="H426">
        <v>-3.6</v>
      </c>
      <c r="I426">
        <v>519</v>
      </c>
      <c r="J426">
        <v>735</v>
      </c>
      <c r="K426">
        <v>2</v>
      </c>
      <c r="L426">
        <v>1015</v>
      </c>
      <c r="M426">
        <v>1318</v>
      </c>
      <c r="N426">
        <v>-1.8</v>
      </c>
      <c r="O426">
        <v>1635</v>
      </c>
      <c r="P426">
        <v>1932</v>
      </c>
      <c r="Q426">
        <v>2</v>
      </c>
      <c r="R426">
        <v>2138</v>
      </c>
      <c r="U426">
        <f t="shared" si="42"/>
        <v>3.6</v>
      </c>
      <c r="V426">
        <f t="shared" si="43"/>
        <v>2</v>
      </c>
      <c r="W426">
        <f t="shared" si="44"/>
        <v>1.8</v>
      </c>
      <c r="X426">
        <f t="shared" si="45"/>
        <v>2</v>
      </c>
      <c r="AA426">
        <f t="shared" si="46"/>
        <v>2.3499999999999996</v>
      </c>
      <c r="AB426">
        <f t="shared" si="47"/>
        <v>3.6</v>
      </c>
    </row>
    <row r="427" spans="1:28">
      <c r="A427" t="s">
        <v>194</v>
      </c>
      <c r="B427" t="s">
        <v>195</v>
      </c>
      <c r="C427" t="s">
        <v>122</v>
      </c>
      <c r="D427" t="s">
        <v>131</v>
      </c>
      <c r="E427">
        <v>23</v>
      </c>
      <c r="G427">
        <v>145</v>
      </c>
      <c r="H427">
        <v>-3.6</v>
      </c>
      <c r="I427">
        <v>611</v>
      </c>
      <c r="J427">
        <v>826</v>
      </c>
      <c r="K427">
        <v>2</v>
      </c>
      <c r="L427">
        <v>1122</v>
      </c>
      <c r="M427">
        <v>1423</v>
      </c>
      <c r="N427">
        <v>-1.4</v>
      </c>
      <c r="O427">
        <v>1723</v>
      </c>
      <c r="P427">
        <v>2016</v>
      </c>
      <c r="Q427">
        <v>1.7</v>
      </c>
      <c r="R427">
        <v>2207</v>
      </c>
      <c r="U427">
        <f t="shared" si="42"/>
        <v>3.6</v>
      </c>
      <c r="V427">
        <f t="shared" si="43"/>
        <v>2</v>
      </c>
      <c r="W427">
        <f t="shared" si="44"/>
        <v>1.4</v>
      </c>
      <c r="X427">
        <f t="shared" si="45"/>
        <v>1.7</v>
      </c>
      <c r="AA427">
        <f t="shared" si="46"/>
        <v>2.1749999999999998</v>
      </c>
      <c r="AB427">
        <f t="shared" si="47"/>
        <v>3.6</v>
      </c>
    </row>
    <row r="428" spans="1:28">
      <c r="A428" t="s">
        <v>194</v>
      </c>
      <c r="B428" t="s">
        <v>195</v>
      </c>
      <c r="C428" t="s">
        <v>122</v>
      </c>
      <c r="D428" t="s">
        <v>131</v>
      </c>
      <c r="E428">
        <v>24</v>
      </c>
      <c r="G428">
        <v>240</v>
      </c>
      <c r="H428">
        <v>-3.6</v>
      </c>
      <c r="I428">
        <v>708</v>
      </c>
      <c r="J428">
        <v>920</v>
      </c>
      <c r="K428">
        <v>2</v>
      </c>
      <c r="L428">
        <v>1249</v>
      </c>
      <c r="M428">
        <v>1546</v>
      </c>
      <c r="N428">
        <v>-1</v>
      </c>
      <c r="O428">
        <v>1825</v>
      </c>
      <c r="P428">
        <v>2104</v>
      </c>
      <c r="Q428">
        <v>1.3</v>
      </c>
      <c r="R428">
        <v>2242</v>
      </c>
      <c r="U428">
        <f t="shared" si="42"/>
        <v>3.6</v>
      </c>
      <c r="V428">
        <f t="shared" si="43"/>
        <v>2</v>
      </c>
      <c r="W428">
        <f t="shared" si="44"/>
        <v>1</v>
      </c>
      <c r="X428">
        <f t="shared" si="45"/>
        <v>1.3</v>
      </c>
      <c r="AA428">
        <f t="shared" si="46"/>
        <v>1.9749999999999999</v>
      </c>
      <c r="AB428">
        <f t="shared" si="47"/>
        <v>3.6</v>
      </c>
    </row>
    <row r="429" spans="1:28">
      <c r="A429" t="s">
        <v>194</v>
      </c>
      <c r="B429" t="s">
        <v>195</v>
      </c>
      <c r="C429" t="s">
        <v>122</v>
      </c>
      <c r="D429" t="s">
        <v>131</v>
      </c>
      <c r="E429">
        <v>25</v>
      </c>
      <c r="G429">
        <v>348</v>
      </c>
      <c r="H429">
        <v>-3.5</v>
      </c>
      <c r="I429">
        <v>810</v>
      </c>
      <c r="J429">
        <v>1021</v>
      </c>
      <c r="K429">
        <v>1.8</v>
      </c>
      <c r="L429">
        <v>1440</v>
      </c>
      <c r="M429">
        <v>1702</v>
      </c>
      <c r="N429">
        <v>-0.8</v>
      </c>
      <c r="O429">
        <v>1955</v>
      </c>
      <c r="P429">
        <v>2159</v>
      </c>
      <c r="Q429">
        <v>0.8</v>
      </c>
      <c r="R429">
        <v>2324</v>
      </c>
      <c r="U429">
        <f t="shared" si="42"/>
        <v>3.5</v>
      </c>
      <c r="V429">
        <f t="shared" si="43"/>
        <v>1.8</v>
      </c>
      <c r="W429">
        <f t="shared" si="44"/>
        <v>0.8</v>
      </c>
      <c r="X429">
        <f t="shared" si="45"/>
        <v>0.8</v>
      </c>
      <c r="AA429">
        <f t="shared" si="46"/>
        <v>1.7249999999999999</v>
      </c>
      <c r="AB429">
        <f t="shared" si="47"/>
        <v>3.5</v>
      </c>
    </row>
    <row r="430" spans="1:28">
      <c r="A430" t="s">
        <v>194</v>
      </c>
      <c r="B430" t="s">
        <v>195</v>
      </c>
      <c r="C430" t="s">
        <v>122</v>
      </c>
      <c r="D430" t="s">
        <v>131</v>
      </c>
      <c r="E430">
        <v>26</v>
      </c>
      <c r="G430">
        <v>456</v>
      </c>
      <c r="H430">
        <v>-3.5</v>
      </c>
      <c r="I430">
        <v>915</v>
      </c>
      <c r="J430">
        <v>1138</v>
      </c>
      <c r="K430">
        <v>1.8</v>
      </c>
      <c r="L430">
        <v>1607</v>
      </c>
      <c r="M430">
        <v>1813</v>
      </c>
      <c r="N430">
        <v>-1</v>
      </c>
      <c r="O430">
        <v>2140</v>
      </c>
      <c r="P430">
        <v>2305</v>
      </c>
      <c r="Q430">
        <v>0.6</v>
      </c>
      <c r="U430">
        <f t="shared" si="42"/>
        <v>3.5</v>
      </c>
      <c r="V430">
        <f t="shared" si="43"/>
        <v>1.8</v>
      </c>
      <c r="W430">
        <f t="shared" si="44"/>
        <v>1</v>
      </c>
      <c r="X430">
        <f t="shared" si="45"/>
        <v>0.6</v>
      </c>
      <c r="AA430">
        <f t="shared" si="46"/>
        <v>1.7249999999999999</v>
      </c>
      <c r="AB430">
        <f t="shared" si="47"/>
        <v>3.5</v>
      </c>
    </row>
    <row r="431" spans="1:28">
      <c r="A431" t="s">
        <v>194</v>
      </c>
      <c r="B431" t="s">
        <v>195</v>
      </c>
      <c r="C431" t="s">
        <v>122</v>
      </c>
      <c r="D431" t="s">
        <v>131</v>
      </c>
      <c r="E431">
        <v>27</v>
      </c>
      <c r="F431" s="14">
        <v>19</v>
      </c>
      <c r="G431">
        <v>600</v>
      </c>
      <c r="H431">
        <v>-3.5</v>
      </c>
      <c r="I431">
        <v>1019</v>
      </c>
      <c r="J431">
        <v>1337</v>
      </c>
      <c r="K431">
        <v>2</v>
      </c>
      <c r="L431">
        <v>1704</v>
      </c>
      <c r="M431">
        <v>1924</v>
      </c>
      <c r="N431">
        <v>-1.3</v>
      </c>
      <c r="O431">
        <v>2306</v>
      </c>
      <c r="U431">
        <f t="shared" si="42"/>
        <v>3.5</v>
      </c>
      <c r="V431">
        <f t="shared" si="43"/>
        <v>2</v>
      </c>
      <c r="W431">
        <f t="shared" si="44"/>
        <v>1.3</v>
      </c>
      <c r="AA431">
        <f t="shared" si="46"/>
        <v>2.2666666666666666</v>
      </c>
      <c r="AB431">
        <f t="shared" si="47"/>
        <v>3.5</v>
      </c>
    </row>
    <row r="432" spans="1:28">
      <c r="A432" t="s">
        <v>194</v>
      </c>
      <c r="B432" t="s">
        <v>195</v>
      </c>
      <c r="C432" t="s">
        <v>122</v>
      </c>
      <c r="D432" t="s">
        <v>131</v>
      </c>
      <c r="E432">
        <v>28</v>
      </c>
      <c r="G432">
        <v>20</v>
      </c>
      <c r="H432">
        <v>0.4</v>
      </c>
      <c r="I432">
        <v>149</v>
      </c>
      <c r="J432">
        <v>704</v>
      </c>
      <c r="K432">
        <v>-3.5</v>
      </c>
      <c r="L432">
        <v>1117</v>
      </c>
      <c r="M432">
        <v>1430</v>
      </c>
      <c r="N432">
        <v>2.2000000000000002</v>
      </c>
      <c r="O432">
        <v>1748</v>
      </c>
      <c r="P432">
        <v>2032</v>
      </c>
      <c r="Q432">
        <v>-1.8</v>
      </c>
      <c r="U432">
        <f t="shared" si="42"/>
        <v>0.4</v>
      </c>
      <c r="V432">
        <f t="shared" si="43"/>
        <v>3.5</v>
      </c>
      <c r="W432">
        <f t="shared" si="44"/>
        <v>2.2000000000000002</v>
      </c>
      <c r="X432">
        <f t="shared" si="45"/>
        <v>1.8</v>
      </c>
      <c r="AA432">
        <f t="shared" si="46"/>
        <v>1.9749999999999999</v>
      </c>
      <c r="AB432">
        <f t="shared" si="47"/>
        <v>3.5</v>
      </c>
    </row>
    <row r="433" spans="1:28">
      <c r="A433" t="s">
        <v>194</v>
      </c>
      <c r="B433" t="s">
        <v>195</v>
      </c>
      <c r="C433" t="s">
        <v>122</v>
      </c>
      <c r="D433" t="s">
        <v>131</v>
      </c>
      <c r="E433">
        <v>29</v>
      </c>
      <c r="F433" s="14">
        <v>7</v>
      </c>
      <c r="G433">
        <v>136</v>
      </c>
      <c r="H433">
        <v>0.7</v>
      </c>
      <c r="I433">
        <v>333</v>
      </c>
      <c r="J433">
        <v>807</v>
      </c>
      <c r="K433">
        <v>-3.5</v>
      </c>
      <c r="L433">
        <v>1207</v>
      </c>
      <c r="M433">
        <v>1508</v>
      </c>
      <c r="N433">
        <v>2.5</v>
      </c>
      <c r="O433">
        <v>1825</v>
      </c>
      <c r="P433">
        <v>2124</v>
      </c>
      <c r="Q433">
        <v>-2.2000000000000002</v>
      </c>
      <c r="U433">
        <f t="shared" si="42"/>
        <v>0.7</v>
      </c>
      <c r="V433">
        <f t="shared" si="43"/>
        <v>3.5</v>
      </c>
      <c r="W433">
        <f t="shared" si="44"/>
        <v>2.5</v>
      </c>
      <c r="X433">
        <f t="shared" si="45"/>
        <v>2.2000000000000002</v>
      </c>
      <c r="AA433">
        <f t="shared" si="46"/>
        <v>2.2250000000000001</v>
      </c>
      <c r="AB433">
        <f t="shared" si="47"/>
        <v>3.5</v>
      </c>
    </row>
    <row r="434" spans="1:28">
      <c r="A434" t="s">
        <v>194</v>
      </c>
      <c r="B434" t="s">
        <v>195</v>
      </c>
      <c r="C434" t="s">
        <v>122</v>
      </c>
      <c r="D434" t="s">
        <v>131</v>
      </c>
      <c r="E434">
        <v>30</v>
      </c>
      <c r="F434" s="14">
        <v>54</v>
      </c>
      <c r="G434">
        <v>238</v>
      </c>
      <c r="H434">
        <v>1</v>
      </c>
      <c r="I434">
        <v>453</v>
      </c>
      <c r="J434">
        <v>905</v>
      </c>
      <c r="K434">
        <v>-3.5</v>
      </c>
      <c r="L434">
        <v>1253</v>
      </c>
      <c r="M434">
        <v>1538</v>
      </c>
      <c r="N434">
        <v>2.5</v>
      </c>
      <c r="O434">
        <v>1857</v>
      </c>
      <c r="P434">
        <v>2204</v>
      </c>
      <c r="Q434">
        <v>-2.8</v>
      </c>
      <c r="U434">
        <f t="shared" si="42"/>
        <v>1</v>
      </c>
      <c r="V434">
        <f t="shared" si="43"/>
        <v>3.5</v>
      </c>
      <c r="W434">
        <f t="shared" si="44"/>
        <v>2.5</v>
      </c>
      <c r="X434">
        <f t="shared" si="45"/>
        <v>2.8</v>
      </c>
      <c r="AA434">
        <f t="shared" si="46"/>
        <v>2.4500000000000002</v>
      </c>
      <c r="AB434">
        <f t="shared" si="47"/>
        <v>3.5</v>
      </c>
    </row>
    <row r="435" spans="1:28">
      <c r="A435" t="s">
        <v>194</v>
      </c>
      <c r="B435" t="s">
        <v>195</v>
      </c>
      <c r="C435" t="s">
        <v>122</v>
      </c>
      <c r="D435" t="s">
        <v>131</v>
      </c>
      <c r="E435">
        <v>31</v>
      </c>
      <c r="F435" s="14">
        <v>137</v>
      </c>
      <c r="G435">
        <v>330</v>
      </c>
      <c r="H435">
        <v>1.4</v>
      </c>
      <c r="I435">
        <v>601</v>
      </c>
      <c r="J435">
        <v>956</v>
      </c>
      <c r="K435">
        <v>-3.5</v>
      </c>
      <c r="L435">
        <v>1334</v>
      </c>
      <c r="M435">
        <v>1607</v>
      </c>
      <c r="N435">
        <v>2.5</v>
      </c>
      <c r="O435">
        <v>1926</v>
      </c>
      <c r="P435">
        <v>2240</v>
      </c>
      <c r="Q435">
        <v>-3.2</v>
      </c>
      <c r="U435">
        <f t="shared" si="42"/>
        <v>1.4</v>
      </c>
      <c r="V435">
        <f t="shared" si="43"/>
        <v>3.5</v>
      </c>
      <c r="W435">
        <f t="shared" si="44"/>
        <v>2.5</v>
      </c>
      <c r="X435">
        <f t="shared" si="45"/>
        <v>3.2</v>
      </c>
      <c r="AA435">
        <f t="shared" si="46"/>
        <v>2.6500000000000004</v>
      </c>
      <c r="AB435">
        <f t="shared" si="47"/>
        <v>3.5</v>
      </c>
    </row>
    <row r="436" spans="1:28">
      <c r="A436" t="s">
        <v>196</v>
      </c>
      <c r="B436" t="s">
        <v>197</v>
      </c>
      <c r="C436" t="s">
        <v>198</v>
      </c>
      <c r="D436" t="s">
        <v>151</v>
      </c>
      <c r="E436">
        <v>1</v>
      </c>
      <c r="F436" s="14">
        <v>1</v>
      </c>
      <c r="G436">
        <v>139</v>
      </c>
      <c r="H436">
        <v>0.4</v>
      </c>
      <c r="I436">
        <v>345</v>
      </c>
      <c r="J436">
        <v>747</v>
      </c>
      <c r="K436">
        <v>-1.5</v>
      </c>
      <c r="L436">
        <v>1151</v>
      </c>
      <c r="M436">
        <v>1436</v>
      </c>
      <c r="N436">
        <v>1.2</v>
      </c>
      <c r="O436">
        <v>1806</v>
      </c>
      <c r="P436">
        <v>2058</v>
      </c>
      <c r="Q436">
        <v>-1</v>
      </c>
      <c r="U436">
        <f t="shared" si="42"/>
        <v>0.4</v>
      </c>
      <c r="V436">
        <f t="shared" si="43"/>
        <v>1.5</v>
      </c>
      <c r="W436">
        <f t="shared" si="44"/>
        <v>1.2</v>
      </c>
      <c r="X436">
        <f t="shared" si="45"/>
        <v>1</v>
      </c>
      <c r="AA436">
        <f t="shared" si="46"/>
        <v>1.0249999999999999</v>
      </c>
      <c r="AB436">
        <f t="shared" si="47"/>
        <v>1.5</v>
      </c>
    </row>
    <row r="437" spans="1:28">
      <c r="A437" t="s">
        <v>196</v>
      </c>
      <c r="B437" t="s">
        <v>197</v>
      </c>
      <c r="C437" t="s">
        <v>198</v>
      </c>
      <c r="D437" t="s">
        <v>151</v>
      </c>
      <c r="E437">
        <v>2</v>
      </c>
      <c r="F437" s="14">
        <v>49</v>
      </c>
      <c r="G437">
        <v>233</v>
      </c>
      <c r="H437">
        <v>0.5</v>
      </c>
      <c r="I437">
        <v>445</v>
      </c>
      <c r="J437">
        <v>837</v>
      </c>
      <c r="K437">
        <v>-1.5</v>
      </c>
      <c r="L437">
        <v>1236</v>
      </c>
      <c r="M437">
        <v>1519</v>
      </c>
      <c r="N437">
        <v>1.2</v>
      </c>
      <c r="O437">
        <v>1843</v>
      </c>
      <c r="P437">
        <v>2140</v>
      </c>
      <c r="Q437">
        <v>-1.1000000000000001</v>
      </c>
      <c r="U437">
        <f t="shared" si="42"/>
        <v>0.5</v>
      </c>
      <c r="V437">
        <f t="shared" si="43"/>
        <v>1.5</v>
      </c>
      <c r="W437">
        <f t="shared" si="44"/>
        <v>1.2</v>
      </c>
      <c r="X437">
        <f t="shared" si="45"/>
        <v>1.1000000000000001</v>
      </c>
      <c r="AA437">
        <f t="shared" si="46"/>
        <v>1.0750000000000002</v>
      </c>
      <c r="AB437">
        <f t="shared" si="47"/>
        <v>1.5</v>
      </c>
    </row>
    <row r="438" spans="1:28">
      <c r="A438" t="s">
        <v>196</v>
      </c>
      <c r="B438" t="s">
        <v>197</v>
      </c>
      <c r="C438" t="s">
        <v>198</v>
      </c>
      <c r="D438" t="s">
        <v>151</v>
      </c>
      <c r="E438">
        <v>3</v>
      </c>
      <c r="F438" s="14">
        <v>135</v>
      </c>
      <c r="G438">
        <v>323</v>
      </c>
      <c r="H438">
        <v>0.5</v>
      </c>
      <c r="I438">
        <v>541</v>
      </c>
      <c r="J438">
        <v>924</v>
      </c>
      <c r="K438">
        <v>-1.4</v>
      </c>
      <c r="L438">
        <v>1320</v>
      </c>
      <c r="M438">
        <v>1559</v>
      </c>
      <c r="N438">
        <v>1.2</v>
      </c>
      <c r="O438">
        <v>1917</v>
      </c>
      <c r="P438">
        <v>2221</v>
      </c>
      <c r="Q438">
        <v>-1.2</v>
      </c>
      <c r="U438">
        <f t="shared" si="42"/>
        <v>0.5</v>
      </c>
      <c r="V438">
        <f t="shared" si="43"/>
        <v>1.4</v>
      </c>
      <c r="W438">
        <f t="shared" si="44"/>
        <v>1.2</v>
      </c>
      <c r="X438">
        <f t="shared" si="45"/>
        <v>1.2</v>
      </c>
      <c r="AA438">
        <f t="shared" si="46"/>
        <v>1.075</v>
      </c>
      <c r="AB438">
        <f t="shared" si="47"/>
        <v>1.4</v>
      </c>
    </row>
    <row r="439" spans="1:28">
      <c r="A439" t="s">
        <v>196</v>
      </c>
      <c r="B439" t="s">
        <v>197</v>
      </c>
      <c r="C439" t="s">
        <v>198</v>
      </c>
      <c r="D439" t="s">
        <v>151</v>
      </c>
      <c r="E439">
        <v>4</v>
      </c>
      <c r="F439" s="14">
        <v>220</v>
      </c>
      <c r="G439">
        <v>411</v>
      </c>
      <c r="H439">
        <v>0.6</v>
      </c>
      <c r="I439">
        <v>635</v>
      </c>
      <c r="J439">
        <v>1009</v>
      </c>
      <c r="K439">
        <v>-1.3</v>
      </c>
      <c r="L439">
        <v>1401</v>
      </c>
      <c r="M439">
        <v>1637</v>
      </c>
      <c r="N439">
        <v>1</v>
      </c>
      <c r="O439">
        <v>1948</v>
      </c>
      <c r="P439">
        <v>2300</v>
      </c>
      <c r="Q439">
        <v>-1.2</v>
      </c>
      <c r="U439">
        <f t="shared" si="42"/>
        <v>0.6</v>
      </c>
      <c r="V439">
        <f t="shared" si="43"/>
        <v>1.3</v>
      </c>
      <c r="W439">
        <f t="shared" si="44"/>
        <v>1</v>
      </c>
      <c r="X439">
        <f t="shared" si="45"/>
        <v>1.2</v>
      </c>
      <c r="AA439">
        <f t="shared" si="46"/>
        <v>1.0249999999999999</v>
      </c>
      <c r="AB439">
        <f t="shared" si="47"/>
        <v>1.3</v>
      </c>
    </row>
    <row r="440" spans="1:28">
      <c r="A440" t="s">
        <v>196</v>
      </c>
      <c r="B440" t="s">
        <v>197</v>
      </c>
      <c r="C440" t="s">
        <v>198</v>
      </c>
      <c r="D440" t="s">
        <v>151</v>
      </c>
      <c r="E440">
        <v>5</v>
      </c>
      <c r="F440" s="14">
        <v>305</v>
      </c>
      <c r="G440">
        <v>459</v>
      </c>
      <c r="H440">
        <v>0.6</v>
      </c>
      <c r="I440">
        <v>728</v>
      </c>
      <c r="J440">
        <v>1053</v>
      </c>
      <c r="K440">
        <v>-1.1000000000000001</v>
      </c>
      <c r="L440">
        <v>1443</v>
      </c>
      <c r="M440">
        <v>1713</v>
      </c>
      <c r="N440">
        <v>0.9</v>
      </c>
      <c r="O440">
        <v>2017</v>
      </c>
      <c r="P440">
        <v>2338</v>
      </c>
      <c r="Q440">
        <v>-1.2</v>
      </c>
      <c r="U440">
        <f t="shared" si="42"/>
        <v>0.6</v>
      </c>
      <c r="V440">
        <f t="shared" si="43"/>
        <v>1.1000000000000001</v>
      </c>
      <c r="W440">
        <f t="shared" si="44"/>
        <v>0.9</v>
      </c>
      <c r="X440">
        <f t="shared" si="45"/>
        <v>1.2</v>
      </c>
      <c r="AA440">
        <f t="shared" si="46"/>
        <v>0.95</v>
      </c>
      <c r="AB440">
        <f t="shared" si="47"/>
        <v>1.2</v>
      </c>
    </row>
    <row r="441" spans="1:28">
      <c r="A441" t="s">
        <v>196</v>
      </c>
      <c r="B441" t="s">
        <v>197</v>
      </c>
      <c r="C441" t="s">
        <v>198</v>
      </c>
      <c r="D441" t="s">
        <v>151</v>
      </c>
      <c r="E441">
        <v>6</v>
      </c>
      <c r="F441" s="14">
        <v>350</v>
      </c>
      <c r="G441">
        <v>547</v>
      </c>
      <c r="H441">
        <v>0.5</v>
      </c>
      <c r="I441">
        <v>821</v>
      </c>
      <c r="J441">
        <v>1139</v>
      </c>
      <c r="K441">
        <v>-0.9</v>
      </c>
      <c r="L441">
        <v>1524</v>
      </c>
      <c r="M441">
        <v>1750</v>
      </c>
      <c r="N441">
        <v>0.7</v>
      </c>
      <c r="O441">
        <v>2045</v>
      </c>
      <c r="U441">
        <f t="shared" si="42"/>
        <v>0.5</v>
      </c>
      <c r="V441">
        <f t="shared" si="43"/>
        <v>0.9</v>
      </c>
      <c r="W441">
        <f t="shared" si="44"/>
        <v>0.7</v>
      </c>
      <c r="AA441">
        <f t="shared" si="46"/>
        <v>0.69999999999999984</v>
      </c>
      <c r="AB441">
        <f t="shared" si="47"/>
        <v>0.9</v>
      </c>
    </row>
    <row r="442" spans="1:28">
      <c r="A442" t="s">
        <v>196</v>
      </c>
      <c r="B442" t="s">
        <v>197</v>
      </c>
      <c r="C442" t="s">
        <v>198</v>
      </c>
      <c r="D442" t="s">
        <v>151</v>
      </c>
      <c r="E442">
        <v>7</v>
      </c>
      <c r="G442">
        <v>17</v>
      </c>
      <c r="H442">
        <v>-1.2</v>
      </c>
      <c r="I442">
        <v>438</v>
      </c>
      <c r="J442">
        <v>637</v>
      </c>
      <c r="K442">
        <v>0.5</v>
      </c>
      <c r="L442">
        <v>918</v>
      </c>
      <c r="M442">
        <v>1227</v>
      </c>
      <c r="N442">
        <v>-0.8</v>
      </c>
      <c r="O442">
        <v>1609</v>
      </c>
      <c r="P442">
        <v>1828</v>
      </c>
      <c r="Q442">
        <v>0.6</v>
      </c>
      <c r="R442">
        <v>2113</v>
      </c>
      <c r="U442">
        <f t="shared" si="42"/>
        <v>1.2</v>
      </c>
      <c r="V442">
        <f t="shared" si="43"/>
        <v>0.5</v>
      </c>
      <c r="W442">
        <f t="shared" si="44"/>
        <v>0.8</v>
      </c>
      <c r="X442">
        <f t="shared" si="45"/>
        <v>0.6</v>
      </c>
      <c r="AA442">
        <f t="shared" si="46"/>
        <v>0.77500000000000002</v>
      </c>
      <c r="AB442">
        <f t="shared" si="47"/>
        <v>1.2</v>
      </c>
    </row>
    <row r="443" spans="1:28">
      <c r="A443" t="s">
        <v>196</v>
      </c>
      <c r="B443" t="s">
        <v>197</v>
      </c>
      <c r="C443" t="s">
        <v>198</v>
      </c>
      <c r="D443" t="s">
        <v>151</v>
      </c>
      <c r="E443">
        <v>8</v>
      </c>
      <c r="G443">
        <v>59</v>
      </c>
      <c r="H443">
        <v>-1.1000000000000001</v>
      </c>
      <c r="I443">
        <v>529</v>
      </c>
      <c r="J443">
        <v>731</v>
      </c>
      <c r="K443">
        <v>0.5</v>
      </c>
      <c r="L443">
        <v>1020</v>
      </c>
      <c r="M443">
        <v>1321</v>
      </c>
      <c r="N443">
        <v>-0.6</v>
      </c>
      <c r="O443">
        <v>1701</v>
      </c>
      <c r="P443">
        <v>1909</v>
      </c>
      <c r="Q443">
        <v>0.4</v>
      </c>
      <c r="R443">
        <v>2141</v>
      </c>
      <c r="U443">
        <f t="shared" si="42"/>
        <v>1.1000000000000001</v>
      </c>
      <c r="V443">
        <f t="shared" si="43"/>
        <v>0.5</v>
      </c>
      <c r="W443">
        <f t="shared" si="44"/>
        <v>0.6</v>
      </c>
      <c r="X443">
        <f t="shared" si="45"/>
        <v>0.4</v>
      </c>
      <c r="AA443">
        <f t="shared" si="46"/>
        <v>0.65</v>
      </c>
      <c r="AB443">
        <f t="shared" si="47"/>
        <v>1.1000000000000001</v>
      </c>
    </row>
    <row r="444" spans="1:28">
      <c r="A444" t="s">
        <v>196</v>
      </c>
      <c r="B444" t="s">
        <v>197</v>
      </c>
      <c r="C444" t="s">
        <v>198</v>
      </c>
      <c r="D444" t="s">
        <v>151</v>
      </c>
      <c r="E444">
        <v>9</v>
      </c>
      <c r="G444">
        <v>144</v>
      </c>
      <c r="H444">
        <v>-1.1000000000000001</v>
      </c>
      <c r="I444">
        <v>623</v>
      </c>
      <c r="J444">
        <v>832</v>
      </c>
      <c r="K444">
        <v>0.4</v>
      </c>
      <c r="L444">
        <v>1132</v>
      </c>
      <c r="M444">
        <v>1424</v>
      </c>
      <c r="N444">
        <v>-0.5</v>
      </c>
      <c r="O444">
        <v>1805</v>
      </c>
      <c r="P444">
        <v>1957</v>
      </c>
      <c r="Q444">
        <v>0.3</v>
      </c>
      <c r="R444">
        <v>2211</v>
      </c>
      <c r="U444">
        <f t="shared" si="42"/>
        <v>1.1000000000000001</v>
      </c>
      <c r="V444">
        <f t="shared" si="43"/>
        <v>0.4</v>
      </c>
      <c r="W444">
        <f t="shared" si="44"/>
        <v>0.5</v>
      </c>
      <c r="X444">
        <f t="shared" si="45"/>
        <v>0.3</v>
      </c>
      <c r="AA444">
        <f t="shared" si="46"/>
        <v>0.57499999999999996</v>
      </c>
      <c r="AB444">
        <f t="shared" si="47"/>
        <v>1.1000000000000001</v>
      </c>
    </row>
    <row r="445" spans="1:28">
      <c r="A445" t="s">
        <v>196</v>
      </c>
      <c r="B445" t="s">
        <v>197</v>
      </c>
      <c r="C445" t="s">
        <v>198</v>
      </c>
      <c r="D445" t="s">
        <v>151</v>
      </c>
      <c r="E445">
        <v>10</v>
      </c>
      <c r="G445">
        <v>235</v>
      </c>
      <c r="H445">
        <v>-1</v>
      </c>
      <c r="I445">
        <v>719</v>
      </c>
      <c r="J445">
        <v>937</v>
      </c>
      <c r="K445">
        <v>0.5</v>
      </c>
      <c r="L445">
        <v>1251</v>
      </c>
      <c r="M445">
        <v>1539</v>
      </c>
      <c r="N445">
        <v>-0.4</v>
      </c>
      <c r="O445">
        <v>1927</v>
      </c>
      <c r="P445">
        <v>2055</v>
      </c>
      <c r="Q445">
        <v>0.2</v>
      </c>
      <c r="R445">
        <v>2247</v>
      </c>
      <c r="U445">
        <f t="shared" si="42"/>
        <v>1</v>
      </c>
      <c r="V445">
        <f t="shared" si="43"/>
        <v>0.5</v>
      </c>
      <c r="W445">
        <f t="shared" si="44"/>
        <v>0.4</v>
      </c>
      <c r="X445">
        <f t="shared" si="45"/>
        <v>0.2</v>
      </c>
      <c r="AA445">
        <f t="shared" si="46"/>
        <v>0.52500000000000002</v>
      </c>
      <c r="AB445">
        <f t="shared" si="47"/>
        <v>1</v>
      </c>
    </row>
    <row r="446" spans="1:28">
      <c r="A446" t="s">
        <v>196</v>
      </c>
      <c r="B446" t="s">
        <v>197</v>
      </c>
      <c r="C446" t="s">
        <v>198</v>
      </c>
      <c r="D446" t="s">
        <v>151</v>
      </c>
      <c r="E446">
        <v>11</v>
      </c>
      <c r="G446">
        <v>332</v>
      </c>
      <c r="H446">
        <v>-1</v>
      </c>
      <c r="I446">
        <v>813</v>
      </c>
      <c r="J446">
        <v>1042</v>
      </c>
      <c r="K446">
        <v>0.6</v>
      </c>
      <c r="L446">
        <v>1407</v>
      </c>
      <c r="M446">
        <v>1655</v>
      </c>
      <c r="N446">
        <v>-0.4</v>
      </c>
      <c r="O446">
        <v>2056</v>
      </c>
      <c r="P446">
        <v>2201</v>
      </c>
      <c r="Q446">
        <v>0.1</v>
      </c>
      <c r="R446">
        <v>2332</v>
      </c>
      <c r="U446">
        <f t="shared" si="42"/>
        <v>1</v>
      </c>
      <c r="V446">
        <f t="shared" si="43"/>
        <v>0.6</v>
      </c>
      <c r="W446">
        <f t="shared" si="44"/>
        <v>0.4</v>
      </c>
      <c r="X446">
        <f t="shared" si="45"/>
        <v>0.1</v>
      </c>
      <c r="AA446">
        <f t="shared" si="46"/>
        <v>0.52500000000000002</v>
      </c>
      <c r="AB446">
        <f t="shared" si="47"/>
        <v>1</v>
      </c>
    </row>
    <row r="447" spans="1:28">
      <c r="A447" t="s">
        <v>196</v>
      </c>
      <c r="B447" t="s">
        <v>197</v>
      </c>
      <c r="C447" t="s">
        <v>198</v>
      </c>
      <c r="D447" t="s">
        <v>151</v>
      </c>
      <c r="E447">
        <v>12</v>
      </c>
      <c r="G447">
        <v>430</v>
      </c>
      <c r="H447">
        <v>-1</v>
      </c>
      <c r="I447">
        <v>903</v>
      </c>
      <c r="J447">
        <v>1140</v>
      </c>
      <c r="K447">
        <v>0.6</v>
      </c>
      <c r="L447">
        <v>1510</v>
      </c>
      <c r="M447">
        <v>1800</v>
      </c>
      <c r="N447">
        <v>-0.5</v>
      </c>
      <c r="O447">
        <v>2210</v>
      </c>
      <c r="P447">
        <v>2306</v>
      </c>
      <c r="Q447">
        <v>0.1</v>
      </c>
      <c r="U447">
        <f t="shared" si="42"/>
        <v>1</v>
      </c>
      <c r="V447">
        <f t="shared" si="43"/>
        <v>0.6</v>
      </c>
      <c r="W447">
        <f t="shared" si="44"/>
        <v>0.5</v>
      </c>
      <c r="X447">
        <f t="shared" si="45"/>
        <v>0.1</v>
      </c>
      <c r="AA447">
        <f t="shared" si="46"/>
        <v>0.55000000000000004</v>
      </c>
      <c r="AB447">
        <f t="shared" si="47"/>
        <v>1</v>
      </c>
    </row>
    <row r="448" spans="1:28">
      <c r="A448" t="s">
        <v>196</v>
      </c>
      <c r="B448" t="s">
        <v>197</v>
      </c>
      <c r="C448" t="s">
        <v>198</v>
      </c>
      <c r="D448" t="s">
        <v>151</v>
      </c>
      <c r="E448">
        <v>13</v>
      </c>
      <c r="F448" s="14">
        <v>32</v>
      </c>
      <c r="G448">
        <v>525</v>
      </c>
      <c r="H448">
        <v>-1.1000000000000001</v>
      </c>
      <c r="I448">
        <v>949</v>
      </c>
      <c r="J448">
        <v>1230</v>
      </c>
      <c r="K448">
        <v>0.8</v>
      </c>
      <c r="L448">
        <v>1600</v>
      </c>
      <c r="M448">
        <v>1852</v>
      </c>
      <c r="N448">
        <v>-0.6</v>
      </c>
      <c r="O448">
        <v>2300</v>
      </c>
      <c r="U448">
        <f t="shared" si="42"/>
        <v>1.1000000000000001</v>
      </c>
      <c r="V448">
        <f t="shared" si="43"/>
        <v>0.8</v>
      </c>
      <c r="W448">
        <f t="shared" si="44"/>
        <v>0.6</v>
      </c>
      <c r="AA448">
        <f t="shared" si="46"/>
        <v>0.83333333333333337</v>
      </c>
      <c r="AB448">
        <f t="shared" si="47"/>
        <v>1.1000000000000001</v>
      </c>
    </row>
    <row r="449" spans="1:28">
      <c r="A449" t="s">
        <v>196</v>
      </c>
      <c r="B449" t="s">
        <v>197</v>
      </c>
      <c r="C449" t="s">
        <v>198</v>
      </c>
      <c r="D449" t="s">
        <v>151</v>
      </c>
      <c r="E449">
        <v>14</v>
      </c>
      <c r="G449">
        <v>5</v>
      </c>
      <c r="H449">
        <v>0.2</v>
      </c>
      <c r="I449">
        <v>138</v>
      </c>
      <c r="J449">
        <v>615</v>
      </c>
      <c r="K449">
        <v>-1.2</v>
      </c>
      <c r="L449">
        <v>1030</v>
      </c>
      <c r="M449">
        <v>1312</v>
      </c>
      <c r="N449">
        <v>0.8</v>
      </c>
      <c r="O449">
        <v>1640</v>
      </c>
      <c r="P449">
        <v>1934</v>
      </c>
      <c r="Q449">
        <v>-0.7</v>
      </c>
      <c r="R449">
        <v>2337</v>
      </c>
      <c r="U449">
        <f t="shared" si="42"/>
        <v>0.2</v>
      </c>
      <c r="V449">
        <f t="shared" si="43"/>
        <v>1.2</v>
      </c>
      <c r="W449">
        <f t="shared" si="44"/>
        <v>0.8</v>
      </c>
      <c r="X449">
        <f t="shared" si="45"/>
        <v>0.7</v>
      </c>
      <c r="AA449">
        <f t="shared" si="46"/>
        <v>0.72500000000000009</v>
      </c>
      <c r="AB449">
        <f t="shared" si="47"/>
        <v>1.2</v>
      </c>
    </row>
    <row r="450" spans="1:28">
      <c r="A450" t="s">
        <v>196</v>
      </c>
      <c r="B450" t="s">
        <v>197</v>
      </c>
      <c r="C450" t="s">
        <v>198</v>
      </c>
      <c r="D450" t="s">
        <v>151</v>
      </c>
      <c r="E450">
        <v>15</v>
      </c>
      <c r="G450">
        <v>55</v>
      </c>
      <c r="H450">
        <v>0.2</v>
      </c>
      <c r="I450">
        <v>241</v>
      </c>
      <c r="J450">
        <v>700</v>
      </c>
      <c r="K450">
        <v>-1.2</v>
      </c>
      <c r="L450">
        <v>1109</v>
      </c>
      <c r="M450">
        <v>1350</v>
      </c>
      <c r="N450">
        <v>0.9</v>
      </c>
      <c r="O450">
        <v>1715</v>
      </c>
      <c r="P450">
        <v>2011</v>
      </c>
      <c r="Q450">
        <v>-0.8</v>
      </c>
      <c r="U450">
        <f t="shared" si="42"/>
        <v>0.2</v>
      </c>
      <c r="V450">
        <f t="shared" si="43"/>
        <v>1.2</v>
      </c>
      <c r="W450">
        <f t="shared" si="44"/>
        <v>0.9</v>
      </c>
      <c r="X450">
        <f t="shared" si="45"/>
        <v>0.8</v>
      </c>
      <c r="AA450">
        <f t="shared" si="46"/>
        <v>0.77499999999999991</v>
      </c>
      <c r="AB450">
        <f t="shared" si="47"/>
        <v>1.2</v>
      </c>
    </row>
    <row r="451" spans="1:28">
      <c r="A451" t="s">
        <v>196</v>
      </c>
      <c r="B451" t="s">
        <v>197</v>
      </c>
      <c r="C451" t="s">
        <v>198</v>
      </c>
      <c r="D451" t="s">
        <v>151</v>
      </c>
      <c r="E451">
        <v>16</v>
      </c>
      <c r="F451" s="14">
        <v>10</v>
      </c>
      <c r="G451">
        <v>140</v>
      </c>
      <c r="H451">
        <v>0.3</v>
      </c>
      <c r="I451">
        <v>339</v>
      </c>
      <c r="J451">
        <v>742</v>
      </c>
      <c r="K451">
        <v>-1.2</v>
      </c>
      <c r="L451">
        <v>1146</v>
      </c>
      <c r="M451">
        <v>1425</v>
      </c>
      <c r="N451">
        <v>1</v>
      </c>
      <c r="O451">
        <v>1745</v>
      </c>
      <c r="P451">
        <v>2044</v>
      </c>
      <c r="Q451">
        <v>-0.9</v>
      </c>
      <c r="U451">
        <f t="shared" ref="U451:U514" si="48">ABS(H451)</f>
        <v>0.3</v>
      </c>
      <c r="V451">
        <f t="shared" ref="V451:V514" si="49">ABS(K451)</f>
        <v>1.2</v>
      </c>
      <c r="W451">
        <f t="shared" ref="W451:W514" si="50">ABS(N451)</f>
        <v>1</v>
      </c>
      <c r="X451">
        <f t="shared" ref="X451:X514" si="51">ABS(Q451)</f>
        <v>0.9</v>
      </c>
      <c r="AA451">
        <f t="shared" si="46"/>
        <v>0.85</v>
      </c>
      <c r="AB451">
        <f t="shared" si="47"/>
        <v>1.2</v>
      </c>
    </row>
    <row r="452" spans="1:28">
      <c r="A452" t="s">
        <v>196</v>
      </c>
      <c r="B452" t="s">
        <v>197</v>
      </c>
      <c r="C452" t="s">
        <v>198</v>
      </c>
      <c r="D452" t="s">
        <v>151</v>
      </c>
      <c r="E452">
        <v>17</v>
      </c>
      <c r="F452" s="14">
        <v>41</v>
      </c>
      <c r="G452">
        <v>222</v>
      </c>
      <c r="H452">
        <v>0.4</v>
      </c>
      <c r="I452">
        <v>434</v>
      </c>
      <c r="J452">
        <v>823</v>
      </c>
      <c r="K452">
        <v>-1.3</v>
      </c>
      <c r="L452">
        <v>1222</v>
      </c>
      <c r="M452">
        <v>1458</v>
      </c>
      <c r="N452">
        <v>1</v>
      </c>
      <c r="O452">
        <v>1813</v>
      </c>
      <c r="P452">
        <v>2116</v>
      </c>
      <c r="Q452">
        <v>-1</v>
      </c>
      <c r="U452">
        <f t="shared" si="48"/>
        <v>0.4</v>
      </c>
      <c r="V452">
        <f t="shared" si="49"/>
        <v>1.3</v>
      </c>
      <c r="W452">
        <f t="shared" si="50"/>
        <v>1</v>
      </c>
      <c r="X452">
        <f t="shared" si="51"/>
        <v>1</v>
      </c>
      <c r="AA452">
        <f t="shared" si="46"/>
        <v>0.92500000000000004</v>
      </c>
      <c r="AB452">
        <f t="shared" si="47"/>
        <v>1.3</v>
      </c>
    </row>
    <row r="453" spans="1:28">
      <c r="A453" t="s">
        <v>196</v>
      </c>
      <c r="B453" t="s">
        <v>197</v>
      </c>
      <c r="C453" t="s">
        <v>198</v>
      </c>
      <c r="D453" t="s">
        <v>151</v>
      </c>
      <c r="E453">
        <v>18</v>
      </c>
      <c r="F453" s="14">
        <v>113</v>
      </c>
      <c r="G453">
        <v>304</v>
      </c>
      <c r="H453">
        <v>0.5</v>
      </c>
      <c r="I453">
        <v>526</v>
      </c>
      <c r="J453">
        <v>904</v>
      </c>
      <c r="K453">
        <v>-1.2</v>
      </c>
      <c r="L453">
        <v>1258</v>
      </c>
      <c r="M453">
        <v>1531</v>
      </c>
      <c r="N453">
        <v>1</v>
      </c>
      <c r="O453">
        <v>1840</v>
      </c>
      <c r="P453">
        <v>2149</v>
      </c>
      <c r="Q453">
        <v>-1.2</v>
      </c>
      <c r="U453">
        <f t="shared" si="48"/>
        <v>0.5</v>
      </c>
      <c r="V453">
        <f t="shared" si="49"/>
        <v>1.2</v>
      </c>
      <c r="W453">
        <f t="shared" si="50"/>
        <v>1</v>
      </c>
      <c r="X453">
        <f t="shared" si="51"/>
        <v>1.2</v>
      </c>
      <c r="AA453">
        <f t="shared" si="46"/>
        <v>0.97500000000000009</v>
      </c>
      <c r="AB453">
        <f t="shared" si="47"/>
        <v>1.2</v>
      </c>
    </row>
    <row r="454" spans="1:28">
      <c r="A454" t="s">
        <v>196</v>
      </c>
      <c r="B454" t="s">
        <v>197</v>
      </c>
      <c r="C454" t="s">
        <v>198</v>
      </c>
      <c r="D454" t="s">
        <v>151</v>
      </c>
      <c r="E454">
        <v>19</v>
      </c>
      <c r="F454" s="14">
        <v>147</v>
      </c>
      <c r="G454">
        <v>346</v>
      </c>
      <c r="H454">
        <v>0.6</v>
      </c>
      <c r="I454">
        <v>619</v>
      </c>
      <c r="J454">
        <v>945</v>
      </c>
      <c r="K454">
        <v>-1.2</v>
      </c>
      <c r="L454">
        <v>1336</v>
      </c>
      <c r="M454">
        <v>1605</v>
      </c>
      <c r="N454">
        <v>0.9</v>
      </c>
      <c r="O454">
        <v>1907</v>
      </c>
      <c r="P454">
        <v>2223</v>
      </c>
      <c r="Q454">
        <v>-1.2</v>
      </c>
      <c r="U454">
        <f t="shared" si="48"/>
        <v>0.6</v>
      </c>
      <c r="V454">
        <f t="shared" si="49"/>
        <v>1.2</v>
      </c>
      <c r="W454">
        <f t="shared" si="50"/>
        <v>0.9</v>
      </c>
      <c r="X454">
        <f t="shared" si="51"/>
        <v>1.2</v>
      </c>
      <c r="AA454">
        <f t="shared" si="46"/>
        <v>0.97499999999999987</v>
      </c>
      <c r="AB454">
        <f t="shared" si="47"/>
        <v>1.2</v>
      </c>
    </row>
    <row r="455" spans="1:28">
      <c r="A455" t="s">
        <v>196</v>
      </c>
      <c r="B455" t="s">
        <v>197</v>
      </c>
      <c r="C455" t="s">
        <v>198</v>
      </c>
      <c r="D455" t="s">
        <v>151</v>
      </c>
      <c r="E455">
        <v>20</v>
      </c>
      <c r="F455" s="14">
        <v>224</v>
      </c>
      <c r="G455">
        <v>430</v>
      </c>
      <c r="H455">
        <v>0.7</v>
      </c>
      <c r="I455">
        <v>713</v>
      </c>
      <c r="J455">
        <v>1029</v>
      </c>
      <c r="K455">
        <v>-1.1000000000000001</v>
      </c>
      <c r="L455">
        <v>1416</v>
      </c>
      <c r="M455">
        <v>1641</v>
      </c>
      <c r="N455">
        <v>0.8</v>
      </c>
      <c r="O455">
        <v>1935</v>
      </c>
      <c r="P455">
        <v>2300</v>
      </c>
      <c r="Q455">
        <v>-1.3</v>
      </c>
      <c r="U455">
        <f t="shared" si="48"/>
        <v>0.7</v>
      </c>
      <c r="V455">
        <f t="shared" si="49"/>
        <v>1.1000000000000001</v>
      </c>
      <c r="W455">
        <f t="shared" si="50"/>
        <v>0.8</v>
      </c>
      <c r="X455">
        <f t="shared" si="51"/>
        <v>1.3</v>
      </c>
      <c r="AA455">
        <f t="shared" si="46"/>
        <v>0.97500000000000009</v>
      </c>
      <c r="AB455">
        <f t="shared" si="47"/>
        <v>1.3</v>
      </c>
    </row>
    <row r="456" spans="1:28">
      <c r="A456" t="s">
        <v>196</v>
      </c>
      <c r="B456" t="s">
        <v>197</v>
      </c>
      <c r="C456" t="s">
        <v>198</v>
      </c>
      <c r="D456" t="s">
        <v>151</v>
      </c>
      <c r="E456">
        <v>21</v>
      </c>
      <c r="F456" s="14">
        <v>306</v>
      </c>
      <c r="G456">
        <v>518</v>
      </c>
      <c r="H456">
        <v>0.8</v>
      </c>
      <c r="I456">
        <v>810</v>
      </c>
      <c r="J456">
        <v>1117</v>
      </c>
      <c r="K456">
        <v>-1</v>
      </c>
      <c r="L456">
        <v>1500</v>
      </c>
      <c r="M456">
        <v>1719</v>
      </c>
      <c r="N456">
        <v>0.8</v>
      </c>
      <c r="O456">
        <v>2006</v>
      </c>
      <c r="P456">
        <v>2342</v>
      </c>
      <c r="Q456">
        <v>-1.4</v>
      </c>
      <c r="U456">
        <f t="shared" si="48"/>
        <v>0.8</v>
      </c>
      <c r="V456">
        <f t="shared" si="49"/>
        <v>1</v>
      </c>
      <c r="W456">
        <f t="shared" si="50"/>
        <v>0.8</v>
      </c>
      <c r="X456">
        <f t="shared" si="51"/>
        <v>1.4</v>
      </c>
      <c r="AA456">
        <f t="shared" si="46"/>
        <v>1</v>
      </c>
      <c r="AB456">
        <f t="shared" si="47"/>
        <v>1.4</v>
      </c>
    </row>
    <row r="457" spans="1:28">
      <c r="A457" t="s">
        <v>196</v>
      </c>
      <c r="B457" t="s">
        <v>197</v>
      </c>
      <c r="C457" t="s">
        <v>198</v>
      </c>
      <c r="D457" t="s">
        <v>151</v>
      </c>
      <c r="E457">
        <v>22</v>
      </c>
      <c r="F457" s="14">
        <v>353</v>
      </c>
      <c r="G457">
        <v>611</v>
      </c>
      <c r="H457">
        <v>0.8</v>
      </c>
      <c r="I457">
        <v>912</v>
      </c>
      <c r="J457">
        <v>1210</v>
      </c>
      <c r="K457">
        <v>-0.8</v>
      </c>
      <c r="L457">
        <v>1550</v>
      </c>
      <c r="M457">
        <v>1802</v>
      </c>
      <c r="N457">
        <v>0.6</v>
      </c>
      <c r="O457">
        <v>2040</v>
      </c>
      <c r="U457">
        <f t="shared" si="48"/>
        <v>0.8</v>
      </c>
      <c r="V457">
        <f t="shared" si="49"/>
        <v>0.8</v>
      </c>
      <c r="W457">
        <f t="shared" si="50"/>
        <v>0.6</v>
      </c>
      <c r="AA457">
        <f t="shared" si="46"/>
        <v>0.73333333333333339</v>
      </c>
      <c r="AB457">
        <f t="shared" si="47"/>
        <v>0.8</v>
      </c>
    </row>
    <row r="458" spans="1:28">
      <c r="A458" t="s">
        <v>196</v>
      </c>
      <c r="B458" t="s">
        <v>197</v>
      </c>
      <c r="C458" t="s">
        <v>198</v>
      </c>
      <c r="D458" t="s">
        <v>151</v>
      </c>
      <c r="E458">
        <v>23</v>
      </c>
      <c r="G458">
        <v>28</v>
      </c>
      <c r="H458">
        <v>-1.4</v>
      </c>
      <c r="I458">
        <v>447</v>
      </c>
      <c r="J458">
        <v>710</v>
      </c>
      <c r="K458">
        <v>0.8</v>
      </c>
      <c r="L458">
        <v>1021</v>
      </c>
      <c r="M458">
        <v>1312</v>
      </c>
      <c r="N458">
        <v>-0.7</v>
      </c>
      <c r="O458">
        <v>1650</v>
      </c>
      <c r="P458">
        <v>1852</v>
      </c>
      <c r="Q458">
        <v>0.5</v>
      </c>
      <c r="R458">
        <v>2119</v>
      </c>
      <c r="U458">
        <f t="shared" si="48"/>
        <v>1.4</v>
      </c>
      <c r="V458">
        <f t="shared" si="49"/>
        <v>0.8</v>
      </c>
      <c r="W458">
        <f t="shared" si="50"/>
        <v>0.7</v>
      </c>
      <c r="X458">
        <f t="shared" si="51"/>
        <v>0.5</v>
      </c>
      <c r="AA458">
        <f t="shared" si="46"/>
        <v>0.85000000000000009</v>
      </c>
      <c r="AB458">
        <f t="shared" si="47"/>
        <v>1.4</v>
      </c>
    </row>
    <row r="459" spans="1:28">
      <c r="A459" t="s">
        <v>196</v>
      </c>
      <c r="B459" t="s">
        <v>197</v>
      </c>
      <c r="C459" t="s">
        <v>198</v>
      </c>
      <c r="D459" t="s">
        <v>151</v>
      </c>
      <c r="E459">
        <v>24</v>
      </c>
      <c r="G459">
        <v>122</v>
      </c>
      <c r="H459">
        <v>-1.3</v>
      </c>
      <c r="I459">
        <v>547</v>
      </c>
      <c r="J459">
        <v>816</v>
      </c>
      <c r="K459">
        <v>0.8</v>
      </c>
      <c r="L459">
        <v>1139</v>
      </c>
      <c r="M459">
        <v>1424</v>
      </c>
      <c r="N459">
        <v>-0.6</v>
      </c>
      <c r="O459">
        <v>1804</v>
      </c>
      <c r="P459">
        <v>1953</v>
      </c>
      <c r="Q459">
        <v>0.4</v>
      </c>
      <c r="R459">
        <v>2205</v>
      </c>
      <c r="U459">
        <f t="shared" si="48"/>
        <v>1.3</v>
      </c>
      <c r="V459">
        <f t="shared" si="49"/>
        <v>0.8</v>
      </c>
      <c r="W459">
        <f t="shared" si="50"/>
        <v>0.6</v>
      </c>
      <c r="X459">
        <f t="shared" si="51"/>
        <v>0.4</v>
      </c>
      <c r="AA459">
        <f t="shared" si="46"/>
        <v>0.77500000000000002</v>
      </c>
      <c r="AB459">
        <f t="shared" si="47"/>
        <v>1.3</v>
      </c>
    </row>
    <row r="460" spans="1:28">
      <c r="A460" t="s">
        <v>196</v>
      </c>
      <c r="B460" t="s">
        <v>197</v>
      </c>
      <c r="C460" t="s">
        <v>198</v>
      </c>
      <c r="D460" t="s">
        <v>151</v>
      </c>
      <c r="E460">
        <v>25</v>
      </c>
      <c r="G460">
        <v>224</v>
      </c>
      <c r="H460">
        <v>-1.3</v>
      </c>
      <c r="I460">
        <v>652</v>
      </c>
      <c r="J460">
        <v>929</v>
      </c>
      <c r="K460">
        <v>0.8</v>
      </c>
      <c r="L460">
        <v>1300</v>
      </c>
      <c r="M460">
        <v>1545</v>
      </c>
      <c r="N460">
        <v>-0.6</v>
      </c>
      <c r="O460">
        <v>1932</v>
      </c>
      <c r="P460">
        <v>2106</v>
      </c>
      <c r="Q460">
        <v>0.2</v>
      </c>
      <c r="R460">
        <v>2304</v>
      </c>
      <c r="U460">
        <f t="shared" si="48"/>
        <v>1.3</v>
      </c>
      <c r="V460">
        <f t="shared" si="49"/>
        <v>0.8</v>
      </c>
      <c r="W460">
        <f t="shared" si="50"/>
        <v>0.6</v>
      </c>
      <c r="X460">
        <f t="shared" si="51"/>
        <v>0.2</v>
      </c>
      <c r="AA460">
        <f t="shared" si="46"/>
        <v>0.72500000000000009</v>
      </c>
      <c r="AB460">
        <f t="shared" si="47"/>
        <v>1.3</v>
      </c>
    </row>
    <row r="461" spans="1:28">
      <c r="A461" t="s">
        <v>196</v>
      </c>
      <c r="B461" t="s">
        <v>197</v>
      </c>
      <c r="C461" t="s">
        <v>198</v>
      </c>
      <c r="D461" t="s">
        <v>151</v>
      </c>
      <c r="E461">
        <v>26</v>
      </c>
      <c r="G461">
        <v>334</v>
      </c>
      <c r="H461">
        <v>-1.3</v>
      </c>
      <c r="I461">
        <v>758</v>
      </c>
      <c r="J461">
        <v>1041</v>
      </c>
      <c r="K461">
        <v>0.8</v>
      </c>
      <c r="L461">
        <v>1414</v>
      </c>
      <c r="M461">
        <v>1703</v>
      </c>
      <c r="N461">
        <v>-0.6</v>
      </c>
      <c r="O461">
        <v>2058</v>
      </c>
      <c r="P461">
        <v>2225</v>
      </c>
      <c r="Q461">
        <v>0.2</v>
      </c>
      <c r="U461">
        <f t="shared" si="48"/>
        <v>1.3</v>
      </c>
      <c r="V461">
        <f t="shared" si="49"/>
        <v>0.8</v>
      </c>
      <c r="W461">
        <f t="shared" si="50"/>
        <v>0.6</v>
      </c>
      <c r="X461">
        <f t="shared" si="51"/>
        <v>0.2</v>
      </c>
      <c r="AA461">
        <f t="shared" si="46"/>
        <v>0.72500000000000009</v>
      </c>
      <c r="AB461">
        <f t="shared" si="47"/>
        <v>1.3</v>
      </c>
    </row>
    <row r="462" spans="1:28">
      <c r="A462" t="s">
        <v>196</v>
      </c>
      <c r="B462" t="s">
        <v>197</v>
      </c>
      <c r="C462" t="s">
        <v>198</v>
      </c>
      <c r="D462" t="s">
        <v>151</v>
      </c>
      <c r="E462">
        <v>27</v>
      </c>
      <c r="F462" s="14">
        <v>18</v>
      </c>
      <c r="G462">
        <v>444</v>
      </c>
      <c r="H462">
        <v>-1.3</v>
      </c>
      <c r="I462">
        <v>901</v>
      </c>
      <c r="J462">
        <v>1145</v>
      </c>
      <c r="K462">
        <v>0.9</v>
      </c>
      <c r="L462">
        <v>1516</v>
      </c>
      <c r="M462">
        <v>1809</v>
      </c>
      <c r="N462">
        <v>-0.8</v>
      </c>
      <c r="O462">
        <v>2206</v>
      </c>
      <c r="P462">
        <v>2338</v>
      </c>
      <c r="Q462">
        <v>0.3</v>
      </c>
      <c r="U462">
        <f t="shared" si="48"/>
        <v>1.3</v>
      </c>
      <c r="V462">
        <f t="shared" si="49"/>
        <v>0.9</v>
      </c>
      <c r="W462">
        <f t="shared" si="50"/>
        <v>0.8</v>
      </c>
      <c r="X462">
        <f t="shared" si="51"/>
        <v>0.3</v>
      </c>
      <c r="AA462">
        <f t="shared" si="46"/>
        <v>0.82499999999999996</v>
      </c>
      <c r="AB462">
        <f t="shared" si="47"/>
        <v>1.3</v>
      </c>
    </row>
    <row r="463" spans="1:28">
      <c r="A463" t="s">
        <v>196</v>
      </c>
      <c r="B463" t="s">
        <v>197</v>
      </c>
      <c r="C463" t="s">
        <v>198</v>
      </c>
      <c r="D463" t="s">
        <v>151</v>
      </c>
      <c r="E463">
        <v>28</v>
      </c>
      <c r="F463" s="14">
        <v>138</v>
      </c>
      <c r="G463">
        <v>550</v>
      </c>
      <c r="H463">
        <v>-1.3</v>
      </c>
      <c r="I463">
        <v>959</v>
      </c>
      <c r="J463">
        <v>1241</v>
      </c>
      <c r="K463">
        <v>1</v>
      </c>
      <c r="L463">
        <v>1606</v>
      </c>
      <c r="M463">
        <v>1904</v>
      </c>
      <c r="N463">
        <v>-0.9</v>
      </c>
      <c r="O463">
        <v>2259</v>
      </c>
      <c r="U463">
        <f t="shared" si="48"/>
        <v>1.3</v>
      </c>
      <c r="V463">
        <f t="shared" si="49"/>
        <v>1</v>
      </c>
      <c r="W463">
        <f t="shared" si="50"/>
        <v>0.9</v>
      </c>
      <c r="AA463">
        <f t="shared" si="46"/>
        <v>1.0666666666666667</v>
      </c>
      <c r="AB463">
        <f t="shared" si="47"/>
        <v>1.3</v>
      </c>
    </row>
    <row r="464" spans="1:28">
      <c r="A464" t="s">
        <v>196</v>
      </c>
      <c r="B464" t="s">
        <v>197</v>
      </c>
      <c r="C464" t="s">
        <v>198</v>
      </c>
      <c r="D464" t="s">
        <v>151</v>
      </c>
      <c r="E464">
        <v>29</v>
      </c>
      <c r="G464">
        <v>42</v>
      </c>
      <c r="H464">
        <v>0.4</v>
      </c>
      <c r="I464">
        <v>253</v>
      </c>
      <c r="J464">
        <v>648</v>
      </c>
      <c r="K464">
        <v>-1.3</v>
      </c>
      <c r="L464">
        <v>1051</v>
      </c>
      <c r="M464">
        <v>1330</v>
      </c>
      <c r="N464">
        <v>1</v>
      </c>
      <c r="O464">
        <v>1649</v>
      </c>
      <c r="P464">
        <v>1950</v>
      </c>
      <c r="Q464">
        <v>-1</v>
      </c>
      <c r="R464">
        <v>2345</v>
      </c>
      <c r="U464">
        <f t="shared" si="48"/>
        <v>0.4</v>
      </c>
      <c r="V464">
        <f t="shared" si="49"/>
        <v>1.3</v>
      </c>
      <c r="W464">
        <f t="shared" si="50"/>
        <v>1</v>
      </c>
      <c r="X464">
        <f t="shared" si="51"/>
        <v>1</v>
      </c>
      <c r="AA464">
        <f t="shared" si="46"/>
        <v>0.92500000000000004</v>
      </c>
      <c r="AB464">
        <f t="shared" si="47"/>
        <v>1.3</v>
      </c>
    </row>
    <row r="465" spans="1:28">
      <c r="A465" t="s">
        <v>196</v>
      </c>
      <c r="B465" t="s">
        <v>197</v>
      </c>
      <c r="C465" t="s">
        <v>198</v>
      </c>
      <c r="D465" t="s">
        <v>151</v>
      </c>
      <c r="E465">
        <v>30</v>
      </c>
      <c r="G465">
        <v>137</v>
      </c>
      <c r="H465">
        <v>0.5</v>
      </c>
      <c r="I465">
        <v>359</v>
      </c>
      <c r="J465">
        <v>741</v>
      </c>
      <c r="K465">
        <v>-1.3</v>
      </c>
      <c r="L465">
        <v>1138</v>
      </c>
      <c r="M465">
        <v>1413</v>
      </c>
      <c r="N465">
        <v>1</v>
      </c>
      <c r="O465">
        <v>1726</v>
      </c>
      <c r="P465">
        <v>2031</v>
      </c>
      <c r="Q465">
        <v>-1.1000000000000001</v>
      </c>
      <c r="U465">
        <f t="shared" si="48"/>
        <v>0.5</v>
      </c>
      <c r="V465">
        <f t="shared" si="49"/>
        <v>1.3</v>
      </c>
      <c r="W465">
        <f t="shared" si="50"/>
        <v>1</v>
      </c>
      <c r="X465">
        <f t="shared" si="51"/>
        <v>1.1000000000000001</v>
      </c>
      <c r="AA465">
        <f t="shared" si="46"/>
        <v>0.97499999999999998</v>
      </c>
      <c r="AB465">
        <f t="shared" si="47"/>
        <v>1.3</v>
      </c>
    </row>
    <row r="466" spans="1:28">
      <c r="A466" t="s">
        <v>196</v>
      </c>
      <c r="B466" t="s">
        <v>197</v>
      </c>
      <c r="C466" t="s">
        <v>198</v>
      </c>
      <c r="D466" t="s">
        <v>151</v>
      </c>
      <c r="E466">
        <v>31</v>
      </c>
      <c r="F466" s="14">
        <v>26</v>
      </c>
      <c r="G466">
        <v>226</v>
      </c>
      <c r="H466">
        <v>0.6</v>
      </c>
      <c r="I466">
        <v>457</v>
      </c>
      <c r="J466">
        <v>828</v>
      </c>
      <c r="K466">
        <v>-1.3</v>
      </c>
      <c r="L466">
        <v>1222</v>
      </c>
      <c r="M466">
        <v>1453</v>
      </c>
      <c r="N466">
        <v>1</v>
      </c>
      <c r="O466">
        <v>1759</v>
      </c>
      <c r="P466">
        <v>2109</v>
      </c>
      <c r="Q466">
        <v>-1.2</v>
      </c>
      <c r="U466">
        <f t="shared" si="48"/>
        <v>0.6</v>
      </c>
      <c r="V466">
        <f t="shared" si="49"/>
        <v>1.3</v>
      </c>
      <c r="W466">
        <f t="shared" si="50"/>
        <v>1</v>
      </c>
      <c r="X466">
        <f t="shared" si="51"/>
        <v>1.2</v>
      </c>
      <c r="AA466">
        <f t="shared" si="46"/>
        <v>1.0249999999999999</v>
      </c>
      <c r="AB466">
        <f t="shared" si="47"/>
        <v>1.3</v>
      </c>
    </row>
    <row r="467" spans="1:28">
      <c r="A467" t="s">
        <v>199</v>
      </c>
      <c r="B467" t="s">
        <v>200</v>
      </c>
      <c r="C467" t="s">
        <v>198</v>
      </c>
      <c r="D467" t="s">
        <v>151</v>
      </c>
      <c r="E467">
        <v>1</v>
      </c>
      <c r="G467">
        <v>124</v>
      </c>
      <c r="H467">
        <v>0.6</v>
      </c>
      <c r="I467">
        <v>404</v>
      </c>
      <c r="J467">
        <v>758</v>
      </c>
      <c r="K467">
        <v>-1.1000000000000001</v>
      </c>
      <c r="L467">
        <v>1048</v>
      </c>
      <c r="M467">
        <v>1421</v>
      </c>
      <c r="N467">
        <v>1.9</v>
      </c>
      <c r="O467">
        <v>1825</v>
      </c>
      <c r="P467">
        <v>2109</v>
      </c>
      <c r="Q467">
        <v>-0.8</v>
      </c>
      <c r="R467">
        <v>2346</v>
      </c>
      <c r="U467">
        <f t="shared" si="48"/>
        <v>0.6</v>
      </c>
      <c r="V467">
        <f t="shared" si="49"/>
        <v>1.1000000000000001</v>
      </c>
      <c r="W467">
        <f t="shared" si="50"/>
        <v>1.9</v>
      </c>
      <c r="X467">
        <f t="shared" si="51"/>
        <v>0.8</v>
      </c>
      <c r="AA467">
        <f t="shared" si="46"/>
        <v>1.1000000000000001</v>
      </c>
      <c r="AB467">
        <f t="shared" si="47"/>
        <v>1.9</v>
      </c>
    </row>
    <row r="468" spans="1:28">
      <c r="A468" t="s">
        <v>199</v>
      </c>
      <c r="B468" t="s">
        <v>200</v>
      </c>
      <c r="C468" t="s">
        <v>198</v>
      </c>
      <c r="D468" t="s">
        <v>151</v>
      </c>
      <c r="E468">
        <v>2</v>
      </c>
      <c r="G468">
        <v>218</v>
      </c>
      <c r="H468">
        <v>0.7</v>
      </c>
      <c r="I468">
        <v>504</v>
      </c>
      <c r="J468">
        <v>848</v>
      </c>
      <c r="K468">
        <v>-1.1000000000000001</v>
      </c>
      <c r="L468">
        <v>1133</v>
      </c>
      <c r="M468">
        <v>1504</v>
      </c>
      <c r="N468">
        <v>1.8</v>
      </c>
      <c r="O468">
        <v>1902</v>
      </c>
      <c r="P468">
        <v>2151</v>
      </c>
      <c r="Q468">
        <v>-0.8</v>
      </c>
      <c r="U468">
        <f t="shared" si="48"/>
        <v>0.7</v>
      </c>
      <c r="V468">
        <f t="shared" si="49"/>
        <v>1.1000000000000001</v>
      </c>
      <c r="W468">
        <f t="shared" si="50"/>
        <v>1.8</v>
      </c>
      <c r="X468">
        <f t="shared" si="51"/>
        <v>0.8</v>
      </c>
      <c r="AA468">
        <f t="shared" si="46"/>
        <v>1.1000000000000001</v>
      </c>
      <c r="AB468">
        <f t="shared" si="47"/>
        <v>1.8</v>
      </c>
    </row>
    <row r="469" spans="1:28">
      <c r="A469" t="s">
        <v>199</v>
      </c>
      <c r="B469" t="s">
        <v>200</v>
      </c>
      <c r="C469" t="s">
        <v>198</v>
      </c>
      <c r="D469" t="s">
        <v>151</v>
      </c>
      <c r="E469">
        <v>3</v>
      </c>
      <c r="F469" s="14">
        <v>32</v>
      </c>
      <c r="G469">
        <v>308</v>
      </c>
      <c r="H469">
        <v>0.8</v>
      </c>
      <c r="I469">
        <v>600</v>
      </c>
      <c r="J469">
        <v>935</v>
      </c>
      <c r="K469">
        <v>-1.1000000000000001</v>
      </c>
      <c r="L469">
        <v>1217</v>
      </c>
      <c r="M469">
        <v>1544</v>
      </c>
      <c r="N469">
        <v>1.7</v>
      </c>
      <c r="O469">
        <v>1936</v>
      </c>
      <c r="P469">
        <v>2232</v>
      </c>
      <c r="Q469">
        <v>-0.9</v>
      </c>
      <c r="U469">
        <f t="shared" si="48"/>
        <v>0.8</v>
      </c>
      <c r="V469">
        <f t="shared" si="49"/>
        <v>1.1000000000000001</v>
      </c>
      <c r="W469">
        <f t="shared" si="50"/>
        <v>1.7</v>
      </c>
      <c r="X469">
        <f t="shared" si="51"/>
        <v>0.9</v>
      </c>
      <c r="AA469">
        <f t="shared" si="46"/>
        <v>1.125</v>
      </c>
      <c r="AB469">
        <f t="shared" si="47"/>
        <v>1.7</v>
      </c>
    </row>
    <row r="470" spans="1:28">
      <c r="A470" t="s">
        <v>199</v>
      </c>
      <c r="B470" t="s">
        <v>200</v>
      </c>
      <c r="C470" t="s">
        <v>198</v>
      </c>
      <c r="D470" t="s">
        <v>151</v>
      </c>
      <c r="E470">
        <v>4</v>
      </c>
      <c r="F470" s="14">
        <v>117</v>
      </c>
      <c r="G470">
        <v>356</v>
      </c>
      <c r="H470">
        <v>0.8</v>
      </c>
      <c r="I470">
        <v>654</v>
      </c>
      <c r="J470">
        <v>1020</v>
      </c>
      <c r="K470">
        <v>-1</v>
      </c>
      <c r="L470">
        <v>1258</v>
      </c>
      <c r="M470">
        <v>1622</v>
      </c>
      <c r="N470">
        <v>1.6</v>
      </c>
      <c r="O470">
        <v>2007</v>
      </c>
      <c r="P470">
        <v>2311</v>
      </c>
      <c r="Q470">
        <v>-0.9</v>
      </c>
      <c r="U470">
        <f t="shared" si="48"/>
        <v>0.8</v>
      </c>
      <c r="V470">
        <f t="shared" si="49"/>
        <v>1</v>
      </c>
      <c r="W470">
        <f t="shared" si="50"/>
        <v>1.6</v>
      </c>
      <c r="X470">
        <f t="shared" si="51"/>
        <v>0.9</v>
      </c>
      <c r="AA470">
        <f t="shared" si="46"/>
        <v>1.0750000000000002</v>
      </c>
      <c r="AB470">
        <f t="shared" si="47"/>
        <v>1.6</v>
      </c>
    </row>
    <row r="471" spans="1:28">
      <c r="A471" t="s">
        <v>199</v>
      </c>
      <c r="B471" t="s">
        <v>200</v>
      </c>
      <c r="C471" t="s">
        <v>198</v>
      </c>
      <c r="D471" t="s">
        <v>151</v>
      </c>
      <c r="E471">
        <v>5</v>
      </c>
      <c r="F471" s="14">
        <v>202</v>
      </c>
      <c r="G471">
        <v>444</v>
      </c>
      <c r="H471">
        <v>0.8</v>
      </c>
      <c r="I471">
        <v>747</v>
      </c>
      <c r="J471">
        <v>1104</v>
      </c>
      <c r="K471">
        <v>-0.8</v>
      </c>
      <c r="L471">
        <v>1340</v>
      </c>
      <c r="M471">
        <v>1658</v>
      </c>
      <c r="N471">
        <v>1.3</v>
      </c>
      <c r="O471">
        <v>2036</v>
      </c>
      <c r="P471">
        <v>2349</v>
      </c>
      <c r="Q471">
        <v>-0.9</v>
      </c>
      <c r="U471">
        <f t="shared" si="48"/>
        <v>0.8</v>
      </c>
      <c r="V471">
        <f t="shared" si="49"/>
        <v>0.8</v>
      </c>
      <c r="W471">
        <f t="shared" si="50"/>
        <v>1.3</v>
      </c>
      <c r="X471">
        <f t="shared" si="51"/>
        <v>0.9</v>
      </c>
      <c r="AA471">
        <f t="shared" si="46"/>
        <v>0.95000000000000007</v>
      </c>
      <c r="AB471">
        <f t="shared" si="47"/>
        <v>1.3</v>
      </c>
    </row>
    <row r="472" spans="1:28">
      <c r="A472" t="s">
        <v>199</v>
      </c>
      <c r="B472" t="s">
        <v>200</v>
      </c>
      <c r="C472" t="s">
        <v>198</v>
      </c>
      <c r="D472" t="s">
        <v>151</v>
      </c>
      <c r="E472">
        <v>6</v>
      </c>
      <c r="F472" s="14">
        <v>247</v>
      </c>
      <c r="G472">
        <v>532</v>
      </c>
      <c r="H472">
        <v>0.8</v>
      </c>
      <c r="I472">
        <v>840</v>
      </c>
      <c r="J472">
        <v>1150</v>
      </c>
      <c r="K472">
        <v>-0.7</v>
      </c>
      <c r="L472">
        <v>1421</v>
      </c>
      <c r="M472">
        <v>1735</v>
      </c>
      <c r="N472">
        <v>1.1000000000000001</v>
      </c>
      <c r="O472">
        <v>2104</v>
      </c>
      <c r="U472">
        <f t="shared" si="48"/>
        <v>0.8</v>
      </c>
      <c r="V472">
        <f t="shared" si="49"/>
        <v>0.7</v>
      </c>
      <c r="W472">
        <f t="shared" si="50"/>
        <v>1.1000000000000001</v>
      </c>
      <c r="AA472">
        <f t="shared" si="46"/>
        <v>0.8666666666666667</v>
      </c>
      <c r="AB472">
        <f t="shared" si="47"/>
        <v>1.1000000000000001</v>
      </c>
    </row>
    <row r="473" spans="1:28">
      <c r="A473" t="s">
        <v>199</v>
      </c>
      <c r="B473" t="s">
        <v>200</v>
      </c>
      <c r="C473" t="s">
        <v>198</v>
      </c>
      <c r="D473" t="s">
        <v>151</v>
      </c>
      <c r="E473">
        <v>7</v>
      </c>
      <c r="G473">
        <v>28</v>
      </c>
      <c r="H473">
        <v>-0.9</v>
      </c>
      <c r="I473">
        <v>335</v>
      </c>
      <c r="J473">
        <v>622</v>
      </c>
      <c r="K473">
        <v>0.8</v>
      </c>
      <c r="L473">
        <v>937</v>
      </c>
      <c r="M473">
        <v>1238</v>
      </c>
      <c r="N473">
        <v>-0.6</v>
      </c>
      <c r="O473">
        <v>1506</v>
      </c>
      <c r="P473">
        <v>1813</v>
      </c>
      <c r="Q473">
        <v>0.8</v>
      </c>
      <c r="R473">
        <v>2132</v>
      </c>
      <c r="U473">
        <f t="shared" si="48"/>
        <v>0.9</v>
      </c>
      <c r="V473">
        <f t="shared" si="49"/>
        <v>0.8</v>
      </c>
      <c r="W473">
        <f t="shared" si="50"/>
        <v>0.6</v>
      </c>
      <c r="X473">
        <f t="shared" si="51"/>
        <v>0.8</v>
      </c>
      <c r="AA473">
        <f t="shared" si="46"/>
        <v>0.77500000000000013</v>
      </c>
      <c r="AB473">
        <f t="shared" si="47"/>
        <v>0.9</v>
      </c>
    </row>
    <row r="474" spans="1:28">
      <c r="A474" t="s">
        <v>199</v>
      </c>
      <c r="B474" t="s">
        <v>200</v>
      </c>
      <c r="C474" t="s">
        <v>198</v>
      </c>
      <c r="D474" t="s">
        <v>151</v>
      </c>
      <c r="E474">
        <v>8</v>
      </c>
      <c r="G474">
        <v>110</v>
      </c>
      <c r="H474">
        <v>-0.8</v>
      </c>
      <c r="I474">
        <v>426</v>
      </c>
      <c r="J474">
        <v>716</v>
      </c>
      <c r="K474">
        <v>0.7</v>
      </c>
      <c r="L474">
        <v>1039</v>
      </c>
      <c r="M474">
        <v>1332</v>
      </c>
      <c r="N474">
        <v>-0.4</v>
      </c>
      <c r="O474">
        <v>1558</v>
      </c>
      <c r="P474">
        <v>1854</v>
      </c>
      <c r="Q474">
        <v>0.6</v>
      </c>
      <c r="R474">
        <v>2200</v>
      </c>
      <c r="U474">
        <f t="shared" si="48"/>
        <v>0.8</v>
      </c>
      <c r="V474">
        <f t="shared" si="49"/>
        <v>0.7</v>
      </c>
      <c r="W474">
        <f t="shared" si="50"/>
        <v>0.4</v>
      </c>
      <c r="X474">
        <f t="shared" si="51"/>
        <v>0.6</v>
      </c>
      <c r="AA474">
        <f t="shared" si="46"/>
        <v>0.625</v>
      </c>
      <c r="AB474">
        <f t="shared" si="47"/>
        <v>0.8</v>
      </c>
    </row>
    <row r="475" spans="1:28">
      <c r="A475" t="s">
        <v>199</v>
      </c>
      <c r="B475" t="s">
        <v>200</v>
      </c>
      <c r="C475" t="s">
        <v>198</v>
      </c>
      <c r="D475" t="s">
        <v>151</v>
      </c>
      <c r="E475">
        <v>9</v>
      </c>
      <c r="G475">
        <v>155</v>
      </c>
      <c r="H475">
        <v>-0.8</v>
      </c>
      <c r="I475">
        <v>520</v>
      </c>
      <c r="J475">
        <v>817</v>
      </c>
      <c r="K475">
        <v>0.7</v>
      </c>
      <c r="L475">
        <v>1151</v>
      </c>
      <c r="M475">
        <v>1435</v>
      </c>
      <c r="N475">
        <v>-0.4</v>
      </c>
      <c r="O475">
        <v>1702</v>
      </c>
      <c r="P475">
        <v>1942</v>
      </c>
      <c r="Q475">
        <v>0.4</v>
      </c>
      <c r="R475">
        <v>2230</v>
      </c>
      <c r="U475">
        <f t="shared" si="48"/>
        <v>0.8</v>
      </c>
      <c r="V475">
        <f t="shared" si="49"/>
        <v>0.7</v>
      </c>
      <c r="W475">
        <f t="shared" si="50"/>
        <v>0.4</v>
      </c>
      <c r="X475">
        <f t="shared" si="51"/>
        <v>0.4</v>
      </c>
      <c r="AA475">
        <f t="shared" si="46"/>
        <v>0.57499999999999996</v>
      </c>
      <c r="AB475">
        <f t="shared" si="47"/>
        <v>0.8</v>
      </c>
    </row>
    <row r="476" spans="1:28">
      <c r="A476" t="s">
        <v>199</v>
      </c>
      <c r="B476" t="s">
        <v>200</v>
      </c>
      <c r="C476" t="s">
        <v>198</v>
      </c>
      <c r="D476" t="s">
        <v>151</v>
      </c>
      <c r="E476">
        <v>10</v>
      </c>
      <c r="G476">
        <v>246</v>
      </c>
      <c r="H476">
        <v>-0.8</v>
      </c>
      <c r="I476">
        <v>616</v>
      </c>
      <c r="J476">
        <v>922</v>
      </c>
      <c r="K476">
        <v>0.7</v>
      </c>
      <c r="L476">
        <v>1310</v>
      </c>
      <c r="M476">
        <v>1550</v>
      </c>
      <c r="N476">
        <v>-0.3</v>
      </c>
      <c r="O476">
        <v>1824</v>
      </c>
      <c r="P476">
        <v>2040</v>
      </c>
      <c r="Q476">
        <v>0.2</v>
      </c>
      <c r="R476">
        <v>2306</v>
      </c>
      <c r="U476">
        <f t="shared" si="48"/>
        <v>0.8</v>
      </c>
      <c r="V476">
        <f t="shared" si="49"/>
        <v>0.7</v>
      </c>
      <c r="W476">
        <f t="shared" si="50"/>
        <v>0.3</v>
      </c>
      <c r="X476">
        <f t="shared" si="51"/>
        <v>0.2</v>
      </c>
      <c r="AA476">
        <f t="shared" si="46"/>
        <v>0.5</v>
      </c>
      <c r="AB476">
        <f t="shared" si="47"/>
        <v>0.8</v>
      </c>
    </row>
    <row r="477" spans="1:28">
      <c r="A477" t="s">
        <v>199</v>
      </c>
      <c r="B477" t="s">
        <v>200</v>
      </c>
      <c r="C477" t="s">
        <v>198</v>
      </c>
      <c r="D477" t="s">
        <v>151</v>
      </c>
      <c r="E477">
        <v>11</v>
      </c>
      <c r="G477">
        <v>343</v>
      </c>
      <c r="H477">
        <v>-0.8</v>
      </c>
      <c r="I477">
        <v>710</v>
      </c>
      <c r="J477">
        <v>1027</v>
      </c>
      <c r="K477">
        <v>0.8</v>
      </c>
      <c r="L477">
        <v>1426</v>
      </c>
      <c r="M477">
        <v>1706</v>
      </c>
      <c r="N477">
        <v>-0.3</v>
      </c>
      <c r="O477">
        <v>1953</v>
      </c>
      <c r="P477">
        <v>2146</v>
      </c>
      <c r="Q477">
        <v>0.2</v>
      </c>
      <c r="R477">
        <v>2351</v>
      </c>
      <c r="U477">
        <f t="shared" si="48"/>
        <v>0.8</v>
      </c>
      <c r="V477">
        <f t="shared" si="49"/>
        <v>0.8</v>
      </c>
      <c r="W477">
        <f t="shared" si="50"/>
        <v>0.3</v>
      </c>
      <c r="X477">
        <f t="shared" si="51"/>
        <v>0.2</v>
      </c>
      <c r="AA477">
        <f t="shared" si="46"/>
        <v>0.52500000000000002</v>
      </c>
      <c r="AB477">
        <f t="shared" si="47"/>
        <v>0.8</v>
      </c>
    </row>
    <row r="478" spans="1:28">
      <c r="A478" t="s">
        <v>199</v>
      </c>
      <c r="B478" t="s">
        <v>200</v>
      </c>
      <c r="C478" t="s">
        <v>198</v>
      </c>
      <c r="D478" t="s">
        <v>151</v>
      </c>
      <c r="E478">
        <v>12</v>
      </c>
      <c r="G478">
        <v>441</v>
      </c>
      <c r="H478">
        <v>-0.8</v>
      </c>
      <c r="I478">
        <v>800</v>
      </c>
      <c r="J478">
        <v>1125</v>
      </c>
      <c r="K478">
        <v>1</v>
      </c>
      <c r="L478">
        <v>1529</v>
      </c>
      <c r="M478">
        <v>1811</v>
      </c>
      <c r="N478">
        <v>-0.4</v>
      </c>
      <c r="O478">
        <v>2107</v>
      </c>
      <c r="P478">
        <v>2251</v>
      </c>
      <c r="Q478">
        <v>0.2</v>
      </c>
      <c r="U478">
        <f t="shared" si="48"/>
        <v>0.8</v>
      </c>
      <c r="V478">
        <f t="shared" si="49"/>
        <v>1</v>
      </c>
      <c r="W478">
        <f t="shared" si="50"/>
        <v>0.4</v>
      </c>
      <c r="X478">
        <f t="shared" si="51"/>
        <v>0.2</v>
      </c>
      <c r="AA478">
        <f t="shared" si="46"/>
        <v>0.60000000000000009</v>
      </c>
      <c r="AB478">
        <f t="shared" si="47"/>
        <v>1</v>
      </c>
    </row>
    <row r="479" spans="1:28">
      <c r="A479" t="s">
        <v>199</v>
      </c>
      <c r="B479" t="s">
        <v>200</v>
      </c>
      <c r="C479" t="s">
        <v>198</v>
      </c>
      <c r="D479" t="s">
        <v>151</v>
      </c>
      <c r="E479">
        <v>13</v>
      </c>
      <c r="F479" s="14">
        <v>51</v>
      </c>
      <c r="G479">
        <v>536</v>
      </c>
      <c r="H479">
        <v>-0.8</v>
      </c>
      <c r="I479">
        <v>846</v>
      </c>
      <c r="J479">
        <v>1215</v>
      </c>
      <c r="K479">
        <v>1.1000000000000001</v>
      </c>
      <c r="L479">
        <v>1619</v>
      </c>
      <c r="M479">
        <v>1903</v>
      </c>
      <c r="N479">
        <v>-0.4</v>
      </c>
      <c r="O479">
        <v>2157</v>
      </c>
      <c r="P479">
        <v>2350</v>
      </c>
      <c r="Q479">
        <v>0.2</v>
      </c>
      <c r="U479">
        <f t="shared" si="48"/>
        <v>0.8</v>
      </c>
      <c r="V479">
        <f t="shared" si="49"/>
        <v>1.1000000000000001</v>
      </c>
      <c r="W479">
        <f t="shared" si="50"/>
        <v>0.4</v>
      </c>
      <c r="X479">
        <f t="shared" si="51"/>
        <v>0.2</v>
      </c>
      <c r="AA479">
        <f t="shared" si="46"/>
        <v>0.62500000000000011</v>
      </c>
      <c r="AB479">
        <f t="shared" si="47"/>
        <v>1.1000000000000001</v>
      </c>
    </row>
    <row r="480" spans="1:28">
      <c r="A480" t="s">
        <v>199</v>
      </c>
      <c r="B480" t="s">
        <v>200</v>
      </c>
      <c r="C480" t="s">
        <v>198</v>
      </c>
      <c r="D480" t="s">
        <v>151</v>
      </c>
      <c r="E480">
        <v>14</v>
      </c>
      <c r="F480" s="14">
        <v>157</v>
      </c>
      <c r="G480">
        <v>626</v>
      </c>
      <c r="H480">
        <v>-0.9</v>
      </c>
      <c r="I480">
        <v>927</v>
      </c>
      <c r="J480">
        <v>1257</v>
      </c>
      <c r="K480">
        <v>1.3</v>
      </c>
      <c r="L480">
        <v>1659</v>
      </c>
      <c r="M480">
        <v>1945</v>
      </c>
      <c r="N480">
        <v>-0.5</v>
      </c>
      <c r="O480">
        <v>2234</v>
      </c>
      <c r="U480">
        <f t="shared" si="48"/>
        <v>0.9</v>
      </c>
      <c r="V480">
        <f t="shared" si="49"/>
        <v>1.3</v>
      </c>
      <c r="W480">
        <f t="shared" si="50"/>
        <v>0.5</v>
      </c>
      <c r="X480">
        <f t="shared" si="51"/>
        <v>0</v>
      </c>
      <c r="AA480">
        <f t="shared" si="46"/>
        <v>0.67500000000000004</v>
      </c>
      <c r="AB480">
        <f t="shared" si="47"/>
        <v>1.3</v>
      </c>
    </row>
    <row r="481" spans="1:28">
      <c r="A481" t="s">
        <v>199</v>
      </c>
      <c r="B481" t="s">
        <v>200</v>
      </c>
      <c r="C481" t="s">
        <v>198</v>
      </c>
      <c r="D481" t="s">
        <v>151</v>
      </c>
      <c r="E481">
        <v>15</v>
      </c>
      <c r="G481">
        <v>40</v>
      </c>
      <c r="H481">
        <v>0.3</v>
      </c>
      <c r="I481">
        <v>300</v>
      </c>
      <c r="J481">
        <v>711</v>
      </c>
      <c r="K481">
        <v>-0.9</v>
      </c>
      <c r="L481">
        <v>1006</v>
      </c>
      <c r="M481">
        <v>1335</v>
      </c>
      <c r="N481">
        <v>1.4</v>
      </c>
      <c r="O481">
        <v>1734</v>
      </c>
      <c r="P481">
        <v>2022</v>
      </c>
      <c r="Q481">
        <v>-0.6</v>
      </c>
      <c r="R481">
        <v>2307</v>
      </c>
      <c r="U481">
        <f t="shared" si="48"/>
        <v>0.3</v>
      </c>
      <c r="V481">
        <f t="shared" si="49"/>
        <v>0.9</v>
      </c>
      <c r="W481">
        <f t="shared" si="50"/>
        <v>1.4</v>
      </c>
      <c r="X481">
        <f t="shared" si="51"/>
        <v>0.6</v>
      </c>
      <c r="AA481">
        <f t="shared" si="46"/>
        <v>0.79999999999999993</v>
      </c>
      <c r="AB481">
        <f t="shared" si="47"/>
        <v>1.4</v>
      </c>
    </row>
    <row r="482" spans="1:28">
      <c r="A482" t="s">
        <v>199</v>
      </c>
      <c r="B482" t="s">
        <v>200</v>
      </c>
      <c r="C482" t="s">
        <v>198</v>
      </c>
      <c r="D482" t="s">
        <v>151</v>
      </c>
      <c r="E482">
        <v>16</v>
      </c>
      <c r="G482">
        <v>125</v>
      </c>
      <c r="H482">
        <v>0.5</v>
      </c>
      <c r="I482">
        <v>358</v>
      </c>
      <c r="J482">
        <v>753</v>
      </c>
      <c r="K482">
        <v>-0.9</v>
      </c>
      <c r="L482">
        <v>1043</v>
      </c>
      <c r="M482">
        <v>1410</v>
      </c>
      <c r="N482">
        <v>1.4</v>
      </c>
      <c r="O482">
        <v>1804</v>
      </c>
      <c r="P482">
        <v>2055</v>
      </c>
      <c r="Q482">
        <v>-0.7</v>
      </c>
      <c r="R482">
        <v>2338</v>
      </c>
      <c r="U482">
        <f t="shared" si="48"/>
        <v>0.5</v>
      </c>
      <c r="V482">
        <f t="shared" si="49"/>
        <v>0.9</v>
      </c>
      <c r="W482">
        <f t="shared" si="50"/>
        <v>1.4</v>
      </c>
      <c r="X482">
        <f t="shared" si="51"/>
        <v>0.7</v>
      </c>
      <c r="AA482">
        <f t="shared" si="46"/>
        <v>0.875</v>
      </c>
      <c r="AB482">
        <f t="shared" si="47"/>
        <v>1.4</v>
      </c>
    </row>
    <row r="483" spans="1:28">
      <c r="A483" t="s">
        <v>199</v>
      </c>
      <c r="B483" t="s">
        <v>200</v>
      </c>
      <c r="C483" t="s">
        <v>198</v>
      </c>
      <c r="D483" t="s">
        <v>151</v>
      </c>
      <c r="E483">
        <v>17</v>
      </c>
      <c r="G483">
        <v>207</v>
      </c>
      <c r="H483">
        <v>0.6</v>
      </c>
      <c r="I483">
        <v>453</v>
      </c>
      <c r="J483">
        <v>834</v>
      </c>
      <c r="K483">
        <v>-1</v>
      </c>
      <c r="L483">
        <v>1119</v>
      </c>
      <c r="M483">
        <v>1443</v>
      </c>
      <c r="N483">
        <v>1.5</v>
      </c>
      <c r="O483">
        <v>1832</v>
      </c>
      <c r="P483">
        <v>2127</v>
      </c>
      <c r="Q483">
        <v>-0.8</v>
      </c>
      <c r="U483">
        <f t="shared" si="48"/>
        <v>0.6</v>
      </c>
      <c r="V483">
        <f t="shared" si="49"/>
        <v>1</v>
      </c>
      <c r="W483">
        <f t="shared" si="50"/>
        <v>1.5</v>
      </c>
      <c r="X483">
        <f t="shared" si="51"/>
        <v>0.8</v>
      </c>
      <c r="AA483">
        <f t="shared" si="46"/>
        <v>0.97500000000000009</v>
      </c>
      <c r="AB483">
        <f t="shared" si="47"/>
        <v>1.5</v>
      </c>
    </row>
    <row r="484" spans="1:28">
      <c r="A484" t="s">
        <v>199</v>
      </c>
      <c r="B484" t="s">
        <v>200</v>
      </c>
      <c r="C484" t="s">
        <v>198</v>
      </c>
      <c r="D484" t="s">
        <v>151</v>
      </c>
      <c r="E484">
        <v>18</v>
      </c>
      <c r="F484" s="14">
        <v>10</v>
      </c>
      <c r="G484">
        <v>249</v>
      </c>
      <c r="H484">
        <v>0.8</v>
      </c>
      <c r="I484">
        <v>545</v>
      </c>
      <c r="J484">
        <v>915</v>
      </c>
      <c r="K484">
        <v>-0.9</v>
      </c>
      <c r="L484">
        <v>1155</v>
      </c>
      <c r="M484">
        <v>1516</v>
      </c>
      <c r="N484">
        <v>1.5</v>
      </c>
      <c r="O484">
        <v>1859</v>
      </c>
      <c r="P484">
        <v>2200</v>
      </c>
      <c r="Q484">
        <v>-0.9</v>
      </c>
      <c r="U484">
        <f t="shared" si="48"/>
        <v>0.8</v>
      </c>
      <c r="V484">
        <f t="shared" si="49"/>
        <v>0.9</v>
      </c>
      <c r="W484">
        <f t="shared" si="50"/>
        <v>1.5</v>
      </c>
      <c r="X484">
        <f t="shared" si="51"/>
        <v>0.9</v>
      </c>
      <c r="AA484">
        <f t="shared" si="46"/>
        <v>1.0250000000000001</v>
      </c>
      <c r="AB484">
        <f t="shared" si="47"/>
        <v>1.5</v>
      </c>
    </row>
    <row r="485" spans="1:28">
      <c r="A485" t="s">
        <v>199</v>
      </c>
      <c r="B485" t="s">
        <v>200</v>
      </c>
      <c r="C485" t="s">
        <v>198</v>
      </c>
      <c r="D485" t="s">
        <v>151</v>
      </c>
      <c r="E485">
        <v>19</v>
      </c>
      <c r="F485" s="14">
        <v>44</v>
      </c>
      <c r="G485">
        <v>331</v>
      </c>
      <c r="H485">
        <v>0.9</v>
      </c>
      <c r="I485">
        <v>638</v>
      </c>
      <c r="J485">
        <v>956</v>
      </c>
      <c r="K485">
        <v>-0.9</v>
      </c>
      <c r="L485">
        <v>1233</v>
      </c>
      <c r="M485">
        <v>1550</v>
      </c>
      <c r="N485">
        <v>1.4</v>
      </c>
      <c r="O485">
        <v>1926</v>
      </c>
      <c r="P485">
        <v>2234</v>
      </c>
      <c r="Q485">
        <v>-0.9</v>
      </c>
      <c r="U485">
        <f t="shared" si="48"/>
        <v>0.9</v>
      </c>
      <c r="V485">
        <f t="shared" si="49"/>
        <v>0.9</v>
      </c>
      <c r="W485">
        <f t="shared" si="50"/>
        <v>1.4</v>
      </c>
      <c r="X485">
        <f t="shared" si="51"/>
        <v>0.9</v>
      </c>
      <c r="AA485">
        <f t="shared" si="46"/>
        <v>1.0250000000000001</v>
      </c>
      <c r="AB485">
        <f t="shared" si="47"/>
        <v>1.4</v>
      </c>
    </row>
    <row r="486" spans="1:28">
      <c r="A486" t="s">
        <v>199</v>
      </c>
      <c r="B486" t="s">
        <v>200</v>
      </c>
      <c r="C486" t="s">
        <v>198</v>
      </c>
      <c r="D486" t="s">
        <v>151</v>
      </c>
      <c r="E486">
        <v>20</v>
      </c>
      <c r="F486" s="14">
        <v>121</v>
      </c>
      <c r="G486">
        <v>415</v>
      </c>
      <c r="H486">
        <v>1</v>
      </c>
      <c r="I486">
        <v>732</v>
      </c>
      <c r="J486">
        <v>1040</v>
      </c>
      <c r="K486">
        <v>-0.8</v>
      </c>
      <c r="L486">
        <v>1313</v>
      </c>
      <c r="M486">
        <v>1626</v>
      </c>
      <c r="N486">
        <v>1.3</v>
      </c>
      <c r="O486">
        <v>1954</v>
      </c>
      <c r="P486">
        <v>2311</v>
      </c>
      <c r="Q486">
        <v>-1</v>
      </c>
      <c r="U486">
        <f t="shared" si="48"/>
        <v>1</v>
      </c>
      <c r="V486">
        <f t="shared" si="49"/>
        <v>0.8</v>
      </c>
      <c r="W486">
        <f t="shared" si="50"/>
        <v>1.3</v>
      </c>
      <c r="X486">
        <f t="shared" si="51"/>
        <v>1</v>
      </c>
      <c r="AA486">
        <f t="shared" si="46"/>
        <v>1.0249999999999999</v>
      </c>
      <c r="AB486">
        <f t="shared" si="47"/>
        <v>1.3</v>
      </c>
    </row>
    <row r="487" spans="1:28">
      <c r="A487" t="s">
        <v>199</v>
      </c>
      <c r="B487" t="s">
        <v>200</v>
      </c>
      <c r="C487" t="s">
        <v>198</v>
      </c>
      <c r="D487" t="s">
        <v>151</v>
      </c>
      <c r="E487">
        <v>21</v>
      </c>
      <c r="F487" s="14">
        <v>203</v>
      </c>
      <c r="G487">
        <v>503</v>
      </c>
      <c r="H487">
        <v>1.1000000000000001</v>
      </c>
      <c r="I487">
        <v>829</v>
      </c>
      <c r="J487">
        <v>1128</v>
      </c>
      <c r="K487">
        <v>-0.8</v>
      </c>
      <c r="L487">
        <v>1357</v>
      </c>
      <c r="M487">
        <v>1704</v>
      </c>
      <c r="N487">
        <v>1.1000000000000001</v>
      </c>
      <c r="O487">
        <v>2025</v>
      </c>
      <c r="P487">
        <v>2353</v>
      </c>
      <c r="Q487">
        <v>-1</v>
      </c>
      <c r="U487">
        <f t="shared" si="48"/>
        <v>1.1000000000000001</v>
      </c>
      <c r="V487">
        <f t="shared" si="49"/>
        <v>0.8</v>
      </c>
      <c r="W487">
        <f t="shared" si="50"/>
        <v>1.1000000000000001</v>
      </c>
      <c r="X487">
        <f t="shared" si="51"/>
        <v>1</v>
      </c>
      <c r="AA487">
        <f t="shared" si="46"/>
        <v>1</v>
      </c>
      <c r="AB487">
        <f t="shared" si="47"/>
        <v>1.1000000000000001</v>
      </c>
    </row>
    <row r="488" spans="1:28">
      <c r="A488" t="s">
        <v>199</v>
      </c>
      <c r="B488" t="s">
        <v>200</v>
      </c>
      <c r="C488" t="s">
        <v>198</v>
      </c>
      <c r="D488" t="s">
        <v>151</v>
      </c>
      <c r="E488">
        <v>22</v>
      </c>
      <c r="F488" s="14">
        <v>250</v>
      </c>
      <c r="G488">
        <v>556</v>
      </c>
      <c r="H488">
        <v>1.1000000000000001</v>
      </c>
      <c r="I488">
        <v>931</v>
      </c>
      <c r="J488">
        <v>1221</v>
      </c>
      <c r="K488">
        <v>-0.6</v>
      </c>
      <c r="L488">
        <v>1447</v>
      </c>
      <c r="M488">
        <v>1747</v>
      </c>
      <c r="N488">
        <v>0.9</v>
      </c>
      <c r="O488">
        <v>2059</v>
      </c>
      <c r="U488">
        <f t="shared" si="48"/>
        <v>1.1000000000000001</v>
      </c>
      <c r="V488">
        <f t="shared" si="49"/>
        <v>0.6</v>
      </c>
      <c r="W488">
        <f t="shared" si="50"/>
        <v>0.9</v>
      </c>
      <c r="AA488">
        <f t="shared" si="46"/>
        <v>0.8666666666666667</v>
      </c>
      <c r="AB488">
        <f t="shared" si="47"/>
        <v>1.1000000000000001</v>
      </c>
    </row>
    <row r="489" spans="1:28">
      <c r="A489" t="s">
        <v>199</v>
      </c>
      <c r="B489" t="s">
        <v>200</v>
      </c>
      <c r="C489" t="s">
        <v>198</v>
      </c>
      <c r="D489" t="s">
        <v>151</v>
      </c>
      <c r="E489">
        <v>23</v>
      </c>
      <c r="G489">
        <v>39</v>
      </c>
      <c r="H489">
        <v>-1</v>
      </c>
      <c r="I489">
        <v>344</v>
      </c>
      <c r="J489">
        <v>655</v>
      </c>
      <c r="K489">
        <v>1.1000000000000001</v>
      </c>
      <c r="L489">
        <v>1040</v>
      </c>
      <c r="M489">
        <v>1323</v>
      </c>
      <c r="N489">
        <v>-0.5</v>
      </c>
      <c r="O489">
        <v>1547</v>
      </c>
      <c r="P489">
        <v>1837</v>
      </c>
      <c r="Q489">
        <v>0.7</v>
      </c>
      <c r="R489">
        <v>2138</v>
      </c>
      <c r="U489">
        <f t="shared" si="48"/>
        <v>1</v>
      </c>
      <c r="V489">
        <f t="shared" si="49"/>
        <v>1.1000000000000001</v>
      </c>
      <c r="W489">
        <f t="shared" si="50"/>
        <v>0.5</v>
      </c>
      <c r="X489">
        <f t="shared" si="51"/>
        <v>0.7</v>
      </c>
      <c r="AA489">
        <f t="shared" ref="AA489:AA552" si="52">AVERAGE(U489:Y489)</f>
        <v>0.82499999999999996</v>
      </c>
      <c r="AB489">
        <f t="shared" ref="AB489:AB552" si="53">MAX(U489:Y489)</f>
        <v>1.1000000000000001</v>
      </c>
    </row>
    <row r="490" spans="1:28">
      <c r="A490" t="s">
        <v>199</v>
      </c>
      <c r="B490" t="s">
        <v>200</v>
      </c>
      <c r="C490" t="s">
        <v>198</v>
      </c>
      <c r="D490" t="s">
        <v>151</v>
      </c>
      <c r="E490">
        <v>24</v>
      </c>
      <c r="G490">
        <v>133</v>
      </c>
      <c r="H490">
        <v>-1</v>
      </c>
      <c r="I490">
        <v>444</v>
      </c>
      <c r="J490">
        <v>801</v>
      </c>
      <c r="K490">
        <v>1.1000000000000001</v>
      </c>
      <c r="L490">
        <v>1158</v>
      </c>
      <c r="M490">
        <v>1435</v>
      </c>
      <c r="N490">
        <v>-0.4</v>
      </c>
      <c r="O490">
        <v>1701</v>
      </c>
      <c r="P490">
        <v>1938</v>
      </c>
      <c r="Q490">
        <v>0.5</v>
      </c>
      <c r="R490">
        <v>2224</v>
      </c>
      <c r="U490">
        <f t="shared" si="48"/>
        <v>1</v>
      </c>
      <c r="V490">
        <f t="shared" si="49"/>
        <v>1.1000000000000001</v>
      </c>
      <c r="W490">
        <f t="shared" si="50"/>
        <v>0.4</v>
      </c>
      <c r="X490">
        <f t="shared" si="51"/>
        <v>0.5</v>
      </c>
      <c r="AA490">
        <f t="shared" si="52"/>
        <v>0.75</v>
      </c>
      <c r="AB490">
        <f t="shared" si="53"/>
        <v>1.1000000000000001</v>
      </c>
    </row>
    <row r="491" spans="1:28">
      <c r="A491" t="s">
        <v>199</v>
      </c>
      <c r="B491" t="s">
        <v>200</v>
      </c>
      <c r="C491" t="s">
        <v>198</v>
      </c>
      <c r="D491" t="s">
        <v>151</v>
      </c>
      <c r="E491">
        <v>25</v>
      </c>
      <c r="G491">
        <v>235</v>
      </c>
      <c r="H491">
        <v>-1</v>
      </c>
      <c r="I491">
        <v>549</v>
      </c>
      <c r="J491">
        <v>914</v>
      </c>
      <c r="K491">
        <v>1.2</v>
      </c>
      <c r="L491">
        <v>1319</v>
      </c>
      <c r="M491">
        <v>1556</v>
      </c>
      <c r="N491">
        <v>-0.4</v>
      </c>
      <c r="O491">
        <v>1829</v>
      </c>
      <c r="P491">
        <v>2051</v>
      </c>
      <c r="Q491">
        <v>0.4</v>
      </c>
      <c r="R491">
        <v>2323</v>
      </c>
      <c r="U491">
        <f t="shared" si="48"/>
        <v>1</v>
      </c>
      <c r="V491">
        <f t="shared" si="49"/>
        <v>1.2</v>
      </c>
      <c r="W491">
        <f t="shared" si="50"/>
        <v>0.4</v>
      </c>
      <c r="X491">
        <f t="shared" si="51"/>
        <v>0.4</v>
      </c>
      <c r="AA491">
        <f t="shared" si="52"/>
        <v>0.75</v>
      </c>
      <c r="AB491">
        <f t="shared" si="53"/>
        <v>1.2</v>
      </c>
    </row>
    <row r="492" spans="1:28">
      <c r="A492" t="s">
        <v>199</v>
      </c>
      <c r="B492" t="s">
        <v>200</v>
      </c>
      <c r="C492" t="s">
        <v>198</v>
      </c>
      <c r="D492" t="s">
        <v>151</v>
      </c>
      <c r="E492">
        <v>26</v>
      </c>
      <c r="G492">
        <v>345</v>
      </c>
      <c r="H492">
        <v>-1</v>
      </c>
      <c r="I492">
        <v>655</v>
      </c>
      <c r="J492">
        <v>1026</v>
      </c>
      <c r="K492">
        <v>1.3</v>
      </c>
      <c r="L492">
        <v>1433</v>
      </c>
      <c r="M492">
        <v>1714</v>
      </c>
      <c r="N492">
        <v>-0.5</v>
      </c>
      <c r="O492">
        <v>1955</v>
      </c>
      <c r="P492">
        <v>2210</v>
      </c>
      <c r="Q492">
        <v>0.4</v>
      </c>
      <c r="U492">
        <f t="shared" si="48"/>
        <v>1</v>
      </c>
      <c r="V492">
        <f t="shared" si="49"/>
        <v>1.3</v>
      </c>
      <c r="W492">
        <f t="shared" si="50"/>
        <v>0.5</v>
      </c>
      <c r="X492">
        <f t="shared" si="51"/>
        <v>0.4</v>
      </c>
      <c r="AA492">
        <f t="shared" si="52"/>
        <v>0.79999999999999993</v>
      </c>
      <c r="AB492">
        <f t="shared" si="53"/>
        <v>1.3</v>
      </c>
    </row>
    <row r="493" spans="1:28">
      <c r="A493" t="s">
        <v>199</v>
      </c>
      <c r="B493" t="s">
        <v>200</v>
      </c>
      <c r="C493" t="s">
        <v>198</v>
      </c>
      <c r="D493" t="s">
        <v>151</v>
      </c>
      <c r="E493">
        <v>27</v>
      </c>
      <c r="F493" s="14">
        <v>37</v>
      </c>
      <c r="G493">
        <v>455</v>
      </c>
      <c r="H493">
        <v>-1</v>
      </c>
      <c r="I493">
        <v>758</v>
      </c>
      <c r="J493">
        <v>1130</v>
      </c>
      <c r="K493">
        <v>1.4</v>
      </c>
      <c r="L493">
        <v>1535</v>
      </c>
      <c r="M493">
        <v>1820</v>
      </c>
      <c r="N493">
        <v>-0.6</v>
      </c>
      <c r="O493">
        <v>2103</v>
      </c>
      <c r="P493">
        <v>2323</v>
      </c>
      <c r="Q493">
        <v>0.5</v>
      </c>
      <c r="U493">
        <f t="shared" si="48"/>
        <v>1</v>
      </c>
      <c r="V493">
        <f t="shared" si="49"/>
        <v>1.4</v>
      </c>
      <c r="W493">
        <f t="shared" si="50"/>
        <v>0.6</v>
      </c>
      <c r="X493">
        <f t="shared" si="51"/>
        <v>0.5</v>
      </c>
      <c r="AA493">
        <f t="shared" si="52"/>
        <v>0.875</v>
      </c>
      <c r="AB493">
        <f t="shared" si="53"/>
        <v>1.4</v>
      </c>
    </row>
    <row r="494" spans="1:28">
      <c r="A494" t="s">
        <v>199</v>
      </c>
      <c r="B494" t="s">
        <v>200</v>
      </c>
      <c r="C494" t="s">
        <v>198</v>
      </c>
      <c r="D494" t="s">
        <v>151</v>
      </c>
      <c r="E494">
        <v>28</v>
      </c>
      <c r="F494" s="14">
        <v>157</v>
      </c>
      <c r="G494">
        <v>601</v>
      </c>
      <c r="H494">
        <v>-1</v>
      </c>
      <c r="I494">
        <v>856</v>
      </c>
      <c r="J494">
        <v>1226</v>
      </c>
      <c r="K494">
        <v>1.5</v>
      </c>
      <c r="L494">
        <v>1625</v>
      </c>
      <c r="M494">
        <v>1915</v>
      </c>
      <c r="N494">
        <v>-0.7</v>
      </c>
      <c r="O494">
        <v>2156</v>
      </c>
      <c r="U494">
        <f t="shared" si="48"/>
        <v>1</v>
      </c>
      <c r="V494">
        <f t="shared" si="49"/>
        <v>1.5</v>
      </c>
      <c r="W494">
        <f t="shared" si="50"/>
        <v>0.7</v>
      </c>
      <c r="AA494">
        <f t="shared" si="52"/>
        <v>1.0666666666666667</v>
      </c>
      <c r="AB494">
        <f t="shared" si="53"/>
        <v>1.5</v>
      </c>
    </row>
    <row r="495" spans="1:28">
      <c r="A495" t="s">
        <v>199</v>
      </c>
      <c r="B495" t="s">
        <v>200</v>
      </c>
      <c r="C495" t="s">
        <v>198</v>
      </c>
      <c r="D495" t="s">
        <v>151</v>
      </c>
      <c r="E495">
        <v>29</v>
      </c>
      <c r="G495">
        <v>27</v>
      </c>
      <c r="H495">
        <v>0.6</v>
      </c>
      <c r="I495">
        <v>312</v>
      </c>
      <c r="J495">
        <v>659</v>
      </c>
      <c r="K495">
        <v>-1</v>
      </c>
      <c r="L495">
        <v>948</v>
      </c>
      <c r="M495">
        <v>1315</v>
      </c>
      <c r="N495">
        <v>1.6</v>
      </c>
      <c r="O495">
        <v>1708</v>
      </c>
      <c r="P495">
        <v>2001</v>
      </c>
      <c r="Q495">
        <v>-0.8</v>
      </c>
      <c r="R495">
        <v>2242</v>
      </c>
      <c r="U495">
        <f t="shared" si="48"/>
        <v>0.6</v>
      </c>
      <c r="V495">
        <f t="shared" si="49"/>
        <v>1</v>
      </c>
      <c r="W495">
        <f t="shared" si="50"/>
        <v>1.6</v>
      </c>
      <c r="X495">
        <f t="shared" si="51"/>
        <v>0.8</v>
      </c>
      <c r="AA495">
        <f t="shared" si="52"/>
        <v>1</v>
      </c>
      <c r="AB495">
        <f t="shared" si="53"/>
        <v>1.6</v>
      </c>
    </row>
    <row r="496" spans="1:28">
      <c r="A496" t="s">
        <v>199</v>
      </c>
      <c r="B496" t="s">
        <v>200</v>
      </c>
      <c r="C496" t="s">
        <v>198</v>
      </c>
      <c r="D496" t="s">
        <v>151</v>
      </c>
      <c r="E496">
        <v>30</v>
      </c>
      <c r="G496">
        <v>122</v>
      </c>
      <c r="H496">
        <v>0.8</v>
      </c>
      <c r="I496">
        <v>418</v>
      </c>
      <c r="J496">
        <v>752</v>
      </c>
      <c r="K496">
        <v>-1</v>
      </c>
      <c r="L496">
        <v>1035</v>
      </c>
      <c r="M496">
        <v>1358</v>
      </c>
      <c r="N496">
        <v>1.6</v>
      </c>
      <c r="O496">
        <v>1745</v>
      </c>
      <c r="P496">
        <v>2042</v>
      </c>
      <c r="Q496">
        <v>-0.8</v>
      </c>
      <c r="R496">
        <v>2323</v>
      </c>
      <c r="U496">
        <f t="shared" si="48"/>
        <v>0.8</v>
      </c>
      <c r="V496">
        <f t="shared" si="49"/>
        <v>1</v>
      </c>
      <c r="W496">
        <f t="shared" si="50"/>
        <v>1.6</v>
      </c>
      <c r="X496">
        <f t="shared" si="51"/>
        <v>0.8</v>
      </c>
      <c r="AA496">
        <f t="shared" si="52"/>
        <v>1.05</v>
      </c>
      <c r="AB496">
        <f t="shared" si="53"/>
        <v>1.6</v>
      </c>
    </row>
    <row r="497" spans="1:28">
      <c r="A497" t="s">
        <v>199</v>
      </c>
      <c r="B497" t="s">
        <v>200</v>
      </c>
      <c r="C497" t="s">
        <v>198</v>
      </c>
      <c r="D497" t="s">
        <v>151</v>
      </c>
      <c r="E497">
        <v>31</v>
      </c>
      <c r="G497">
        <v>211</v>
      </c>
      <c r="H497">
        <v>1</v>
      </c>
      <c r="I497">
        <v>516</v>
      </c>
      <c r="J497">
        <v>839</v>
      </c>
      <c r="K497">
        <v>-1</v>
      </c>
      <c r="L497">
        <v>1119</v>
      </c>
      <c r="M497">
        <v>1438</v>
      </c>
      <c r="N497">
        <v>1.5</v>
      </c>
      <c r="O497">
        <v>1818</v>
      </c>
      <c r="P497">
        <v>2120</v>
      </c>
      <c r="Q497">
        <v>-0.9</v>
      </c>
      <c r="U497">
        <f t="shared" si="48"/>
        <v>1</v>
      </c>
      <c r="V497">
        <f t="shared" si="49"/>
        <v>1</v>
      </c>
      <c r="W497">
        <f t="shared" si="50"/>
        <v>1.5</v>
      </c>
      <c r="X497">
        <f t="shared" si="51"/>
        <v>0.9</v>
      </c>
      <c r="AA497">
        <f t="shared" si="52"/>
        <v>1.1000000000000001</v>
      </c>
      <c r="AB497">
        <f t="shared" si="53"/>
        <v>1.5</v>
      </c>
    </row>
    <row r="498" spans="1:28">
      <c r="A498" t="s">
        <v>201</v>
      </c>
      <c r="B498" t="s">
        <v>202</v>
      </c>
      <c r="C498" t="s">
        <v>198</v>
      </c>
      <c r="D498" t="s">
        <v>151</v>
      </c>
      <c r="E498">
        <v>1</v>
      </c>
      <c r="H498">
        <v>0.31</v>
      </c>
      <c r="K498">
        <v>-1.1000000000000001</v>
      </c>
      <c r="N498">
        <v>0.93</v>
      </c>
      <c r="Q498">
        <v>-0.76</v>
      </c>
      <c r="U498">
        <f t="shared" si="48"/>
        <v>0.31</v>
      </c>
      <c r="V498">
        <f t="shared" si="49"/>
        <v>1.1000000000000001</v>
      </c>
      <c r="W498">
        <f t="shared" si="50"/>
        <v>0.93</v>
      </c>
      <c r="X498">
        <f t="shared" si="51"/>
        <v>0.76</v>
      </c>
      <c r="AA498">
        <f t="shared" si="52"/>
        <v>0.77500000000000013</v>
      </c>
      <c r="AB498">
        <f t="shared" si="53"/>
        <v>1.1000000000000001</v>
      </c>
    </row>
    <row r="499" spans="1:28">
      <c r="A499" t="s">
        <v>201</v>
      </c>
      <c r="B499" t="s">
        <v>202</v>
      </c>
      <c r="C499" t="s">
        <v>198</v>
      </c>
      <c r="D499" t="s">
        <v>151</v>
      </c>
      <c r="E499">
        <v>2</v>
      </c>
      <c r="H499">
        <v>0.36</v>
      </c>
      <c r="K499">
        <v>-1.1000000000000001</v>
      </c>
      <c r="N499">
        <v>0.91</v>
      </c>
      <c r="Q499">
        <v>-0.8</v>
      </c>
      <c r="U499">
        <f t="shared" si="48"/>
        <v>0.36</v>
      </c>
      <c r="V499">
        <f t="shared" si="49"/>
        <v>1.1000000000000001</v>
      </c>
      <c r="W499">
        <f t="shared" si="50"/>
        <v>0.91</v>
      </c>
      <c r="X499">
        <f t="shared" si="51"/>
        <v>0.8</v>
      </c>
      <c r="AA499">
        <f t="shared" si="52"/>
        <v>0.79249999999999998</v>
      </c>
      <c r="AB499">
        <f t="shared" si="53"/>
        <v>1.1000000000000001</v>
      </c>
    </row>
    <row r="500" spans="1:28">
      <c r="A500" t="s">
        <v>201</v>
      </c>
      <c r="B500" t="s">
        <v>202</v>
      </c>
      <c r="C500" t="s">
        <v>198</v>
      </c>
      <c r="D500" t="s">
        <v>151</v>
      </c>
      <c r="E500">
        <v>3</v>
      </c>
      <c r="H500">
        <v>0.4</v>
      </c>
      <c r="K500">
        <v>-1</v>
      </c>
      <c r="N500">
        <v>0.86</v>
      </c>
      <c r="Q500">
        <v>-0.8</v>
      </c>
      <c r="U500">
        <f t="shared" si="48"/>
        <v>0.4</v>
      </c>
      <c r="V500">
        <f t="shared" si="49"/>
        <v>1</v>
      </c>
      <c r="W500">
        <f t="shared" si="50"/>
        <v>0.86</v>
      </c>
      <c r="X500">
        <f t="shared" si="51"/>
        <v>0.8</v>
      </c>
      <c r="AA500">
        <f t="shared" si="52"/>
        <v>0.7649999999999999</v>
      </c>
      <c r="AB500">
        <f t="shared" si="53"/>
        <v>1</v>
      </c>
    </row>
    <row r="501" spans="1:28">
      <c r="A501" t="s">
        <v>201</v>
      </c>
      <c r="B501" t="s">
        <v>202</v>
      </c>
      <c r="C501" t="s">
        <v>198</v>
      </c>
      <c r="D501" t="s">
        <v>151</v>
      </c>
      <c r="E501">
        <v>4</v>
      </c>
      <c r="H501">
        <v>0.41</v>
      </c>
      <c r="K501">
        <v>-0.9</v>
      </c>
      <c r="N501">
        <v>0.77</v>
      </c>
      <c r="Q501">
        <v>-0.8</v>
      </c>
      <c r="U501">
        <f t="shared" si="48"/>
        <v>0.41</v>
      </c>
      <c r="V501">
        <f t="shared" si="49"/>
        <v>0.9</v>
      </c>
      <c r="W501">
        <f t="shared" si="50"/>
        <v>0.77</v>
      </c>
      <c r="X501">
        <f t="shared" si="51"/>
        <v>0.8</v>
      </c>
      <c r="AA501">
        <f t="shared" si="52"/>
        <v>0.72</v>
      </c>
      <c r="AB501">
        <f t="shared" si="53"/>
        <v>0.9</v>
      </c>
    </row>
    <row r="502" spans="1:28">
      <c r="A502" t="s">
        <v>201</v>
      </c>
      <c r="B502" t="s">
        <v>202</v>
      </c>
      <c r="C502" t="s">
        <v>198</v>
      </c>
      <c r="D502" t="s">
        <v>151</v>
      </c>
      <c r="E502">
        <v>5</v>
      </c>
      <c r="H502">
        <v>0.42</v>
      </c>
      <c r="K502">
        <v>-0.8</v>
      </c>
      <c r="N502">
        <v>0.67</v>
      </c>
      <c r="Q502">
        <v>-0.8</v>
      </c>
      <c r="U502">
        <f t="shared" si="48"/>
        <v>0.42</v>
      </c>
      <c r="V502">
        <f t="shared" si="49"/>
        <v>0.8</v>
      </c>
      <c r="W502">
        <f t="shared" si="50"/>
        <v>0.67</v>
      </c>
      <c r="X502">
        <f t="shared" si="51"/>
        <v>0.8</v>
      </c>
      <c r="AA502">
        <f t="shared" si="52"/>
        <v>0.6725000000000001</v>
      </c>
      <c r="AB502">
        <f t="shared" si="53"/>
        <v>0.8</v>
      </c>
    </row>
    <row r="503" spans="1:28">
      <c r="A503" t="s">
        <v>201</v>
      </c>
      <c r="B503" t="s">
        <v>202</v>
      </c>
      <c r="C503" t="s">
        <v>198</v>
      </c>
      <c r="D503" t="s">
        <v>151</v>
      </c>
      <c r="E503">
        <v>6</v>
      </c>
      <c r="H503">
        <v>0.4</v>
      </c>
      <c r="K503">
        <v>-0.7</v>
      </c>
      <c r="N503">
        <v>0.55000000000000004</v>
      </c>
      <c r="Q503">
        <v>-0.8</v>
      </c>
      <c r="U503">
        <f t="shared" si="48"/>
        <v>0.4</v>
      </c>
      <c r="V503">
        <f t="shared" si="49"/>
        <v>0.7</v>
      </c>
      <c r="W503">
        <f t="shared" si="50"/>
        <v>0.55000000000000004</v>
      </c>
      <c r="X503">
        <f t="shared" si="51"/>
        <v>0.8</v>
      </c>
      <c r="AA503">
        <f t="shared" si="52"/>
        <v>0.61250000000000004</v>
      </c>
      <c r="AB503">
        <f t="shared" si="53"/>
        <v>0.8</v>
      </c>
    </row>
    <row r="504" spans="1:28">
      <c r="A504" t="s">
        <v>201</v>
      </c>
      <c r="B504" t="s">
        <v>202</v>
      </c>
      <c r="C504" t="s">
        <v>198</v>
      </c>
      <c r="D504" t="s">
        <v>151</v>
      </c>
      <c r="E504">
        <v>7</v>
      </c>
      <c r="H504">
        <v>0.38</v>
      </c>
      <c r="K504">
        <v>-0.5</v>
      </c>
      <c r="N504">
        <v>0.43</v>
      </c>
      <c r="U504">
        <f t="shared" si="48"/>
        <v>0.38</v>
      </c>
      <c r="V504">
        <f t="shared" si="49"/>
        <v>0.5</v>
      </c>
      <c r="W504">
        <f t="shared" si="50"/>
        <v>0.43</v>
      </c>
      <c r="AA504">
        <f t="shared" si="52"/>
        <v>0.4366666666666667</v>
      </c>
      <c r="AB504">
        <f t="shared" si="53"/>
        <v>0.5</v>
      </c>
    </row>
    <row r="505" spans="1:28">
      <c r="A505" t="s">
        <v>201</v>
      </c>
      <c r="B505" t="s">
        <v>202</v>
      </c>
      <c r="C505" t="s">
        <v>198</v>
      </c>
      <c r="D505" t="s">
        <v>151</v>
      </c>
      <c r="E505">
        <v>8</v>
      </c>
      <c r="K505">
        <v>-0.8</v>
      </c>
      <c r="N505">
        <v>0.35</v>
      </c>
      <c r="Q505">
        <v>-0.4</v>
      </c>
      <c r="T505">
        <v>0.31</v>
      </c>
      <c r="V505">
        <f t="shared" si="49"/>
        <v>0.8</v>
      </c>
      <c r="W505">
        <f t="shared" si="50"/>
        <v>0.35</v>
      </c>
      <c r="X505">
        <f t="shared" si="51"/>
        <v>0.4</v>
      </c>
      <c r="Y505">
        <f t="shared" ref="Y505:Y510" si="54">ABS(T505)</f>
        <v>0.31</v>
      </c>
      <c r="AA505">
        <f t="shared" si="52"/>
        <v>0.46499999999999997</v>
      </c>
      <c r="AB505">
        <f t="shared" si="53"/>
        <v>0.8</v>
      </c>
    </row>
    <row r="506" spans="1:28">
      <c r="A506" t="s">
        <v>201</v>
      </c>
      <c r="B506" t="s">
        <v>202</v>
      </c>
      <c r="C506" t="s">
        <v>198</v>
      </c>
      <c r="D506" t="s">
        <v>151</v>
      </c>
      <c r="E506">
        <v>9</v>
      </c>
      <c r="K506">
        <v>-0.8</v>
      </c>
      <c r="N506">
        <v>0.34</v>
      </c>
      <c r="Q506">
        <v>-0.3</v>
      </c>
      <c r="T506">
        <v>0.21</v>
      </c>
      <c r="V506">
        <f t="shared" si="49"/>
        <v>0.8</v>
      </c>
      <c r="W506">
        <f t="shared" si="50"/>
        <v>0.34</v>
      </c>
      <c r="X506">
        <f t="shared" si="51"/>
        <v>0.3</v>
      </c>
      <c r="Y506">
        <f t="shared" si="54"/>
        <v>0.21</v>
      </c>
      <c r="AA506">
        <f t="shared" si="52"/>
        <v>0.41250000000000003</v>
      </c>
      <c r="AB506">
        <f t="shared" si="53"/>
        <v>0.8</v>
      </c>
    </row>
    <row r="507" spans="1:28">
      <c r="A507" t="s">
        <v>201</v>
      </c>
      <c r="B507" t="s">
        <v>202</v>
      </c>
      <c r="C507" t="s">
        <v>198</v>
      </c>
      <c r="D507" t="s">
        <v>151</v>
      </c>
      <c r="E507">
        <v>10</v>
      </c>
      <c r="K507">
        <v>-0.7</v>
      </c>
      <c r="N507">
        <v>0.36</v>
      </c>
      <c r="Q507">
        <v>-0.3</v>
      </c>
      <c r="T507">
        <v>0.13</v>
      </c>
      <c r="V507">
        <f t="shared" si="49"/>
        <v>0.7</v>
      </c>
      <c r="W507">
        <f t="shared" si="50"/>
        <v>0.36</v>
      </c>
      <c r="X507">
        <f t="shared" si="51"/>
        <v>0.3</v>
      </c>
      <c r="Y507">
        <f t="shared" si="54"/>
        <v>0.13</v>
      </c>
      <c r="AA507">
        <f t="shared" si="52"/>
        <v>0.37250000000000005</v>
      </c>
      <c r="AB507">
        <f t="shared" si="53"/>
        <v>0.7</v>
      </c>
    </row>
    <row r="508" spans="1:28">
      <c r="A508" t="s">
        <v>201</v>
      </c>
      <c r="B508" t="s">
        <v>202</v>
      </c>
      <c r="C508" t="s">
        <v>198</v>
      </c>
      <c r="D508" t="s">
        <v>151</v>
      </c>
      <c r="E508">
        <v>11</v>
      </c>
      <c r="K508">
        <v>-0.7</v>
      </c>
      <c r="N508">
        <v>0.41</v>
      </c>
      <c r="Q508">
        <v>-0.3</v>
      </c>
      <c r="T508">
        <v>0.08</v>
      </c>
      <c r="V508">
        <f t="shared" si="49"/>
        <v>0.7</v>
      </c>
      <c r="W508">
        <f t="shared" si="50"/>
        <v>0.41</v>
      </c>
      <c r="X508">
        <f t="shared" si="51"/>
        <v>0.3</v>
      </c>
      <c r="Y508">
        <f t="shared" si="54"/>
        <v>0.08</v>
      </c>
      <c r="AA508">
        <f t="shared" si="52"/>
        <v>0.3725</v>
      </c>
      <c r="AB508">
        <f t="shared" si="53"/>
        <v>0.7</v>
      </c>
    </row>
    <row r="509" spans="1:28">
      <c r="A509" t="s">
        <v>201</v>
      </c>
      <c r="B509" t="s">
        <v>202</v>
      </c>
      <c r="C509" t="s">
        <v>198</v>
      </c>
      <c r="D509" t="s">
        <v>151</v>
      </c>
      <c r="E509">
        <v>12</v>
      </c>
      <c r="K509">
        <v>-0.7</v>
      </c>
      <c r="N509">
        <v>0.48</v>
      </c>
      <c r="Q509">
        <v>-0.3</v>
      </c>
      <c r="T509">
        <v>0.08</v>
      </c>
      <c r="V509">
        <f t="shared" si="49"/>
        <v>0.7</v>
      </c>
      <c r="W509">
        <f t="shared" si="50"/>
        <v>0.48</v>
      </c>
      <c r="X509">
        <f t="shared" si="51"/>
        <v>0.3</v>
      </c>
      <c r="Y509">
        <f t="shared" si="54"/>
        <v>0.08</v>
      </c>
      <c r="AA509">
        <f t="shared" si="52"/>
        <v>0.39</v>
      </c>
      <c r="AB509">
        <f t="shared" si="53"/>
        <v>0.7</v>
      </c>
    </row>
    <row r="510" spans="1:28">
      <c r="A510" t="s">
        <v>201</v>
      </c>
      <c r="B510" t="s">
        <v>202</v>
      </c>
      <c r="C510" t="s">
        <v>198</v>
      </c>
      <c r="D510" t="s">
        <v>151</v>
      </c>
      <c r="E510">
        <v>13</v>
      </c>
      <c r="K510">
        <v>-0.8</v>
      </c>
      <c r="N510">
        <v>0.56000000000000005</v>
      </c>
      <c r="Q510">
        <v>-0.4</v>
      </c>
      <c r="T510">
        <v>0.11</v>
      </c>
      <c r="V510">
        <f t="shared" si="49"/>
        <v>0.8</v>
      </c>
      <c r="W510">
        <f t="shared" si="50"/>
        <v>0.56000000000000005</v>
      </c>
      <c r="X510">
        <f t="shared" si="51"/>
        <v>0.4</v>
      </c>
      <c r="Y510">
        <f t="shared" si="54"/>
        <v>0.11</v>
      </c>
      <c r="AA510">
        <f t="shared" si="52"/>
        <v>0.46750000000000008</v>
      </c>
      <c r="AB510">
        <f t="shared" si="53"/>
        <v>0.8</v>
      </c>
    </row>
    <row r="511" spans="1:28">
      <c r="A511" t="s">
        <v>201</v>
      </c>
      <c r="B511" t="s">
        <v>202</v>
      </c>
      <c r="C511" t="s">
        <v>198</v>
      </c>
      <c r="D511" t="s">
        <v>151</v>
      </c>
      <c r="E511">
        <v>14</v>
      </c>
      <c r="K511">
        <v>-0.8</v>
      </c>
      <c r="N511">
        <v>0.63</v>
      </c>
      <c r="Q511">
        <v>-0.5</v>
      </c>
      <c r="V511">
        <f t="shared" si="49"/>
        <v>0.8</v>
      </c>
      <c r="W511">
        <f t="shared" si="50"/>
        <v>0.63</v>
      </c>
      <c r="X511">
        <f t="shared" si="51"/>
        <v>0.5</v>
      </c>
      <c r="AA511">
        <f t="shared" si="52"/>
        <v>0.64333333333333342</v>
      </c>
      <c r="AB511">
        <f t="shared" si="53"/>
        <v>0.8</v>
      </c>
    </row>
    <row r="512" spans="1:28">
      <c r="A512" t="s">
        <v>201</v>
      </c>
      <c r="B512" t="s">
        <v>202</v>
      </c>
      <c r="C512" t="s">
        <v>198</v>
      </c>
      <c r="D512" t="s">
        <v>151</v>
      </c>
      <c r="E512">
        <v>15</v>
      </c>
      <c r="H512">
        <v>0.16</v>
      </c>
      <c r="K512">
        <v>-0.9</v>
      </c>
      <c r="N512">
        <v>0.69</v>
      </c>
      <c r="Q512">
        <v>-0.6</v>
      </c>
      <c r="U512">
        <f t="shared" si="48"/>
        <v>0.16</v>
      </c>
      <c r="V512">
        <f t="shared" si="49"/>
        <v>0.9</v>
      </c>
      <c r="W512">
        <f t="shared" si="50"/>
        <v>0.69</v>
      </c>
      <c r="X512">
        <f t="shared" si="51"/>
        <v>0.6</v>
      </c>
      <c r="AA512">
        <f t="shared" si="52"/>
        <v>0.58750000000000002</v>
      </c>
      <c r="AB512">
        <f t="shared" si="53"/>
        <v>0.9</v>
      </c>
    </row>
    <row r="513" spans="1:28">
      <c r="A513" t="s">
        <v>201</v>
      </c>
      <c r="B513" t="s">
        <v>202</v>
      </c>
      <c r="C513" t="s">
        <v>198</v>
      </c>
      <c r="D513" t="s">
        <v>151</v>
      </c>
      <c r="E513">
        <v>16</v>
      </c>
      <c r="H513">
        <v>0.23</v>
      </c>
      <c r="K513">
        <v>-0.9</v>
      </c>
      <c r="N513">
        <v>0.73</v>
      </c>
      <c r="Q513">
        <v>-0.7</v>
      </c>
      <c r="U513">
        <f t="shared" si="48"/>
        <v>0.23</v>
      </c>
      <c r="V513">
        <f t="shared" si="49"/>
        <v>0.9</v>
      </c>
      <c r="W513">
        <f t="shared" si="50"/>
        <v>0.73</v>
      </c>
      <c r="X513">
        <f t="shared" si="51"/>
        <v>0.7</v>
      </c>
      <c r="AA513">
        <f t="shared" si="52"/>
        <v>0.64</v>
      </c>
      <c r="AB513">
        <f t="shared" si="53"/>
        <v>0.9</v>
      </c>
    </row>
    <row r="514" spans="1:28">
      <c r="A514" t="s">
        <v>201</v>
      </c>
      <c r="B514" t="s">
        <v>202</v>
      </c>
      <c r="C514" t="s">
        <v>198</v>
      </c>
      <c r="D514" t="s">
        <v>151</v>
      </c>
      <c r="E514">
        <v>17</v>
      </c>
      <c r="H514">
        <v>0.31</v>
      </c>
      <c r="K514">
        <v>-0.9</v>
      </c>
      <c r="N514">
        <v>0.75</v>
      </c>
      <c r="Q514">
        <v>-0.7</v>
      </c>
      <c r="U514">
        <f t="shared" si="48"/>
        <v>0.31</v>
      </c>
      <c r="V514">
        <f t="shared" si="49"/>
        <v>0.9</v>
      </c>
      <c r="W514">
        <f t="shared" si="50"/>
        <v>0.75</v>
      </c>
      <c r="X514">
        <f t="shared" si="51"/>
        <v>0.7</v>
      </c>
      <c r="AA514">
        <f t="shared" si="52"/>
        <v>0.66500000000000004</v>
      </c>
      <c r="AB514">
        <f t="shared" si="53"/>
        <v>0.9</v>
      </c>
    </row>
    <row r="515" spans="1:28">
      <c r="A515" t="s">
        <v>201</v>
      </c>
      <c r="B515" t="s">
        <v>202</v>
      </c>
      <c r="C515" t="s">
        <v>198</v>
      </c>
      <c r="D515" t="s">
        <v>151</v>
      </c>
      <c r="E515">
        <v>18</v>
      </c>
      <c r="H515">
        <v>0.39</v>
      </c>
      <c r="K515">
        <v>-0.9</v>
      </c>
      <c r="N515">
        <v>0.74</v>
      </c>
      <c r="Q515">
        <v>-0.8</v>
      </c>
      <c r="U515">
        <f t="shared" ref="U515:U559" si="55">ABS(H515)</f>
        <v>0.39</v>
      </c>
      <c r="V515">
        <f t="shared" ref="V515:V559" si="56">ABS(K515)</f>
        <v>0.9</v>
      </c>
      <c r="W515">
        <f t="shared" ref="W515:W559" si="57">ABS(N515)</f>
        <v>0.74</v>
      </c>
      <c r="X515">
        <f t="shared" ref="X515:X559" si="58">ABS(Q515)</f>
        <v>0.8</v>
      </c>
      <c r="AA515">
        <f t="shared" si="52"/>
        <v>0.70750000000000002</v>
      </c>
      <c r="AB515">
        <f t="shared" si="53"/>
        <v>0.9</v>
      </c>
    </row>
    <row r="516" spans="1:28">
      <c r="A516" t="s">
        <v>201</v>
      </c>
      <c r="B516" t="s">
        <v>202</v>
      </c>
      <c r="C516" t="s">
        <v>198</v>
      </c>
      <c r="D516" t="s">
        <v>151</v>
      </c>
      <c r="E516">
        <v>19</v>
      </c>
      <c r="H516">
        <v>0.46</v>
      </c>
      <c r="K516">
        <v>-0.9</v>
      </c>
      <c r="N516">
        <v>0.7</v>
      </c>
      <c r="Q516">
        <v>-0.9</v>
      </c>
      <c r="U516">
        <f t="shared" si="55"/>
        <v>0.46</v>
      </c>
      <c r="V516">
        <f t="shared" si="56"/>
        <v>0.9</v>
      </c>
      <c r="W516">
        <f t="shared" si="57"/>
        <v>0.7</v>
      </c>
      <c r="X516">
        <f t="shared" si="58"/>
        <v>0.9</v>
      </c>
      <c r="AA516">
        <f t="shared" si="52"/>
        <v>0.74</v>
      </c>
      <c r="AB516">
        <f t="shared" si="53"/>
        <v>0.9</v>
      </c>
    </row>
    <row r="517" spans="1:28">
      <c r="A517" t="s">
        <v>201</v>
      </c>
      <c r="B517" t="s">
        <v>202</v>
      </c>
      <c r="C517" t="s">
        <v>198</v>
      </c>
      <c r="D517" t="s">
        <v>151</v>
      </c>
      <c r="E517">
        <v>20</v>
      </c>
      <c r="H517">
        <v>0.52</v>
      </c>
      <c r="K517">
        <v>-0.8</v>
      </c>
      <c r="N517">
        <v>0.64</v>
      </c>
      <c r="Q517">
        <v>-0.9</v>
      </c>
      <c r="U517">
        <f t="shared" si="55"/>
        <v>0.52</v>
      </c>
      <c r="V517">
        <f t="shared" si="56"/>
        <v>0.8</v>
      </c>
      <c r="W517">
        <f t="shared" si="57"/>
        <v>0.64</v>
      </c>
      <c r="X517">
        <f t="shared" si="58"/>
        <v>0.9</v>
      </c>
      <c r="AA517">
        <f t="shared" si="52"/>
        <v>0.71499999999999997</v>
      </c>
      <c r="AB517">
        <f t="shared" si="53"/>
        <v>0.9</v>
      </c>
    </row>
    <row r="518" spans="1:28">
      <c r="A518" t="s">
        <v>201</v>
      </c>
      <c r="B518" t="s">
        <v>202</v>
      </c>
      <c r="C518" t="s">
        <v>198</v>
      </c>
      <c r="D518" t="s">
        <v>151</v>
      </c>
      <c r="E518">
        <v>21</v>
      </c>
      <c r="H518">
        <v>0.56000000000000005</v>
      </c>
      <c r="K518">
        <v>-0.7</v>
      </c>
      <c r="N518">
        <v>0.56000000000000005</v>
      </c>
      <c r="Q518">
        <v>-1</v>
      </c>
      <c r="U518">
        <f t="shared" si="55"/>
        <v>0.56000000000000005</v>
      </c>
      <c r="V518">
        <f t="shared" si="56"/>
        <v>0.7</v>
      </c>
      <c r="W518">
        <f t="shared" si="57"/>
        <v>0.56000000000000005</v>
      </c>
      <c r="X518">
        <f t="shared" si="58"/>
        <v>1</v>
      </c>
      <c r="AA518">
        <f t="shared" si="52"/>
        <v>0.70500000000000007</v>
      </c>
      <c r="AB518">
        <f t="shared" si="53"/>
        <v>1</v>
      </c>
    </row>
    <row r="519" spans="1:28">
      <c r="A519" t="s">
        <v>201</v>
      </c>
      <c r="B519" t="s">
        <v>202</v>
      </c>
      <c r="C519" t="s">
        <v>198</v>
      </c>
      <c r="D519" t="s">
        <v>151</v>
      </c>
      <c r="E519">
        <v>22</v>
      </c>
      <c r="H519">
        <v>0.56999999999999995</v>
      </c>
      <c r="K519">
        <v>-0.6</v>
      </c>
      <c r="N519">
        <v>0.46</v>
      </c>
      <c r="U519">
        <f t="shared" si="55"/>
        <v>0.56999999999999995</v>
      </c>
      <c r="V519">
        <f t="shared" si="56"/>
        <v>0.6</v>
      </c>
      <c r="W519">
        <f t="shared" si="57"/>
        <v>0.46</v>
      </c>
      <c r="AA519">
        <f t="shared" si="52"/>
        <v>0.54333333333333333</v>
      </c>
      <c r="AB519">
        <f t="shared" si="53"/>
        <v>0.6</v>
      </c>
    </row>
    <row r="520" spans="1:28">
      <c r="A520" t="s">
        <v>201</v>
      </c>
      <c r="B520" t="s">
        <v>202</v>
      </c>
      <c r="C520" t="s">
        <v>198</v>
      </c>
      <c r="D520" t="s">
        <v>151</v>
      </c>
      <c r="E520">
        <v>23</v>
      </c>
      <c r="K520">
        <v>-1</v>
      </c>
      <c r="N520">
        <v>0.57999999999999996</v>
      </c>
      <c r="Q520">
        <v>-0.5</v>
      </c>
      <c r="T520">
        <v>0.36</v>
      </c>
      <c r="V520">
        <f t="shared" si="56"/>
        <v>1</v>
      </c>
      <c r="W520">
        <f t="shared" si="57"/>
        <v>0.57999999999999996</v>
      </c>
      <c r="X520">
        <f t="shared" si="58"/>
        <v>0.5</v>
      </c>
      <c r="Y520">
        <f t="shared" ref="Y520:Y556" si="59">ABS(T520)</f>
        <v>0.36</v>
      </c>
      <c r="AA520">
        <f t="shared" si="52"/>
        <v>0.61</v>
      </c>
      <c r="AB520">
        <f t="shared" si="53"/>
        <v>1</v>
      </c>
    </row>
    <row r="521" spans="1:28">
      <c r="A521" t="s">
        <v>201</v>
      </c>
      <c r="B521" t="s">
        <v>202</v>
      </c>
      <c r="C521" t="s">
        <v>198</v>
      </c>
      <c r="D521" t="s">
        <v>151</v>
      </c>
      <c r="E521">
        <v>24</v>
      </c>
      <c r="K521">
        <v>-0.9</v>
      </c>
      <c r="N521">
        <v>0.57999999999999996</v>
      </c>
      <c r="Q521">
        <v>-0.4</v>
      </c>
      <c r="T521">
        <v>0.26</v>
      </c>
      <c r="V521">
        <f t="shared" si="56"/>
        <v>0.9</v>
      </c>
      <c r="W521">
        <f t="shared" si="57"/>
        <v>0.57999999999999996</v>
      </c>
      <c r="X521">
        <f t="shared" si="58"/>
        <v>0.4</v>
      </c>
      <c r="Y521">
        <f t="shared" si="59"/>
        <v>0.26</v>
      </c>
      <c r="AA521">
        <f t="shared" si="52"/>
        <v>0.53499999999999992</v>
      </c>
      <c r="AB521">
        <f t="shared" si="53"/>
        <v>0.9</v>
      </c>
    </row>
    <row r="522" spans="1:28">
      <c r="A522" t="s">
        <v>201</v>
      </c>
      <c r="B522" t="s">
        <v>202</v>
      </c>
      <c r="C522" t="s">
        <v>198</v>
      </c>
      <c r="D522" t="s">
        <v>151</v>
      </c>
      <c r="E522">
        <v>25</v>
      </c>
      <c r="K522">
        <v>-0.9</v>
      </c>
      <c r="N522">
        <v>0.59</v>
      </c>
      <c r="Q522">
        <v>-0.4</v>
      </c>
      <c r="T522">
        <v>0.19</v>
      </c>
      <c r="V522">
        <f t="shared" si="56"/>
        <v>0.9</v>
      </c>
      <c r="W522">
        <f t="shared" si="57"/>
        <v>0.59</v>
      </c>
      <c r="X522">
        <f t="shared" si="58"/>
        <v>0.4</v>
      </c>
      <c r="Y522">
        <f t="shared" si="59"/>
        <v>0.19</v>
      </c>
      <c r="AA522">
        <f t="shared" si="52"/>
        <v>0.52</v>
      </c>
      <c r="AB522">
        <f t="shared" si="53"/>
        <v>0.9</v>
      </c>
    </row>
    <row r="523" spans="1:28">
      <c r="A523" t="s">
        <v>201</v>
      </c>
      <c r="B523" t="s">
        <v>202</v>
      </c>
      <c r="C523" t="s">
        <v>198</v>
      </c>
      <c r="D523" t="s">
        <v>151</v>
      </c>
      <c r="E523">
        <v>26</v>
      </c>
      <c r="K523">
        <v>-0.9</v>
      </c>
      <c r="N523">
        <v>0.64</v>
      </c>
      <c r="Q523">
        <v>-0.4</v>
      </c>
      <c r="T523">
        <v>0.18</v>
      </c>
      <c r="V523">
        <f t="shared" si="56"/>
        <v>0.9</v>
      </c>
      <c r="W523">
        <f t="shared" si="57"/>
        <v>0.64</v>
      </c>
      <c r="X523">
        <f t="shared" si="58"/>
        <v>0.4</v>
      </c>
      <c r="Y523">
        <f t="shared" si="59"/>
        <v>0.18</v>
      </c>
      <c r="AA523">
        <f t="shared" si="52"/>
        <v>0.53</v>
      </c>
      <c r="AB523">
        <f t="shared" si="53"/>
        <v>0.9</v>
      </c>
    </row>
    <row r="524" spans="1:28">
      <c r="A524" t="s">
        <v>201</v>
      </c>
      <c r="B524" t="s">
        <v>202</v>
      </c>
      <c r="C524" t="s">
        <v>198</v>
      </c>
      <c r="D524" t="s">
        <v>151</v>
      </c>
      <c r="E524">
        <v>27</v>
      </c>
      <c r="K524">
        <v>-0.9</v>
      </c>
      <c r="N524">
        <v>7.0000000000000007E-2</v>
      </c>
      <c r="Q524">
        <v>-0.5</v>
      </c>
      <c r="T524">
        <v>0.23</v>
      </c>
      <c r="V524">
        <f t="shared" si="56"/>
        <v>0.9</v>
      </c>
      <c r="W524">
        <f t="shared" si="57"/>
        <v>7.0000000000000007E-2</v>
      </c>
      <c r="X524">
        <f t="shared" si="58"/>
        <v>0.5</v>
      </c>
      <c r="Y524">
        <f t="shared" si="59"/>
        <v>0.23</v>
      </c>
      <c r="AA524">
        <f t="shared" si="52"/>
        <v>0.42499999999999999</v>
      </c>
      <c r="AB524">
        <f t="shared" si="53"/>
        <v>0.9</v>
      </c>
    </row>
    <row r="525" spans="1:28">
      <c r="A525" t="s">
        <v>201</v>
      </c>
      <c r="B525" t="s">
        <v>202</v>
      </c>
      <c r="C525" t="s">
        <v>198</v>
      </c>
      <c r="D525" t="s">
        <v>151</v>
      </c>
      <c r="E525">
        <v>28</v>
      </c>
      <c r="K525">
        <v>-0.9</v>
      </c>
      <c r="N525">
        <v>0.75</v>
      </c>
      <c r="Q525">
        <v>-0.6</v>
      </c>
      <c r="V525">
        <f t="shared" si="56"/>
        <v>0.9</v>
      </c>
      <c r="W525">
        <f t="shared" si="57"/>
        <v>0.75</v>
      </c>
      <c r="X525">
        <f t="shared" si="58"/>
        <v>0.6</v>
      </c>
      <c r="AA525">
        <f t="shared" si="52"/>
        <v>0.75</v>
      </c>
      <c r="AB525">
        <f t="shared" si="53"/>
        <v>0.9</v>
      </c>
    </row>
    <row r="526" spans="1:28">
      <c r="A526" t="s">
        <v>201</v>
      </c>
      <c r="B526" t="s">
        <v>202</v>
      </c>
      <c r="C526" t="s">
        <v>198</v>
      </c>
      <c r="D526" t="s">
        <v>151</v>
      </c>
      <c r="E526">
        <v>29</v>
      </c>
      <c r="H526">
        <v>0.31</v>
      </c>
      <c r="K526">
        <v>-1</v>
      </c>
      <c r="N526">
        <v>0.78</v>
      </c>
      <c r="Q526">
        <v>-0.7</v>
      </c>
      <c r="U526">
        <f t="shared" si="55"/>
        <v>0.31</v>
      </c>
      <c r="V526">
        <f t="shared" si="56"/>
        <v>1</v>
      </c>
      <c r="W526">
        <f t="shared" si="57"/>
        <v>0.78</v>
      </c>
      <c r="X526">
        <f t="shared" si="58"/>
        <v>0.7</v>
      </c>
      <c r="AA526">
        <f t="shared" si="52"/>
        <v>0.69750000000000001</v>
      </c>
      <c r="AB526">
        <f t="shared" si="53"/>
        <v>1</v>
      </c>
    </row>
    <row r="527" spans="1:28">
      <c r="A527" t="s">
        <v>201</v>
      </c>
      <c r="B527" t="s">
        <v>202</v>
      </c>
      <c r="C527" t="s">
        <v>198</v>
      </c>
      <c r="D527" t="s">
        <v>151</v>
      </c>
      <c r="E527">
        <v>30</v>
      </c>
      <c r="H527">
        <v>0.39</v>
      </c>
      <c r="K527">
        <v>-1</v>
      </c>
      <c r="N527">
        <v>0.78</v>
      </c>
      <c r="Q527">
        <v>-0.8</v>
      </c>
      <c r="U527">
        <f t="shared" si="55"/>
        <v>0.39</v>
      </c>
      <c r="V527">
        <f t="shared" si="56"/>
        <v>1</v>
      </c>
      <c r="W527">
        <f t="shared" si="57"/>
        <v>0.78</v>
      </c>
      <c r="X527">
        <f t="shared" si="58"/>
        <v>0.8</v>
      </c>
      <c r="AA527">
        <f t="shared" si="52"/>
        <v>0.74249999999999994</v>
      </c>
      <c r="AB527">
        <f t="shared" si="53"/>
        <v>1</v>
      </c>
    </row>
    <row r="528" spans="1:28">
      <c r="A528" t="s">
        <v>201</v>
      </c>
      <c r="B528" t="s">
        <v>202</v>
      </c>
      <c r="C528" t="s">
        <v>198</v>
      </c>
      <c r="D528" t="s">
        <v>151</v>
      </c>
      <c r="E528">
        <v>31</v>
      </c>
      <c r="H528">
        <v>0.47</v>
      </c>
      <c r="K528">
        <v>-0.9</v>
      </c>
      <c r="N528">
        <v>0.76</v>
      </c>
      <c r="Q528">
        <v>-0.9</v>
      </c>
      <c r="U528">
        <f t="shared" si="55"/>
        <v>0.47</v>
      </c>
      <c r="V528">
        <f t="shared" si="56"/>
        <v>0.9</v>
      </c>
      <c r="W528">
        <f t="shared" si="57"/>
        <v>0.76</v>
      </c>
      <c r="X528">
        <f t="shared" si="58"/>
        <v>0.9</v>
      </c>
      <c r="AA528">
        <f t="shared" si="52"/>
        <v>0.75749999999999995</v>
      </c>
      <c r="AB528">
        <f t="shared" si="53"/>
        <v>0.9</v>
      </c>
    </row>
    <row r="529" spans="1:28">
      <c r="A529" t="s">
        <v>203</v>
      </c>
      <c r="B529" t="s">
        <v>204</v>
      </c>
      <c r="C529" t="s">
        <v>198</v>
      </c>
      <c r="D529" t="s">
        <v>151</v>
      </c>
      <c r="E529">
        <v>1</v>
      </c>
      <c r="H529">
        <v>0.31</v>
      </c>
      <c r="K529">
        <v>-0.76</v>
      </c>
      <c r="N529">
        <v>0.93</v>
      </c>
      <c r="Q529">
        <v>-0.51</v>
      </c>
      <c r="U529">
        <f t="shared" si="55"/>
        <v>0.31</v>
      </c>
      <c r="V529">
        <f t="shared" si="56"/>
        <v>0.76</v>
      </c>
      <c r="W529">
        <f t="shared" si="57"/>
        <v>0.93</v>
      </c>
      <c r="X529">
        <f t="shared" si="58"/>
        <v>0.51</v>
      </c>
      <c r="AA529">
        <f t="shared" si="52"/>
        <v>0.62749999999999995</v>
      </c>
      <c r="AB529">
        <f t="shared" si="53"/>
        <v>0.93</v>
      </c>
    </row>
    <row r="530" spans="1:28">
      <c r="A530" t="s">
        <v>203</v>
      </c>
      <c r="B530" t="s">
        <v>204</v>
      </c>
      <c r="C530" t="s">
        <v>198</v>
      </c>
      <c r="D530" t="s">
        <v>151</v>
      </c>
      <c r="E530">
        <v>2</v>
      </c>
      <c r="H530">
        <v>0.36</v>
      </c>
      <c r="K530">
        <v>-0.74</v>
      </c>
      <c r="N530">
        <v>0.91</v>
      </c>
      <c r="Q530">
        <v>-0.55000000000000004</v>
      </c>
      <c r="U530">
        <f t="shared" si="55"/>
        <v>0.36</v>
      </c>
      <c r="V530">
        <f t="shared" si="56"/>
        <v>0.74</v>
      </c>
      <c r="W530">
        <f t="shared" si="57"/>
        <v>0.91</v>
      </c>
      <c r="X530">
        <f t="shared" si="58"/>
        <v>0.55000000000000004</v>
      </c>
      <c r="AA530">
        <f t="shared" si="52"/>
        <v>0.64000000000000012</v>
      </c>
      <c r="AB530">
        <f t="shared" si="53"/>
        <v>0.91</v>
      </c>
    </row>
    <row r="531" spans="1:28">
      <c r="A531" t="s">
        <v>203</v>
      </c>
      <c r="B531" t="s">
        <v>204</v>
      </c>
      <c r="C531" t="s">
        <v>198</v>
      </c>
      <c r="D531" t="s">
        <v>151</v>
      </c>
      <c r="E531">
        <v>3</v>
      </c>
      <c r="H531">
        <v>0.04</v>
      </c>
      <c r="K531">
        <v>-7.0000000000000007E-2</v>
      </c>
      <c r="N531">
        <v>0.86</v>
      </c>
      <c r="Q531">
        <v>-0.57999999999999996</v>
      </c>
      <c r="U531">
        <f t="shared" si="55"/>
        <v>0.04</v>
      </c>
      <c r="V531">
        <f t="shared" si="56"/>
        <v>7.0000000000000007E-2</v>
      </c>
      <c r="W531">
        <f t="shared" si="57"/>
        <v>0.86</v>
      </c>
      <c r="X531">
        <f t="shared" si="58"/>
        <v>0.57999999999999996</v>
      </c>
      <c r="AA531">
        <f t="shared" si="52"/>
        <v>0.38749999999999996</v>
      </c>
      <c r="AB531">
        <f t="shared" si="53"/>
        <v>0.86</v>
      </c>
    </row>
    <row r="532" spans="1:28">
      <c r="A532" t="s">
        <v>203</v>
      </c>
      <c r="B532" t="s">
        <v>204</v>
      </c>
      <c r="C532" t="s">
        <v>198</v>
      </c>
      <c r="D532" t="s">
        <v>151</v>
      </c>
      <c r="E532">
        <v>4</v>
      </c>
      <c r="H532">
        <v>0.41</v>
      </c>
      <c r="K532">
        <v>-0.63</v>
      </c>
      <c r="N532">
        <v>0.77</v>
      </c>
      <c r="Q532">
        <v>-0.59</v>
      </c>
      <c r="U532">
        <f t="shared" si="55"/>
        <v>0.41</v>
      </c>
      <c r="V532">
        <f t="shared" si="56"/>
        <v>0.63</v>
      </c>
      <c r="W532">
        <f t="shared" si="57"/>
        <v>0.77</v>
      </c>
      <c r="X532">
        <f t="shared" si="58"/>
        <v>0.59</v>
      </c>
      <c r="AA532">
        <f t="shared" si="52"/>
        <v>0.6</v>
      </c>
      <c r="AB532">
        <f t="shared" si="53"/>
        <v>0.77</v>
      </c>
    </row>
    <row r="533" spans="1:28">
      <c r="A533" t="s">
        <v>203</v>
      </c>
      <c r="B533" t="s">
        <v>204</v>
      </c>
      <c r="C533" t="s">
        <v>198</v>
      </c>
      <c r="D533" t="s">
        <v>151</v>
      </c>
      <c r="E533">
        <v>5</v>
      </c>
      <c r="H533">
        <v>0.42</v>
      </c>
      <c r="K533">
        <v>-0.55000000000000004</v>
      </c>
      <c r="N533">
        <v>0.67</v>
      </c>
      <c r="Q533">
        <v>-0.59</v>
      </c>
      <c r="U533">
        <f t="shared" si="55"/>
        <v>0.42</v>
      </c>
      <c r="V533">
        <f t="shared" si="56"/>
        <v>0.55000000000000004</v>
      </c>
      <c r="W533">
        <f t="shared" si="57"/>
        <v>0.67</v>
      </c>
      <c r="X533">
        <f t="shared" si="58"/>
        <v>0.59</v>
      </c>
      <c r="AA533">
        <f t="shared" si="52"/>
        <v>0.5575</v>
      </c>
      <c r="AB533">
        <f t="shared" si="53"/>
        <v>0.67</v>
      </c>
    </row>
    <row r="534" spans="1:28">
      <c r="A534" t="s">
        <v>203</v>
      </c>
      <c r="B534" t="s">
        <v>204</v>
      </c>
      <c r="C534" t="s">
        <v>198</v>
      </c>
      <c r="D534" t="s">
        <v>151</v>
      </c>
      <c r="E534">
        <v>6</v>
      </c>
      <c r="H534">
        <v>0.4</v>
      </c>
      <c r="K534">
        <v>-0.46</v>
      </c>
      <c r="N534">
        <v>0.55000000000000004</v>
      </c>
      <c r="Q534">
        <v>-0.57999999999999996</v>
      </c>
      <c r="U534">
        <f t="shared" si="55"/>
        <v>0.4</v>
      </c>
      <c r="V534">
        <f t="shared" si="56"/>
        <v>0.46</v>
      </c>
      <c r="W534">
        <f t="shared" si="57"/>
        <v>0.55000000000000004</v>
      </c>
      <c r="X534">
        <f t="shared" si="58"/>
        <v>0.57999999999999996</v>
      </c>
      <c r="AA534">
        <f t="shared" si="52"/>
        <v>0.49750000000000005</v>
      </c>
      <c r="AB534">
        <f t="shared" si="53"/>
        <v>0.57999999999999996</v>
      </c>
    </row>
    <row r="535" spans="1:28">
      <c r="A535" t="s">
        <v>203</v>
      </c>
      <c r="B535" t="s">
        <v>204</v>
      </c>
      <c r="C535" t="s">
        <v>198</v>
      </c>
      <c r="D535" t="s">
        <v>151</v>
      </c>
      <c r="E535">
        <v>7</v>
      </c>
      <c r="H535">
        <v>0.38</v>
      </c>
      <c r="K535">
        <v>-0.38</v>
      </c>
      <c r="N535">
        <v>0.43</v>
      </c>
      <c r="U535">
        <f t="shared" si="55"/>
        <v>0.38</v>
      </c>
      <c r="V535">
        <f t="shared" si="56"/>
        <v>0.38</v>
      </c>
      <c r="W535">
        <f t="shared" si="57"/>
        <v>0.43</v>
      </c>
      <c r="AA535">
        <f t="shared" si="52"/>
        <v>0.39666666666666667</v>
      </c>
      <c r="AB535">
        <f t="shared" si="53"/>
        <v>0.43</v>
      </c>
    </row>
    <row r="536" spans="1:28">
      <c r="A536" t="s">
        <v>203</v>
      </c>
      <c r="B536" t="s">
        <v>204</v>
      </c>
      <c r="C536" t="s">
        <v>198</v>
      </c>
      <c r="D536" t="s">
        <v>151</v>
      </c>
      <c r="E536">
        <v>8</v>
      </c>
      <c r="K536">
        <v>-0.56000000000000005</v>
      </c>
      <c r="N536">
        <v>0.35</v>
      </c>
      <c r="Q536">
        <v>-0.03</v>
      </c>
      <c r="T536">
        <v>0.31</v>
      </c>
      <c r="V536">
        <f t="shared" si="56"/>
        <v>0.56000000000000005</v>
      </c>
      <c r="W536">
        <f t="shared" si="57"/>
        <v>0.35</v>
      </c>
      <c r="X536">
        <f t="shared" si="58"/>
        <v>0.03</v>
      </c>
      <c r="Y536">
        <f t="shared" si="59"/>
        <v>0.31</v>
      </c>
      <c r="AA536">
        <f t="shared" si="52"/>
        <v>0.3125</v>
      </c>
      <c r="AB536">
        <f t="shared" si="53"/>
        <v>0.56000000000000005</v>
      </c>
    </row>
    <row r="537" spans="1:28">
      <c r="A537" t="s">
        <v>203</v>
      </c>
      <c r="B537" t="s">
        <v>204</v>
      </c>
      <c r="C537" t="s">
        <v>198</v>
      </c>
      <c r="D537" t="s">
        <v>151</v>
      </c>
      <c r="E537">
        <v>9</v>
      </c>
      <c r="K537">
        <v>-0.54</v>
      </c>
      <c r="N537">
        <v>0.34</v>
      </c>
      <c r="Q537">
        <v>-0.24</v>
      </c>
      <c r="T537">
        <v>0.21</v>
      </c>
      <c r="V537">
        <f t="shared" si="56"/>
        <v>0.54</v>
      </c>
      <c r="W537">
        <f t="shared" si="57"/>
        <v>0.34</v>
      </c>
      <c r="X537">
        <f t="shared" si="58"/>
        <v>0.24</v>
      </c>
      <c r="Y537">
        <f t="shared" si="59"/>
        <v>0.21</v>
      </c>
      <c r="AA537">
        <f t="shared" si="52"/>
        <v>0.33250000000000002</v>
      </c>
      <c r="AB537">
        <f t="shared" si="53"/>
        <v>0.54</v>
      </c>
    </row>
    <row r="538" spans="1:28">
      <c r="A538" t="s">
        <v>203</v>
      </c>
      <c r="B538" t="s">
        <v>204</v>
      </c>
      <c r="C538" t="s">
        <v>198</v>
      </c>
      <c r="D538" t="s">
        <v>151</v>
      </c>
      <c r="E538">
        <v>10</v>
      </c>
      <c r="K538">
        <v>-0.52</v>
      </c>
      <c r="N538">
        <v>0.36</v>
      </c>
      <c r="Q538">
        <v>-0.21</v>
      </c>
      <c r="T538">
        <v>0.13</v>
      </c>
      <c r="V538">
        <f t="shared" si="56"/>
        <v>0.52</v>
      </c>
      <c r="W538">
        <f t="shared" si="57"/>
        <v>0.36</v>
      </c>
      <c r="X538">
        <f t="shared" si="58"/>
        <v>0.21</v>
      </c>
      <c r="Y538">
        <f t="shared" si="59"/>
        <v>0.13</v>
      </c>
      <c r="AA538">
        <f t="shared" si="52"/>
        <v>0.30500000000000005</v>
      </c>
      <c r="AB538">
        <f t="shared" si="53"/>
        <v>0.52</v>
      </c>
    </row>
    <row r="539" spans="1:28">
      <c r="A539" t="s">
        <v>203</v>
      </c>
      <c r="B539" t="s">
        <v>204</v>
      </c>
      <c r="C539" t="s">
        <v>198</v>
      </c>
      <c r="D539" t="s">
        <v>151</v>
      </c>
      <c r="E539">
        <v>11</v>
      </c>
      <c r="K539">
        <v>-0.51</v>
      </c>
      <c r="N539">
        <v>0.41</v>
      </c>
      <c r="Q539">
        <v>-0.22</v>
      </c>
      <c r="T539">
        <v>0.08</v>
      </c>
      <c r="V539">
        <f t="shared" si="56"/>
        <v>0.51</v>
      </c>
      <c r="W539">
        <f t="shared" si="57"/>
        <v>0.41</v>
      </c>
      <c r="X539">
        <f t="shared" si="58"/>
        <v>0.22</v>
      </c>
      <c r="Y539">
        <f t="shared" si="59"/>
        <v>0.08</v>
      </c>
      <c r="AA539">
        <f t="shared" si="52"/>
        <v>0.30499999999999999</v>
      </c>
      <c r="AB539">
        <f t="shared" si="53"/>
        <v>0.51</v>
      </c>
    </row>
    <row r="540" spans="1:28">
      <c r="A540" t="s">
        <v>203</v>
      </c>
      <c r="B540" t="s">
        <v>204</v>
      </c>
      <c r="C540" t="s">
        <v>198</v>
      </c>
      <c r="D540" t="s">
        <v>151</v>
      </c>
      <c r="E540">
        <v>12</v>
      </c>
      <c r="K540">
        <v>-0.52</v>
      </c>
      <c r="N540">
        <v>0.48</v>
      </c>
      <c r="Q540">
        <v>-0.25</v>
      </c>
      <c r="T540">
        <v>0.08</v>
      </c>
      <c r="V540">
        <f t="shared" si="56"/>
        <v>0.52</v>
      </c>
      <c r="W540">
        <f t="shared" si="57"/>
        <v>0.48</v>
      </c>
      <c r="X540">
        <f t="shared" si="58"/>
        <v>0.25</v>
      </c>
      <c r="Y540">
        <f t="shared" si="59"/>
        <v>0.08</v>
      </c>
      <c r="AA540">
        <f t="shared" si="52"/>
        <v>0.33250000000000002</v>
      </c>
      <c r="AB540">
        <f t="shared" si="53"/>
        <v>0.52</v>
      </c>
    </row>
    <row r="541" spans="1:28">
      <c r="A541" t="s">
        <v>203</v>
      </c>
      <c r="B541" t="s">
        <v>204</v>
      </c>
      <c r="C541" t="s">
        <v>198</v>
      </c>
      <c r="D541" t="s">
        <v>151</v>
      </c>
      <c r="E541">
        <v>13</v>
      </c>
      <c r="K541">
        <v>-0.54</v>
      </c>
      <c r="N541">
        <v>0.56000000000000005</v>
      </c>
      <c r="Q541">
        <v>-0.3</v>
      </c>
      <c r="T541">
        <v>0.11</v>
      </c>
      <c r="V541">
        <f t="shared" si="56"/>
        <v>0.54</v>
      </c>
      <c r="W541">
        <f t="shared" si="57"/>
        <v>0.56000000000000005</v>
      </c>
      <c r="X541">
        <f t="shared" si="58"/>
        <v>0.3</v>
      </c>
      <c r="Y541">
        <f t="shared" si="59"/>
        <v>0.11</v>
      </c>
      <c r="AA541">
        <f t="shared" si="52"/>
        <v>0.37750000000000006</v>
      </c>
      <c r="AB541">
        <f t="shared" si="53"/>
        <v>0.56000000000000005</v>
      </c>
    </row>
    <row r="542" spans="1:28">
      <c r="A542" t="s">
        <v>203</v>
      </c>
      <c r="B542" t="s">
        <v>204</v>
      </c>
      <c r="C542" t="s">
        <v>198</v>
      </c>
      <c r="D542" t="s">
        <v>151</v>
      </c>
      <c r="E542">
        <v>14</v>
      </c>
      <c r="K542">
        <v>-0.56999999999999995</v>
      </c>
      <c r="N542">
        <v>0.63</v>
      </c>
      <c r="Q542">
        <v>-0.36</v>
      </c>
      <c r="V542">
        <f t="shared" si="56"/>
        <v>0.56999999999999995</v>
      </c>
      <c r="W542">
        <f t="shared" si="57"/>
        <v>0.63</v>
      </c>
      <c r="X542">
        <f t="shared" si="58"/>
        <v>0.36</v>
      </c>
      <c r="AA542">
        <f t="shared" si="52"/>
        <v>0.52</v>
      </c>
      <c r="AB542">
        <f t="shared" si="53"/>
        <v>0.63</v>
      </c>
    </row>
    <row r="543" spans="1:28">
      <c r="A543" t="s">
        <v>203</v>
      </c>
      <c r="B543" t="s">
        <v>204</v>
      </c>
      <c r="C543" t="s">
        <v>198</v>
      </c>
      <c r="D543" t="s">
        <v>151</v>
      </c>
      <c r="E543">
        <v>15</v>
      </c>
      <c r="H543">
        <v>0.16</v>
      </c>
      <c r="K543">
        <v>-0.6</v>
      </c>
      <c r="N543">
        <v>0.69</v>
      </c>
      <c r="Q543">
        <v>-0.41</v>
      </c>
      <c r="U543">
        <f t="shared" si="55"/>
        <v>0.16</v>
      </c>
      <c r="V543">
        <f t="shared" si="56"/>
        <v>0.6</v>
      </c>
      <c r="W543">
        <f t="shared" si="57"/>
        <v>0.69</v>
      </c>
      <c r="X543">
        <f t="shared" si="58"/>
        <v>0.41</v>
      </c>
      <c r="AA543">
        <f t="shared" si="52"/>
        <v>0.46499999999999997</v>
      </c>
      <c r="AB543">
        <f t="shared" si="53"/>
        <v>0.69</v>
      </c>
    </row>
    <row r="544" spans="1:28">
      <c r="A544" t="s">
        <v>203</v>
      </c>
      <c r="B544" t="s">
        <v>204</v>
      </c>
      <c r="C544" t="s">
        <v>198</v>
      </c>
      <c r="D544" t="s">
        <v>151</v>
      </c>
      <c r="E544">
        <v>16</v>
      </c>
      <c r="H544">
        <v>0.23</v>
      </c>
      <c r="K544">
        <v>-0.62</v>
      </c>
      <c r="N544">
        <v>0.73</v>
      </c>
      <c r="Q544">
        <v>-0.47</v>
      </c>
      <c r="U544">
        <f t="shared" si="55"/>
        <v>0.23</v>
      </c>
      <c r="V544">
        <f t="shared" si="56"/>
        <v>0.62</v>
      </c>
      <c r="W544">
        <f t="shared" si="57"/>
        <v>0.73</v>
      </c>
      <c r="X544">
        <f t="shared" si="58"/>
        <v>0.47</v>
      </c>
      <c r="AA544">
        <f t="shared" si="52"/>
        <v>0.51249999999999996</v>
      </c>
      <c r="AB544">
        <f t="shared" si="53"/>
        <v>0.73</v>
      </c>
    </row>
    <row r="545" spans="1:28">
      <c r="A545" t="s">
        <v>203</v>
      </c>
      <c r="B545" t="s">
        <v>204</v>
      </c>
      <c r="C545" t="s">
        <v>198</v>
      </c>
      <c r="D545" t="s">
        <v>151</v>
      </c>
      <c r="E545">
        <v>17</v>
      </c>
      <c r="H545">
        <v>0.31</v>
      </c>
      <c r="K545">
        <v>-0.63</v>
      </c>
      <c r="N545">
        <v>0.75</v>
      </c>
      <c r="Q545">
        <v>-0.52</v>
      </c>
      <c r="U545">
        <f t="shared" si="55"/>
        <v>0.31</v>
      </c>
      <c r="V545">
        <f t="shared" si="56"/>
        <v>0.63</v>
      </c>
      <c r="W545">
        <f t="shared" si="57"/>
        <v>0.75</v>
      </c>
      <c r="X545">
        <f t="shared" si="58"/>
        <v>0.52</v>
      </c>
      <c r="AA545">
        <f t="shared" si="52"/>
        <v>0.55249999999999999</v>
      </c>
      <c r="AB545">
        <f t="shared" si="53"/>
        <v>0.75</v>
      </c>
    </row>
    <row r="546" spans="1:28">
      <c r="A546" t="s">
        <v>203</v>
      </c>
      <c r="B546" t="s">
        <v>204</v>
      </c>
      <c r="C546" t="s">
        <v>198</v>
      </c>
      <c r="D546" t="s">
        <v>151</v>
      </c>
      <c r="E546">
        <v>18</v>
      </c>
      <c r="H546">
        <v>0.39</v>
      </c>
      <c r="K546">
        <v>-0.63</v>
      </c>
      <c r="N546">
        <v>0.74</v>
      </c>
      <c r="Q546">
        <v>-0.56999999999999995</v>
      </c>
      <c r="U546">
        <f t="shared" si="55"/>
        <v>0.39</v>
      </c>
      <c r="V546">
        <f t="shared" si="56"/>
        <v>0.63</v>
      </c>
      <c r="W546">
        <f t="shared" si="57"/>
        <v>0.74</v>
      </c>
      <c r="X546">
        <f t="shared" si="58"/>
        <v>0.56999999999999995</v>
      </c>
      <c r="AA546">
        <f t="shared" si="52"/>
        <v>0.58250000000000002</v>
      </c>
      <c r="AB546">
        <f t="shared" si="53"/>
        <v>0.74</v>
      </c>
    </row>
    <row r="547" spans="1:28">
      <c r="A547" t="s">
        <v>203</v>
      </c>
      <c r="B547" t="s">
        <v>204</v>
      </c>
      <c r="C547" t="s">
        <v>198</v>
      </c>
      <c r="D547" t="s">
        <v>151</v>
      </c>
      <c r="E547">
        <v>19</v>
      </c>
      <c r="H547">
        <v>0.46</v>
      </c>
      <c r="K547">
        <v>-0.6</v>
      </c>
      <c r="N547">
        <v>0.7</v>
      </c>
      <c r="Q547">
        <v>-0.62</v>
      </c>
      <c r="U547">
        <f t="shared" si="55"/>
        <v>0.46</v>
      </c>
      <c r="V547">
        <f t="shared" si="56"/>
        <v>0.6</v>
      </c>
      <c r="W547">
        <f t="shared" si="57"/>
        <v>0.7</v>
      </c>
      <c r="X547">
        <f t="shared" si="58"/>
        <v>0.62</v>
      </c>
      <c r="AA547">
        <f t="shared" si="52"/>
        <v>0.59499999999999997</v>
      </c>
      <c r="AB547">
        <f>MAX(U547:Y547)</f>
        <v>0.7</v>
      </c>
    </row>
    <row r="548" spans="1:28">
      <c r="A548" t="s">
        <v>203</v>
      </c>
      <c r="B548" t="s">
        <v>204</v>
      </c>
      <c r="C548" t="s">
        <v>198</v>
      </c>
      <c r="D548" t="s">
        <v>151</v>
      </c>
      <c r="E548">
        <v>20</v>
      </c>
      <c r="H548">
        <v>0.52</v>
      </c>
      <c r="K548">
        <v>-0.56000000000000005</v>
      </c>
      <c r="N548">
        <v>0.64</v>
      </c>
      <c r="Q548">
        <v>-0.65</v>
      </c>
      <c r="U548">
        <f t="shared" si="55"/>
        <v>0.52</v>
      </c>
      <c r="V548">
        <f t="shared" si="56"/>
        <v>0.56000000000000005</v>
      </c>
      <c r="W548">
        <f t="shared" si="57"/>
        <v>0.64</v>
      </c>
      <c r="X548">
        <f t="shared" si="58"/>
        <v>0.65</v>
      </c>
      <c r="AA548">
        <f t="shared" si="52"/>
        <v>0.59250000000000003</v>
      </c>
      <c r="AB548">
        <f t="shared" si="53"/>
        <v>0.65</v>
      </c>
    </row>
    <row r="549" spans="1:28">
      <c r="A549" t="s">
        <v>203</v>
      </c>
      <c r="B549" t="s">
        <v>204</v>
      </c>
      <c r="C549" t="s">
        <v>198</v>
      </c>
      <c r="D549" t="s">
        <v>151</v>
      </c>
      <c r="E549">
        <v>21</v>
      </c>
      <c r="H549">
        <v>0.56000000000000005</v>
      </c>
      <c r="K549">
        <v>-0.5</v>
      </c>
      <c r="N549">
        <v>0.56000000000000005</v>
      </c>
      <c r="Q549">
        <v>-0.67</v>
      </c>
      <c r="U549">
        <f t="shared" si="55"/>
        <v>0.56000000000000005</v>
      </c>
      <c r="V549">
        <f t="shared" si="56"/>
        <v>0.5</v>
      </c>
      <c r="W549">
        <f t="shared" si="57"/>
        <v>0.56000000000000005</v>
      </c>
      <c r="X549">
        <f t="shared" si="58"/>
        <v>0.67</v>
      </c>
      <c r="AA549">
        <f t="shared" si="52"/>
        <v>0.57250000000000001</v>
      </c>
      <c r="AB549">
        <f t="shared" si="53"/>
        <v>0.67</v>
      </c>
    </row>
    <row r="550" spans="1:28">
      <c r="A550" t="s">
        <v>203</v>
      </c>
      <c r="B550" t="s">
        <v>204</v>
      </c>
      <c r="C550" t="s">
        <v>198</v>
      </c>
      <c r="D550" t="s">
        <v>151</v>
      </c>
      <c r="E550">
        <v>22</v>
      </c>
      <c r="H550">
        <v>0.56999999999999995</v>
      </c>
      <c r="K550">
        <v>-0.43</v>
      </c>
      <c r="N550">
        <v>0.46</v>
      </c>
      <c r="U550">
        <f t="shared" si="55"/>
        <v>0.56999999999999995</v>
      </c>
      <c r="V550">
        <f t="shared" si="56"/>
        <v>0.43</v>
      </c>
      <c r="W550">
        <f t="shared" si="57"/>
        <v>0.46</v>
      </c>
      <c r="AA550">
        <f t="shared" si="52"/>
        <v>0.48666666666666664</v>
      </c>
      <c r="AB550">
        <f t="shared" si="53"/>
        <v>0.56999999999999995</v>
      </c>
    </row>
    <row r="551" spans="1:28">
      <c r="A551" t="s">
        <v>203</v>
      </c>
      <c r="B551" t="s">
        <v>204</v>
      </c>
      <c r="C551" t="s">
        <v>198</v>
      </c>
      <c r="D551" t="s">
        <v>151</v>
      </c>
      <c r="E551">
        <v>23</v>
      </c>
      <c r="K551">
        <v>-0.67</v>
      </c>
      <c r="N551">
        <v>0.57999999999999996</v>
      </c>
      <c r="Q551">
        <v>-0.36</v>
      </c>
      <c r="T551">
        <v>0.36</v>
      </c>
      <c r="V551">
        <f t="shared" si="56"/>
        <v>0.67</v>
      </c>
      <c r="W551">
        <f t="shared" si="57"/>
        <v>0.57999999999999996</v>
      </c>
      <c r="X551">
        <f t="shared" si="58"/>
        <v>0.36</v>
      </c>
      <c r="Y551">
        <f t="shared" si="59"/>
        <v>0.36</v>
      </c>
      <c r="AA551">
        <f t="shared" si="52"/>
        <v>0.49249999999999994</v>
      </c>
      <c r="AB551">
        <f t="shared" si="53"/>
        <v>0.67</v>
      </c>
    </row>
    <row r="552" spans="1:28">
      <c r="A552" t="s">
        <v>203</v>
      </c>
      <c r="B552" t="s">
        <v>204</v>
      </c>
      <c r="C552" t="s">
        <v>198</v>
      </c>
      <c r="D552" t="s">
        <v>151</v>
      </c>
      <c r="E552">
        <v>24</v>
      </c>
      <c r="K552">
        <v>-0.66</v>
      </c>
      <c r="N552">
        <v>0.57999999999999996</v>
      </c>
      <c r="Q552">
        <v>-0.31</v>
      </c>
      <c r="T552">
        <v>0.26</v>
      </c>
      <c r="V552">
        <f t="shared" si="56"/>
        <v>0.66</v>
      </c>
      <c r="W552">
        <f t="shared" si="57"/>
        <v>0.57999999999999996</v>
      </c>
      <c r="X552">
        <f t="shared" si="58"/>
        <v>0.31</v>
      </c>
      <c r="Y552">
        <f t="shared" si="59"/>
        <v>0.26</v>
      </c>
      <c r="AA552">
        <f t="shared" si="52"/>
        <v>0.45250000000000001</v>
      </c>
      <c r="AB552">
        <f t="shared" si="53"/>
        <v>0.66</v>
      </c>
    </row>
    <row r="553" spans="1:28">
      <c r="A553" t="s">
        <v>203</v>
      </c>
      <c r="B553" t="s">
        <v>204</v>
      </c>
      <c r="C553" t="s">
        <v>198</v>
      </c>
      <c r="D553" t="s">
        <v>151</v>
      </c>
      <c r="E553">
        <v>25</v>
      </c>
      <c r="K553">
        <v>-0.64</v>
      </c>
      <c r="N553">
        <v>0.59</v>
      </c>
      <c r="Q553">
        <v>-0.28999999999999998</v>
      </c>
      <c r="T553">
        <v>0.19</v>
      </c>
      <c r="V553">
        <f t="shared" si="56"/>
        <v>0.64</v>
      </c>
      <c r="W553">
        <f t="shared" si="57"/>
        <v>0.59</v>
      </c>
      <c r="X553">
        <f t="shared" si="58"/>
        <v>0.28999999999999998</v>
      </c>
      <c r="Y553">
        <f t="shared" si="59"/>
        <v>0.19</v>
      </c>
      <c r="AA553">
        <f t="shared" ref="AA553:AA559" si="60">AVERAGE(U553:Y553)</f>
        <v>0.42749999999999999</v>
      </c>
      <c r="AB553">
        <f t="shared" ref="AB553:AB559" si="61">MAX(U553:Y553)</f>
        <v>0.64</v>
      </c>
    </row>
    <row r="554" spans="1:28">
      <c r="A554" t="s">
        <v>203</v>
      </c>
      <c r="B554" t="s">
        <v>204</v>
      </c>
      <c r="C554" t="s">
        <v>198</v>
      </c>
      <c r="D554" t="s">
        <v>151</v>
      </c>
      <c r="E554">
        <v>26</v>
      </c>
      <c r="K554">
        <v>-0.63</v>
      </c>
      <c r="N554">
        <v>0.64</v>
      </c>
      <c r="Q554">
        <v>-0.32</v>
      </c>
      <c r="T554">
        <v>0.18</v>
      </c>
      <c r="V554">
        <f t="shared" si="56"/>
        <v>0.63</v>
      </c>
      <c r="W554">
        <f t="shared" si="57"/>
        <v>0.64</v>
      </c>
      <c r="X554">
        <f t="shared" si="58"/>
        <v>0.32</v>
      </c>
      <c r="Y554">
        <f t="shared" si="59"/>
        <v>0.18</v>
      </c>
      <c r="AA554">
        <f t="shared" si="60"/>
        <v>0.4425</v>
      </c>
      <c r="AB554">
        <f t="shared" si="61"/>
        <v>0.64</v>
      </c>
    </row>
    <row r="555" spans="1:28">
      <c r="A555" t="s">
        <v>203</v>
      </c>
      <c r="B555" t="s">
        <v>204</v>
      </c>
      <c r="C555" t="s">
        <v>198</v>
      </c>
      <c r="D555" t="s">
        <v>151</v>
      </c>
      <c r="E555">
        <v>27</v>
      </c>
      <c r="K555">
        <v>-0.64</v>
      </c>
      <c r="N555">
        <v>7.0000000000000007E-2</v>
      </c>
      <c r="Q555">
        <v>-0.38</v>
      </c>
      <c r="T555">
        <v>0.23</v>
      </c>
      <c r="V555">
        <f t="shared" si="56"/>
        <v>0.64</v>
      </c>
      <c r="W555">
        <f t="shared" si="57"/>
        <v>7.0000000000000007E-2</v>
      </c>
      <c r="X555">
        <f t="shared" si="58"/>
        <v>0.38</v>
      </c>
      <c r="Y555">
        <f t="shared" si="59"/>
        <v>0.23</v>
      </c>
      <c r="AA555">
        <f t="shared" si="60"/>
        <v>0.32999999999999996</v>
      </c>
      <c r="AB555">
        <f t="shared" si="61"/>
        <v>0.64</v>
      </c>
    </row>
    <row r="556" spans="1:28">
      <c r="A556" t="s">
        <v>203</v>
      </c>
      <c r="B556" t="s">
        <v>204</v>
      </c>
      <c r="C556" t="s">
        <v>198</v>
      </c>
      <c r="D556" t="s">
        <v>151</v>
      </c>
      <c r="E556">
        <v>28</v>
      </c>
      <c r="K556">
        <v>-0.65</v>
      </c>
      <c r="N556">
        <v>0.75</v>
      </c>
      <c r="Q556">
        <v>-0.45</v>
      </c>
      <c r="T556">
        <v>0.31</v>
      </c>
      <c r="V556">
        <f t="shared" si="56"/>
        <v>0.65</v>
      </c>
      <c r="W556">
        <f t="shared" si="57"/>
        <v>0.75</v>
      </c>
      <c r="X556">
        <f t="shared" si="58"/>
        <v>0.45</v>
      </c>
      <c r="Y556">
        <f t="shared" si="59"/>
        <v>0.31</v>
      </c>
      <c r="AA556">
        <f t="shared" si="60"/>
        <v>0.53999999999999992</v>
      </c>
      <c r="AB556">
        <f t="shared" si="61"/>
        <v>0.75</v>
      </c>
    </row>
    <row r="557" spans="1:28">
      <c r="A557" t="s">
        <v>203</v>
      </c>
      <c r="B557" t="s">
        <v>204</v>
      </c>
      <c r="C557" t="s">
        <v>198</v>
      </c>
      <c r="D557" t="s">
        <v>151</v>
      </c>
      <c r="E557">
        <v>29</v>
      </c>
      <c r="K557">
        <v>-0.66</v>
      </c>
      <c r="N557">
        <v>0.78</v>
      </c>
      <c r="Q557">
        <v>-0.52</v>
      </c>
      <c r="V557">
        <f t="shared" si="56"/>
        <v>0.66</v>
      </c>
      <c r="W557">
        <f t="shared" si="57"/>
        <v>0.78</v>
      </c>
      <c r="X557">
        <f t="shared" si="58"/>
        <v>0.52</v>
      </c>
      <c r="AA557">
        <f t="shared" si="60"/>
        <v>0.65333333333333332</v>
      </c>
      <c r="AB557">
        <f t="shared" si="61"/>
        <v>0.78</v>
      </c>
    </row>
    <row r="558" spans="1:28">
      <c r="A558" t="s">
        <v>203</v>
      </c>
      <c r="B558" t="s">
        <v>204</v>
      </c>
      <c r="C558" t="s">
        <v>198</v>
      </c>
      <c r="D558" t="s">
        <v>151</v>
      </c>
      <c r="E558">
        <v>30</v>
      </c>
      <c r="H558">
        <v>0.39</v>
      </c>
      <c r="K558">
        <v>-0.66</v>
      </c>
      <c r="N558">
        <v>0.78</v>
      </c>
      <c r="Q558">
        <v>-0.56999999999999995</v>
      </c>
      <c r="U558">
        <f t="shared" si="55"/>
        <v>0.39</v>
      </c>
      <c r="V558">
        <f t="shared" si="56"/>
        <v>0.66</v>
      </c>
      <c r="W558">
        <f t="shared" si="57"/>
        <v>0.78</v>
      </c>
      <c r="X558">
        <f t="shared" si="58"/>
        <v>0.56999999999999995</v>
      </c>
      <c r="AA558">
        <f t="shared" si="60"/>
        <v>0.6</v>
      </c>
      <c r="AB558">
        <f t="shared" si="61"/>
        <v>0.78</v>
      </c>
    </row>
    <row r="559" spans="1:28">
      <c r="A559" t="s">
        <v>203</v>
      </c>
      <c r="B559" t="s">
        <v>204</v>
      </c>
      <c r="C559" t="s">
        <v>198</v>
      </c>
      <c r="D559" t="s">
        <v>151</v>
      </c>
      <c r="E559">
        <v>31</v>
      </c>
      <c r="H559">
        <v>0.47</v>
      </c>
      <c r="K559">
        <v>-0.65</v>
      </c>
      <c r="N559">
        <v>0.75</v>
      </c>
      <c r="Q559">
        <v>-0.06</v>
      </c>
      <c r="U559">
        <f t="shared" si="55"/>
        <v>0.47</v>
      </c>
      <c r="V559">
        <f t="shared" si="56"/>
        <v>0.65</v>
      </c>
      <c r="W559">
        <f t="shared" si="57"/>
        <v>0.75</v>
      </c>
      <c r="X559">
        <f t="shared" si="58"/>
        <v>0.06</v>
      </c>
      <c r="AA559">
        <f t="shared" si="60"/>
        <v>0.48250000000000004</v>
      </c>
      <c r="AB559">
        <f t="shared" si="61"/>
        <v>0.75</v>
      </c>
    </row>
    <row r="560" spans="1:28">
      <c r="A560" t="s">
        <v>267</v>
      </c>
      <c r="B560" t="s">
        <v>268</v>
      </c>
      <c r="C560" t="s">
        <v>13</v>
      </c>
      <c r="D560" t="s">
        <v>138</v>
      </c>
      <c r="E560">
        <v>1</v>
      </c>
      <c r="G560">
        <v>123</v>
      </c>
      <c r="H560">
        <v>1.3</v>
      </c>
      <c r="I560">
        <v>306</v>
      </c>
      <c r="J560">
        <v>811</v>
      </c>
      <c r="K560">
        <v>-4.7</v>
      </c>
      <c r="L560">
        <v>1127</v>
      </c>
      <c r="M560">
        <v>1409</v>
      </c>
      <c r="N560">
        <v>3.1</v>
      </c>
      <c r="O560">
        <v>1710</v>
      </c>
      <c r="P560">
        <v>2128</v>
      </c>
      <c r="Q560">
        <v>-3.5</v>
      </c>
      <c r="U560">
        <f t="shared" ref="U560:U590" si="62">ABS(H560)</f>
        <v>1.3</v>
      </c>
      <c r="V560">
        <f t="shared" ref="V560:V590" si="63">ABS(K560)</f>
        <v>4.7</v>
      </c>
      <c r="W560">
        <f t="shared" ref="W560:W590" si="64">ABS(N560)</f>
        <v>3.1</v>
      </c>
      <c r="X560">
        <f t="shared" ref="X560:X590" si="65">ABS(Q560)</f>
        <v>3.5</v>
      </c>
      <c r="AA560">
        <f t="shared" ref="AA560:AA590" si="66">AVERAGE(U560:Y560)</f>
        <v>3.15</v>
      </c>
      <c r="AB560">
        <f t="shared" ref="AB560:AB590" si="67">MAX(U560:Y560)</f>
        <v>4.7</v>
      </c>
    </row>
    <row r="561" spans="1:28">
      <c r="A561" t="s">
        <v>267</v>
      </c>
      <c r="B561" t="s">
        <v>268</v>
      </c>
      <c r="C561" t="s">
        <v>13</v>
      </c>
      <c r="D561" t="s">
        <v>138</v>
      </c>
      <c r="E561">
        <v>2</v>
      </c>
      <c r="F561" s="14">
        <v>29</v>
      </c>
      <c r="G561">
        <v>212</v>
      </c>
      <c r="H561">
        <v>1.4</v>
      </c>
      <c r="I561">
        <v>402</v>
      </c>
      <c r="J561">
        <v>858</v>
      </c>
      <c r="K561">
        <v>-4.5999999999999996</v>
      </c>
      <c r="L561">
        <v>1210</v>
      </c>
      <c r="M561">
        <v>1451</v>
      </c>
      <c r="N561">
        <v>3</v>
      </c>
      <c r="O561">
        <v>1747</v>
      </c>
      <c r="P561">
        <v>2204</v>
      </c>
      <c r="Q561">
        <v>-3.6</v>
      </c>
      <c r="U561">
        <f t="shared" si="62"/>
        <v>1.4</v>
      </c>
      <c r="V561">
        <f t="shared" si="63"/>
        <v>4.5999999999999996</v>
      </c>
      <c r="W561">
        <f t="shared" si="64"/>
        <v>3</v>
      </c>
      <c r="X561">
        <f t="shared" si="65"/>
        <v>3.6</v>
      </c>
      <c r="AA561">
        <f t="shared" si="66"/>
        <v>3.15</v>
      </c>
      <c r="AB561">
        <f t="shared" si="67"/>
        <v>4.5999999999999996</v>
      </c>
    </row>
    <row r="562" spans="1:28">
      <c r="A562" t="s">
        <v>267</v>
      </c>
      <c r="B562" t="s">
        <v>268</v>
      </c>
      <c r="C562" t="s">
        <v>13</v>
      </c>
      <c r="D562" t="s">
        <v>138</v>
      </c>
      <c r="E562">
        <v>3</v>
      </c>
      <c r="F562" s="14">
        <v>112</v>
      </c>
      <c r="G562">
        <v>301</v>
      </c>
      <c r="H562">
        <v>1.5</v>
      </c>
      <c r="I562">
        <v>457</v>
      </c>
      <c r="J562">
        <v>941</v>
      </c>
      <c r="K562">
        <v>-4.2</v>
      </c>
      <c r="L562">
        <v>1252</v>
      </c>
      <c r="M562">
        <v>1532</v>
      </c>
      <c r="N562">
        <v>2.8</v>
      </c>
      <c r="O562">
        <v>1821</v>
      </c>
      <c r="P562">
        <v>2238</v>
      </c>
      <c r="Q562">
        <v>-3.6</v>
      </c>
      <c r="U562">
        <f t="shared" si="62"/>
        <v>1.5</v>
      </c>
      <c r="V562">
        <f t="shared" si="63"/>
        <v>4.2</v>
      </c>
      <c r="W562">
        <f t="shared" si="64"/>
        <v>2.8</v>
      </c>
      <c r="X562">
        <f t="shared" si="65"/>
        <v>3.6</v>
      </c>
      <c r="AA562">
        <f t="shared" si="66"/>
        <v>3.0249999999999999</v>
      </c>
      <c r="AB562">
        <f t="shared" si="67"/>
        <v>4.2</v>
      </c>
    </row>
    <row r="563" spans="1:28">
      <c r="A563" t="s">
        <v>267</v>
      </c>
      <c r="B563" t="s">
        <v>268</v>
      </c>
      <c r="C563" t="s">
        <v>13</v>
      </c>
      <c r="D563" t="s">
        <v>138</v>
      </c>
      <c r="E563">
        <v>4</v>
      </c>
      <c r="F563" s="14">
        <v>156</v>
      </c>
      <c r="G563">
        <v>350</v>
      </c>
      <c r="H563">
        <v>1.5</v>
      </c>
      <c r="I563">
        <v>550</v>
      </c>
      <c r="J563">
        <v>1023</v>
      </c>
      <c r="K563">
        <v>-3.7</v>
      </c>
      <c r="L563">
        <v>1333</v>
      </c>
      <c r="M563">
        <v>1612</v>
      </c>
      <c r="N563">
        <v>2.5</v>
      </c>
      <c r="O563">
        <v>1853</v>
      </c>
      <c r="P563">
        <v>2312</v>
      </c>
      <c r="Q563">
        <v>-3.6</v>
      </c>
      <c r="U563">
        <f t="shared" si="62"/>
        <v>1.5</v>
      </c>
      <c r="V563">
        <f t="shared" si="63"/>
        <v>3.7</v>
      </c>
      <c r="W563">
        <f t="shared" si="64"/>
        <v>2.5</v>
      </c>
      <c r="X563">
        <f t="shared" si="65"/>
        <v>3.6</v>
      </c>
      <c r="AA563">
        <f t="shared" si="66"/>
        <v>2.8250000000000002</v>
      </c>
      <c r="AB563">
        <f t="shared" si="67"/>
        <v>3.7</v>
      </c>
    </row>
    <row r="564" spans="1:28">
      <c r="A564" t="s">
        <v>267</v>
      </c>
      <c r="B564" t="s">
        <v>268</v>
      </c>
      <c r="C564" t="s">
        <v>13</v>
      </c>
      <c r="D564" t="s">
        <v>138</v>
      </c>
      <c r="E564">
        <v>5</v>
      </c>
      <c r="F564" s="14">
        <v>240</v>
      </c>
      <c r="G564">
        <v>438</v>
      </c>
      <c r="H564">
        <v>1.5</v>
      </c>
      <c r="I564">
        <v>643</v>
      </c>
      <c r="J564">
        <v>1104</v>
      </c>
      <c r="K564">
        <v>-3.1</v>
      </c>
      <c r="L564">
        <v>1415</v>
      </c>
      <c r="M564">
        <v>1651</v>
      </c>
      <c r="N564">
        <v>2.2000000000000002</v>
      </c>
      <c r="O564">
        <v>1924</v>
      </c>
      <c r="P564">
        <v>2349</v>
      </c>
      <c r="Q564">
        <v>-3.4</v>
      </c>
      <c r="U564">
        <f t="shared" si="62"/>
        <v>1.5</v>
      </c>
      <c r="V564">
        <f t="shared" si="63"/>
        <v>3.1</v>
      </c>
      <c r="W564">
        <f t="shared" si="64"/>
        <v>2.2000000000000002</v>
      </c>
      <c r="X564">
        <f t="shared" si="65"/>
        <v>3.4</v>
      </c>
      <c r="AA564">
        <f t="shared" si="66"/>
        <v>2.5499999999999998</v>
      </c>
      <c r="AB564">
        <f t="shared" si="67"/>
        <v>3.4</v>
      </c>
    </row>
    <row r="565" spans="1:28">
      <c r="A565" t="s">
        <v>267</v>
      </c>
      <c r="B565" t="s">
        <v>268</v>
      </c>
      <c r="C565" t="s">
        <v>13</v>
      </c>
      <c r="D565" t="s">
        <v>138</v>
      </c>
      <c r="E565">
        <v>6</v>
      </c>
      <c r="F565" s="14">
        <v>325</v>
      </c>
      <c r="G565">
        <v>526</v>
      </c>
      <c r="H565">
        <v>1.5</v>
      </c>
      <c r="I565">
        <v>739</v>
      </c>
      <c r="J565">
        <v>1150</v>
      </c>
      <c r="K565">
        <v>-2.4</v>
      </c>
      <c r="L565">
        <v>1458</v>
      </c>
      <c r="M565">
        <v>1730</v>
      </c>
      <c r="N565">
        <v>1.8</v>
      </c>
      <c r="O565">
        <v>1953</v>
      </c>
      <c r="U565">
        <f t="shared" si="62"/>
        <v>1.5</v>
      </c>
      <c r="V565">
        <f t="shared" si="63"/>
        <v>2.4</v>
      </c>
      <c r="W565">
        <f t="shared" si="64"/>
        <v>1.8</v>
      </c>
      <c r="AA565">
        <f t="shared" si="66"/>
        <v>1.9000000000000001</v>
      </c>
      <c r="AB565">
        <f t="shared" si="67"/>
        <v>2.4</v>
      </c>
    </row>
    <row r="566" spans="1:28">
      <c r="A566" t="s">
        <v>267</v>
      </c>
      <c r="B566" t="s">
        <v>268</v>
      </c>
      <c r="C566" t="s">
        <v>13</v>
      </c>
      <c r="D566" t="s">
        <v>138</v>
      </c>
      <c r="E566">
        <v>7</v>
      </c>
      <c r="G566">
        <v>29</v>
      </c>
      <c r="H566">
        <v>-3.2</v>
      </c>
      <c r="I566">
        <v>411</v>
      </c>
      <c r="J566">
        <v>613</v>
      </c>
      <c r="K566">
        <v>1.4</v>
      </c>
      <c r="L566">
        <v>843</v>
      </c>
      <c r="M566">
        <v>1244</v>
      </c>
      <c r="N566">
        <v>-1.8</v>
      </c>
      <c r="O566">
        <v>1547</v>
      </c>
      <c r="P566">
        <v>1810</v>
      </c>
      <c r="Q566">
        <v>1.5</v>
      </c>
      <c r="R566">
        <v>2024</v>
      </c>
      <c r="U566">
        <f t="shared" si="62"/>
        <v>3.2</v>
      </c>
      <c r="V566">
        <f t="shared" si="63"/>
        <v>1.4</v>
      </c>
      <c r="W566">
        <f t="shared" si="64"/>
        <v>1.8</v>
      </c>
      <c r="X566">
        <f t="shared" si="65"/>
        <v>1.5</v>
      </c>
      <c r="AA566">
        <f t="shared" si="66"/>
        <v>1.9749999999999999</v>
      </c>
      <c r="AB566">
        <f t="shared" si="67"/>
        <v>3.2</v>
      </c>
    </row>
    <row r="567" spans="1:28">
      <c r="A567" t="s">
        <v>267</v>
      </c>
      <c r="B567" t="s">
        <v>268</v>
      </c>
      <c r="C567" t="s">
        <v>13</v>
      </c>
      <c r="D567" t="s">
        <v>138</v>
      </c>
      <c r="E567">
        <v>8</v>
      </c>
      <c r="G567">
        <v>116</v>
      </c>
      <c r="H567">
        <v>-3</v>
      </c>
      <c r="I567">
        <v>459</v>
      </c>
      <c r="J567">
        <v>705</v>
      </c>
      <c r="K567">
        <v>1.4</v>
      </c>
      <c r="L567">
        <v>1000</v>
      </c>
      <c r="M567">
        <v>1352</v>
      </c>
      <c r="N567">
        <v>-1.3</v>
      </c>
      <c r="O567">
        <v>1645</v>
      </c>
      <c r="P567">
        <v>1854</v>
      </c>
      <c r="Q567">
        <v>1.1000000000000001</v>
      </c>
      <c r="R567">
        <v>2057</v>
      </c>
      <c r="U567">
        <f t="shared" si="62"/>
        <v>3</v>
      </c>
      <c r="V567">
        <f t="shared" si="63"/>
        <v>1.4</v>
      </c>
      <c r="W567">
        <f t="shared" si="64"/>
        <v>1.3</v>
      </c>
      <c r="X567">
        <f t="shared" si="65"/>
        <v>1.1000000000000001</v>
      </c>
      <c r="AA567">
        <f t="shared" si="66"/>
        <v>1.7000000000000002</v>
      </c>
      <c r="AB567">
        <f t="shared" si="67"/>
        <v>3</v>
      </c>
    </row>
    <row r="568" spans="1:28">
      <c r="A568" t="s">
        <v>267</v>
      </c>
      <c r="B568" t="s">
        <v>268</v>
      </c>
      <c r="C568" t="s">
        <v>13</v>
      </c>
      <c r="D568" t="s">
        <v>138</v>
      </c>
      <c r="E568">
        <v>9</v>
      </c>
      <c r="G568">
        <v>208</v>
      </c>
      <c r="H568">
        <v>-2.9</v>
      </c>
      <c r="I568">
        <v>549</v>
      </c>
      <c r="J568">
        <v>804</v>
      </c>
      <c r="K568">
        <v>1.4</v>
      </c>
      <c r="L568">
        <v>1124</v>
      </c>
      <c r="M568">
        <v>1510</v>
      </c>
      <c r="N568">
        <v>-1.1000000000000001</v>
      </c>
      <c r="O568">
        <v>1753</v>
      </c>
      <c r="P568">
        <v>1945</v>
      </c>
      <c r="Q568">
        <v>0.8</v>
      </c>
      <c r="R568">
        <v>2139</v>
      </c>
      <c r="U568">
        <f t="shared" si="62"/>
        <v>2.9</v>
      </c>
      <c r="V568">
        <f t="shared" si="63"/>
        <v>1.4</v>
      </c>
      <c r="W568">
        <f t="shared" si="64"/>
        <v>1.1000000000000001</v>
      </c>
      <c r="X568">
        <f t="shared" si="65"/>
        <v>0.8</v>
      </c>
      <c r="AA568">
        <f t="shared" si="66"/>
        <v>1.55</v>
      </c>
      <c r="AB568">
        <f t="shared" si="67"/>
        <v>2.9</v>
      </c>
    </row>
    <row r="569" spans="1:28">
      <c r="A569" t="s">
        <v>267</v>
      </c>
      <c r="B569" t="s">
        <v>268</v>
      </c>
      <c r="C569" t="s">
        <v>13</v>
      </c>
      <c r="D569" t="s">
        <v>138</v>
      </c>
      <c r="E569">
        <v>10</v>
      </c>
      <c r="G569">
        <v>303</v>
      </c>
      <c r="H569">
        <v>-2.9</v>
      </c>
      <c r="I569">
        <v>642</v>
      </c>
      <c r="J569">
        <v>916</v>
      </c>
      <c r="K569">
        <v>1.5</v>
      </c>
      <c r="L569">
        <v>1238</v>
      </c>
      <c r="M569">
        <v>1625</v>
      </c>
      <c r="N569">
        <v>-1.1000000000000001</v>
      </c>
      <c r="O569">
        <v>1911</v>
      </c>
      <c r="P569">
        <v>2048</v>
      </c>
      <c r="Q569">
        <v>0.6</v>
      </c>
      <c r="R569">
        <v>2233</v>
      </c>
      <c r="U569">
        <f t="shared" si="62"/>
        <v>2.9</v>
      </c>
      <c r="V569">
        <f t="shared" si="63"/>
        <v>1.5</v>
      </c>
      <c r="W569">
        <f t="shared" si="64"/>
        <v>1.1000000000000001</v>
      </c>
      <c r="X569">
        <f t="shared" si="65"/>
        <v>0.6</v>
      </c>
      <c r="AA569">
        <f t="shared" si="66"/>
        <v>1.5249999999999999</v>
      </c>
      <c r="AB569">
        <f t="shared" si="67"/>
        <v>2.9</v>
      </c>
    </row>
    <row r="570" spans="1:28">
      <c r="A570" t="s">
        <v>267</v>
      </c>
      <c r="B570" t="s">
        <v>268</v>
      </c>
      <c r="C570" t="s">
        <v>13</v>
      </c>
      <c r="D570" t="s">
        <v>138</v>
      </c>
      <c r="E570">
        <v>11</v>
      </c>
      <c r="G570">
        <v>356</v>
      </c>
      <c r="H570">
        <v>-2.9</v>
      </c>
      <c r="I570">
        <v>736</v>
      </c>
      <c r="J570">
        <v>1029</v>
      </c>
      <c r="K570">
        <v>1.7</v>
      </c>
      <c r="L570">
        <v>1336</v>
      </c>
      <c r="M570">
        <v>1735</v>
      </c>
      <c r="N570">
        <v>-1.3</v>
      </c>
      <c r="O570">
        <v>2029</v>
      </c>
      <c r="P570">
        <v>2200</v>
      </c>
      <c r="Q570">
        <v>0.6</v>
      </c>
      <c r="R570">
        <v>2333</v>
      </c>
      <c r="U570">
        <f t="shared" si="62"/>
        <v>2.9</v>
      </c>
      <c r="V570">
        <f t="shared" si="63"/>
        <v>1.7</v>
      </c>
      <c r="W570">
        <f t="shared" si="64"/>
        <v>1.3</v>
      </c>
      <c r="X570">
        <f t="shared" si="65"/>
        <v>0.6</v>
      </c>
      <c r="AA570">
        <f t="shared" si="66"/>
        <v>1.6249999999999998</v>
      </c>
      <c r="AB570">
        <f t="shared" si="67"/>
        <v>2.9</v>
      </c>
    </row>
    <row r="571" spans="1:28">
      <c r="A571" t="s">
        <v>267</v>
      </c>
      <c r="B571" t="s">
        <v>268</v>
      </c>
      <c r="C571" t="s">
        <v>13</v>
      </c>
      <c r="D571" t="s">
        <v>138</v>
      </c>
      <c r="E571">
        <v>12</v>
      </c>
      <c r="G571">
        <v>448</v>
      </c>
      <c r="H571">
        <v>-3</v>
      </c>
      <c r="I571">
        <v>827</v>
      </c>
      <c r="J571">
        <v>1122</v>
      </c>
      <c r="K571">
        <v>2</v>
      </c>
      <c r="L571">
        <v>1423</v>
      </c>
      <c r="M571">
        <v>1836</v>
      </c>
      <c r="N571">
        <v>-1.6</v>
      </c>
      <c r="O571">
        <v>2132</v>
      </c>
      <c r="P571">
        <v>2302</v>
      </c>
      <c r="Q571">
        <v>0.6</v>
      </c>
      <c r="U571">
        <f t="shared" si="62"/>
        <v>3</v>
      </c>
      <c r="V571">
        <f t="shared" si="63"/>
        <v>2</v>
      </c>
      <c r="W571">
        <f t="shared" si="64"/>
        <v>1.6</v>
      </c>
      <c r="X571">
        <f t="shared" si="65"/>
        <v>0.6</v>
      </c>
      <c r="AA571">
        <f t="shared" si="66"/>
        <v>1.7999999999999998</v>
      </c>
      <c r="AB571">
        <f t="shared" si="67"/>
        <v>3</v>
      </c>
    </row>
    <row r="572" spans="1:28">
      <c r="A572" t="s">
        <v>267</v>
      </c>
      <c r="B572" t="s">
        <v>268</v>
      </c>
      <c r="C572" t="s">
        <v>13</v>
      </c>
      <c r="D572" t="s">
        <v>138</v>
      </c>
      <c r="E572">
        <v>13</v>
      </c>
      <c r="F572" s="14">
        <v>30</v>
      </c>
      <c r="G572">
        <v>538</v>
      </c>
      <c r="H572">
        <v>-3.2</v>
      </c>
      <c r="I572">
        <v>914</v>
      </c>
      <c r="J572">
        <v>1203</v>
      </c>
      <c r="K572">
        <v>2.2000000000000002</v>
      </c>
      <c r="L572">
        <v>1504</v>
      </c>
      <c r="M572">
        <v>1924</v>
      </c>
      <c r="N572">
        <v>-2</v>
      </c>
      <c r="O572">
        <v>2220</v>
      </c>
      <c r="P572">
        <v>2351</v>
      </c>
      <c r="Q572">
        <v>0.8</v>
      </c>
      <c r="U572">
        <f t="shared" si="62"/>
        <v>3.2</v>
      </c>
      <c r="V572">
        <f t="shared" si="63"/>
        <v>2.2000000000000002</v>
      </c>
      <c r="W572">
        <f t="shared" si="64"/>
        <v>2</v>
      </c>
      <c r="X572">
        <f t="shared" si="65"/>
        <v>0.8</v>
      </c>
      <c r="AA572">
        <f t="shared" si="66"/>
        <v>2.0500000000000003</v>
      </c>
      <c r="AB572">
        <f t="shared" si="67"/>
        <v>3.2</v>
      </c>
    </row>
    <row r="573" spans="1:28">
      <c r="A573" t="s">
        <v>267</v>
      </c>
      <c r="B573" t="s">
        <v>268</v>
      </c>
      <c r="C573" t="s">
        <v>13</v>
      </c>
      <c r="D573" t="s">
        <v>138</v>
      </c>
      <c r="E573">
        <v>14</v>
      </c>
      <c r="F573" s="14">
        <v>122</v>
      </c>
      <c r="G573">
        <v>628</v>
      </c>
      <c r="H573">
        <v>-3.5</v>
      </c>
      <c r="I573">
        <v>957</v>
      </c>
      <c r="J573">
        <v>1239</v>
      </c>
      <c r="K573">
        <v>2.4</v>
      </c>
      <c r="L573">
        <v>1540</v>
      </c>
      <c r="M573">
        <v>2000</v>
      </c>
      <c r="N573">
        <v>-2.4</v>
      </c>
      <c r="O573">
        <v>2259</v>
      </c>
      <c r="U573">
        <f t="shared" si="62"/>
        <v>3.5</v>
      </c>
      <c r="V573">
        <f t="shared" si="63"/>
        <v>2.4</v>
      </c>
      <c r="W573">
        <f t="shared" si="64"/>
        <v>2.4</v>
      </c>
      <c r="AA573">
        <f t="shared" si="66"/>
        <v>2.7666666666666671</v>
      </c>
      <c r="AB573">
        <f t="shared" si="67"/>
        <v>3.5</v>
      </c>
    </row>
    <row r="574" spans="1:28">
      <c r="A574" t="s">
        <v>267</v>
      </c>
      <c r="B574" t="s">
        <v>268</v>
      </c>
      <c r="C574" t="s">
        <v>13</v>
      </c>
      <c r="D574" t="s">
        <v>138</v>
      </c>
      <c r="E574">
        <v>15</v>
      </c>
      <c r="G574">
        <v>33</v>
      </c>
      <c r="H574">
        <v>1</v>
      </c>
      <c r="I574">
        <v>211</v>
      </c>
      <c r="J574">
        <v>714</v>
      </c>
      <c r="K574">
        <v>-3.7</v>
      </c>
      <c r="L574">
        <v>1036</v>
      </c>
      <c r="M574">
        <v>1313</v>
      </c>
      <c r="N574">
        <v>2.6</v>
      </c>
      <c r="O574">
        <v>1614</v>
      </c>
      <c r="P574">
        <v>2031</v>
      </c>
      <c r="Q574">
        <v>-2.8</v>
      </c>
      <c r="R574">
        <v>2334</v>
      </c>
      <c r="U574">
        <f t="shared" si="62"/>
        <v>1</v>
      </c>
      <c r="V574">
        <f t="shared" si="63"/>
        <v>3.7</v>
      </c>
      <c r="W574">
        <f t="shared" si="64"/>
        <v>2.6</v>
      </c>
      <c r="X574">
        <f t="shared" si="65"/>
        <v>2.8</v>
      </c>
      <c r="AA574">
        <f t="shared" si="66"/>
        <v>2.5250000000000004</v>
      </c>
      <c r="AB574">
        <f t="shared" si="67"/>
        <v>3.7</v>
      </c>
    </row>
    <row r="575" spans="1:28">
      <c r="A575" t="s">
        <v>267</v>
      </c>
      <c r="B575" t="s">
        <v>268</v>
      </c>
      <c r="C575" t="s">
        <v>13</v>
      </c>
      <c r="D575" t="s">
        <v>138</v>
      </c>
      <c r="E575">
        <v>16</v>
      </c>
      <c r="G575">
        <v>114</v>
      </c>
      <c r="H575">
        <v>1.2</v>
      </c>
      <c r="I575">
        <v>258</v>
      </c>
      <c r="J575">
        <v>758</v>
      </c>
      <c r="K575">
        <v>-3.8</v>
      </c>
      <c r="L575">
        <v>1113</v>
      </c>
      <c r="M575">
        <v>1348</v>
      </c>
      <c r="N575">
        <v>2.7</v>
      </c>
      <c r="O575">
        <v>1645</v>
      </c>
      <c r="P575">
        <v>2100</v>
      </c>
      <c r="Q575">
        <v>-3.1</v>
      </c>
      <c r="U575">
        <f t="shared" si="62"/>
        <v>1.2</v>
      </c>
      <c r="V575">
        <f t="shared" si="63"/>
        <v>3.8</v>
      </c>
      <c r="W575">
        <f t="shared" si="64"/>
        <v>2.7</v>
      </c>
      <c r="X575">
        <f t="shared" si="65"/>
        <v>3.1</v>
      </c>
      <c r="AA575">
        <f t="shared" si="66"/>
        <v>2.7</v>
      </c>
      <c r="AB575">
        <f t="shared" si="67"/>
        <v>3.8</v>
      </c>
    </row>
    <row r="576" spans="1:28">
      <c r="A576" t="s">
        <v>267</v>
      </c>
      <c r="B576" t="s">
        <v>268</v>
      </c>
      <c r="C576" t="s">
        <v>13</v>
      </c>
      <c r="D576" t="s">
        <v>138</v>
      </c>
      <c r="E576">
        <v>17</v>
      </c>
      <c r="F576" s="14">
        <v>8</v>
      </c>
      <c r="G576">
        <v>154</v>
      </c>
      <c r="H576">
        <v>1.4</v>
      </c>
      <c r="I576">
        <v>347</v>
      </c>
      <c r="J576">
        <v>839</v>
      </c>
      <c r="K576">
        <v>-4</v>
      </c>
      <c r="L576">
        <v>1149</v>
      </c>
      <c r="M576">
        <v>1424</v>
      </c>
      <c r="N576">
        <v>2.7</v>
      </c>
      <c r="O576">
        <v>1715</v>
      </c>
      <c r="P576">
        <v>2130</v>
      </c>
      <c r="Q576">
        <v>-3.5</v>
      </c>
      <c r="U576">
        <f t="shared" si="62"/>
        <v>1.4</v>
      </c>
      <c r="V576">
        <f t="shared" si="63"/>
        <v>4</v>
      </c>
      <c r="W576">
        <f t="shared" si="64"/>
        <v>2.7</v>
      </c>
      <c r="X576">
        <f t="shared" si="65"/>
        <v>3.5</v>
      </c>
      <c r="AA576">
        <f t="shared" si="66"/>
        <v>2.9000000000000004</v>
      </c>
      <c r="AB576">
        <f t="shared" si="67"/>
        <v>4</v>
      </c>
    </row>
    <row r="577" spans="1:28">
      <c r="A577" t="s">
        <v>267</v>
      </c>
      <c r="B577" t="s">
        <v>268</v>
      </c>
      <c r="C577" t="s">
        <v>13</v>
      </c>
      <c r="D577" t="s">
        <v>138</v>
      </c>
      <c r="E577">
        <v>18</v>
      </c>
      <c r="F577" s="14">
        <v>42</v>
      </c>
      <c r="G577">
        <v>238</v>
      </c>
      <c r="H577">
        <v>1.6</v>
      </c>
      <c r="I577">
        <v>437</v>
      </c>
      <c r="J577">
        <v>920</v>
      </c>
      <c r="K577">
        <v>-4</v>
      </c>
      <c r="L577">
        <v>1226</v>
      </c>
      <c r="M577">
        <v>1503</v>
      </c>
      <c r="N577">
        <v>2.7</v>
      </c>
      <c r="O577">
        <v>1744</v>
      </c>
      <c r="P577">
        <v>2203</v>
      </c>
      <c r="Q577">
        <v>-3.8</v>
      </c>
      <c r="U577">
        <f t="shared" si="62"/>
        <v>1.6</v>
      </c>
      <c r="V577">
        <f t="shared" si="63"/>
        <v>4</v>
      </c>
      <c r="W577">
        <f t="shared" si="64"/>
        <v>2.7</v>
      </c>
      <c r="X577">
        <f t="shared" si="65"/>
        <v>3.8</v>
      </c>
      <c r="AA577">
        <f t="shared" si="66"/>
        <v>3.0250000000000004</v>
      </c>
      <c r="AB577">
        <f t="shared" si="67"/>
        <v>4</v>
      </c>
    </row>
    <row r="578" spans="1:28">
      <c r="A578" t="s">
        <v>267</v>
      </c>
      <c r="B578" t="s">
        <v>268</v>
      </c>
      <c r="C578" t="s">
        <v>13</v>
      </c>
      <c r="D578" t="s">
        <v>138</v>
      </c>
      <c r="E578">
        <v>19</v>
      </c>
      <c r="F578" s="14">
        <v>118</v>
      </c>
      <c r="G578">
        <v>323</v>
      </c>
      <c r="H578">
        <v>1.8</v>
      </c>
      <c r="I578">
        <v>529</v>
      </c>
      <c r="J578">
        <v>1002</v>
      </c>
      <c r="K578">
        <v>-3.8</v>
      </c>
      <c r="L578">
        <v>1307</v>
      </c>
      <c r="M578">
        <v>1544</v>
      </c>
      <c r="N578">
        <v>2.4</v>
      </c>
      <c r="O578">
        <v>1813</v>
      </c>
      <c r="P578">
        <v>2238</v>
      </c>
      <c r="Q578">
        <v>-4</v>
      </c>
      <c r="U578">
        <f t="shared" si="62"/>
        <v>1.8</v>
      </c>
      <c r="V578">
        <f t="shared" si="63"/>
        <v>3.8</v>
      </c>
      <c r="W578">
        <f t="shared" si="64"/>
        <v>2.4</v>
      </c>
      <c r="X578">
        <f t="shared" si="65"/>
        <v>4</v>
      </c>
      <c r="AA578">
        <f t="shared" si="66"/>
        <v>3</v>
      </c>
      <c r="AB578">
        <f t="shared" si="67"/>
        <v>4</v>
      </c>
    </row>
    <row r="579" spans="1:28">
      <c r="A579" t="s">
        <v>267</v>
      </c>
      <c r="B579" t="s">
        <v>268</v>
      </c>
      <c r="C579" t="s">
        <v>13</v>
      </c>
      <c r="D579" t="s">
        <v>138</v>
      </c>
      <c r="E579">
        <v>20</v>
      </c>
      <c r="F579" s="14">
        <v>157</v>
      </c>
      <c r="G579">
        <v>412</v>
      </c>
      <c r="H579">
        <v>1.9</v>
      </c>
      <c r="I579">
        <v>624</v>
      </c>
      <c r="J579">
        <v>1047</v>
      </c>
      <c r="K579">
        <v>-3.5</v>
      </c>
      <c r="L579">
        <v>1351</v>
      </c>
      <c r="M579">
        <v>1627</v>
      </c>
      <c r="N579">
        <v>2.2000000000000002</v>
      </c>
      <c r="O579">
        <v>1844</v>
      </c>
      <c r="P579">
        <v>2317</v>
      </c>
      <c r="Q579">
        <v>-4.0999999999999996</v>
      </c>
      <c r="U579">
        <f t="shared" si="62"/>
        <v>1.9</v>
      </c>
      <c r="V579">
        <f t="shared" si="63"/>
        <v>3.5</v>
      </c>
      <c r="W579">
        <f t="shared" si="64"/>
        <v>2.2000000000000002</v>
      </c>
      <c r="X579">
        <f t="shared" si="65"/>
        <v>4.0999999999999996</v>
      </c>
      <c r="AA579">
        <f t="shared" si="66"/>
        <v>2.9249999999999998</v>
      </c>
      <c r="AB579">
        <f t="shared" si="67"/>
        <v>4.0999999999999996</v>
      </c>
    </row>
    <row r="580" spans="1:28">
      <c r="A580" t="s">
        <v>267</v>
      </c>
      <c r="B580" t="s">
        <v>268</v>
      </c>
      <c r="C580" t="s">
        <v>13</v>
      </c>
      <c r="D580" t="s">
        <v>138</v>
      </c>
      <c r="E580">
        <v>21</v>
      </c>
      <c r="F580" s="14">
        <v>242</v>
      </c>
      <c r="G580">
        <v>503</v>
      </c>
      <c r="H580">
        <v>2</v>
      </c>
      <c r="I580">
        <v>724</v>
      </c>
      <c r="J580">
        <v>1138</v>
      </c>
      <c r="K580">
        <v>-3</v>
      </c>
      <c r="L580">
        <v>1442</v>
      </c>
      <c r="M580">
        <v>1712</v>
      </c>
      <c r="N580">
        <v>1.9</v>
      </c>
      <c r="O580">
        <v>1917</v>
      </c>
      <c r="U580">
        <f t="shared" si="62"/>
        <v>2</v>
      </c>
      <c r="V580">
        <f t="shared" si="63"/>
        <v>3</v>
      </c>
      <c r="W580">
        <f t="shared" si="64"/>
        <v>1.9</v>
      </c>
      <c r="AA580">
        <f t="shared" si="66"/>
        <v>2.3000000000000003</v>
      </c>
      <c r="AB580">
        <f t="shared" si="67"/>
        <v>3</v>
      </c>
    </row>
    <row r="581" spans="1:28">
      <c r="A581" t="s">
        <v>267</v>
      </c>
      <c r="B581" t="s">
        <v>268</v>
      </c>
      <c r="C581" t="s">
        <v>13</v>
      </c>
      <c r="D581" t="s">
        <v>138</v>
      </c>
      <c r="E581">
        <v>22</v>
      </c>
      <c r="G581">
        <v>1</v>
      </c>
      <c r="H581">
        <v>-4</v>
      </c>
      <c r="I581">
        <v>332</v>
      </c>
      <c r="J581">
        <v>557</v>
      </c>
      <c r="K581">
        <v>2.1</v>
      </c>
      <c r="L581">
        <v>833</v>
      </c>
      <c r="M581">
        <v>1239</v>
      </c>
      <c r="N581">
        <v>-2.4</v>
      </c>
      <c r="O581">
        <v>1543</v>
      </c>
      <c r="P581">
        <v>1801</v>
      </c>
      <c r="Q581">
        <v>1.6</v>
      </c>
      <c r="R581">
        <v>1955</v>
      </c>
      <c r="U581">
        <f t="shared" si="62"/>
        <v>4</v>
      </c>
      <c r="V581">
        <f t="shared" si="63"/>
        <v>2.1</v>
      </c>
      <c r="W581">
        <f t="shared" si="64"/>
        <v>2.4</v>
      </c>
      <c r="X581">
        <f t="shared" si="65"/>
        <v>1.6</v>
      </c>
      <c r="AA581">
        <f t="shared" si="66"/>
        <v>2.5249999999999999</v>
      </c>
      <c r="AB581">
        <f t="shared" si="67"/>
        <v>4</v>
      </c>
    </row>
    <row r="582" spans="1:28">
      <c r="A582" t="s">
        <v>267</v>
      </c>
      <c r="B582" t="s">
        <v>268</v>
      </c>
      <c r="C582" t="s">
        <v>13</v>
      </c>
      <c r="D582" t="s">
        <v>138</v>
      </c>
      <c r="E582">
        <v>23</v>
      </c>
      <c r="G582">
        <v>54</v>
      </c>
      <c r="H582">
        <v>-3.8</v>
      </c>
      <c r="I582">
        <v>428</v>
      </c>
      <c r="J582">
        <v>655</v>
      </c>
      <c r="K582">
        <v>2.2000000000000002</v>
      </c>
      <c r="L582">
        <v>954</v>
      </c>
      <c r="M582">
        <v>1354</v>
      </c>
      <c r="N582">
        <v>-2</v>
      </c>
      <c r="O582">
        <v>1655</v>
      </c>
      <c r="P582">
        <v>1855</v>
      </c>
      <c r="Q582">
        <v>1.3</v>
      </c>
      <c r="R582">
        <v>2040</v>
      </c>
      <c r="U582">
        <f t="shared" si="62"/>
        <v>3.8</v>
      </c>
      <c r="V582">
        <f t="shared" si="63"/>
        <v>2.2000000000000002</v>
      </c>
      <c r="W582">
        <f t="shared" si="64"/>
        <v>2</v>
      </c>
      <c r="X582">
        <f t="shared" si="65"/>
        <v>1.3</v>
      </c>
      <c r="AA582">
        <f t="shared" si="66"/>
        <v>2.3250000000000002</v>
      </c>
      <c r="AB582">
        <f t="shared" si="67"/>
        <v>3.8</v>
      </c>
    </row>
    <row r="583" spans="1:28">
      <c r="A583" t="s">
        <v>267</v>
      </c>
      <c r="B583" t="s">
        <v>268</v>
      </c>
      <c r="C583" t="s">
        <v>13</v>
      </c>
      <c r="D583" t="s">
        <v>138</v>
      </c>
      <c r="E583">
        <v>24</v>
      </c>
      <c r="G583">
        <v>156</v>
      </c>
      <c r="H583">
        <v>-3.7</v>
      </c>
      <c r="I583">
        <v>529</v>
      </c>
      <c r="J583">
        <v>802</v>
      </c>
      <c r="K583">
        <v>2.2000000000000002</v>
      </c>
      <c r="L583">
        <v>1120</v>
      </c>
      <c r="M583">
        <v>1517</v>
      </c>
      <c r="N583">
        <v>-1.8</v>
      </c>
      <c r="O583">
        <v>1816</v>
      </c>
      <c r="P583">
        <v>1958</v>
      </c>
      <c r="Q583">
        <v>0.9</v>
      </c>
      <c r="R583">
        <v>2139</v>
      </c>
      <c r="U583">
        <f t="shared" si="62"/>
        <v>3.7</v>
      </c>
      <c r="V583">
        <f t="shared" si="63"/>
        <v>2.2000000000000002</v>
      </c>
      <c r="W583">
        <f t="shared" si="64"/>
        <v>1.8</v>
      </c>
      <c r="X583">
        <f t="shared" si="65"/>
        <v>0.9</v>
      </c>
      <c r="AA583">
        <f t="shared" si="66"/>
        <v>2.15</v>
      </c>
      <c r="AB583">
        <f t="shared" si="67"/>
        <v>3.7</v>
      </c>
    </row>
    <row r="584" spans="1:28">
      <c r="A584" t="s">
        <v>267</v>
      </c>
      <c r="B584" t="s">
        <v>268</v>
      </c>
      <c r="C584" t="s">
        <v>13</v>
      </c>
      <c r="D584" t="s">
        <v>138</v>
      </c>
      <c r="E584">
        <v>25</v>
      </c>
      <c r="G584">
        <v>303</v>
      </c>
      <c r="H584">
        <v>-3.7</v>
      </c>
      <c r="I584">
        <v>633</v>
      </c>
      <c r="J584">
        <v>919</v>
      </c>
      <c r="K584">
        <v>2.2000000000000002</v>
      </c>
      <c r="L584">
        <v>1236</v>
      </c>
      <c r="M584">
        <v>1637</v>
      </c>
      <c r="N584">
        <v>-2</v>
      </c>
      <c r="O584">
        <v>1939</v>
      </c>
      <c r="P584">
        <v>2114</v>
      </c>
      <c r="Q584">
        <v>0.8</v>
      </c>
      <c r="R584">
        <v>2254</v>
      </c>
      <c r="U584">
        <f t="shared" si="62"/>
        <v>3.7</v>
      </c>
      <c r="V584">
        <f t="shared" si="63"/>
        <v>2.2000000000000002</v>
      </c>
      <c r="W584">
        <f t="shared" si="64"/>
        <v>2</v>
      </c>
      <c r="X584">
        <f t="shared" si="65"/>
        <v>0.8</v>
      </c>
      <c r="AA584">
        <f t="shared" si="66"/>
        <v>2.1750000000000003</v>
      </c>
      <c r="AB584">
        <f t="shared" si="67"/>
        <v>3.7</v>
      </c>
    </row>
    <row r="585" spans="1:28">
      <c r="A585" t="s">
        <v>267</v>
      </c>
      <c r="B585" t="s">
        <v>268</v>
      </c>
      <c r="C585" t="s">
        <v>13</v>
      </c>
      <c r="D585" t="s">
        <v>138</v>
      </c>
      <c r="E585">
        <v>26</v>
      </c>
      <c r="G585">
        <v>409</v>
      </c>
      <c r="H585">
        <v>-3.7</v>
      </c>
      <c r="I585">
        <v>739</v>
      </c>
      <c r="J585">
        <v>1035</v>
      </c>
      <c r="K585">
        <v>2.4</v>
      </c>
      <c r="L585">
        <v>1337</v>
      </c>
      <c r="M585">
        <v>1749</v>
      </c>
      <c r="N585">
        <v>-2.2999999999999998</v>
      </c>
      <c r="O585">
        <v>2054</v>
      </c>
      <c r="P585">
        <v>2234</v>
      </c>
      <c r="Q585">
        <v>0.9</v>
      </c>
      <c r="U585">
        <f t="shared" si="62"/>
        <v>3.7</v>
      </c>
      <c r="V585">
        <f t="shared" si="63"/>
        <v>2.4</v>
      </c>
      <c r="W585">
        <f t="shared" si="64"/>
        <v>2.2999999999999998</v>
      </c>
      <c r="X585">
        <f t="shared" si="65"/>
        <v>0.9</v>
      </c>
      <c r="AA585">
        <f t="shared" si="66"/>
        <v>2.3249999999999997</v>
      </c>
      <c r="AB585">
        <f t="shared" si="67"/>
        <v>3.7</v>
      </c>
    </row>
    <row r="586" spans="1:28">
      <c r="A586" t="s">
        <v>267</v>
      </c>
      <c r="B586" t="s">
        <v>268</v>
      </c>
      <c r="C586" t="s">
        <v>13</v>
      </c>
      <c r="D586" t="s">
        <v>138</v>
      </c>
      <c r="E586">
        <v>27</v>
      </c>
      <c r="F586" s="14">
        <v>10</v>
      </c>
      <c r="G586">
        <v>513</v>
      </c>
      <c r="H586">
        <v>-3.8</v>
      </c>
      <c r="I586">
        <v>841</v>
      </c>
      <c r="J586">
        <v>1136</v>
      </c>
      <c r="K586">
        <v>2.7</v>
      </c>
      <c r="L586">
        <v>1429</v>
      </c>
      <c r="M586">
        <v>1851</v>
      </c>
      <c r="N586">
        <v>-2.8</v>
      </c>
      <c r="O586">
        <v>2153</v>
      </c>
      <c r="P586">
        <v>2339</v>
      </c>
      <c r="Q586">
        <v>1.1000000000000001</v>
      </c>
      <c r="U586">
        <f t="shared" si="62"/>
        <v>3.8</v>
      </c>
      <c r="V586">
        <f t="shared" si="63"/>
        <v>2.7</v>
      </c>
      <c r="W586">
        <f t="shared" si="64"/>
        <v>2.8</v>
      </c>
      <c r="X586">
        <f t="shared" si="65"/>
        <v>1.1000000000000001</v>
      </c>
      <c r="AA586">
        <f t="shared" si="66"/>
        <v>2.6</v>
      </c>
      <c r="AB586">
        <f t="shared" si="67"/>
        <v>3.8</v>
      </c>
    </row>
    <row r="587" spans="1:28">
      <c r="A587" t="s">
        <v>267</v>
      </c>
      <c r="B587" t="s">
        <v>268</v>
      </c>
      <c r="C587" t="s">
        <v>13</v>
      </c>
      <c r="D587" t="s">
        <v>138</v>
      </c>
      <c r="E587">
        <v>28</v>
      </c>
      <c r="F587" s="14">
        <v>118</v>
      </c>
      <c r="G587">
        <v>615</v>
      </c>
      <c r="H587">
        <v>-4</v>
      </c>
      <c r="I587">
        <v>938</v>
      </c>
      <c r="J587">
        <v>1224</v>
      </c>
      <c r="K587">
        <v>2.8</v>
      </c>
      <c r="L587">
        <v>1514</v>
      </c>
      <c r="M587">
        <v>1942</v>
      </c>
      <c r="N587">
        <v>-3.1</v>
      </c>
      <c r="O587">
        <v>2240</v>
      </c>
      <c r="U587">
        <f t="shared" si="62"/>
        <v>4</v>
      </c>
      <c r="V587">
        <f t="shared" si="63"/>
        <v>2.8</v>
      </c>
      <c r="W587">
        <f t="shared" si="64"/>
        <v>3.1</v>
      </c>
      <c r="AA587">
        <f t="shared" si="66"/>
        <v>3.3000000000000003</v>
      </c>
      <c r="AB587">
        <f t="shared" si="67"/>
        <v>4</v>
      </c>
    </row>
    <row r="588" spans="1:28">
      <c r="A588" t="s">
        <v>267</v>
      </c>
      <c r="B588" t="s">
        <v>268</v>
      </c>
      <c r="C588" t="s">
        <v>13</v>
      </c>
      <c r="D588" t="s">
        <v>138</v>
      </c>
      <c r="E588">
        <v>29</v>
      </c>
      <c r="G588">
        <v>30</v>
      </c>
      <c r="H588">
        <v>1.4</v>
      </c>
      <c r="I588">
        <v>219</v>
      </c>
      <c r="J588">
        <v>713</v>
      </c>
      <c r="K588">
        <v>-4.0999999999999996</v>
      </c>
      <c r="L588">
        <v>1028</v>
      </c>
      <c r="M588">
        <v>1306</v>
      </c>
      <c r="N588">
        <v>2.8</v>
      </c>
      <c r="O588">
        <v>1554</v>
      </c>
      <c r="P588">
        <v>2024</v>
      </c>
      <c r="Q588">
        <v>-3.5</v>
      </c>
      <c r="R588">
        <v>2322</v>
      </c>
      <c r="U588">
        <f t="shared" si="62"/>
        <v>1.4</v>
      </c>
      <c r="V588">
        <f t="shared" si="63"/>
        <v>4.0999999999999996</v>
      </c>
      <c r="W588">
        <f t="shared" si="64"/>
        <v>2.8</v>
      </c>
      <c r="X588">
        <f t="shared" si="65"/>
        <v>3.5</v>
      </c>
      <c r="AA588">
        <f t="shared" si="66"/>
        <v>2.95</v>
      </c>
      <c r="AB588">
        <f t="shared" si="67"/>
        <v>4.0999999999999996</v>
      </c>
    </row>
    <row r="589" spans="1:28">
      <c r="A589" t="s">
        <v>267</v>
      </c>
      <c r="B589" t="s">
        <v>268</v>
      </c>
      <c r="C589" t="s">
        <v>13</v>
      </c>
      <c r="D589" t="s">
        <v>138</v>
      </c>
      <c r="E589">
        <v>30</v>
      </c>
      <c r="G589">
        <v>116</v>
      </c>
      <c r="H589">
        <v>1.6</v>
      </c>
      <c r="I589">
        <v>316</v>
      </c>
      <c r="J589">
        <v>805</v>
      </c>
      <c r="K589">
        <v>-4.0999999999999996</v>
      </c>
      <c r="L589">
        <v>1113</v>
      </c>
      <c r="M589">
        <v>1345</v>
      </c>
      <c r="N589">
        <v>2.7</v>
      </c>
      <c r="O589">
        <v>1631</v>
      </c>
      <c r="P589">
        <v>2059</v>
      </c>
      <c r="Q589">
        <v>-3.7</v>
      </c>
      <c r="U589">
        <f t="shared" si="62"/>
        <v>1.6</v>
      </c>
      <c r="V589">
        <f t="shared" si="63"/>
        <v>4.0999999999999996</v>
      </c>
      <c r="W589">
        <f t="shared" si="64"/>
        <v>2.7</v>
      </c>
      <c r="X589">
        <f t="shared" si="65"/>
        <v>3.7</v>
      </c>
      <c r="AA589">
        <f t="shared" si="66"/>
        <v>3.0249999999999995</v>
      </c>
      <c r="AB589">
        <f t="shared" si="67"/>
        <v>4.0999999999999996</v>
      </c>
    </row>
    <row r="590" spans="1:28">
      <c r="A590" t="s">
        <v>267</v>
      </c>
      <c r="B590" t="s">
        <v>268</v>
      </c>
      <c r="C590" t="s">
        <v>13</v>
      </c>
      <c r="D590" t="s">
        <v>138</v>
      </c>
      <c r="E590">
        <v>31</v>
      </c>
      <c r="F590" s="14">
        <v>1</v>
      </c>
      <c r="G590">
        <v>159</v>
      </c>
      <c r="H590">
        <v>1.8</v>
      </c>
      <c r="I590">
        <v>409</v>
      </c>
      <c r="J590">
        <v>849</v>
      </c>
      <c r="K590">
        <v>-4</v>
      </c>
      <c r="L590">
        <v>1155</v>
      </c>
      <c r="M590">
        <v>1422</v>
      </c>
      <c r="N590">
        <v>2.5</v>
      </c>
      <c r="O590">
        <v>1704</v>
      </c>
      <c r="P590">
        <v>2130</v>
      </c>
      <c r="Q590">
        <v>-3.8</v>
      </c>
      <c r="U590">
        <f t="shared" si="62"/>
        <v>1.8</v>
      </c>
      <c r="V590">
        <f t="shared" si="63"/>
        <v>4</v>
      </c>
      <c r="W590">
        <f t="shared" si="64"/>
        <v>2.5</v>
      </c>
      <c r="X590">
        <f t="shared" si="65"/>
        <v>3.8</v>
      </c>
      <c r="AA590">
        <f t="shared" si="66"/>
        <v>3.0250000000000004</v>
      </c>
      <c r="AB590">
        <f t="shared" si="67"/>
        <v>4</v>
      </c>
    </row>
  </sheetData>
  <conditionalFormatting sqref="AA1:AB1 U1:Y1048576">
    <cfRule type="cellIs" dxfId="0" priority="1" operator="equal">
      <formula>0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9"/>
  <sheetViews>
    <sheetView topLeftCell="A512" workbookViewId="0">
      <selection activeCell="J7" sqref="J7"/>
    </sheetView>
  </sheetViews>
  <sheetFormatPr baseColWidth="10" defaultRowHeight="15" x14ac:dyDescent="0"/>
  <cols>
    <col min="1" max="1" width="26.5" bestFit="1" customWidth="1"/>
    <col min="4" max="4" width="15.6640625" bestFit="1" customWidth="1"/>
  </cols>
  <sheetData>
    <row r="1" spans="1:7">
      <c r="A1" t="s">
        <v>124</v>
      </c>
      <c r="B1" t="s">
        <v>143</v>
      </c>
      <c r="C1" t="s">
        <v>12</v>
      </c>
      <c r="D1" t="s">
        <v>178</v>
      </c>
      <c r="E1" t="s">
        <v>162</v>
      </c>
      <c r="F1" t="s">
        <v>141</v>
      </c>
      <c r="G1" t="s">
        <v>142</v>
      </c>
    </row>
    <row r="2" spans="1:7">
      <c r="A2" t="s">
        <v>179</v>
      </c>
      <c r="B2" t="s">
        <v>144</v>
      </c>
      <c r="C2" t="s">
        <v>150</v>
      </c>
      <c r="D2" t="s">
        <v>151</v>
      </c>
      <c r="E2">
        <v>1</v>
      </c>
      <c r="F2">
        <v>1.3499999999999999</v>
      </c>
      <c r="G2">
        <v>2.2999999999999998</v>
      </c>
    </row>
    <row r="3" spans="1:7">
      <c r="A3" t="s">
        <v>179</v>
      </c>
      <c r="B3" t="s">
        <v>144</v>
      </c>
      <c r="C3" t="s">
        <v>150</v>
      </c>
      <c r="D3" t="s">
        <v>151</v>
      </c>
      <c r="E3">
        <v>2</v>
      </c>
      <c r="F3">
        <v>1.375</v>
      </c>
      <c r="G3">
        <v>2.2000000000000002</v>
      </c>
    </row>
    <row r="4" spans="1:7">
      <c r="A4" t="s">
        <v>179</v>
      </c>
      <c r="B4" t="s">
        <v>144</v>
      </c>
      <c r="C4" t="s">
        <v>150</v>
      </c>
      <c r="D4" t="s">
        <v>151</v>
      </c>
      <c r="E4">
        <v>3</v>
      </c>
      <c r="F4">
        <v>1.375</v>
      </c>
      <c r="G4">
        <v>2.1</v>
      </c>
    </row>
    <row r="5" spans="1:7">
      <c r="A5" t="s">
        <v>179</v>
      </c>
      <c r="B5" t="s">
        <v>144</v>
      </c>
      <c r="C5" t="s">
        <v>150</v>
      </c>
      <c r="D5" t="s">
        <v>151</v>
      </c>
      <c r="E5">
        <v>4</v>
      </c>
      <c r="F5">
        <v>1.3</v>
      </c>
      <c r="G5">
        <v>1.9</v>
      </c>
    </row>
    <row r="6" spans="1:7">
      <c r="A6" t="s">
        <v>179</v>
      </c>
      <c r="B6" t="s">
        <v>144</v>
      </c>
      <c r="C6" t="s">
        <v>150</v>
      </c>
      <c r="D6" t="s">
        <v>151</v>
      </c>
      <c r="E6">
        <v>5</v>
      </c>
      <c r="F6">
        <v>1.0666666666666667</v>
      </c>
      <c r="G6">
        <v>1.7</v>
      </c>
    </row>
    <row r="7" spans="1:7">
      <c r="A7" t="s">
        <v>179</v>
      </c>
      <c r="B7" t="s">
        <v>144</v>
      </c>
      <c r="C7" t="s">
        <v>150</v>
      </c>
      <c r="D7" t="s">
        <v>151</v>
      </c>
      <c r="E7">
        <v>6</v>
      </c>
      <c r="F7">
        <v>1.075</v>
      </c>
      <c r="G7">
        <v>1.7</v>
      </c>
    </row>
    <row r="8" spans="1:7">
      <c r="A8" t="s">
        <v>179</v>
      </c>
      <c r="B8" t="s">
        <v>144</v>
      </c>
      <c r="C8" t="s">
        <v>150</v>
      </c>
      <c r="D8" t="s">
        <v>151</v>
      </c>
      <c r="E8">
        <v>7</v>
      </c>
      <c r="F8">
        <v>0.97500000000000009</v>
      </c>
      <c r="G8">
        <v>1.7</v>
      </c>
    </row>
    <row r="9" spans="1:7">
      <c r="A9" t="s">
        <v>179</v>
      </c>
      <c r="B9" t="s">
        <v>144</v>
      </c>
      <c r="C9" t="s">
        <v>150</v>
      </c>
      <c r="D9" t="s">
        <v>151</v>
      </c>
      <c r="E9">
        <v>8</v>
      </c>
      <c r="F9">
        <v>0.875</v>
      </c>
      <c r="G9">
        <v>1.7</v>
      </c>
    </row>
    <row r="10" spans="1:7">
      <c r="A10" t="s">
        <v>179</v>
      </c>
      <c r="B10" t="s">
        <v>144</v>
      </c>
      <c r="C10" t="s">
        <v>150</v>
      </c>
      <c r="D10" t="s">
        <v>151</v>
      </c>
      <c r="E10">
        <v>9</v>
      </c>
      <c r="F10">
        <v>0.75</v>
      </c>
      <c r="G10">
        <v>1.6</v>
      </c>
    </row>
    <row r="11" spans="1:7">
      <c r="A11" t="s">
        <v>179</v>
      </c>
      <c r="B11" t="s">
        <v>144</v>
      </c>
      <c r="C11" t="s">
        <v>150</v>
      </c>
      <c r="D11" t="s">
        <v>151</v>
      </c>
      <c r="E11">
        <v>10</v>
      </c>
      <c r="F11">
        <v>0.72500000000000009</v>
      </c>
      <c r="G11">
        <v>1.6</v>
      </c>
    </row>
    <row r="12" spans="1:7">
      <c r="A12" t="s">
        <v>179</v>
      </c>
      <c r="B12" t="s">
        <v>144</v>
      </c>
      <c r="C12" t="s">
        <v>150</v>
      </c>
      <c r="D12" t="s">
        <v>151</v>
      </c>
      <c r="E12">
        <v>11</v>
      </c>
      <c r="F12">
        <v>0.75000000000000011</v>
      </c>
      <c r="G12">
        <v>1.6</v>
      </c>
    </row>
    <row r="13" spans="1:7">
      <c r="A13" t="s">
        <v>179</v>
      </c>
      <c r="B13" t="s">
        <v>144</v>
      </c>
      <c r="C13" t="s">
        <v>150</v>
      </c>
      <c r="D13" t="s">
        <v>151</v>
      </c>
      <c r="E13">
        <v>12</v>
      </c>
      <c r="F13">
        <v>1</v>
      </c>
      <c r="G13">
        <v>1.6</v>
      </c>
    </row>
    <row r="14" spans="1:7">
      <c r="A14" t="s">
        <v>179</v>
      </c>
      <c r="B14" t="s">
        <v>144</v>
      </c>
      <c r="C14" t="s">
        <v>150</v>
      </c>
      <c r="D14" t="s">
        <v>151</v>
      </c>
      <c r="E14">
        <v>13</v>
      </c>
      <c r="F14">
        <v>0.85</v>
      </c>
      <c r="G14">
        <v>1.6</v>
      </c>
    </row>
    <row r="15" spans="1:7">
      <c r="A15" t="s">
        <v>179</v>
      </c>
      <c r="B15" t="s">
        <v>144</v>
      </c>
      <c r="C15" t="s">
        <v>150</v>
      </c>
      <c r="D15" t="s">
        <v>151</v>
      </c>
      <c r="E15">
        <v>14</v>
      </c>
      <c r="F15">
        <v>0.95000000000000007</v>
      </c>
      <c r="G15">
        <v>1.7</v>
      </c>
    </row>
    <row r="16" spans="1:7">
      <c r="A16" t="s">
        <v>179</v>
      </c>
      <c r="B16" t="s">
        <v>144</v>
      </c>
      <c r="C16" t="s">
        <v>150</v>
      </c>
      <c r="D16" t="s">
        <v>151</v>
      </c>
      <c r="E16">
        <v>15</v>
      </c>
      <c r="F16">
        <v>1.05</v>
      </c>
      <c r="G16">
        <v>1.8</v>
      </c>
    </row>
    <row r="17" spans="1:7">
      <c r="A17" t="s">
        <v>179</v>
      </c>
      <c r="B17" t="s">
        <v>144</v>
      </c>
      <c r="C17" t="s">
        <v>150</v>
      </c>
      <c r="D17" t="s">
        <v>151</v>
      </c>
      <c r="E17">
        <v>16</v>
      </c>
      <c r="F17">
        <v>1.1499999999999999</v>
      </c>
      <c r="G17">
        <v>1.9</v>
      </c>
    </row>
    <row r="18" spans="1:7">
      <c r="A18" t="s">
        <v>179</v>
      </c>
      <c r="B18" t="s">
        <v>144</v>
      </c>
      <c r="C18" t="s">
        <v>150</v>
      </c>
      <c r="D18" t="s">
        <v>151</v>
      </c>
      <c r="E18">
        <v>17</v>
      </c>
      <c r="F18">
        <v>1.2250000000000001</v>
      </c>
      <c r="G18">
        <v>1.9</v>
      </c>
    </row>
    <row r="19" spans="1:7">
      <c r="A19" t="s">
        <v>179</v>
      </c>
      <c r="B19" t="s">
        <v>144</v>
      </c>
      <c r="C19" t="s">
        <v>150</v>
      </c>
      <c r="D19" t="s">
        <v>151</v>
      </c>
      <c r="E19">
        <v>18</v>
      </c>
      <c r="F19">
        <v>1.2749999999999999</v>
      </c>
      <c r="G19">
        <v>1.9</v>
      </c>
    </row>
    <row r="20" spans="1:7">
      <c r="A20" t="s">
        <v>179</v>
      </c>
      <c r="B20" t="s">
        <v>144</v>
      </c>
      <c r="C20" t="s">
        <v>150</v>
      </c>
      <c r="D20" t="s">
        <v>151</v>
      </c>
      <c r="E20">
        <v>19</v>
      </c>
      <c r="F20">
        <v>1.2999999999999998</v>
      </c>
      <c r="G20">
        <v>1.9</v>
      </c>
    </row>
    <row r="21" spans="1:7">
      <c r="A21" t="s">
        <v>179</v>
      </c>
      <c r="B21" t="s">
        <v>144</v>
      </c>
      <c r="C21" t="s">
        <v>150</v>
      </c>
      <c r="D21" t="s">
        <v>151</v>
      </c>
      <c r="E21">
        <v>20</v>
      </c>
      <c r="F21">
        <v>1.3</v>
      </c>
      <c r="G21">
        <v>2</v>
      </c>
    </row>
    <row r="22" spans="1:7">
      <c r="A22" t="s">
        <v>179</v>
      </c>
      <c r="B22" t="s">
        <v>144</v>
      </c>
      <c r="C22" t="s">
        <v>150</v>
      </c>
      <c r="D22" t="s">
        <v>151</v>
      </c>
      <c r="E22">
        <v>21</v>
      </c>
      <c r="F22">
        <v>1.0333333333333332</v>
      </c>
      <c r="G22">
        <v>1.5</v>
      </c>
    </row>
    <row r="23" spans="1:7">
      <c r="A23" t="s">
        <v>179</v>
      </c>
      <c r="B23" t="s">
        <v>144</v>
      </c>
      <c r="C23" t="s">
        <v>150</v>
      </c>
      <c r="D23" t="s">
        <v>151</v>
      </c>
      <c r="E23">
        <v>22</v>
      </c>
      <c r="F23">
        <v>1.1749999999999998</v>
      </c>
      <c r="G23">
        <v>2</v>
      </c>
    </row>
    <row r="24" spans="1:7">
      <c r="A24" t="s">
        <v>179</v>
      </c>
      <c r="B24" t="s">
        <v>144</v>
      </c>
      <c r="C24" t="s">
        <v>150</v>
      </c>
      <c r="D24" t="s">
        <v>151</v>
      </c>
      <c r="E24">
        <v>23</v>
      </c>
      <c r="F24">
        <v>1.1000000000000001</v>
      </c>
      <c r="G24">
        <v>2</v>
      </c>
    </row>
    <row r="25" spans="1:7">
      <c r="A25" t="s">
        <v>179</v>
      </c>
      <c r="B25" t="s">
        <v>144</v>
      </c>
      <c r="C25" t="s">
        <v>150</v>
      </c>
      <c r="D25" t="s">
        <v>151</v>
      </c>
      <c r="E25">
        <v>24</v>
      </c>
      <c r="F25">
        <v>1.0249999999999999</v>
      </c>
      <c r="G25">
        <v>2</v>
      </c>
    </row>
    <row r="26" spans="1:7">
      <c r="A26" t="s">
        <v>179</v>
      </c>
      <c r="B26" t="s">
        <v>144</v>
      </c>
      <c r="C26" t="s">
        <v>150</v>
      </c>
      <c r="D26" t="s">
        <v>151</v>
      </c>
      <c r="E26">
        <v>25</v>
      </c>
      <c r="F26">
        <v>0.95000000000000007</v>
      </c>
      <c r="G26">
        <v>1.9</v>
      </c>
    </row>
    <row r="27" spans="1:7">
      <c r="A27" t="s">
        <v>179</v>
      </c>
      <c r="B27" t="s">
        <v>144</v>
      </c>
      <c r="C27" t="s">
        <v>150</v>
      </c>
      <c r="D27" t="s">
        <v>151</v>
      </c>
      <c r="E27">
        <v>26</v>
      </c>
      <c r="F27">
        <v>0.97500000000000009</v>
      </c>
      <c r="G27">
        <v>1.9</v>
      </c>
    </row>
    <row r="28" spans="1:7">
      <c r="A28" t="s">
        <v>179</v>
      </c>
      <c r="B28" t="s">
        <v>144</v>
      </c>
      <c r="C28" t="s">
        <v>150</v>
      </c>
      <c r="D28" t="s">
        <v>151</v>
      </c>
      <c r="E28">
        <v>27</v>
      </c>
      <c r="F28">
        <v>1.3</v>
      </c>
      <c r="G28">
        <v>1.9</v>
      </c>
    </row>
    <row r="29" spans="1:7">
      <c r="A29" t="s">
        <v>179</v>
      </c>
      <c r="B29" t="s">
        <v>144</v>
      </c>
      <c r="C29" t="s">
        <v>150</v>
      </c>
      <c r="D29" t="s">
        <v>151</v>
      </c>
      <c r="E29">
        <v>28</v>
      </c>
      <c r="F29">
        <v>1.1749999999999998</v>
      </c>
      <c r="G29">
        <v>2</v>
      </c>
    </row>
    <row r="30" spans="1:7">
      <c r="A30" t="s">
        <v>179</v>
      </c>
      <c r="B30" t="s">
        <v>144</v>
      </c>
      <c r="C30" t="s">
        <v>150</v>
      </c>
      <c r="D30" t="s">
        <v>151</v>
      </c>
      <c r="E30">
        <v>29</v>
      </c>
      <c r="F30">
        <v>1.25</v>
      </c>
      <c r="G30">
        <v>2</v>
      </c>
    </row>
    <row r="31" spans="1:7">
      <c r="A31" t="s">
        <v>179</v>
      </c>
      <c r="B31" t="s">
        <v>144</v>
      </c>
      <c r="C31" t="s">
        <v>150</v>
      </c>
      <c r="D31" t="s">
        <v>151</v>
      </c>
      <c r="E31">
        <v>30</v>
      </c>
      <c r="F31">
        <v>1.3</v>
      </c>
      <c r="G31">
        <v>2</v>
      </c>
    </row>
    <row r="32" spans="1:7">
      <c r="A32" t="s">
        <v>179</v>
      </c>
      <c r="B32" t="s">
        <v>144</v>
      </c>
      <c r="C32" t="s">
        <v>150</v>
      </c>
      <c r="D32" t="s">
        <v>151</v>
      </c>
      <c r="E32">
        <v>31</v>
      </c>
      <c r="F32">
        <v>1.325</v>
      </c>
      <c r="G32">
        <v>1.9</v>
      </c>
    </row>
    <row r="33" spans="1:7">
      <c r="A33" t="s">
        <v>180</v>
      </c>
      <c r="B33" t="s">
        <v>145</v>
      </c>
      <c r="C33" t="s">
        <v>150</v>
      </c>
      <c r="D33" t="s">
        <v>151</v>
      </c>
      <c r="E33">
        <v>1</v>
      </c>
      <c r="F33">
        <v>2.2749999999999999</v>
      </c>
      <c r="G33">
        <v>3.1</v>
      </c>
    </row>
    <row r="34" spans="1:7">
      <c r="A34" t="s">
        <v>180</v>
      </c>
      <c r="B34" t="s">
        <v>145</v>
      </c>
      <c r="C34" t="s">
        <v>150</v>
      </c>
      <c r="D34" t="s">
        <v>151</v>
      </c>
      <c r="E34">
        <v>2</v>
      </c>
      <c r="F34">
        <v>2.35</v>
      </c>
      <c r="G34">
        <v>3</v>
      </c>
    </row>
    <row r="35" spans="1:7">
      <c r="A35" t="s">
        <v>180</v>
      </c>
      <c r="B35" t="s">
        <v>145</v>
      </c>
      <c r="C35" t="s">
        <v>150</v>
      </c>
      <c r="D35" t="s">
        <v>151</v>
      </c>
      <c r="E35">
        <v>3</v>
      </c>
      <c r="F35">
        <v>2.3250000000000002</v>
      </c>
      <c r="G35">
        <v>2.9</v>
      </c>
    </row>
    <row r="36" spans="1:7">
      <c r="A36" t="s">
        <v>180</v>
      </c>
      <c r="B36" t="s">
        <v>145</v>
      </c>
      <c r="C36" t="s">
        <v>150</v>
      </c>
      <c r="D36" t="s">
        <v>151</v>
      </c>
      <c r="E36">
        <v>4</v>
      </c>
      <c r="F36">
        <v>2.2249999999999996</v>
      </c>
      <c r="G36">
        <v>2.6</v>
      </c>
    </row>
    <row r="37" spans="1:7">
      <c r="A37" t="s">
        <v>180</v>
      </c>
      <c r="B37" t="s">
        <v>145</v>
      </c>
      <c r="C37" t="s">
        <v>150</v>
      </c>
      <c r="D37" t="s">
        <v>151</v>
      </c>
      <c r="E37">
        <v>5</v>
      </c>
      <c r="F37">
        <v>1.9333333333333336</v>
      </c>
      <c r="G37">
        <v>2.2000000000000002</v>
      </c>
    </row>
    <row r="38" spans="1:7">
      <c r="A38" t="s">
        <v>180</v>
      </c>
      <c r="B38" t="s">
        <v>145</v>
      </c>
      <c r="C38" t="s">
        <v>150</v>
      </c>
      <c r="D38" t="s">
        <v>151</v>
      </c>
      <c r="E38">
        <v>6</v>
      </c>
      <c r="F38">
        <v>1.7999999999999998</v>
      </c>
      <c r="G38">
        <v>2.2999999999999998</v>
      </c>
    </row>
    <row r="39" spans="1:7">
      <c r="A39" t="s">
        <v>180</v>
      </c>
      <c r="B39" t="s">
        <v>145</v>
      </c>
      <c r="C39" t="s">
        <v>150</v>
      </c>
      <c r="D39" t="s">
        <v>151</v>
      </c>
      <c r="E39">
        <v>7</v>
      </c>
      <c r="F39">
        <v>1.625</v>
      </c>
      <c r="G39">
        <v>2.2999999999999998</v>
      </c>
    </row>
    <row r="40" spans="1:7">
      <c r="A40" t="s">
        <v>180</v>
      </c>
      <c r="B40" t="s">
        <v>145</v>
      </c>
      <c r="C40" t="s">
        <v>150</v>
      </c>
      <c r="D40" t="s">
        <v>151</v>
      </c>
      <c r="E40">
        <v>8</v>
      </c>
      <c r="F40">
        <v>1.4000000000000001</v>
      </c>
      <c r="G40">
        <v>2.2000000000000002</v>
      </c>
    </row>
    <row r="41" spans="1:7">
      <c r="A41" t="s">
        <v>180</v>
      </c>
      <c r="B41" t="s">
        <v>145</v>
      </c>
      <c r="C41" t="s">
        <v>150</v>
      </c>
      <c r="D41" t="s">
        <v>151</v>
      </c>
      <c r="E41">
        <v>9</v>
      </c>
      <c r="F41">
        <v>1.2500000000000002</v>
      </c>
      <c r="G41">
        <v>2.2000000000000002</v>
      </c>
    </row>
    <row r="42" spans="1:7">
      <c r="A42" t="s">
        <v>180</v>
      </c>
      <c r="B42" t="s">
        <v>145</v>
      </c>
      <c r="C42" t="s">
        <v>150</v>
      </c>
      <c r="D42" t="s">
        <v>151</v>
      </c>
      <c r="E42">
        <v>10</v>
      </c>
      <c r="F42">
        <v>1.125</v>
      </c>
      <c r="G42">
        <v>2.1</v>
      </c>
    </row>
    <row r="43" spans="1:7">
      <c r="A43" t="s">
        <v>180</v>
      </c>
      <c r="B43" t="s">
        <v>145</v>
      </c>
      <c r="C43" t="s">
        <v>150</v>
      </c>
      <c r="D43" t="s">
        <v>151</v>
      </c>
      <c r="E43">
        <v>11</v>
      </c>
      <c r="F43">
        <v>1.175</v>
      </c>
      <c r="G43">
        <v>2.1</v>
      </c>
    </row>
    <row r="44" spans="1:7">
      <c r="A44" t="s">
        <v>180</v>
      </c>
      <c r="B44" t="s">
        <v>145</v>
      </c>
      <c r="C44" t="s">
        <v>150</v>
      </c>
      <c r="D44" t="s">
        <v>151</v>
      </c>
      <c r="E44">
        <v>12</v>
      </c>
      <c r="F44">
        <v>1.25</v>
      </c>
      <c r="G44">
        <v>2.1</v>
      </c>
    </row>
    <row r="45" spans="1:7">
      <c r="A45" t="s">
        <v>180</v>
      </c>
      <c r="B45" t="s">
        <v>145</v>
      </c>
      <c r="C45" t="s">
        <v>150</v>
      </c>
      <c r="D45" t="s">
        <v>151</v>
      </c>
      <c r="E45">
        <v>13</v>
      </c>
      <c r="F45">
        <v>1.7666666666666666</v>
      </c>
      <c r="G45">
        <v>2.2000000000000002</v>
      </c>
    </row>
    <row r="46" spans="1:7">
      <c r="A46" t="s">
        <v>180</v>
      </c>
      <c r="B46" t="s">
        <v>145</v>
      </c>
      <c r="C46" t="s">
        <v>150</v>
      </c>
      <c r="D46" t="s">
        <v>151</v>
      </c>
      <c r="E46">
        <v>14</v>
      </c>
      <c r="F46">
        <v>1.5499999999999998</v>
      </c>
      <c r="G46">
        <v>2.2999999999999998</v>
      </c>
    </row>
    <row r="47" spans="1:7">
      <c r="A47" t="s">
        <v>180</v>
      </c>
      <c r="B47" t="s">
        <v>145</v>
      </c>
      <c r="C47" t="s">
        <v>150</v>
      </c>
      <c r="D47" t="s">
        <v>151</v>
      </c>
      <c r="E47">
        <v>15</v>
      </c>
      <c r="F47">
        <v>1.7249999999999999</v>
      </c>
      <c r="G47">
        <v>2.4</v>
      </c>
    </row>
    <row r="48" spans="1:7">
      <c r="A48" t="s">
        <v>180</v>
      </c>
      <c r="B48" t="s">
        <v>145</v>
      </c>
      <c r="C48" t="s">
        <v>150</v>
      </c>
      <c r="D48" t="s">
        <v>151</v>
      </c>
      <c r="E48">
        <v>16</v>
      </c>
      <c r="F48">
        <v>1.8749999999999998</v>
      </c>
      <c r="G48">
        <v>2.5</v>
      </c>
    </row>
    <row r="49" spans="1:7">
      <c r="A49" t="s">
        <v>180</v>
      </c>
      <c r="B49" t="s">
        <v>145</v>
      </c>
      <c r="C49" t="s">
        <v>150</v>
      </c>
      <c r="D49" t="s">
        <v>151</v>
      </c>
      <c r="E49">
        <v>17</v>
      </c>
      <c r="F49">
        <v>2.0499999999999998</v>
      </c>
      <c r="G49">
        <v>2.6</v>
      </c>
    </row>
    <row r="50" spans="1:7">
      <c r="A50" t="s">
        <v>180</v>
      </c>
      <c r="B50" t="s">
        <v>145</v>
      </c>
      <c r="C50" t="s">
        <v>150</v>
      </c>
      <c r="D50" t="s">
        <v>151</v>
      </c>
      <c r="E50">
        <v>18</v>
      </c>
      <c r="F50">
        <v>2.15</v>
      </c>
      <c r="G50">
        <v>2.5</v>
      </c>
    </row>
    <row r="51" spans="1:7">
      <c r="A51" t="s">
        <v>180</v>
      </c>
      <c r="B51" t="s">
        <v>145</v>
      </c>
      <c r="C51" t="s">
        <v>150</v>
      </c>
      <c r="D51" t="s">
        <v>151</v>
      </c>
      <c r="E51">
        <v>19</v>
      </c>
      <c r="F51">
        <v>2.1749999999999998</v>
      </c>
      <c r="G51">
        <v>2.5</v>
      </c>
    </row>
    <row r="52" spans="1:7">
      <c r="A52" t="s">
        <v>180</v>
      </c>
      <c r="B52" t="s">
        <v>145</v>
      </c>
      <c r="C52" t="s">
        <v>150</v>
      </c>
      <c r="D52" t="s">
        <v>151</v>
      </c>
      <c r="E52">
        <v>20</v>
      </c>
      <c r="F52">
        <v>2.15</v>
      </c>
      <c r="G52">
        <v>2.6</v>
      </c>
    </row>
    <row r="53" spans="1:7">
      <c r="A53" t="s">
        <v>180</v>
      </c>
      <c r="B53" t="s">
        <v>145</v>
      </c>
      <c r="C53" t="s">
        <v>150</v>
      </c>
      <c r="D53" t="s">
        <v>151</v>
      </c>
      <c r="E53">
        <v>21</v>
      </c>
      <c r="F53">
        <v>1.9333333333333333</v>
      </c>
      <c r="G53">
        <v>2</v>
      </c>
    </row>
    <row r="54" spans="1:7">
      <c r="A54" t="s">
        <v>180</v>
      </c>
      <c r="B54" t="s">
        <v>145</v>
      </c>
      <c r="C54" t="s">
        <v>150</v>
      </c>
      <c r="D54" t="s">
        <v>151</v>
      </c>
      <c r="E54">
        <v>22</v>
      </c>
      <c r="F54">
        <v>1.95</v>
      </c>
      <c r="G54">
        <v>2.7</v>
      </c>
    </row>
    <row r="55" spans="1:7">
      <c r="A55" t="s">
        <v>180</v>
      </c>
      <c r="B55" t="s">
        <v>145</v>
      </c>
      <c r="C55" t="s">
        <v>150</v>
      </c>
      <c r="D55" t="s">
        <v>151</v>
      </c>
      <c r="E55">
        <v>23</v>
      </c>
      <c r="F55">
        <v>1.8</v>
      </c>
      <c r="G55">
        <v>2.7</v>
      </c>
    </row>
    <row r="56" spans="1:7">
      <c r="A56" t="s">
        <v>180</v>
      </c>
      <c r="B56" t="s">
        <v>145</v>
      </c>
      <c r="C56" t="s">
        <v>150</v>
      </c>
      <c r="D56" t="s">
        <v>151</v>
      </c>
      <c r="E56">
        <v>24</v>
      </c>
      <c r="F56">
        <v>1.6500000000000001</v>
      </c>
      <c r="G56">
        <v>2.6</v>
      </c>
    </row>
    <row r="57" spans="1:7">
      <c r="A57" t="s">
        <v>180</v>
      </c>
      <c r="B57" t="s">
        <v>145</v>
      </c>
      <c r="C57" t="s">
        <v>150</v>
      </c>
      <c r="D57" t="s">
        <v>151</v>
      </c>
      <c r="E57">
        <v>25</v>
      </c>
      <c r="F57">
        <v>1.5999999999999999</v>
      </c>
      <c r="G57">
        <v>2.6</v>
      </c>
    </row>
    <row r="58" spans="1:7">
      <c r="A58" t="s">
        <v>180</v>
      </c>
      <c r="B58" t="s">
        <v>145</v>
      </c>
      <c r="C58" t="s">
        <v>150</v>
      </c>
      <c r="D58" t="s">
        <v>151</v>
      </c>
      <c r="E58">
        <v>26</v>
      </c>
      <c r="F58">
        <v>1.65</v>
      </c>
      <c r="G58">
        <v>2.6</v>
      </c>
    </row>
    <row r="59" spans="1:7">
      <c r="A59" t="s">
        <v>180</v>
      </c>
      <c r="B59" t="s">
        <v>145</v>
      </c>
      <c r="C59" t="s">
        <v>150</v>
      </c>
      <c r="D59" t="s">
        <v>151</v>
      </c>
      <c r="E59">
        <v>27</v>
      </c>
      <c r="F59">
        <v>2.1333333333333333</v>
      </c>
      <c r="G59">
        <v>2.6</v>
      </c>
    </row>
    <row r="60" spans="1:7">
      <c r="A60" t="s">
        <v>180</v>
      </c>
      <c r="B60" t="s">
        <v>145</v>
      </c>
      <c r="C60" t="s">
        <v>150</v>
      </c>
      <c r="D60" t="s">
        <v>151</v>
      </c>
      <c r="E60">
        <v>28</v>
      </c>
      <c r="F60">
        <v>1.925</v>
      </c>
      <c r="G60">
        <v>2.6</v>
      </c>
    </row>
    <row r="61" spans="1:7">
      <c r="A61" t="s">
        <v>180</v>
      </c>
      <c r="B61" t="s">
        <v>145</v>
      </c>
      <c r="C61" t="s">
        <v>150</v>
      </c>
      <c r="D61" t="s">
        <v>151</v>
      </c>
      <c r="E61">
        <v>29</v>
      </c>
      <c r="F61">
        <v>2.0750000000000002</v>
      </c>
      <c r="G61">
        <v>2.6</v>
      </c>
    </row>
    <row r="62" spans="1:7">
      <c r="A62" t="s">
        <v>180</v>
      </c>
      <c r="B62" t="s">
        <v>145</v>
      </c>
      <c r="C62" t="s">
        <v>150</v>
      </c>
      <c r="D62" t="s">
        <v>151</v>
      </c>
      <c r="E62">
        <v>30</v>
      </c>
      <c r="F62">
        <v>2.1749999999999998</v>
      </c>
      <c r="G62">
        <v>2.6</v>
      </c>
    </row>
    <row r="63" spans="1:7">
      <c r="A63" t="s">
        <v>180</v>
      </c>
      <c r="B63" t="s">
        <v>145</v>
      </c>
      <c r="C63" t="s">
        <v>150</v>
      </c>
      <c r="D63" t="s">
        <v>151</v>
      </c>
      <c r="E63">
        <v>31</v>
      </c>
      <c r="F63">
        <v>2.2749999999999999</v>
      </c>
      <c r="G63">
        <v>2.6</v>
      </c>
    </row>
    <row r="64" spans="1:7">
      <c r="A64" t="s">
        <v>181</v>
      </c>
      <c r="B64" t="s">
        <v>146</v>
      </c>
      <c r="C64" t="s">
        <v>150</v>
      </c>
      <c r="D64" t="s">
        <v>151</v>
      </c>
      <c r="E64">
        <v>1</v>
      </c>
      <c r="F64">
        <v>1.7749999999999999</v>
      </c>
      <c r="G64">
        <v>2.5</v>
      </c>
    </row>
    <row r="65" spans="1:7">
      <c r="A65" t="s">
        <v>181</v>
      </c>
      <c r="B65" t="s">
        <v>146</v>
      </c>
      <c r="C65" t="s">
        <v>150</v>
      </c>
      <c r="D65" t="s">
        <v>151</v>
      </c>
      <c r="E65">
        <v>2</v>
      </c>
      <c r="F65">
        <v>1.7999999999999998</v>
      </c>
      <c r="G65">
        <v>2.4</v>
      </c>
    </row>
    <row r="66" spans="1:7">
      <c r="A66" t="s">
        <v>181</v>
      </c>
      <c r="B66" t="s">
        <v>146</v>
      </c>
      <c r="C66" t="s">
        <v>150</v>
      </c>
      <c r="D66" t="s">
        <v>151</v>
      </c>
      <c r="E66">
        <v>3</v>
      </c>
      <c r="F66">
        <v>1.7750000000000001</v>
      </c>
      <c r="G66">
        <v>2.2999999999999998</v>
      </c>
    </row>
    <row r="67" spans="1:7">
      <c r="A67" t="s">
        <v>181</v>
      </c>
      <c r="B67" t="s">
        <v>146</v>
      </c>
      <c r="C67" t="s">
        <v>150</v>
      </c>
      <c r="D67" t="s">
        <v>151</v>
      </c>
      <c r="E67">
        <v>4</v>
      </c>
      <c r="F67">
        <v>1.7</v>
      </c>
      <c r="G67">
        <v>2.1</v>
      </c>
    </row>
    <row r="68" spans="1:7">
      <c r="A68" t="s">
        <v>181</v>
      </c>
      <c r="B68" t="s">
        <v>146</v>
      </c>
      <c r="C68" t="s">
        <v>150</v>
      </c>
      <c r="D68" t="s">
        <v>151</v>
      </c>
      <c r="E68">
        <v>5</v>
      </c>
      <c r="F68">
        <v>1.575</v>
      </c>
      <c r="G68">
        <v>1.8</v>
      </c>
    </row>
    <row r="69" spans="1:7">
      <c r="A69" t="s">
        <v>181</v>
      </c>
      <c r="B69" t="s">
        <v>146</v>
      </c>
      <c r="C69" t="s">
        <v>150</v>
      </c>
      <c r="D69" t="s">
        <v>151</v>
      </c>
      <c r="E69">
        <v>6</v>
      </c>
      <c r="F69">
        <v>1.375</v>
      </c>
      <c r="G69">
        <v>1.7</v>
      </c>
    </row>
    <row r="70" spans="1:7">
      <c r="A70" t="s">
        <v>181</v>
      </c>
      <c r="B70" t="s">
        <v>146</v>
      </c>
      <c r="C70" t="s">
        <v>150</v>
      </c>
      <c r="D70" t="s">
        <v>151</v>
      </c>
      <c r="E70">
        <v>7</v>
      </c>
      <c r="F70">
        <v>1.2250000000000001</v>
      </c>
      <c r="G70">
        <v>1.7</v>
      </c>
    </row>
    <row r="71" spans="1:7">
      <c r="A71" t="s">
        <v>181</v>
      </c>
      <c r="B71" t="s">
        <v>146</v>
      </c>
      <c r="C71" t="s">
        <v>150</v>
      </c>
      <c r="D71" t="s">
        <v>151</v>
      </c>
      <c r="E71">
        <v>8</v>
      </c>
      <c r="F71">
        <v>1.1000000000000001</v>
      </c>
      <c r="G71">
        <v>1.7</v>
      </c>
    </row>
    <row r="72" spans="1:7">
      <c r="A72" t="s">
        <v>181</v>
      </c>
      <c r="B72" t="s">
        <v>146</v>
      </c>
      <c r="C72" t="s">
        <v>150</v>
      </c>
      <c r="D72" t="s">
        <v>151</v>
      </c>
      <c r="E72">
        <v>9</v>
      </c>
      <c r="F72">
        <v>0.95000000000000007</v>
      </c>
      <c r="G72">
        <v>1.6</v>
      </c>
    </row>
    <row r="73" spans="1:7">
      <c r="A73" t="s">
        <v>181</v>
      </c>
      <c r="B73" t="s">
        <v>146</v>
      </c>
      <c r="C73" t="s">
        <v>150</v>
      </c>
      <c r="D73" t="s">
        <v>151</v>
      </c>
      <c r="E73">
        <v>10</v>
      </c>
      <c r="F73">
        <v>0.875</v>
      </c>
      <c r="G73">
        <v>1.6</v>
      </c>
    </row>
    <row r="74" spans="1:7">
      <c r="A74" t="s">
        <v>181</v>
      </c>
      <c r="B74" t="s">
        <v>146</v>
      </c>
      <c r="C74" t="s">
        <v>150</v>
      </c>
      <c r="D74" t="s">
        <v>151</v>
      </c>
      <c r="E74">
        <v>11</v>
      </c>
      <c r="F74">
        <v>0.90000000000000013</v>
      </c>
      <c r="G74">
        <v>1.6</v>
      </c>
    </row>
    <row r="75" spans="1:7">
      <c r="A75" t="s">
        <v>181</v>
      </c>
      <c r="B75" t="s">
        <v>146</v>
      </c>
      <c r="C75" t="s">
        <v>150</v>
      </c>
      <c r="D75" t="s">
        <v>151</v>
      </c>
      <c r="E75">
        <v>12</v>
      </c>
      <c r="F75">
        <v>1.2333333333333334</v>
      </c>
      <c r="G75">
        <v>1.6</v>
      </c>
    </row>
    <row r="76" spans="1:7">
      <c r="A76" t="s">
        <v>181</v>
      </c>
      <c r="B76" t="s">
        <v>146</v>
      </c>
      <c r="C76" t="s">
        <v>150</v>
      </c>
      <c r="D76" t="s">
        <v>151</v>
      </c>
      <c r="E76">
        <v>13</v>
      </c>
      <c r="F76">
        <v>1.05</v>
      </c>
      <c r="G76">
        <v>1.6</v>
      </c>
    </row>
    <row r="77" spans="1:7">
      <c r="A77" t="s">
        <v>181</v>
      </c>
      <c r="B77" t="s">
        <v>146</v>
      </c>
      <c r="C77" t="s">
        <v>150</v>
      </c>
      <c r="D77" t="s">
        <v>151</v>
      </c>
      <c r="E77">
        <v>14</v>
      </c>
      <c r="F77">
        <v>1.2000000000000002</v>
      </c>
      <c r="G77">
        <v>1.7</v>
      </c>
    </row>
    <row r="78" spans="1:7">
      <c r="A78" t="s">
        <v>181</v>
      </c>
      <c r="B78" t="s">
        <v>146</v>
      </c>
      <c r="C78" t="s">
        <v>150</v>
      </c>
      <c r="D78" t="s">
        <v>151</v>
      </c>
      <c r="E78">
        <v>15</v>
      </c>
      <c r="F78">
        <v>1.325</v>
      </c>
      <c r="G78">
        <v>1.8</v>
      </c>
    </row>
    <row r="79" spans="1:7">
      <c r="A79" t="s">
        <v>181</v>
      </c>
      <c r="B79" t="s">
        <v>146</v>
      </c>
      <c r="C79" t="s">
        <v>150</v>
      </c>
      <c r="D79" t="s">
        <v>151</v>
      </c>
      <c r="E79">
        <v>16</v>
      </c>
      <c r="F79">
        <v>1.4500000000000002</v>
      </c>
      <c r="G79">
        <v>1.9</v>
      </c>
    </row>
    <row r="80" spans="1:7">
      <c r="A80" t="s">
        <v>181</v>
      </c>
      <c r="B80" t="s">
        <v>146</v>
      </c>
      <c r="C80" t="s">
        <v>150</v>
      </c>
      <c r="D80" t="s">
        <v>151</v>
      </c>
      <c r="E80">
        <v>17</v>
      </c>
      <c r="F80">
        <v>1.5750000000000002</v>
      </c>
      <c r="G80">
        <v>2</v>
      </c>
    </row>
    <row r="81" spans="1:7">
      <c r="A81" t="s">
        <v>181</v>
      </c>
      <c r="B81" t="s">
        <v>146</v>
      </c>
      <c r="C81" t="s">
        <v>150</v>
      </c>
      <c r="D81" t="s">
        <v>151</v>
      </c>
      <c r="E81">
        <v>18</v>
      </c>
      <c r="F81">
        <v>1.6500000000000001</v>
      </c>
      <c r="G81">
        <v>2</v>
      </c>
    </row>
    <row r="82" spans="1:7">
      <c r="A82" t="s">
        <v>181</v>
      </c>
      <c r="B82" t="s">
        <v>146</v>
      </c>
      <c r="C82" t="s">
        <v>150</v>
      </c>
      <c r="D82" t="s">
        <v>151</v>
      </c>
      <c r="E82">
        <v>19</v>
      </c>
      <c r="F82">
        <v>1.6749999999999998</v>
      </c>
      <c r="G82">
        <v>1.9</v>
      </c>
    </row>
    <row r="83" spans="1:7">
      <c r="A83" t="s">
        <v>181</v>
      </c>
      <c r="B83" t="s">
        <v>146</v>
      </c>
      <c r="C83" t="s">
        <v>150</v>
      </c>
      <c r="D83" t="s">
        <v>151</v>
      </c>
      <c r="E83">
        <v>20</v>
      </c>
      <c r="F83">
        <v>1.5999999999999999</v>
      </c>
      <c r="G83">
        <v>1.7</v>
      </c>
    </row>
    <row r="84" spans="1:7">
      <c r="A84" t="s">
        <v>181</v>
      </c>
      <c r="B84" t="s">
        <v>146</v>
      </c>
      <c r="C84" t="s">
        <v>150</v>
      </c>
      <c r="D84" t="s">
        <v>151</v>
      </c>
      <c r="E84">
        <v>21</v>
      </c>
      <c r="F84">
        <v>1.625</v>
      </c>
      <c r="G84">
        <v>2</v>
      </c>
    </row>
    <row r="85" spans="1:7">
      <c r="A85" t="s">
        <v>181</v>
      </c>
      <c r="B85" t="s">
        <v>146</v>
      </c>
      <c r="C85" t="s">
        <v>150</v>
      </c>
      <c r="D85" t="s">
        <v>151</v>
      </c>
      <c r="E85">
        <v>22</v>
      </c>
      <c r="F85">
        <v>1.5</v>
      </c>
      <c r="G85">
        <v>2</v>
      </c>
    </row>
    <row r="86" spans="1:7">
      <c r="A86" t="s">
        <v>181</v>
      </c>
      <c r="B86" t="s">
        <v>146</v>
      </c>
      <c r="C86" t="s">
        <v>150</v>
      </c>
      <c r="D86" t="s">
        <v>151</v>
      </c>
      <c r="E86">
        <v>23</v>
      </c>
      <c r="F86">
        <v>1.4</v>
      </c>
      <c r="G86">
        <v>2</v>
      </c>
    </row>
    <row r="87" spans="1:7">
      <c r="A87" t="s">
        <v>181</v>
      </c>
      <c r="B87" t="s">
        <v>146</v>
      </c>
      <c r="C87" t="s">
        <v>150</v>
      </c>
      <c r="D87" t="s">
        <v>151</v>
      </c>
      <c r="E87">
        <v>24</v>
      </c>
      <c r="F87">
        <v>1.2750000000000001</v>
      </c>
      <c r="G87">
        <v>2</v>
      </c>
    </row>
    <row r="88" spans="1:7">
      <c r="A88" t="s">
        <v>181</v>
      </c>
      <c r="B88" t="s">
        <v>146</v>
      </c>
      <c r="C88" t="s">
        <v>150</v>
      </c>
      <c r="D88" t="s">
        <v>151</v>
      </c>
      <c r="E88">
        <v>25</v>
      </c>
      <c r="F88">
        <v>1.2250000000000001</v>
      </c>
      <c r="G88">
        <v>1.9</v>
      </c>
    </row>
    <row r="89" spans="1:7">
      <c r="A89" t="s">
        <v>181</v>
      </c>
      <c r="B89" t="s">
        <v>146</v>
      </c>
      <c r="C89" t="s">
        <v>150</v>
      </c>
      <c r="D89" t="s">
        <v>151</v>
      </c>
      <c r="E89">
        <v>26</v>
      </c>
      <c r="F89">
        <v>1.2749999999999999</v>
      </c>
      <c r="G89">
        <v>1.9</v>
      </c>
    </row>
    <row r="90" spans="1:7">
      <c r="A90" t="s">
        <v>181</v>
      </c>
      <c r="B90" t="s">
        <v>146</v>
      </c>
      <c r="C90" t="s">
        <v>150</v>
      </c>
      <c r="D90" t="s">
        <v>151</v>
      </c>
      <c r="E90">
        <v>27</v>
      </c>
      <c r="F90">
        <v>1.6000000000000003</v>
      </c>
      <c r="G90">
        <v>1.9</v>
      </c>
    </row>
    <row r="91" spans="1:7">
      <c r="A91" t="s">
        <v>181</v>
      </c>
      <c r="B91" t="s">
        <v>146</v>
      </c>
      <c r="C91" t="s">
        <v>150</v>
      </c>
      <c r="D91" t="s">
        <v>151</v>
      </c>
      <c r="E91">
        <v>28</v>
      </c>
      <c r="F91">
        <v>1.5</v>
      </c>
      <c r="G91">
        <v>2</v>
      </c>
    </row>
    <row r="92" spans="1:7">
      <c r="A92" t="s">
        <v>181</v>
      </c>
      <c r="B92" t="s">
        <v>146</v>
      </c>
      <c r="C92" t="s">
        <v>150</v>
      </c>
      <c r="D92" t="s">
        <v>151</v>
      </c>
      <c r="E92">
        <v>29</v>
      </c>
      <c r="F92">
        <v>1.625</v>
      </c>
      <c r="G92">
        <v>2.1</v>
      </c>
    </row>
    <row r="93" spans="1:7">
      <c r="A93" t="s">
        <v>181</v>
      </c>
      <c r="B93" t="s">
        <v>146</v>
      </c>
      <c r="C93" t="s">
        <v>150</v>
      </c>
      <c r="D93" t="s">
        <v>151</v>
      </c>
      <c r="E93">
        <v>30</v>
      </c>
      <c r="F93">
        <v>1.7</v>
      </c>
      <c r="G93">
        <v>2.1</v>
      </c>
    </row>
    <row r="94" spans="1:7">
      <c r="A94" t="s">
        <v>181</v>
      </c>
      <c r="B94" t="s">
        <v>146</v>
      </c>
      <c r="C94" t="s">
        <v>150</v>
      </c>
      <c r="D94" t="s">
        <v>151</v>
      </c>
      <c r="E94">
        <v>31</v>
      </c>
      <c r="F94">
        <v>1.75</v>
      </c>
      <c r="G94">
        <v>2</v>
      </c>
    </row>
    <row r="95" spans="1:7">
      <c r="A95" t="s">
        <v>182</v>
      </c>
      <c r="B95" t="s">
        <v>147</v>
      </c>
      <c r="C95" t="s">
        <v>150</v>
      </c>
      <c r="D95" t="s">
        <v>138</v>
      </c>
      <c r="E95">
        <v>1</v>
      </c>
      <c r="F95">
        <v>2</v>
      </c>
      <c r="G95">
        <v>3.5</v>
      </c>
    </row>
    <row r="96" spans="1:7">
      <c r="A96" t="s">
        <v>182</v>
      </c>
      <c r="B96" t="s">
        <v>147</v>
      </c>
      <c r="C96" t="s">
        <v>150</v>
      </c>
      <c r="D96" t="s">
        <v>138</v>
      </c>
      <c r="E96">
        <v>2</v>
      </c>
      <c r="F96">
        <v>2</v>
      </c>
      <c r="G96">
        <v>3.4</v>
      </c>
    </row>
    <row r="97" spans="1:7">
      <c r="A97" t="s">
        <v>182</v>
      </c>
      <c r="B97" t="s">
        <v>147</v>
      </c>
      <c r="C97" t="s">
        <v>150</v>
      </c>
      <c r="D97" t="s">
        <v>138</v>
      </c>
      <c r="E97">
        <v>3</v>
      </c>
      <c r="F97">
        <v>1.9000000000000001</v>
      </c>
      <c r="G97">
        <v>3.1</v>
      </c>
    </row>
    <row r="98" spans="1:7">
      <c r="A98" t="s">
        <v>182</v>
      </c>
      <c r="B98" t="s">
        <v>147</v>
      </c>
      <c r="C98" t="s">
        <v>150</v>
      </c>
      <c r="D98" t="s">
        <v>138</v>
      </c>
      <c r="E98">
        <v>4</v>
      </c>
      <c r="F98">
        <v>1.8</v>
      </c>
      <c r="G98">
        <v>2.8</v>
      </c>
    </row>
    <row r="99" spans="1:7">
      <c r="A99" t="s">
        <v>182</v>
      </c>
      <c r="B99" t="s">
        <v>147</v>
      </c>
      <c r="C99" t="s">
        <v>150</v>
      </c>
      <c r="D99" t="s">
        <v>138</v>
      </c>
      <c r="E99">
        <v>5</v>
      </c>
      <c r="F99">
        <v>1.575</v>
      </c>
      <c r="G99">
        <v>2.5</v>
      </c>
    </row>
    <row r="100" spans="1:7">
      <c r="A100" t="s">
        <v>182</v>
      </c>
      <c r="B100" t="s">
        <v>147</v>
      </c>
      <c r="C100" t="s">
        <v>150</v>
      </c>
      <c r="D100" t="s">
        <v>138</v>
      </c>
      <c r="E100">
        <v>6</v>
      </c>
      <c r="F100">
        <v>1.0666666666666667</v>
      </c>
      <c r="G100">
        <v>1.8</v>
      </c>
    </row>
    <row r="101" spans="1:7">
      <c r="A101" t="s">
        <v>182</v>
      </c>
      <c r="B101" t="s">
        <v>147</v>
      </c>
      <c r="C101" t="s">
        <v>150</v>
      </c>
      <c r="D101" t="s">
        <v>138</v>
      </c>
      <c r="E101">
        <v>7</v>
      </c>
      <c r="F101">
        <v>1.25</v>
      </c>
      <c r="G101">
        <v>2.4</v>
      </c>
    </row>
    <row r="102" spans="1:7">
      <c r="A102" t="s">
        <v>182</v>
      </c>
      <c r="B102" t="s">
        <v>147</v>
      </c>
      <c r="C102" t="s">
        <v>150</v>
      </c>
      <c r="D102" t="s">
        <v>138</v>
      </c>
      <c r="E102">
        <v>8</v>
      </c>
      <c r="F102">
        <v>1.0750000000000002</v>
      </c>
      <c r="G102">
        <v>2.2000000000000002</v>
      </c>
    </row>
    <row r="103" spans="1:7">
      <c r="A103" t="s">
        <v>182</v>
      </c>
      <c r="B103" t="s">
        <v>147</v>
      </c>
      <c r="C103" t="s">
        <v>150</v>
      </c>
      <c r="D103" t="s">
        <v>138</v>
      </c>
      <c r="E103">
        <v>9</v>
      </c>
      <c r="F103">
        <v>1.0000000000000002</v>
      </c>
      <c r="G103">
        <v>2.2000000000000002</v>
      </c>
    </row>
    <row r="104" spans="1:7">
      <c r="A104" t="s">
        <v>182</v>
      </c>
      <c r="B104" t="s">
        <v>147</v>
      </c>
      <c r="C104" t="s">
        <v>150</v>
      </c>
      <c r="D104" t="s">
        <v>138</v>
      </c>
      <c r="E104">
        <v>10</v>
      </c>
      <c r="F104">
        <v>0.97500000000000009</v>
      </c>
      <c r="G104">
        <v>2.2000000000000002</v>
      </c>
    </row>
    <row r="105" spans="1:7">
      <c r="A105" t="s">
        <v>182</v>
      </c>
      <c r="B105" t="s">
        <v>147</v>
      </c>
      <c r="C105" t="s">
        <v>150</v>
      </c>
      <c r="D105" t="s">
        <v>138</v>
      </c>
      <c r="E105">
        <v>11</v>
      </c>
      <c r="F105">
        <v>1.0250000000000001</v>
      </c>
      <c r="G105">
        <v>2.2000000000000002</v>
      </c>
    </row>
    <row r="106" spans="1:7">
      <c r="A106" t="s">
        <v>182</v>
      </c>
      <c r="B106" t="s">
        <v>147</v>
      </c>
      <c r="C106" t="s">
        <v>150</v>
      </c>
      <c r="D106" t="s">
        <v>138</v>
      </c>
      <c r="E106">
        <v>12</v>
      </c>
      <c r="F106">
        <v>1.125</v>
      </c>
      <c r="G106">
        <v>2.2000000000000002</v>
      </c>
    </row>
    <row r="107" spans="1:7">
      <c r="A107" t="s">
        <v>182</v>
      </c>
      <c r="B107" t="s">
        <v>147</v>
      </c>
      <c r="C107" t="s">
        <v>150</v>
      </c>
      <c r="D107" t="s">
        <v>138</v>
      </c>
      <c r="E107">
        <v>13</v>
      </c>
      <c r="F107">
        <v>1.3250000000000002</v>
      </c>
      <c r="G107">
        <v>2.4</v>
      </c>
    </row>
    <row r="108" spans="1:7">
      <c r="A108" t="s">
        <v>182</v>
      </c>
      <c r="B108" t="s">
        <v>147</v>
      </c>
      <c r="C108" t="s">
        <v>150</v>
      </c>
      <c r="D108" t="s">
        <v>138</v>
      </c>
      <c r="E108">
        <v>14</v>
      </c>
      <c r="F108">
        <v>1.8333333333333333</v>
      </c>
      <c r="G108">
        <v>2.6</v>
      </c>
    </row>
    <row r="109" spans="1:7">
      <c r="A109" t="s">
        <v>182</v>
      </c>
      <c r="B109" t="s">
        <v>147</v>
      </c>
      <c r="C109" t="s">
        <v>150</v>
      </c>
      <c r="D109" t="s">
        <v>138</v>
      </c>
      <c r="E109">
        <v>15</v>
      </c>
      <c r="F109">
        <v>1.6</v>
      </c>
      <c r="G109">
        <v>2.8</v>
      </c>
    </row>
    <row r="110" spans="1:7">
      <c r="A110" t="s">
        <v>182</v>
      </c>
      <c r="B110" t="s">
        <v>147</v>
      </c>
      <c r="C110" t="s">
        <v>150</v>
      </c>
      <c r="D110" t="s">
        <v>138</v>
      </c>
      <c r="E110">
        <v>16</v>
      </c>
      <c r="F110">
        <v>1.7249999999999999</v>
      </c>
      <c r="G110">
        <v>2.9</v>
      </c>
    </row>
    <row r="111" spans="1:7">
      <c r="A111" t="s">
        <v>182</v>
      </c>
      <c r="B111" t="s">
        <v>147</v>
      </c>
      <c r="C111" t="s">
        <v>150</v>
      </c>
      <c r="D111" t="s">
        <v>138</v>
      </c>
      <c r="E111">
        <v>17</v>
      </c>
      <c r="F111">
        <v>1.85</v>
      </c>
      <c r="G111">
        <v>3</v>
      </c>
    </row>
    <row r="112" spans="1:7">
      <c r="A112" t="s">
        <v>182</v>
      </c>
      <c r="B112" t="s">
        <v>147</v>
      </c>
      <c r="C112" t="s">
        <v>150</v>
      </c>
      <c r="D112" t="s">
        <v>138</v>
      </c>
      <c r="E112">
        <v>18</v>
      </c>
      <c r="F112">
        <v>1.9250000000000003</v>
      </c>
      <c r="G112">
        <v>3</v>
      </c>
    </row>
    <row r="113" spans="1:7">
      <c r="A113" t="s">
        <v>182</v>
      </c>
      <c r="B113" t="s">
        <v>147</v>
      </c>
      <c r="C113" t="s">
        <v>150</v>
      </c>
      <c r="D113" t="s">
        <v>138</v>
      </c>
      <c r="E113">
        <v>19</v>
      </c>
      <c r="F113">
        <v>1.9500000000000002</v>
      </c>
      <c r="G113">
        <v>3</v>
      </c>
    </row>
    <row r="114" spans="1:7">
      <c r="A114" t="s">
        <v>182</v>
      </c>
      <c r="B114" t="s">
        <v>147</v>
      </c>
      <c r="C114" t="s">
        <v>150</v>
      </c>
      <c r="D114" t="s">
        <v>138</v>
      </c>
      <c r="E114">
        <v>20</v>
      </c>
      <c r="F114">
        <v>1.875</v>
      </c>
      <c r="G114">
        <v>3.1</v>
      </c>
    </row>
    <row r="115" spans="1:7">
      <c r="A115" t="s">
        <v>182</v>
      </c>
      <c r="B115" t="s">
        <v>147</v>
      </c>
      <c r="C115" t="s">
        <v>150</v>
      </c>
      <c r="D115" t="s">
        <v>138</v>
      </c>
      <c r="E115">
        <v>21</v>
      </c>
      <c r="F115">
        <v>1.7250000000000001</v>
      </c>
      <c r="G115">
        <v>3</v>
      </c>
    </row>
    <row r="116" spans="1:7">
      <c r="A116" t="s">
        <v>182</v>
      </c>
      <c r="B116" t="s">
        <v>147</v>
      </c>
      <c r="C116" t="s">
        <v>150</v>
      </c>
      <c r="D116" t="s">
        <v>138</v>
      </c>
      <c r="E116">
        <v>22</v>
      </c>
      <c r="F116">
        <v>1.1333333333333335</v>
      </c>
      <c r="G116">
        <v>1.8</v>
      </c>
    </row>
    <row r="117" spans="1:7">
      <c r="A117" t="s">
        <v>182</v>
      </c>
      <c r="B117" t="s">
        <v>147</v>
      </c>
      <c r="C117" t="s">
        <v>150</v>
      </c>
      <c r="D117" t="s">
        <v>138</v>
      </c>
      <c r="E117">
        <v>23</v>
      </c>
      <c r="F117">
        <v>1.45</v>
      </c>
      <c r="G117">
        <v>2.9</v>
      </c>
    </row>
    <row r="118" spans="1:7">
      <c r="A118" t="s">
        <v>182</v>
      </c>
      <c r="B118" t="s">
        <v>147</v>
      </c>
      <c r="C118" t="s">
        <v>150</v>
      </c>
      <c r="D118" t="s">
        <v>138</v>
      </c>
      <c r="E118">
        <v>24</v>
      </c>
      <c r="F118">
        <v>1.375</v>
      </c>
      <c r="G118">
        <v>2.8</v>
      </c>
    </row>
    <row r="119" spans="1:7">
      <c r="A119" t="s">
        <v>182</v>
      </c>
      <c r="B119" t="s">
        <v>147</v>
      </c>
      <c r="C119" t="s">
        <v>150</v>
      </c>
      <c r="D119" t="s">
        <v>138</v>
      </c>
      <c r="E119">
        <v>25</v>
      </c>
      <c r="F119">
        <v>1.4</v>
      </c>
      <c r="G119">
        <v>2.8</v>
      </c>
    </row>
    <row r="120" spans="1:7">
      <c r="A120" t="s">
        <v>182</v>
      </c>
      <c r="B120" t="s">
        <v>147</v>
      </c>
      <c r="C120" t="s">
        <v>150</v>
      </c>
      <c r="D120" t="s">
        <v>138</v>
      </c>
      <c r="E120">
        <v>26</v>
      </c>
      <c r="F120">
        <v>1.5</v>
      </c>
      <c r="G120">
        <v>2.8</v>
      </c>
    </row>
    <row r="121" spans="1:7">
      <c r="A121" t="s">
        <v>182</v>
      </c>
      <c r="B121" t="s">
        <v>147</v>
      </c>
      <c r="C121" t="s">
        <v>150</v>
      </c>
      <c r="D121" t="s">
        <v>138</v>
      </c>
      <c r="E121">
        <v>27</v>
      </c>
      <c r="F121">
        <v>1.65</v>
      </c>
      <c r="G121">
        <v>2.9</v>
      </c>
    </row>
    <row r="122" spans="1:7">
      <c r="A122" t="s">
        <v>182</v>
      </c>
      <c r="B122" t="s">
        <v>147</v>
      </c>
      <c r="C122" t="s">
        <v>150</v>
      </c>
      <c r="D122" t="s">
        <v>138</v>
      </c>
      <c r="E122">
        <v>28</v>
      </c>
      <c r="F122">
        <v>2.1666666666666665</v>
      </c>
      <c r="G122">
        <v>3</v>
      </c>
    </row>
    <row r="123" spans="1:7">
      <c r="A123" t="s">
        <v>182</v>
      </c>
      <c r="B123" t="s">
        <v>147</v>
      </c>
      <c r="C123" t="s">
        <v>150</v>
      </c>
      <c r="D123" t="s">
        <v>138</v>
      </c>
      <c r="E123">
        <v>29</v>
      </c>
      <c r="F123">
        <v>1.875</v>
      </c>
      <c r="G123">
        <v>3.1</v>
      </c>
    </row>
    <row r="124" spans="1:7">
      <c r="A124" t="s">
        <v>182</v>
      </c>
      <c r="B124" t="s">
        <v>147</v>
      </c>
      <c r="C124" t="s">
        <v>150</v>
      </c>
      <c r="D124" t="s">
        <v>138</v>
      </c>
      <c r="E124">
        <v>30</v>
      </c>
      <c r="F124">
        <v>1.95</v>
      </c>
      <c r="G124">
        <v>3.1</v>
      </c>
    </row>
    <row r="125" spans="1:7">
      <c r="A125" t="s">
        <v>182</v>
      </c>
      <c r="B125" t="s">
        <v>147</v>
      </c>
      <c r="C125" t="s">
        <v>150</v>
      </c>
      <c r="D125" t="s">
        <v>138</v>
      </c>
      <c r="E125">
        <v>31</v>
      </c>
      <c r="F125">
        <v>1.9500000000000002</v>
      </c>
      <c r="G125">
        <v>3</v>
      </c>
    </row>
    <row r="126" spans="1:7">
      <c r="A126" t="s">
        <v>183</v>
      </c>
      <c r="B126" t="s">
        <v>148</v>
      </c>
      <c r="C126" t="s">
        <v>13</v>
      </c>
      <c r="D126" t="s">
        <v>138</v>
      </c>
      <c r="E126">
        <v>1</v>
      </c>
      <c r="F126">
        <v>1.35</v>
      </c>
      <c r="G126">
        <v>1.8</v>
      </c>
    </row>
    <row r="127" spans="1:7">
      <c r="A127" t="s">
        <v>183</v>
      </c>
      <c r="B127" t="s">
        <v>148</v>
      </c>
      <c r="C127" t="s">
        <v>13</v>
      </c>
      <c r="D127" t="s">
        <v>138</v>
      </c>
      <c r="E127">
        <v>2</v>
      </c>
      <c r="F127">
        <v>1.3</v>
      </c>
      <c r="G127">
        <v>1.7</v>
      </c>
    </row>
    <row r="128" spans="1:7">
      <c r="A128" t="s">
        <v>183</v>
      </c>
      <c r="B128" t="s">
        <v>148</v>
      </c>
      <c r="C128" t="s">
        <v>13</v>
      </c>
      <c r="D128" t="s">
        <v>138</v>
      </c>
      <c r="E128">
        <v>3</v>
      </c>
      <c r="F128">
        <v>1.25</v>
      </c>
      <c r="G128">
        <v>1.6</v>
      </c>
    </row>
    <row r="129" spans="1:7">
      <c r="A129" t="s">
        <v>183</v>
      </c>
      <c r="B129" t="s">
        <v>148</v>
      </c>
      <c r="C129" t="s">
        <v>13</v>
      </c>
      <c r="D129" t="s">
        <v>138</v>
      </c>
      <c r="E129">
        <v>4</v>
      </c>
      <c r="F129">
        <v>1.1499999999999999</v>
      </c>
      <c r="G129">
        <v>1.4</v>
      </c>
    </row>
    <row r="130" spans="1:7">
      <c r="A130" t="s">
        <v>183</v>
      </c>
      <c r="B130" t="s">
        <v>148</v>
      </c>
      <c r="C130" t="s">
        <v>13</v>
      </c>
      <c r="D130" t="s">
        <v>138</v>
      </c>
      <c r="E130">
        <v>5</v>
      </c>
      <c r="F130">
        <v>1.0249999999999999</v>
      </c>
      <c r="G130">
        <v>1.2</v>
      </c>
    </row>
    <row r="131" spans="1:7">
      <c r="A131" t="s">
        <v>183</v>
      </c>
      <c r="B131" t="s">
        <v>148</v>
      </c>
      <c r="C131" t="s">
        <v>13</v>
      </c>
      <c r="D131" t="s">
        <v>138</v>
      </c>
      <c r="E131">
        <v>6</v>
      </c>
      <c r="F131">
        <v>0.92500000000000004</v>
      </c>
      <c r="G131">
        <v>1.1000000000000001</v>
      </c>
    </row>
    <row r="132" spans="1:7">
      <c r="A132" t="s">
        <v>183</v>
      </c>
      <c r="B132" t="s">
        <v>148</v>
      </c>
      <c r="C132" t="s">
        <v>13</v>
      </c>
      <c r="D132" t="s">
        <v>138</v>
      </c>
      <c r="E132">
        <v>7</v>
      </c>
      <c r="F132">
        <v>0.73333333333333339</v>
      </c>
      <c r="G132">
        <v>0.8</v>
      </c>
    </row>
    <row r="133" spans="1:7">
      <c r="A133" t="s">
        <v>183</v>
      </c>
      <c r="B133" t="s">
        <v>148</v>
      </c>
      <c r="C133" t="s">
        <v>13</v>
      </c>
      <c r="D133" t="s">
        <v>138</v>
      </c>
      <c r="E133">
        <v>8</v>
      </c>
      <c r="F133">
        <v>0.70000000000000007</v>
      </c>
      <c r="G133">
        <v>1</v>
      </c>
    </row>
    <row r="134" spans="1:7">
      <c r="A134" t="s">
        <v>183</v>
      </c>
      <c r="B134" t="s">
        <v>148</v>
      </c>
      <c r="C134" t="s">
        <v>13</v>
      </c>
      <c r="D134" t="s">
        <v>138</v>
      </c>
      <c r="E134">
        <v>9</v>
      </c>
      <c r="F134">
        <v>0.67500000000000004</v>
      </c>
      <c r="G134">
        <v>1</v>
      </c>
    </row>
    <row r="135" spans="1:7">
      <c r="A135" t="s">
        <v>183</v>
      </c>
      <c r="B135" t="s">
        <v>148</v>
      </c>
      <c r="C135" t="s">
        <v>13</v>
      </c>
      <c r="D135" t="s">
        <v>138</v>
      </c>
      <c r="E135">
        <v>10</v>
      </c>
      <c r="F135">
        <v>0.65</v>
      </c>
      <c r="G135">
        <v>1</v>
      </c>
    </row>
    <row r="136" spans="1:7">
      <c r="A136" t="s">
        <v>183</v>
      </c>
      <c r="B136" t="s">
        <v>148</v>
      </c>
      <c r="C136" t="s">
        <v>13</v>
      </c>
      <c r="D136" t="s">
        <v>138</v>
      </c>
      <c r="E136">
        <v>11</v>
      </c>
      <c r="F136">
        <v>0.67499999999999993</v>
      </c>
      <c r="G136">
        <v>1</v>
      </c>
    </row>
    <row r="137" spans="1:7">
      <c r="A137" t="s">
        <v>183</v>
      </c>
      <c r="B137" t="s">
        <v>148</v>
      </c>
      <c r="C137" t="s">
        <v>13</v>
      </c>
      <c r="D137" t="s">
        <v>138</v>
      </c>
      <c r="E137">
        <v>12</v>
      </c>
      <c r="F137">
        <v>0.75</v>
      </c>
      <c r="G137">
        <v>1.1000000000000001</v>
      </c>
    </row>
    <row r="138" spans="1:7">
      <c r="A138" t="s">
        <v>183</v>
      </c>
      <c r="B138" t="s">
        <v>148</v>
      </c>
      <c r="C138" t="s">
        <v>13</v>
      </c>
      <c r="D138" t="s">
        <v>138</v>
      </c>
      <c r="E138">
        <v>13</v>
      </c>
      <c r="F138">
        <v>0.90000000000000013</v>
      </c>
      <c r="G138">
        <v>1.3</v>
      </c>
    </row>
    <row r="139" spans="1:7">
      <c r="A139" t="s">
        <v>183</v>
      </c>
      <c r="B139" t="s">
        <v>148</v>
      </c>
      <c r="C139" t="s">
        <v>13</v>
      </c>
      <c r="D139" t="s">
        <v>138</v>
      </c>
      <c r="E139">
        <v>14</v>
      </c>
      <c r="F139">
        <v>0.99999999999999989</v>
      </c>
      <c r="G139">
        <v>1.4</v>
      </c>
    </row>
    <row r="140" spans="1:7">
      <c r="A140" t="s">
        <v>183</v>
      </c>
      <c r="B140" t="s">
        <v>148</v>
      </c>
      <c r="C140" t="s">
        <v>13</v>
      </c>
      <c r="D140" t="s">
        <v>138</v>
      </c>
      <c r="E140">
        <v>15</v>
      </c>
      <c r="F140">
        <v>1.2</v>
      </c>
      <c r="G140">
        <v>1.5</v>
      </c>
    </row>
    <row r="141" spans="1:7">
      <c r="A141" t="s">
        <v>183</v>
      </c>
      <c r="B141" t="s">
        <v>148</v>
      </c>
      <c r="C141" t="s">
        <v>13</v>
      </c>
      <c r="D141" t="s">
        <v>138</v>
      </c>
      <c r="E141">
        <v>16</v>
      </c>
      <c r="F141">
        <v>1.1499999999999999</v>
      </c>
      <c r="G141">
        <v>1.6</v>
      </c>
    </row>
    <row r="142" spans="1:7">
      <c r="A142" t="s">
        <v>183</v>
      </c>
      <c r="B142" t="s">
        <v>148</v>
      </c>
      <c r="C142" t="s">
        <v>13</v>
      </c>
      <c r="D142" t="s">
        <v>138</v>
      </c>
      <c r="E142">
        <v>17</v>
      </c>
      <c r="F142">
        <v>1.2250000000000001</v>
      </c>
      <c r="G142">
        <v>1.6</v>
      </c>
    </row>
    <row r="143" spans="1:7">
      <c r="A143" t="s">
        <v>183</v>
      </c>
      <c r="B143" t="s">
        <v>148</v>
      </c>
      <c r="C143" t="s">
        <v>13</v>
      </c>
      <c r="D143" t="s">
        <v>138</v>
      </c>
      <c r="E143">
        <v>18</v>
      </c>
      <c r="F143">
        <v>1.25</v>
      </c>
      <c r="G143">
        <v>1.5</v>
      </c>
    </row>
    <row r="144" spans="1:7">
      <c r="A144" t="s">
        <v>183</v>
      </c>
      <c r="B144" t="s">
        <v>148</v>
      </c>
      <c r="C144" t="s">
        <v>13</v>
      </c>
      <c r="D144" t="s">
        <v>138</v>
      </c>
      <c r="E144">
        <v>19</v>
      </c>
      <c r="F144">
        <v>1.25</v>
      </c>
      <c r="G144">
        <v>1.4</v>
      </c>
    </row>
    <row r="145" spans="1:7">
      <c r="A145" t="s">
        <v>183</v>
      </c>
      <c r="B145" t="s">
        <v>148</v>
      </c>
      <c r="C145" t="s">
        <v>13</v>
      </c>
      <c r="D145" t="s">
        <v>138</v>
      </c>
      <c r="E145">
        <v>20</v>
      </c>
      <c r="F145">
        <v>1.25</v>
      </c>
      <c r="G145">
        <v>1.4</v>
      </c>
    </row>
    <row r="146" spans="1:7">
      <c r="A146" t="s">
        <v>183</v>
      </c>
      <c r="B146" t="s">
        <v>148</v>
      </c>
      <c r="C146" t="s">
        <v>13</v>
      </c>
      <c r="D146" t="s">
        <v>138</v>
      </c>
      <c r="E146">
        <v>21</v>
      </c>
      <c r="F146">
        <v>1.1500000000000001</v>
      </c>
      <c r="G146">
        <v>1.3</v>
      </c>
    </row>
    <row r="147" spans="1:7">
      <c r="A147" t="s">
        <v>183</v>
      </c>
      <c r="B147" t="s">
        <v>148</v>
      </c>
      <c r="C147" t="s">
        <v>13</v>
      </c>
      <c r="D147" t="s">
        <v>138</v>
      </c>
      <c r="E147">
        <v>22</v>
      </c>
      <c r="F147">
        <v>0.96666666666666667</v>
      </c>
      <c r="G147">
        <v>1.2</v>
      </c>
    </row>
    <row r="148" spans="1:7">
      <c r="A148" t="s">
        <v>183</v>
      </c>
      <c r="B148" t="s">
        <v>148</v>
      </c>
      <c r="C148" t="s">
        <v>13</v>
      </c>
      <c r="D148" t="s">
        <v>138</v>
      </c>
      <c r="E148">
        <v>23</v>
      </c>
      <c r="F148">
        <v>0.97500000000000009</v>
      </c>
      <c r="G148">
        <v>1.3</v>
      </c>
    </row>
    <row r="149" spans="1:7">
      <c r="A149" t="s">
        <v>183</v>
      </c>
      <c r="B149" t="s">
        <v>148</v>
      </c>
      <c r="C149" t="s">
        <v>13</v>
      </c>
      <c r="D149" t="s">
        <v>138</v>
      </c>
      <c r="E149">
        <v>24</v>
      </c>
      <c r="F149">
        <v>0.875</v>
      </c>
      <c r="G149">
        <v>1.2</v>
      </c>
    </row>
    <row r="150" spans="1:7">
      <c r="A150" t="s">
        <v>183</v>
      </c>
      <c r="B150" t="s">
        <v>148</v>
      </c>
      <c r="C150" t="s">
        <v>13</v>
      </c>
      <c r="D150" t="s">
        <v>138</v>
      </c>
      <c r="E150">
        <v>25</v>
      </c>
      <c r="F150">
        <v>0.9</v>
      </c>
      <c r="G150">
        <v>1.3</v>
      </c>
    </row>
    <row r="151" spans="1:7">
      <c r="A151" t="s">
        <v>183</v>
      </c>
      <c r="B151" t="s">
        <v>148</v>
      </c>
      <c r="C151" t="s">
        <v>13</v>
      </c>
      <c r="D151" t="s">
        <v>138</v>
      </c>
      <c r="E151">
        <v>26</v>
      </c>
      <c r="F151">
        <v>0.97499999999999987</v>
      </c>
      <c r="G151">
        <v>1.4</v>
      </c>
    </row>
    <row r="152" spans="1:7">
      <c r="A152" t="s">
        <v>183</v>
      </c>
      <c r="B152" t="s">
        <v>148</v>
      </c>
      <c r="C152" t="s">
        <v>13</v>
      </c>
      <c r="D152" t="s">
        <v>138</v>
      </c>
      <c r="E152">
        <v>27</v>
      </c>
      <c r="F152">
        <v>1.075</v>
      </c>
      <c r="G152">
        <v>1.5</v>
      </c>
    </row>
    <row r="153" spans="1:7">
      <c r="A153" t="s">
        <v>183</v>
      </c>
      <c r="B153" t="s">
        <v>148</v>
      </c>
      <c r="C153" t="s">
        <v>13</v>
      </c>
      <c r="D153" t="s">
        <v>138</v>
      </c>
      <c r="E153">
        <v>28</v>
      </c>
      <c r="F153">
        <v>1.175</v>
      </c>
      <c r="G153">
        <v>1.6</v>
      </c>
    </row>
    <row r="154" spans="1:7">
      <c r="A154" t="s">
        <v>183</v>
      </c>
      <c r="B154" t="s">
        <v>148</v>
      </c>
      <c r="C154" t="s">
        <v>13</v>
      </c>
      <c r="D154" t="s">
        <v>138</v>
      </c>
      <c r="E154">
        <v>29</v>
      </c>
      <c r="F154">
        <v>1.4000000000000001</v>
      </c>
      <c r="G154">
        <v>1.6</v>
      </c>
    </row>
    <row r="155" spans="1:7">
      <c r="A155" t="s">
        <v>183</v>
      </c>
      <c r="B155" t="s">
        <v>148</v>
      </c>
      <c r="C155" t="s">
        <v>13</v>
      </c>
      <c r="D155" t="s">
        <v>138</v>
      </c>
      <c r="E155">
        <v>30</v>
      </c>
      <c r="F155">
        <v>1.2749999999999999</v>
      </c>
      <c r="G155">
        <v>1.6</v>
      </c>
    </row>
    <row r="156" spans="1:7">
      <c r="A156" t="s">
        <v>183</v>
      </c>
      <c r="B156" t="s">
        <v>148</v>
      </c>
      <c r="C156" t="s">
        <v>13</v>
      </c>
      <c r="D156" t="s">
        <v>138</v>
      </c>
      <c r="E156">
        <v>31</v>
      </c>
      <c r="F156">
        <v>1.25</v>
      </c>
      <c r="G156">
        <v>1.4</v>
      </c>
    </row>
    <row r="157" spans="1:7">
      <c r="A157" t="s">
        <v>184</v>
      </c>
      <c r="B157" t="s">
        <v>155</v>
      </c>
      <c r="C157" t="s">
        <v>13</v>
      </c>
      <c r="D157" t="s">
        <v>138</v>
      </c>
      <c r="E157">
        <v>1</v>
      </c>
      <c r="F157">
        <v>1.4750000000000001</v>
      </c>
      <c r="G157">
        <v>1.9</v>
      </c>
    </row>
    <row r="158" spans="1:7">
      <c r="A158" t="s">
        <v>184</v>
      </c>
      <c r="B158" t="s">
        <v>155</v>
      </c>
      <c r="C158" t="s">
        <v>13</v>
      </c>
      <c r="D158" t="s">
        <v>138</v>
      </c>
      <c r="E158">
        <v>2</v>
      </c>
      <c r="F158">
        <v>1.4750000000000001</v>
      </c>
      <c r="G158">
        <v>1.9</v>
      </c>
    </row>
    <row r="159" spans="1:7">
      <c r="A159" t="s">
        <v>184</v>
      </c>
      <c r="B159" t="s">
        <v>155</v>
      </c>
      <c r="C159" t="s">
        <v>13</v>
      </c>
      <c r="D159" t="s">
        <v>138</v>
      </c>
      <c r="E159">
        <v>3</v>
      </c>
      <c r="F159">
        <v>1.425</v>
      </c>
      <c r="G159">
        <v>1.8</v>
      </c>
    </row>
    <row r="160" spans="1:7">
      <c r="A160" t="s">
        <v>184</v>
      </c>
      <c r="B160" t="s">
        <v>155</v>
      </c>
      <c r="C160" t="s">
        <v>13</v>
      </c>
      <c r="D160" t="s">
        <v>138</v>
      </c>
      <c r="E160">
        <v>4</v>
      </c>
      <c r="F160">
        <v>1.3250000000000002</v>
      </c>
      <c r="G160">
        <v>1.6</v>
      </c>
    </row>
    <row r="161" spans="1:7">
      <c r="A161" t="s">
        <v>184</v>
      </c>
      <c r="B161" t="s">
        <v>155</v>
      </c>
      <c r="C161" t="s">
        <v>13</v>
      </c>
      <c r="D161" t="s">
        <v>138</v>
      </c>
      <c r="E161">
        <v>5</v>
      </c>
      <c r="F161">
        <v>1.1749999999999998</v>
      </c>
      <c r="G161">
        <v>1.4</v>
      </c>
    </row>
    <row r="162" spans="1:7">
      <c r="A162" t="s">
        <v>184</v>
      </c>
      <c r="B162" t="s">
        <v>155</v>
      </c>
      <c r="C162" t="s">
        <v>13</v>
      </c>
      <c r="D162" t="s">
        <v>138</v>
      </c>
      <c r="E162">
        <v>6</v>
      </c>
      <c r="F162">
        <v>0.93333333333333324</v>
      </c>
      <c r="G162">
        <v>1</v>
      </c>
    </row>
    <row r="163" spans="1:7">
      <c r="A163" t="s">
        <v>184</v>
      </c>
      <c r="B163" t="s">
        <v>155</v>
      </c>
      <c r="C163" t="s">
        <v>13</v>
      </c>
      <c r="D163" t="s">
        <v>138</v>
      </c>
      <c r="E163">
        <v>7</v>
      </c>
      <c r="F163">
        <v>0.95</v>
      </c>
      <c r="G163">
        <v>1.4</v>
      </c>
    </row>
    <row r="164" spans="1:7">
      <c r="A164" t="s">
        <v>184</v>
      </c>
      <c r="B164" t="s">
        <v>155</v>
      </c>
      <c r="C164" t="s">
        <v>13</v>
      </c>
      <c r="D164" t="s">
        <v>138</v>
      </c>
      <c r="E164">
        <v>8</v>
      </c>
      <c r="F164">
        <v>0.8</v>
      </c>
      <c r="G164">
        <v>1.2</v>
      </c>
    </row>
    <row r="165" spans="1:7">
      <c r="A165" t="s">
        <v>184</v>
      </c>
      <c r="B165" t="s">
        <v>155</v>
      </c>
      <c r="C165" t="s">
        <v>13</v>
      </c>
      <c r="D165" t="s">
        <v>138</v>
      </c>
      <c r="E165">
        <v>9</v>
      </c>
      <c r="F165">
        <v>0.75</v>
      </c>
      <c r="G165">
        <v>1.2</v>
      </c>
    </row>
    <row r="166" spans="1:7">
      <c r="A166" t="s">
        <v>184</v>
      </c>
      <c r="B166" t="s">
        <v>155</v>
      </c>
      <c r="C166" t="s">
        <v>13</v>
      </c>
      <c r="D166" t="s">
        <v>138</v>
      </c>
      <c r="E166">
        <v>10</v>
      </c>
      <c r="F166">
        <v>0.72499999999999998</v>
      </c>
      <c r="G166">
        <v>1.2</v>
      </c>
    </row>
    <row r="167" spans="1:7">
      <c r="A167" t="s">
        <v>184</v>
      </c>
      <c r="B167" t="s">
        <v>155</v>
      </c>
      <c r="C167" t="s">
        <v>13</v>
      </c>
      <c r="D167" t="s">
        <v>138</v>
      </c>
      <c r="E167">
        <v>11</v>
      </c>
      <c r="F167">
        <v>0.77500000000000002</v>
      </c>
      <c r="G167">
        <v>1.2</v>
      </c>
    </row>
    <row r="168" spans="1:7">
      <c r="A168" t="s">
        <v>184</v>
      </c>
      <c r="B168" t="s">
        <v>155</v>
      </c>
      <c r="C168" t="s">
        <v>13</v>
      </c>
      <c r="D168" t="s">
        <v>138</v>
      </c>
      <c r="E168">
        <v>12</v>
      </c>
      <c r="F168">
        <v>1</v>
      </c>
      <c r="G168">
        <v>1.2</v>
      </c>
    </row>
    <row r="169" spans="1:7">
      <c r="A169" t="s">
        <v>184</v>
      </c>
      <c r="B169" t="s">
        <v>155</v>
      </c>
      <c r="C169" t="s">
        <v>13</v>
      </c>
      <c r="D169" t="s">
        <v>138</v>
      </c>
      <c r="E169">
        <v>13</v>
      </c>
      <c r="F169">
        <v>0.97499999999999987</v>
      </c>
      <c r="G169">
        <v>1.4</v>
      </c>
    </row>
    <row r="170" spans="1:7">
      <c r="A170" t="s">
        <v>184</v>
      </c>
      <c r="B170" t="s">
        <v>155</v>
      </c>
      <c r="C170" t="s">
        <v>13</v>
      </c>
      <c r="D170" t="s">
        <v>138</v>
      </c>
      <c r="E170">
        <v>14</v>
      </c>
      <c r="F170">
        <v>1.075</v>
      </c>
      <c r="G170">
        <v>1.4</v>
      </c>
    </row>
    <row r="171" spans="1:7">
      <c r="A171" t="s">
        <v>184</v>
      </c>
      <c r="B171" t="s">
        <v>155</v>
      </c>
      <c r="C171" t="s">
        <v>13</v>
      </c>
      <c r="D171" t="s">
        <v>138</v>
      </c>
      <c r="E171">
        <v>15</v>
      </c>
      <c r="F171">
        <v>1.2000000000000002</v>
      </c>
      <c r="G171">
        <v>1.6</v>
      </c>
    </row>
    <row r="172" spans="1:7">
      <c r="A172" t="s">
        <v>184</v>
      </c>
      <c r="B172" t="s">
        <v>155</v>
      </c>
      <c r="C172" t="s">
        <v>13</v>
      </c>
      <c r="D172" t="s">
        <v>138</v>
      </c>
      <c r="E172">
        <v>16</v>
      </c>
      <c r="F172">
        <v>1.3</v>
      </c>
      <c r="G172">
        <v>1.6</v>
      </c>
    </row>
    <row r="173" spans="1:7">
      <c r="A173" t="s">
        <v>184</v>
      </c>
      <c r="B173" t="s">
        <v>155</v>
      </c>
      <c r="C173" t="s">
        <v>13</v>
      </c>
      <c r="D173" t="s">
        <v>138</v>
      </c>
      <c r="E173">
        <v>17</v>
      </c>
      <c r="F173">
        <v>1.35</v>
      </c>
      <c r="G173">
        <v>1.6</v>
      </c>
    </row>
    <row r="174" spans="1:7">
      <c r="A174" t="s">
        <v>184</v>
      </c>
      <c r="B174" t="s">
        <v>155</v>
      </c>
      <c r="C174" t="s">
        <v>13</v>
      </c>
      <c r="D174" t="s">
        <v>138</v>
      </c>
      <c r="E174">
        <v>18</v>
      </c>
      <c r="F174">
        <v>1.4</v>
      </c>
      <c r="G174">
        <v>1.6</v>
      </c>
    </row>
    <row r="175" spans="1:7">
      <c r="A175" t="s">
        <v>184</v>
      </c>
      <c r="B175" t="s">
        <v>155</v>
      </c>
      <c r="C175" t="s">
        <v>13</v>
      </c>
      <c r="D175" t="s">
        <v>138</v>
      </c>
      <c r="E175">
        <v>19</v>
      </c>
      <c r="F175">
        <v>1.4</v>
      </c>
      <c r="G175">
        <v>1.6</v>
      </c>
    </row>
    <row r="176" spans="1:7">
      <c r="A176" t="s">
        <v>184</v>
      </c>
      <c r="B176" t="s">
        <v>155</v>
      </c>
      <c r="C176" t="s">
        <v>13</v>
      </c>
      <c r="D176" t="s">
        <v>138</v>
      </c>
      <c r="E176">
        <v>20</v>
      </c>
      <c r="F176">
        <v>1.375</v>
      </c>
      <c r="G176">
        <v>1.7</v>
      </c>
    </row>
    <row r="177" spans="1:7">
      <c r="A177" t="s">
        <v>184</v>
      </c>
      <c r="B177" t="s">
        <v>155</v>
      </c>
      <c r="C177" t="s">
        <v>13</v>
      </c>
      <c r="D177" t="s">
        <v>138</v>
      </c>
      <c r="E177">
        <v>21</v>
      </c>
      <c r="F177">
        <v>1.2749999999999999</v>
      </c>
      <c r="G177">
        <v>1.6</v>
      </c>
    </row>
    <row r="178" spans="1:7">
      <c r="A178" t="s">
        <v>184</v>
      </c>
      <c r="B178" t="s">
        <v>155</v>
      </c>
      <c r="C178" t="s">
        <v>13</v>
      </c>
      <c r="D178" t="s">
        <v>138</v>
      </c>
      <c r="E178">
        <v>22</v>
      </c>
      <c r="F178">
        <v>1.0333333333333334</v>
      </c>
      <c r="G178">
        <v>1.2</v>
      </c>
    </row>
    <row r="179" spans="1:7">
      <c r="A179" t="s">
        <v>184</v>
      </c>
      <c r="B179" t="s">
        <v>155</v>
      </c>
      <c r="C179" t="s">
        <v>13</v>
      </c>
      <c r="D179" t="s">
        <v>138</v>
      </c>
      <c r="E179">
        <v>23</v>
      </c>
      <c r="F179">
        <v>1.075</v>
      </c>
      <c r="G179">
        <v>1.6</v>
      </c>
    </row>
    <row r="180" spans="1:7">
      <c r="A180" t="s">
        <v>184</v>
      </c>
      <c r="B180" t="s">
        <v>155</v>
      </c>
      <c r="C180" t="s">
        <v>13</v>
      </c>
      <c r="D180" t="s">
        <v>138</v>
      </c>
      <c r="E180">
        <v>24</v>
      </c>
      <c r="F180">
        <v>1.0249999999999999</v>
      </c>
      <c r="G180">
        <v>1.6</v>
      </c>
    </row>
    <row r="181" spans="1:7">
      <c r="A181" t="s">
        <v>184</v>
      </c>
      <c r="B181" t="s">
        <v>155</v>
      </c>
      <c r="C181" t="s">
        <v>13</v>
      </c>
      <c r="D181" t="s">
        <v>138</v>
      </c>
      <c r="E181">
        <v>25</v>
      </c>
      <c r="F181">
        <v>1.0250000000000001</v>
      </c>
      <c r="G181">
        <v>1.6</v>
      </c>
    </row>
    <row r="182" spans="1:7">
      <c r="A182" t="s">
        <v>184</v>
      </c>
      <c r="B182" t="s">
        <v>155</v>
      </c>
      <c r="C182" t="s">
        <v>13</v>
      </c>
      <c r="D182" t="s">
        <v>138</v>
      </c>
      <c r="E182">
        <v>26</v>
      </c>
      <c r="F182">
        <v>1.3</v>
      </c>
      <c r="G182">
        <v>1.6</v>
      </c>
    </row>
    <row r="183" spans="1:7">
      <c r="A183" t="s">
        <v>184</v>
      </c>
      <c r="B183" t="s">
        <v>155</v>
      </c>
      <c r="C183" t="s">
        <v>13</v>
      </c>
      <c r="D183" t="s">
        <v>138</v>
      </c>
      <c r="E183">
        <v>27</v>
      </c>
      <c r="F183">
        <v>1.175</v>
      </c>
      <c r="G183">
        <v>1.6</v>
      </c>
    </row>
    <row r="184" spans="1:7">
      <c r="A184" t="s">
        <v>184</v>
      </c>
      <c r="B184" t="s">
        <v>155</v>
      </c>
      <c r="C184" t="s">
        <v>13</v>
      </c>
      <c r="D184" t="s">
        <v>138</v>
      </c>
      <c r="E184">
        <v>28</v>
      </c>
      <c r="F184">
        <v>1.2750000000000001</v>
      </c>
      <c r="G184">
        <v>1.6</v>
      </c>
    </row>
    <row r="185" spans="1:7">
      <c r="A185" t="s">
        <v>184</v>
      </c>
      <c r="B185" t="s">
        <v>155</v>
      </c>
      <c r="C185" t="s">
        <v>13</v>
      </c>
      <c r="D185" t="s">
        <v>138</v>
      </c>
      <c r="E185">
        <v>29</v>
      </c>
      <c r="F185">
        <v>1.375</v>
      </c>
      <c r="G185">
        <v>1.7</v>
      </c>
    </row>
    <row r="186" spans="1:7">
      <c r="A186" t="s">
        <v>184</v>
      </c>
      <c r="B186" t="s">
        <v>155</v>
      </c>
      <c r="C186" t="s">
        <v>13</v>
      </c>
      <c r="D186" t="s">
        <v>138</v>
      </c>
      <c r="E186">
        <v>30</v>
      </c>
      <c r="F186">
        <v>1.4500000000000002</v>
      </c>
      <c r="G186">
        <v>1.7</v>
      </c>
    </row>
    <row r="187" spans="1:7">
      <c r="A187" t="s">
        <v>184</v>
      </c>
      <c r="B187" t="s">
        <v>155</v>
      </c>
      <c r="C187" t="s">
        <v>13</v>
      </c>
      <c r="D187" t="s">
        <v>138</v>
      </c>
      <c r="E187">
        <v>31</v>
      </c>
      <c r="F187">
        <v>1.4</v>
      </c>
      <c r="G187">
        <v>1.6</v>
      </c>
    </row>
    <row r="188" spans="1:7">
      <c r="A188" t="s">
        <v>185</v>
      </c>
      <c r="B188" t="s">
        <v>156</v>
      </c>
      <c r="C188" t="s">
        <v>13</v>
      </c>
      <c r="D188" t="s">
        <v>138</v>
      </c>
      <c r="E188">
        <v>1</v>
      </c>
      <c r="F188">
        <v>1.4750000000000001</v>
      </c>
      <c r="G188">
        <v>1.9</v>
      </c>
    </row>
    <row r="189" spans="1:7">
      <c r="A189" t="s">
        <v>185</v>
      </c>
      <c r="B189" t="s">
        <v>156</v>
      </c>
      <c r="C189" t="s">
        <v>13</v>
      </c>
      <c r="D189" t="s">
        <v>138</v>
      </c>
      <c r="E189">
        <v>2</v>
      </c>
      <c r="F189">
        <v>1.4750000000000001</v>
      </c>
      <c r="G189">
        <v>1.9</v>
      </c>
    </row>
    <row r="190" spans="1:7">
      <c r="A190" t="s">
        <v>185</v>
      </c>
      <c r="B190" t="s">
        <v>156</v>
      </c>
      <c r="C190" t="s">
        <v>13</v>
      </c>
      <c r="D190" t="s">
        <v>138</v>
      </c>
      <c r="E190">
        <v>3</v>
      </c>
      <c r="F190">
        <v>1.425</v>
      </c>
      <c r="G190">
        <v>1.8</v>
      </c>
    </row>
    <row r="191" spans="1:7">
      <c r="A191" t="s">
        <v>185</v>
      </c>
      <c r="B191" t="s">
        <v>156</v>
      </c>
      <c r="C191" t="s">
        <v>13</v>
      </c>
      <c r="D191" t="s">
        <v>138</v>
      </c>
      <c r="E191">
        <v>4</v>
      </c>
      <c r="F191">
        <v>1.3250000000000002</v>
      </c>
      <c r="G191">
        <v>1.6</v>
      </c>
    </row>
    <row r="192" spans="1:7">
      <c r="A192" t="s">
        <v>185</v>
      </c>
      <c r="B192" t="s">
        <v>156</v>
      </c>
      <c r="C192" t="s">
        <v>13</v>
      </c>
      <c r="D192" t="s">
        <v>138</v>
      </c>
      <c r="E192">
        <v>5</v>
      </c>
      <c r="F192">
        <v>1.0999999999999999</v>
      </c>
      <c r="G192">
        <v>1.3</v>
      </c>
    </row>
    <row r="193" spans="1:7">
      <c r="A193" t="s">
        <v>185</v>
      </c>
      <c r="B193" t="s">
        <v>156</v>
      </c>
      <c r="C193" t="s">
        <v>13</v>
      </c>
      <c r="D193" t="s">
        <v>138</v>
      </c>
      <c r="E193">
        <v>6</v>
      </c>
      <c r="F193">
        <v>1.05</v>
      </c>
      <c r="G193">
        <v>1.4</v>
      </c>
    </row>
    <row r="194" spans="1:7">
      <c r="A194" t="s">
        <v>185</v>
      </c>
      <c r="B194" t="s">
        <v>156</v>
      </c>
      <c r="C194" t="s">
        <v>13</v>
      </c>
      <c r="D194" t="s">
        <v>138</v>
      </c>
      <c r="E194">
        <v>7</v>
      </c>
      <c r="F194">
        <v>0.95</v>
      </c>
      <c r="G194">
        <v>1.4</v>
      </c>
    </row>
    <row r="195" spans="1:7">
      <c r="A195" t="s">
        <v>185</v>
      </c>
      <c r="B195" t="s">
        <v>156</v>
      </c>
      <c r="C195" t="s">
        <v>13</v>
      </c>
      <c r="D195" t="s">
        <v>138</v>
      </c>
      <c r="E195">
        <v>8</v>
      </c>
      <c r="F195">
        <v>0.8</v>
      </c>
      <c r="G195">
        <v>1.2</v>
      </c>
    </row>
    <row r="196" spans="1:7">
      <c r="A196" t="s">
        <v>185</v>
      </c>
      <c r="B196" t="s">
        <v>156</v>
      </c>
      <c r="C196" t="s">
        <v>13</v>
      </c>
      <c r="D196" t="s">
        <v>138</v>
      </c>
      <c r="E196">
        <v>9</v>
      </c>
      <c r="F196">
        <v>0.75</v>
      </c>
      <c r="G196">
        <v>1.2</v>
      </c>
    </row>
    <row r="197" spans="1:7">
      <c r="A197" t="s">
        <v>185</v>
      </c>
      <c r="B197" t="s">
        <v>156</v>
      </c>
      <c r="C197" t="s">
        <v>13</v>
      </c>
      <c r="D197" t="s">
        <v>138</v>
      </c>
      <c r="E197">
        <v>10</v>
      </c>
      <c r="F197">
        <v>0.72499999999999998</v>
      </c>
      <c r="G197">
        <v>1.2</v>
      </c>
    </row>
    <row r="198" spans="1:7">
      <c r="A198" t="s">
        <v>185</v>
      </c>
      <c r="B198" t="s">
        <v>156</v>
      </c>
      <c r="C198" t="s">
        <v>13</v>
      </c>
      <c r="D198" t="s">
        <v>138</v>
      </c>
      <c r="E198">
        <v>11</v>
      </c>
      <c r="F198">
        <v>0.77500000000000002</v>
      </c>
      <c r="G198">
        <v>1.2</v>
      </c>
    </row>
    <row r="199" spans="1:7">
      <c r="A199" t="s">
        <v>185</v>
      </c>
      <c r="B199" t="s">
        <v>156</v>
      </c>
      <c r="C199" t="s">
        <v>13</v>
      </c>
      <c r="D199" t="s">
        <v>138</v>
      </c>
      <c r="E199">
        <v>12</v>
      </c>
      <c r="F199">
        <v>1</v>
      </c>
      <c r="G199">
        <v>1.2</v>
      </c>
    </row>
    <row r="200" spans="1:7">
      <c r="A200" t="s">
        <v>185</v>
      </c>
      <c r="B200" t="s">
        <v>156</v>
      </c>
      <c r="C200" t="s">
        <v>13</v>
      </c>
      <c r="D200" t="s">
        <v>138</v>
      </c>
      <c r="E200">
        <v>13</v>
      </c>
      <c r="F200">
        <v>0.97499999999999987</v>
      </c>
      <c r="G200">
        <v>1.4</v>
      </c>
    </row>
    <row r="201" spans="1:7">
      <c r="A201" t="s">
        <v>185</v>
      </c>
      <c r="B201" t="s">
        <v>156</v>
      </c>
      <c r="C201" t="s">
        <v>13</v>
      </c>
      <c r="D201" t="s">
        <v>138</v>
      </c>
      <c r="E201">
        <v>14</v>
      </c>
      <c r="F201">
        <v>1.075</v>
      </c>
      <c r="G201">
        <v>1.4</v>
      </c>
    </row>
    <row r="202" spans="1:7">
      <c r="A202" t="s">
        <v>185</v>
      </c>
      <c r="B202" t="s">
        <v>156</v>
      </c>
      <c r="C202" t="s">
        <v>13</v>
      </c>
      <c r="D202" t="s">
        <v>138</v>
      </c>
      <c r="E202">
        <v>15</v>
      </c>
      <c r="F202">
        <v>1.2000000000000002</v>
      </c>
      <c r="G202">
        <v>1.6</v>
      </c>
    </row>
    <row r="203" spans="1:7">
      <c r="A203" t="s">
        <v>185</v>
      </c>
      <c r="B203" t="s">
        <v>156</v>
      </c>
      <c r="C203" t="s">
        <v>13</v>
      </c>
      <c r="D203" t="s">
        <v>138</v>
      </c>
      <c r="E203">
        <v>16</v>
      </c>
      <c r="F203">
        <v>1.3</v>
      </c>
      <c r="G203">
        <v>1.6</v>
      </c>
    </row>
    <row r="204" spans="1:7">
      <c r="A204" t="s">
        <v>185</v>
      </c>
      <c r="B204" t="s">
        <v>156</v>
      </c>
      <c r="C204" t="s">
        <v>13</v>
      </c>
      <c r="D204" t="s">
        <v>138</v>
      </c>
      <c r="E204">
        <v>17</v>
      </c>
      <c r="F204">
        <v>1.35</v>
      </c>
      <c r="G204">
        <v>1.6</v>
      </c>
    </row>
    <row r="205" spans="1:7">
      <c r="A205" t="s">
        <v>185</v>
      </c>
      <c r="B205" t="s">
        <v>156</v>
      </c>
      <c r="C205" t="s">
        <v>13</v>
      </c>
      <c r="D205" t="s">
        <v>138</v>
      </c>
      <c r="E205">
        <v>18</v>
      </c>
      <c r="F205">
        <v>1.4</v>
      </c>
      <c r="G205">
        <v>1.6</v>
      </c>
    </row>
    <row r="206" spans="1:7">
      <c r="A206" t="s">
        <v>185</v>
      </c>
      <c r="B206" t="s">
        <v>156</v>
      </c>
      <c r="C206" t="s">
        <v>13</v>
      </c>
      <c r="D206" t="s">
        <v>138</v>
      </c>
      <c r="E206">
        <v>19</v>
      </c>
      <c r="F206">
        <v>1.4</v>
      </c>
      <c r="G206">
        <v>1.6</v>
      </c>
    </row>
    <row r="207" spans="1:7">
      <c r="A207" t="s">
        <v>185</v>
      </c>
      <c r="B207" t="s">
        <v>156</v>
      </c>
      <c r="C207" t="s">
        <v>13</v>
      </c>
      <c r="D207" t="s">
        <v>138</v>
      </c>
      <c r="E207">
        <v>20</v>
      </c>
      <c r="F207">
        <v>1.375</v>
      </c>
      <c r="G207">
        <v>1.7</v>
      </c>
    </row>
    <row r="208" spans="1:7">
      <c r="A208" t="s">
        <v>185</v>
      </c>
      <c r="B208" t="s">
        <v>156</v>
      </c>
      <c r="C208" t="s">
        <v>13</v>
      </c>
      <c r="D208" t="s">
        <v>138</v>
      </c>
      <c r="E208">
        <v>21</v>
      </c>
      <c r="F208">
        <v>1.1666666666666667</v>
      </c>
      <c r="G208">
        <v>1.2</v>
      </c>
    </row>
    <row r="209" spans="1:7">
      <c r="A209" t="s">
        <v>185</v>
      </c>
      <c r="B209" t="s">
        <v>156</v>
      </c>
      <c r="C209" t="s">
        <v>13</v>
      </c>
      <c r="D209" t="s">
        <v>138</v>
      </c>
      <c r="E209">
        <v>22</v>
      </c>
      <c r="F209">
        <v>1.175</v>
      </c>
      <c r="G209">
        <v>1.6</v>
      </c>
    </row>
    <row r="210" spans="1:7">
      <c r="A210" t="s">
        <v>185</v>
      </c>
      <c r="B210" t="s">
        <v>156</v>
      </c>
      <c r="C210" t="s">
        <v>13</v>
      </c>
      <c r="D210" t="s">
        <v>138</v>
      </c>
      <c r="E210">
        <v>23</v>
      </c>
      <c r="F210">
        <v>1.075</v>
      </c>
      <c r="G210">
        <v>1.6</v>
      </c>
    </row>
    <row r="211" spans="1:7">
      <c r="A211" t="s">
        <v>185</v>
      </c>
      <c r="B211" t="s">
        <v>156</v>
      </c>
      <c r="C211" t="s">
        <v>13</v>
      </c>
      <c r="D211" t="s">
        <v>138</v>
      </c>
      <c r="E211">
        <v>24</v>
      </c>
      <c r="F211">
        <v>1.0249999999999999</v>
      </c>
      <c r="G211">
        <v>1.6</v>
      </c>
    </row>
    <row r="212" spans="1:7">
      <c r="A212" t="s">
        <v>185</v>
      </c>
      <c r="B212" t="s">
        <v>156</v>
      </c>
      <c r="C212" t="s">
        <v>13</v>
      </c>
      <c r="D212" t="s">
        <v>138</v>
      </c>
      <c r="E212">
        <v>25</v>
      </c>
      <c r="F212">
        <v>1.0250000000000001</v>
      </c>
      <c r="G212">
        <v>1.6</v>
      </c>
    </row>
    <row r="213" spans="1:7">
      <c r="A213" t="s">
        <v>185</v>
      </c>
      <c r="B213" t="s">
        <v>156</v>
      </c>
      <c r="C213" t="s">
        <v>13</v>
      </c>
      <c r="D213" t="s">
        <v>138</v>
      </c>
      <c r="E213">
        <v>26</v>
      </c>
      <c r="F213">
        <v>1.1000000000000001</v>
      </c>
      <c r="G213">
        <v>1.6</v>
      </c>
    </row>
    <row r="214" spans="1:7">
      <c r="A214" t="s">
        <v>185</v>
      </c>
      <c r="B214" t="s">
        <v>156</v>
      </c>
      <c r="C214" t="s">
        <v>13</v>
      </c>
      <c r="D214" t="s">
        <v>138</v>
      </c>
      <c r="E214">
        <v>27</v>
      </c>
      <c r="F214">
        <v>1.4000000000000001</v>
      </c>
      <c r="G214">
        <v>1.6</v>
      </c>
    </row>
    <row r="215" spans="1:7">
      <c r="A215" t="s">
        <v>185</v>
      </c>
      <c r="B215" t="s">
        <v>156</v>
      </c>
      <c r="C215" t="s">
        <v>13</v>
      </c>
      <c r="D215" t="s">
        <v>138</v>
      </c>
      <c r="E215">
        <v>28</v>
      </c>
      <c r="F215">
        <v>1.2750000000000001</v>
      </c>
      <c r="G215">
        <v>1.6</v>
      </c>
    </row>
    <row r="216" spans="1:7">
      <c r="A216" t="s">
        <v>185</v>
      </c>
      <c r="B216" t="s">
        <v>156</v>
      </c>
      <c r="C216" t="s">
        <v>13</v>
      </c>
      <c r="D216" t="s">
        <v>138</v>
      </c>
      <c r="E216">
        <v>29</v>
      </c>
      <c r="F216">
        <v>1.375</v>
      </c>
      <c r="G216">
        <v>1.7</v>
      </c>
    </row>
    <row r="217" spans="1:7">
      <c r="A217" t="s">
        <v>185</v>
      </c>
      <c r="B217" t="s">
        <v>156</v>
      </c>
      <c r="C217" t="s">
        <v>13</v>
      </c>
      <c r="D217" t="s">
        <v>138</v>
      </c>
      <c r="E217">
        <v>30</v>
      </c>
      <c r="F217">
        <v>1.4500000000000002</v>
      </c>
      <c r="G217">
        <v>1.7</v>
      </c>
    </row>
    <row r="218" spans="1:7">
      <c r="A218" t="s">
        <v>185</v>
      </c>
      <c r="B218" t="s">
        <v>156</v>
      </c>
      <c r="C218" t="s">
        <v>13</v>
      </c>
      <c r="D218" t="s">
        <v>138</v>
      </c>
      <c r="E218">
        <v>31</v>
      </c>
      <c r="F218">
        <v>1.4</v>
      </c>
      <c r="G218">
        <v>1.6</v>
      </c>
    </row>
    <row r="219" spans="1:7">
      <c r="A219" t="s">
        <v>137</v>
      </c>
      <c r="B219" t="s">
        <v>193</v>
      </c>
      <c r="C219" t="s">
        <v>18</v>
      </c>
      <c r="D219" t="s">
        <v>138</v>
      </c>
      <c r="E219">
        <v>1</v>
      </c>
      <c r="F219">
        <v>0.85</v>
      </c>
      <c r="G219">
        <v>1.2</v>
      </c>
    </row>
    <row r="220" spans="1:7">
      <c r="A220" t="s">
        <v>137</v>
      </c>
      <c r="B220" t="s">
        <v>193</v>
      </c>
      <c r="C220" t="s">
        <v>18</v>
      </c>
      <c r="D220" t="s">
        <v>138</v>
      </c>
      <c r="E220">
        <v>2</v>
      </c>
      <c r="F220">
        <v>0.82499999999999996</v>
      </c>
      <c r="G220">
        <v>1.1000000000000001</v>
      </c>
    </row>
    <row r="221" spans="1:7">
      <c r="A221" t="s">
        <v>137</v>
      </c>
      <c r="B221" t="s">
        <v>193</v>
      </c>
      <c r="C221" t="s">
        <v>18</v>
      </c>
      <c r="D221" t="s">
        <v>138</v>
      </c>
      <c r="E221">
        <v>3</v>
      </c>
      <c r="F221">
        <v>0.79999999999999993</v>
      </c>
      <c r="G221">
        <v>1.1000000000000001</v>
      </c>
    </row>
    <row r="222" spans="1:7">
      <c r="A222" t="s">
        <v>137</v>
      </c>
      <c r="B222" t="s">
        <v>193</v>
      </c>
      <c r="C222" t="s">
        <v>18</v>
      </c>
      <c r="D222" t="s">
        <v>138</v>
      </c>
      <c r="E222">
        <v>4</v>
      </c>
      <c r="F222">
        <v>0.72499999999999998</v>
      </c>
      <c r="G222">
        <v>0.9</v>
      </c>
    </row>
    <row r="223" spans="1:7">
      <c r="A223" t="s">
        <v>137</v>
      </c>
      <c r="B223" t="s">
        <v>193</v>
      </c>
      <c r="C223" t="s">
        <v>18</v>
      </c>
      <c r="D223" t="s">
        <v>138</v>
      </c>
      <c r="E223">
        <v>5</v>
      </c>
      <c r="F223">
        <v>0.65000000000000013</v>
      </c>
      <c r="G223">
        <v>0.8</v>
      </c>
    </row>
    <row r="224" spans="1:7">
      <c r="A224" t="s">
        <v>137</v>
      </c>
      <c r="B224" t="s">
        <v>193</v>
      </c>
      <c r="C224" t="s">
        <v>18</v>
      </c>
      <c r="D224" t="s">
        <v>138</v>
      </c>
      <c r="E224">
        <v>6</v>
      </c>
      <c r="F224">
        <v>0.5</v>
      </c>
      <c r="G224">
        <v>0.6</v>
      </c>
    </row>
    <row r="225" spans="1:7">
      <c r="A225" t="s">
        <v>137</v>
      </c>
      <c r="B225" t="s">
        <v>193</v>
      </c>
      <c r="C225" t="s">
        <v>18</v>
      </c>
      <c r="D225" t="s">
        <v>138</v>
      </c>
      <c r="E225">
        <v>7</v>
      </c>
      <c r="F225">
        <v>0.5</v>
      </c>
      <c r="G225">
        <v>0.8</v>
      </c>
    </row>
    <row r="226" spans="1:7">
      <c r="A226" t="s">
        <v>137</v>
      </c>
      <c r="B226" t="s">
        <v>193</v>
      </c>
      <c r="C226" t="s">
        <v>18</v>
      </c>
      <c r="D226" t="s">
        <v>138</v>
      </c>
      <c r="E226">
        <v>8</v>
      </c>
      <c r="F226">
        <v>0.45000000000000007</v>
      </c>
      <c r="G226">
        <v>0.8</v>
      </c>
    </row>
    <row r="227" spans="1:7">
      <c r="A227" t="s">
        <v>137</v>
      </c>
      <c r="B227" t="s">
        <v>193</v>
      </c>
      <c r="C227" t="s">
        <v>18</v>
      </c>
      <c r="D227" t="s">
        <v>138</v>
      </c>
      <c r="E227">
        <v>9</v>
      </c>
      <c r="F227">
        <v>0.4</v>
      </c>
      <c r="G227">
        <v>0.7</v>
      </c>
    </row>
    <row r="228" spans="1:7">
      <c r="A228" t="s">
        <v>137</v>
      </c>
      <c r="B228" t="s">
        <v>193</v>
      </c>
      <c r="C228" t="s">
        <v>18</v>
      </c>
      <c r="D228" t="s">
        <v>138</v>
      </c>
      <c r="E228">
        <v>10</v>
      </c>
      <c r="F228">
        <v>0.4</v>
      </c>
      <c r="G228">
        <v>0.7</v>
      </c>
    </row>
    <row r="229" spans="1:7">
      <c r="A229" t="s">
        <v>137</v>
      </c>
      <c r="B229" t="s">
        <v>193</v>
      </c>
      <c r="C229" t="s">
        <v>18</v>
      </c>
      <c r="D229" t="s">
        <v>138</v>
      </c>
      <c r="E229">
        <v>11</v>
      </c>
      <c r="F229">
        <v>0.42499999999999999</v>
      </c>
      <c r="G229">
        <v>0.7</v>
      </c>
    </row>
    <row r="230" spans="1:7">
      <c r="A230" t="s">
        <v>137</v>
      </c>
      <c r="B230" t="s">
        <v>193</v>
      </c>
      <c r="C230" t="s">
        <v>18</v>
      </c>
      <c r="D230" t="s">
        <v>138</v>
      </c>
      <c r="E230">
        <v>12</v>
      </c>
      <c r="F230">
        <v>0.49999999999999994</v>
      </c>
      <c r="G230">
        <v>0.8</v>
      </c>
    </row>
    <row r="231" spans="1:7">
      <c r="A231" t="s">
        <v>137</v>
      </c>
      <c r="B231" t="s">
        <v>193</v>
      </c>
      <c r="C231" t="s">
        <v>18</v>
      </c>
      <c r="D231" t="s">
        <v>138</v>
      </c>
      <c r="E231">
        <v>13</v>
      </c>
      <c r="F231">
        <v>0.6333333333333333</v>
      </c>
      <c r="G231">
        <v>0.8</v>
      </c>
    </row>
    <row r="232" spans="1:7">
      <c r="A232" t="s">
        <v>137</v>
      </c>
      <c r="B232" t="s">
        <v>193</v>
      </c>
      <c r="C232" t="s">
        <v>18</v>
      </c>
      <c r="D232" t="s">
        <v>138</v>
      </c>
      <c r="E232">
        <v>14</v>
      </c>
      <c r="F232">
        <v>0.6</v>
      </c>
      <c r="G232">
        <v>0.9</v>
      </c>
    </row>
    <row r="233" spans="1:7">
      <c r="A233" t="s">
        <v>137</v>
      </c>
      <c r="B233" t="s">
        <v>193</v>
      </c>
      <c r="C233" t="s">
        <v>18</v>
      </c>
      <c r="D233" t="s">
        <v>138</v>
      </c>
      <c r="E233">
        <v>15</v>
      </c>
      <c r="F233">
        <v>0.64999999999999991</v>
      </c>
      <c r="G233">
        <v>0.9</v>
      </c>
    </row>
    <row r="234" spans="1:7">
      <c r="A234" t="s">
        <v>137</v>
      </c>
      <c r="B234" t="s">
        <v>193</v>
      </c>
      <c r="C234" t="s">
        <v>18</v>
      </c>
      <c r="D234" t="s">
        <v>138</v>
      </c>
      <c r="E234">
        <v>16</v>
      </c>
      <c r="F234">
        <v>0.72500000000000009</v>
      </c>
      <c r="G234">
        <v>1</v>
      </c>
    </row>
    <row r="235" spans="1:7">
      <c r="A235" t="s">
        <v>137</v>
      </c>
      <c r="B235" t="s">
        <v>193</v>
      </c>
      <c r="C235" t="s">
        <v>18</v>
      </c>
      <c r="D235" t="s">
        <v>138</v>
      </c>
      <c r="E235">
        <v>17</v>
      </c>
      <c r="F235">
        <v>0.77500000000000002</v>
      </c>
      <c r="G235">
        <v>1</v>
      </c>
    </row>
    <row r="236" spans="1:7">
      <c r="A236" t="s">
        <v>137</v>
      </c>
      <c r="B236" t="s">
        <v>193</v>
      </c>
      <c r="C236" t="s">
        <v>18</v>
      </c>
      <c r="D236" t="s">
        <v>138</v>
      </c>
      <c r="E236">
        <v>18</v>
      </c>
      <c r="F236">
        <v>0.82499999999999996</v>
      </c>
      <c r="G236">
        <v>1</v>
      </c>
    </row>
    <row r="237" spans="1:7">
      <c r="A237" t="s">
        <v>137</v>
      </c>
      <c r="B237" t="s">
        <v>193</v>
      </c>
      <c r="C237" t="s">
        <v>18</v>
      </c>
      <c r="D237" t="s">
        <v>138</v>
      </c>
      <c r="E237">
        <v>19</v>
      </c>
      <c r="F237">
        <v>0.8</v>
      </c>
      <c r="G237">
        <v>1</v>
      </c>
    </row>
    <row r="238" spans="1:7">
      <c r="A238" t="s">
        <v>137</v>
      </c>
      <c r="B238" t="s">
        <v>193</v>
      </c>
      <c r="C238" t="s">
        <v>18</v>
      </c>
      <c r="D238" t="s">
        <v>138</v>
      </c>
      <c r="E238">
        <v>20</v>
      </c>
      <c r="F238">
        <v>0.75</v>
      </c>
      <c r="G238">
        <v>1</v>
      </c>
    </row>
    <row r="239" spans="1:7">
      <c r="A239" t="s">
        <v>137</v>
      </c>
      <c r="B239" t="s">
        <v>193</v>
      </c>
      <c r="C239" t="s">
        <v>18</v>
      </c>
      <c r="D239" t="s">
        <v>138</v>
      </c>
      <c r="E239">
        <v>21</v>
      </c>
      <c r="F239">
        <v>0.72499999999999998</v>
      </c>
      <c r="G239">
        <v>1</v>
      </c>
    </row>
    <row r="240" spans="1:7">
      <c r="A240" t="s">
        <v>137</v>
      </c>
      <c r="B240" t="s">
        <v>193</v>
      </c>
      <c r="C240" t="s">
        <v>18</v>
      </c>
      <c r="D240" t="s">
        <v>138</v>
      </c>
      <c r="E240">
        <v>22</v>
      </c>
      <c r="F240">
        <v>0.56666666666666665</v>
      </c>
      <c r="G240">
        <v>0.6</v>
      </c>
    </row>
    <row r="241" spans="1:7">
      <c r="A241" t="s">
        <v>137</v>
      </c>
      <c r="B241" t="s">
        <v>193</v>
      </c>
      <c r="C241" t="s">
        <v>18</v>
      </c>
      <c r="D241" t="s">
        <v>138</v>
      </c>
      <c r="E241">
        <v>23</v>
      </c>
      <c r="F241">
        <v>0.625</v>
      </c>
      <c r="G241">
        <v>1</v>
      </c>
    </row>
    <row r="242" spans="1:7">
      <c r="A242" t="s">
        <v>137</v>
      </c>
      <c r="B242" t="s">
        <v>193</v>
      </c>
      <c r="C242" t="s">
        <v>18</v>
      </c>
      <c r="D242" t="s">
        <v>138</v>
      </c>
      <c r="E242">
        <v>24</v>
      </c>
      <c r="F242">
        <v>0.54999999999999993</v>
      </c>
      <c r="G242">
        <v>0.9</v>
      </c>
    </row>
    <row r="243" spans="1:7">
      <c r="A243" t="s">
        <v>137</v>
      </c>
      <c r="B243" t="s">
        <v>193</v>
      </c>
      <c r="C243" t="s">
        <v>18</v>
      </c>
      <c r="D243" t="s">
        <v>138</v>
      </c>
      <c r="E243">
        <v>25</v>
      </c>
      <c r="F243">
        <v>0.55000000000000004</v>
      </c>
      <c r="G243">
        <v>0.9</v>
      </c>
    </row>
    <row r="244" spans="1:7">
      <c r="A244" t="s">
        <v>137</v>
      </c>
      <c r="B244" t="s">
        <v>193</v>
      </c>
      <c r="C244" t="s">
        <v>18</v>
      </c>
      <c r="D244" t="s">
        <v>138</v>
      </c>
      <c r="E244">
        <v>26</v>
      </c>
      <c r="F244">
        <v>0.625</v>
      </c>
      <c r="G244">
        <v>0.9</v>
      </c>
    </row>
    <row r="245" spans="1:7">
      <c r="A245" t="s">
        <v>137</v>
      </c>
      <c r="B245" t="s">
        <v>193</v>
      </c>
      <c r="C245" t="s">
        <v>18</v>
      </c>
      <c r="D245" t="s">
        <v>138</v>
      </c>
      <c r="E245">
        <v>27</v>
      </c>
      <c r="F245">
        <v>0.83333333333333337</v>
      </c>
      <c r="G245">
        <v>1</v>
      </c>
    </row>
    <row r="246" spans="1:7">
      <c r="A246" t="s">
        <v>137</v>
      </c>
      <c r="B246" t="s">
        <v>193</v>
      </c>
      <c r="C246" t="s">
        <v>18</v>
      </c>
      <c r="D246" t="s">
        <v>138</v>
      </c>
      <c r="E246">
        <v>28</v>
      </c>
      <c r="F246">
        <v>0.72500000000000009</v>
      </c>
      <c r="G246">
        <v>1</v>
      </c>
    </row>
    <row r="247" spans="1:7">
      <c r="A247" t="s">
        <v>137</v>
      </c>
      <c r="B247" t="s">
        <v>193</v>
      </c>
      <c r="C247" t="s">
        <v>18</v>
      </c>
      <c r="D247" t="s">
        <v>138</v>
      </c>
      <c r="E247">
        <v>29</v>
      </c>
      <c r="F247">
        <v>0.77500000000000002</v>
      </c>
      <c r="G247">
        <v>1</v>
      </c>
    </row>
    <row r="248" spans="1:7">
      <c r="A248" t="s">
        <v>137</v>
      </c>
      <c r="B248" t="s">
        <v>193</v>
      </c>
      <c r="C248" t="s">
        <v>18</v>
      </c>
      <c r="D248" t="s">
        <v>138</v>
      </c>
      <c r="E248">
        <v>30</v>
      </c>
      <c r="F248">
        <v>0.79999999999999993</v>
      </c>
      <c r="G248">
        <v>1</v>
      </c>
    </row>
    <row r="249" spans="1:7">
      <c r="A249" t="s">
        <v>137</v>
      </c>
      <c r="B249" t="s">
        <v>193</v>
      </c>
      <c r="C249" t="s">
        <v>18</v>
      </c>
      <c r="D249" t="s">
        <v>138</v>
      </c>
      <c r="E249">
        <v>31</v>
      </c>
      <c r="F249">
        <v>0.8</v>
      </c>
      <c r="G249">
        <v>1</v>
      </c>
    </row>
    <row r="250" spans="1:7">
      <c r="A250" t="s">
        <v>186</v>
      </c>
      <c r="B250" t="s">
        <v>195</v>
      </c>
      <c r="C250" t="s">
        <v>18</v>
      </c>
      <c r="D250" t="s">
        <v>131</v>
      </c>
      <c r="E250">
        <v>1</v>
      </c>
      <c r="F250">
        <v>0.87500000000000011</v>
      </c>
      <c r="G250">
        <v>1.3</v>
      </c>
    </row>
    <row r="251" spans="1:7">
      <c r="A251" t="s">
        <v>186</v>
      </c>
      <c r="B251" t="s">
        <v>195</v>
      </c>
      <c r="C251" t="s">
        <v>18</v>
      </c>
      <c r="D251" t="s">
        <v>131</v>
      </c>
      <c r="E251">
        <v>2</v>
      </c>
      <c r="F251">
        <v>0.92500000000000004</v>
      </c>
      <c r="G251">
        <v>1.3</v>
      </c>
    </row>
    <row r="252" spans="1:7">
      <c r="A252" t="s">
        <v>186</v>
      </c>
      <c r="B252" t="s">
        <v>195</v>
      </c>
      <c r="C252" t="s">
        <v>18</v>
      </c>
      <c r="D252" t="s">
        <v>131</v>
      </c>
      <c r="E252">
        <v>3</v>
      </c>
      <c r="F252">
        <v>0.92500000000000004</v>
      </c>
      <c r="G252">
        <v>1.3</v>
      </c>
    </row>
    <row r="253" spans="1:7">
      <c r="A253" t="s">
        <v>186</v>
      </c>
      <c r="B253" t="s">
        <v>195</v>
      </c>
      <c r="C253" t="s">
        <v>18</v>
      </c>
      <c r="D253" t="s">
        <v>131</v>
      </c>
      <c r="E253">
        <v>4</v>
      </c>
      <c r="F253">
        <v>0.93333333333333324</v>
      </c>
      <c r="G253">
        <v>1.3</v>
      </c>
    </row>
    <row r="254" spans="1:7">
      <c r="A254" t="s">
        <v>186</v>
      </c>
      <c r="B254" t="s">
        <v>195</v>
      </c>
      <c r="C254" t="s">
        <v>18</v>
      </c>
      <c r="D254" t="s">
        <v>131</v>
      </c>
      <c r="E254">
        <v>5</v>
      </c>
      <c r="F254">
        <v>0.85</v>
      </c>
      <c r="G254">
        <v>1.1000000000000001</v>
      </c>
    </row>
    <row r="255" spans="1:7">
      <c r="A255" t="s">
        <v>186</v>
      </c>
      <c r="B255" t="s">
        <v>195</v>
      </c>
      <c r="C255" t="s">
        <v>18</v>
      </c>
      <c r="D255" t="s">
        <v>131</v>
      </c>
      <c r="E255">
        <v>6</v>
      </c>
      <c r="F255">
        <v>0.77499999999999991</v>
      </c>
      <c r="G255">
        <v>1</v>
      </c>
    </row>
    <row r="256" spans="1:7">
      <c r="A256" t="s">
        <v>186</v>
      </c>
      <c r="B256" t="s">
        <v>195</v>
      </c>
      <c r="C256" t="s">
        <v>18</v>
      </c>
      <c r="D256" t="s">
        <v>131</v>
      </c>
      <c r="E256">
        <v>7</v>
      </c>
      <c r="F256">
        <v>0.67500000000000004</v>
      </c>
      <c r="G256">
        <v>0.9</v>
      </c>
    </row>
    <row r="257" spans="1:7">
      <c r="A257" t="s">
        <v>186</v>
      </c>
      <c r="B257" t="s">
        <v>195</v>
      </c>
      <c r="C257" t="s">
        <v>18</v>
      </c>
      <c r="D257" t="s">
        <v>131</v>
      </c>
      <c r="E257">
        <v>8</v>
      </c>
      <c r="F257">
        <v>0.625</v>
      </c>
      <c r="G257">
        <v>0.9</v>
      </c>
    </row>
    <row r="258" spans="1:7">
      <c r="A258" t="s">
        <v>186</v>
      </c>
      <c r="B258" t="s">
        <v>195</v>
      </c>
      <c r="C258" t="s">
        <v>18</v>
      </c>
      <c r="D258" t="s">
        <v>131</v>
      </c>
      <c r="E258">
        <v>9</v>
      </c>
      <c r="F258">
        <v>0.52499999999999991</v>
      </c>
      <c r="G258">
        <v>0.9</v>
      </c>
    </row>
    <row r="259" spans="1:7">
      <c r="A259" t="s">
        <v>186</v>
      </c>
      <c r="B259" t="s">
        <v>195</v>
      </c>
      <c r="C259" t="s">
        <v>18</v>
      </c>
      <c r="D259" t="s">
        <v>131</v>
      </c>
      <c r="E259">
        <v>10</v>
      </c>
      <c r="F259">
        <v>0.42500000000000004</v>
      </c>
      <c r="G259">
        <v>0.8</v>
      </c>
    </row>
    <row r="260" spans="1:7">
      <c r="A260" t="s">
        <v>186</v>
      </c>
      <c r="B260" t="s">
        <v>195</v>
      </c>
      <c r="C260" t="s">
        <v>18</v>
      </c>
      <c r="D260" t="s">
        <v>131</v>
      </c>
      <c r="E260">
        <v>11</v>
      </c>
      <c r="F260">
        <v>0.4</v>
      </c>
      <c r="G260">
        <v>0.8</v>
      </c>
    </row>
    <row r="261" spans="1:7">
      <c r="A261" t="s">
        <v>186</v>
      </c>
      <c r="B261" t="s">
        <v>195</v>
      </c>
      <c r="C261" t="s">
        <v>18</v>
      </c>
      <c r="D261" t="s">
        <v>131</v>
      </c>
      <c r="E261">
        <v>12</v>
      </c>
      <c r="F261">
        <v>0.56666666666666665</v>
      </c>
      <c r="G261">
        <v>0.9</v>
      </c>
    </row>
    <row r="262" spans="1:7">
      <c r="A262" t="s">
        <v>186</v>
      </c>
      <c r="B262" t="s">
        <v>195</v>
      </c>
      <c r="C262" t="s">
        <v>18</v>
      </c>
      <c r="D262" t="s">
        <v>131</v>
      </c>
      <c r="E262">
        <v>13</v>
      </c>
      <c r="F262">
        <v>0.52500000000000002</v>
      </c>
      <c r="G262">
        <v>0.9</v>
      </c>
    </row>
    <row r="263" spans="1:7">
      <c r="A263" t="s">
        <v>186</v>
      </c>
      <c r="B263" t="s">
        <v>195</v>
      </c>
      <c r="C263" t="s">
        <v>18</v>
      </c>
      <c r="D263" t="s">
        <v>131</v>
      </c>
      <c r="E263">
        <v>14</v>
      </c>
      <c r="F263">
        <v>0.57499999999999996</v>
      </c>
      <c r="G263">
        <v>0.9</v>
      </c>
    </row>
    <row r="264" spans="1:7">
      <c r="A264" t="s">
        <v>186</v>
      </c>
      <c r="B264" t="s">
        <v>195</v>
      </c>
      <c r="C264" t="s">
        <v>18</v>
      </c>
      <c r="D264" t="s">
        <v>131</v>
      </c>
      <c r="E264">
        <v>15</v>
      </c>
      <c r="F264">
        <v>0.625</v>
      </c>
      <c r="G264">
        <v>1</v>
      </c>
    </row>
    <row r="265" spans="1:7">
      <c r="A265" t="s">
        <v>186</v>
      </c>
      <c r="B265" t="s">
        <v>195</v>
      </c>
      <c r="C265" t="s">
        <v>18</v>
      </c>
      <c r="D265" t="s">
        <v>131</v>
      </c>
      <c r="E265">
        <v>16</v>
      </c>
      <c r="F265">
        <v>0.72499999999999998</v>
      </c>
      <c r="G265">
        <v>1.1000000000000001</v>
      </c>
    </row>
    <row r="266" spans="1:7">
      <c r="A266" t="s">
        <v>186</v>
      </c>
      <c r="B266" t="s">
        <v>195</v>
      </c>
      <c r="C266" t="s">
        <v>18</v>
      </c>
      <c r="D266" t="s">
        <v>131</v>
      </c>
      <c r="E266">
        <v>17</v>
      </c>
      <c r="F266">
        <v>0.82499999999999996</v>
      </c>
      <c r="G266">
        <v>1.1000000000000001</v>
      </c>
    </row>
    <row r="267" spans="1:7">
      <c r="A267" t="s">
        <v>186</v>
      </c>
      <c r="B267" t="s">
        <v>195</v>
      </c>
      <c r="C267" t="s">
        <v>18</v>
      </c>
      <c r="D267" t="s">
        <v>131</v>
      </c>
      <c r="E267">
        <v>18</v>
      </c>
      <c r="F267">
        <v>0.85000000000000009</v>
      </c>
      <c r="G267">
        <v>1.1000000000000001</v>
      </c>
    </row>
    <row r="268" spans="1:7">
      <c r="A268" t="s">
        <v>186</v>
      </c>
      <c r="B268" t="s">
        <v>195</v>
      </c>
      <c r="C268" t="s">
        <v>18</v>
      </c>
      <c r="D268" t="s">
        <v>131</v>
      </c>
      <c r="E268">
        <v>19</v>
      </c>
      <c r="F268">
        <v>0.875</v>
      </c>
      <c r="G268">
        <v>1.1000000000000001</v>
      </c>
    </row>
    <row r="269" spans="1:7">
      <c r="A269" t="s">
        <v>186</v>
      </c>
      <c r="B269" t="s">
        <v>195</v>
      </c>
      <c r="C269" t="s">
        <v>18</v>
      </c>
      <c r="D269" t="s">
        <v>131</v>
      </c>
      <c r="E269">
        <v>20</v>
      </c>
      <c r="F269">
        <v>0.8666666666666667</v>
      </c>
      <c r="G269">
        <v>1.1000000000000001</v>
      </c>
    </row>
    <row r="270" spans="1:7">
      <c r="A270" t="s">
        <v>186</v>
      </c>
      <c r="B270" t="s">
        <v>195</v>
      </c>
      <c r="C270" t="s">
        <v>18</v>
      </c>
      <c r="D270" t="s">
        <v>131</v>
      </c>
      <c r="E270">
        <v>21</v>
      </c>
      <c r="F270">
        <v>0.875</v>
      </c>
      <c r="G270">
        <v>1</v>
      </c>
    </row>
    <row r="271" spans="1:7">
      <c r="A271" t="s">
        <v>186</v>
      </c>
      <c r="B271" t="s">
        <v>195</v>
      </c>
      <c r="C271" t="s">
        <v>18</v>
      </c>
      <c r="D271" t="s">
        <v>131</v>
      </c>
      <c r="E271">
        <v>22</v>
      </c>
      <c r="F271">
        <v>0.77499999999999991</v>
      </c>
      <c r="G271">
        <v>1</v>
      </c>
    </row>
    <row r="272" spans="1:7">
      <c r="A272" t="s">
        <v>186</v>
      </c>
      <c r="B272" t="s">
        <v>195</v>
      </c>
      <c r="C272" t="s">
        <v>18</v>
      </c>
      <c r="D272" t="s">
        <v>131</v>
      </c>
      <c r="E272">
        <v>23</v>
      </c>
      <c r="F272">
        <v>0.72500000000000009</v>
      </c>
      <c r="G272">
        <v>1</v>
      </c>
    </row>
    <row r="273" spans="1:7">
      <c r="A273" t="s">
        <v>186</v>
      </c>
      <c r="B273" t="s">
        <v>195</v>
      </c>
      <c r="C273" t="s">
        <v>18</v>
      </c>
      <c r="D273" t="s">
        <v>131</v>
      </c>
      <c r="E273">
        <v>24</v>
      </c>
      <c r="F273">
        <v>0.65</v>
      </c>
      <c r="G273">
        <v>1</v>
      </c>
    </row>
    <row r="274" spans="1:7">
      <c r="A274" t="s">
        <v>186</v>
      </c>
      <c r="B274" t="s">
        <v>195</v>
      </c>
      <c r="C274" t="s">
        <v>18</v>
      </c>
      <c r="D274" t="s">
        <v>131</v>
      </c>
      <c r="E274">
        <v>25</v>
      </c>
      <c r="F274">
        <v>0.6</v>
      </c>
      <c r="G274">
        <v>1</v>
      </c>
    </row>
    <row r="275" spans="1:7">
      <c r="A275" t="s">
        <v>186</v>
      </c>
      <c r="B275" t="s">
        <v>195</v>
      </c>
      <c r="C275" t="s">
        <v>18</v>
      </c>
      <c r="D275" t="s">
        <v>131</v>
      </c>
      <c r="E275">
        <v>26</v>
      </c>
      <c r="F275">
        <v>0.57500000000000007</v>
      </c>
      <c r="G275">
        <v>1</v>
      </c>
    </row>
    <row r="276" spans="1:7">
      <c r="A276" t="s">
        <v>186</v>
      </c>
      <c r="B276" t="s">
        <v>195</v>
      </c>
      <c r="C276" t="s">
        <v>18</v>
      </c>
      <c r="D276" t="s">
        <v>131</v>
      </c>
      <c r="E276">
        <v>27</v>
      </c>
      <c r="F276">
        <v>0.73333333333333339</v>
      </c>
      <c r="G276">
        <v>1</v>
      </c>
    </row>
    <row r="277" spans="1:7">
      <c r="A277" t="s">
        <v>186</v>
      </c>
      <c r="B277" t="s">
        <v>195</v>
      </c>
      <c r="C277" t="s">
        <v>18</v>
      </c>
      <c r="D277" t="s">
        <v>131</v>
      </c>
      <c r="E277">
        <v>28</v>
      </c>
      <c r="F277">
        <v>0.67500000000000004</v>
      </c>
      <c r="G277">
        <v>1</v>
      </c>
    </row>
    <row r="278" spans="1:7">
      <c r="A278" t="s">
        <v>186</v>
      </c>
      <c r="B278" t="s">
        <v>195</v>
      </c>
      <c r="C278" t="s">
        <v>18</v>
      </c>
      <c r="D278" t="s">
        <v>131</v>
      </c>
      <c r="E278">
        <v>29</v>
      </c>
      <c r="F278">
        <v>0.75000000000000011</v>
      </c>
      <c r="G278">
        <v>1.1000000000000001</v>
      </c>
    </row>
    <row r="279" spans="1:7">
      <c r="A279" t="s">
        <v>186</v>
      </c>
      <c r="B279" t="s">
        <v>195</v>
      </c>
      <c r="C279" t="s">
        <v>18</v>
      </c>
      <c r="D279" t="s">
        <v>131</v>
      </c>
      <c r="E279">
        <v>30</v>
      </c>
      <c r="F279">
        <v>0.82499999999999996</v>
      </c>
      <c r="G279">
        <v>1.1000000000000001</v>
      </c>
    </row>
    <row r="280" spans="1:7">
      <c r="A280" t="s">
        <v>186</v>
      </c>
      <c r="B280" t="s">
        <v>195</v>
      </c>
      <c r="C280" t="s">
        <v>18</v>
      </c>
      <c r="D280" t="s">
        <v>131</v>
      </c>
      <c r="E280">
        <v>31</v>
      </c>
      <c r="F280">
        <v>0.9</v>
      </c>
      <c r="G280">
        <v>1.1000000000000001</v>
      </c>
    </row>
    <row r="281" spans="1:7">
      <c r="A281" t="s">
        <v>187</v>
      </c>
      <c r="B281" t="s">
        <v>157</v>
      </c>
      <c r="C281" t="s">
        <v>122</v>
      </c>
      <c r="D281" t="s">
        <v>161</v>
      </c>
      <c r="E281">
        <v>1</v>
      </c>
      <c r="F281">
        <v>1.325</v>
      </c>
      <c r="G281">
        <v>2</v>
      </c>
    </row>
    <row r="282" spans="1:7">
      <c r="A282" t="s">
        <v>187</v>
      </c>
      <c r="B282" t="s">
        <v>157</v>
      </c>
      <c r="C282" t="s">
        <v>122</v>
      </c>
      <c r="D282" t="s">
        <v>161</v>
      </c>
      <c r="E282">
        <v>2</v>
      </c>
      <c r="F282">
        <v>1.375</v>
      </c>
      <c r="G282">
        <v>2</v>
      </c>
    </row>
    <row r="283" spans="1:7">
      <c r="A283" t="s">
        <v>187</v>
      </c>
      <c r="B283" t="s">
        <v>157</v>
      </c>
      <c r="C283" t="s">
        <v>122</v>
      </c>
      <c r="D283" t="s">
        <v>161</v>
      </c>
      <c r="E283">
        <v>3</v>
      </c>
      <c r="F283">
        <v>1.375</v>
      </c>
      <c r="G283">
        <v>1.9</v>
      </c>
    </row>
    <row r="284" spans="1:7">
      <c r="A284" t="s">
        <v>187</v>
      </c>
      <c r="B284" t="s">
        <v>157</v>
      </c>
      <c r="C284" t="s">
        <v>122</v>
      </c>
      <c r="D284" t="s">
        <v>161</v>
      </c>
      <c r="E284">
        <v>4</v>
      </c>
      <c r="F284">
        <v>1.35</v>
      </c>
      <c r="G284">
        <v>2</v>
      </c>
    </row>
    <row r="285" spans="1:7">
      <c r="A285" t="s">
        <v>187</v>
      </c>
      <c r="B285" t="s">
        <v>157</v>
      </c>
      <c r="C285" t="s">
        <v>122</v>
      </c>
      <c r="D285" t="s">
        <v>161</v>
      </c>
      <c r="E285">
        <v>5</v>
      </c>
      <c r="F285">
        <v>1.0333333333333334</v>
      </c>
      <c r="G285">
        <v>1.6</v>
      </c>
    </row>
    <row r="286" spans="1:7">
      <c r="A286" t="s">
        <v>187</v>
      </c>
      <c r="B286" t="s">
        <v>157</v>
      </c>
      <c r="C286" t="s">
        <v>122</v>
      </c>
      <c r="D286" t="s">
        <v>161</v>
      </c>
      <c r="E286">
        <v>6</v>
      </c>
      <c r="F286">
        <v>1.1749999999999998</v>
      </c>
      <c r="G286">
        <v>1.9</v>
      </c>
    </row>
    <row r="287" spans="1:7">
      <c r="A287" t="s">
        <v>187</v>
      </c>
      <c r="B287" t="s">
        <v>157</v>
      </c>
      <c r="C287" t="s">
        <v>122</v>
      </c>
      <c r="D287" t="s">
        <v>161</v>
      </c>
      <c r="E287">
        <v>7</v>
      </c>
      <c r="F287">
        <v>1.0499999999999998</v>
      </c>
      <c r="G287">
        <v>1.8</v>
      </c>
    </row>
    <row r="288" spans="1:7">
      <c r="A288" t="s">
        <v>187</v>
      </c>
      <c r="B288" t="s">
        <v>157</v>
      </c>
      <c r="C288" t="s">
        <v>122</v>
      </c>
      <c r="D288" t="s">
        <v>161</v>
      </c>
      <c r="E288">
        <v>8</v>
      </c>
      <c r="F288">
        <v>0.92499999999999993</v>
      </c>
      <c r="G288">
        <v>1.7</v>
      </c>
    </row>
    <row r="289" spans="1:7">
      <c r="A289" t="s">
        <v>187</v>
      </c>
      <c r="B289" t="s">
        <v>157</v>
      </c>
      <c r="C289" t="s">
        <v>122</v>
      </c>
      <c r="D289" t="s">
        <v>161</v>
      </c>
      <c r="E289">
        <v>9</v>
      </c>
      <c r="F289">
        <v>0.82499999999999996</v>
      </c>
      <c r="G289">
        <v>1.6</v>
      </c>
    </row>
    <row r="290" spans="1:7">
      <c r="A290" t="s">
        <v>187</v>
      </c>
      <c r="B290" t="s">
        <v>157</v>
      </c>
      <c r="C290" t="s">
        <v>122</v>
      </c>
      <c r="D290" t="s">
        <v>161</v>
      </c>
      <c r="E290">
        <v>10</v>
      </c>
      <c r="F290">
        <v>0.72500000000000009</v>
      </c>
      <c r="G290">
        <v>1.4</v>
      </c>
    </row>
    <row r="291" spans="1:7">
      <c r="A291" t="s">
        <v>187</v>
      </c>
      <c r="B291" t="s">
        <v>157</v>
      </c>
      <c r="C291" t="s">
        <v>122</v>
      </c>
      <c r="D291" t="s">
        <v>161</v>
      </c>
      <c r="E291">
        <v>11</v>
      </c>
      <c r="F291">
        <v>0.70000000000000007</v>
      </c>
      <c r="G291">
        <v>1.3</v>
      </c>
    </row>
    <row r="292" spans="1:7">
      <c r="A292" t="s">
        <v>187</v>
      </c>
      <c r="B292" t="s">
        <v>157</v>
      </c>
      <c r="C292" t="s">
        <v>122</v>
      </c>
      <c r="D292" t="s">
        <v>161</v>
      </c>
      <c r="E292">
        <v>12</v>
      </c>
      <c r="F292">
        <v>0.75</v>
      </c>
      <c r="G292">
        <v>1.3</v>
      </c>
    </row>
    <row r="293" spans="1:7">
      <c r="A293" t="s">
        <v>187</v>
      </c>
      <c r="B293" t="s">
        <v>157</v>
      </c>
      <c r="C293" t="s">
        <v>122</v>
      </c>
      <c r="D293" t="s">
        <v>161</v>
      </c>
      <c r="E293">
        <v>13</v>
      </c>
      <c r="F293">
        <v>1</v>
      </c>
      <c r="G293">
        <v>1.3</v>
      </c>
    </row>
    <row r="294" spans="1:7">
      <c r="A294" t="s">
        <v>187</v>
      </c>
      <c r="B294" t="s">
        <v>157</v>
      </c>
      <c r="C294" t="s">
        <v>122</v>
      </c>
      <c r="D294" t="s">
        <v>161</v>
      </c>
      <c r="E294">
        <v>14</v>
      </c>
      <c r="F294">
        <v>0.89999999999999991</v>
      </c>
      <c r="G294">
        <v>1.4</v>
      </c>
    </row>
    <row r="295" spans="1:7">
      <c r="A295" t="s">
        <v>187</v>
      </c>
      <c r="B295" t="s">
        <v>157</v>
      </c>
      <c r="C295" t="s">
        <v>122</v>
      </c>
      <c r="D295" t="s">
        <v>161</v>
      </c>
      <c r="E295">
        <v>15</v>
      </c>
      <c r="F295">
        <v>1.05</v>
      </c>
      <c r="G295">
        <v>1.6</v>
      </c>
    </row>
    <row r="296" spans="1:7">
      <c r="A296" t="s">
        <v>187</v>
      </c>
      <c r="B296" t="s">
        <v>157</v>
      </c>
      <c r="C296" t="s">
        <v>122</v>
      </c>
      <c r="D296" t="s">
        <v>161</v>
      </c>
      <c r="E296">
        <v>16</v>
      </c>
      <c r="F296">
        <v>1.125</v>
      </c>
      <c r="G296">
        <v>1.7</v>
      </c>
    </row>
    <row r="297" spans="1:7">
      <c r="A297" t="s">
        <v>187</v>
      </c>
      <c r="B297" t="s">
        <v>157</v>
      </c>
      <c r="C297" t="s">
        <v>122</v>
      </c>
      <c r="D297" t="s">
        <v>161</v>
      </c>
      <c r="E297">
        <v>17</v>
      </c>
      <c r="F297">
        <v>1.25</v>
      </c>
      <c r="G297">
        <v>1.8</v>
      </c>
    </row>
    <row r="298" spans="1:7">
      <c r="A298" t="s">
        <v>187</v>
      </c>
      <c r="B298" t="s">
        <v>157</v>
      </c>
      <c r="C298" t="s">
        <v>122</v>
      </c>
      <c r="D298" t="s">
        <v>161</v>
      </c>
      <c r="E298">
        <v>18</v>
      </c>
      <c r="F298">
        <v>1.3</v>
      </c>
      <c r="G298">
        <v>1.8</v>
      </c>
    </row>
    <row r="299" spans="1:7">
      <c r="A299" t="s">
        <v>187</v>
      </c>
      <c r="B299" t="s">
        <v>157</v>
      </c>
      <c r="C299" t="s">
        <v>122</v>
      </c>
      <c r="D299" t="s">
        <v>161</v>
      </c>
      <c r="E299">
        <v>19</v>
      </c>
      <c r="F299">
        <v>1.325</v>
      </c>
      <c r="G299">
        <v>1.9</v>
      </c>
    </row>
    <row r="300" spans="1:7">
      <c r="A300" t="s">
        <v>187</v>
      </c>
      <c r="B300" t="s">
        <v>157</v>
      </c>
      <c r="C300" t="s">
        <v>122</v>
      </c>
      <c r="D300" t="s">
        <v>161</v>
      </c>
      <c r="E300">
        <v>20</v>
      </c>
      <c r="F300">
        <v>1.35</v>
      </c>
      <c r="G300">
        <v>2</v>
      </c>
    </row>
    <row r="301" spans="1:7">
      <c r="A301" t="s">
        <v>187</v>
      </c>
      <c r="B301" t="s">
        <v>157</v>
      </c>
      <c r="C301" t="s">
        <v>122</v>
      </c>
      <c r="D301" t="s">
        <v>161</v>
      </c>
      <c r="E301">
        <v>21</v>
      </c>
      <c r="F301">
        <v>1.0666666666666667</v>
      </c>
      <c r="G301">
        <v>1.6</v>
      </c>
    </row>
    <row r="302" spans="1:7">
      <c r="A302" t="s">
        <v>187</v>
      </c>
      <c r="B302" t="s">
        <v>157</v>
      </c>
      <c r="C302" t="s">
        <v>122</v>
      </c>
      <c r="D302" t="s">
        <v>161</v>
      </c>
      <c r="E302">
        <v>22</v>
      </c>
      <c r="F302">
        <v>1.1999999999999997</v>
      </c>
      <c r="G302">
        <v>2</v>
      </c>
    </row>
    <row r="303" spans="1:7">
      <c r="A303" t="s">
        <v>187</v>
      </c>
      <c r="B303" t="s">
        <v>157</v>
      </c>
      <c r="C303" t="s">
        <v>122</v>
      </c>
      <c r="D303" t="s">
        <v>161</v>
      </c>
      <c r="E303">
        <v>23</v>
      </c>
      <c r="F303">
        <v>1.1000000000000001</v>
      </c>
      <c r="G303">
        <v>1.9</v>
      </c>
    </row>
    <row r="304" spans="1:7">
      <c r="A304" t="s">
        <v>187</v>
      </c>
      <c r="B304" t="s">
        <v>157</v>
      </c>
      <c r="C304" t="s">
        <v>122</v>
      </c>
      <c r="D304" t="s">
        <v>161</v>
      </c>
      <c r="E304">
        <v>24</v>
      </c>
      <c r="F304">
        <v>0.97499999999999998</v>
      </c>
      <c r="G304">
        <v>1.8</v>
      </c>
    </row>
    <row r="305" spans="1:7">
      <c r="A305" t="s">
        <v>187</v>
      </c>
      <c r="B305" t="s">
        <v>157</v>
      </c>
      <c r="C305" t="s">
        <v>122</v>
      </c>
      <c r="D305" t="s">
        <v>161</v>
      </c>
      <c r="E305">
        <v>25</v>
      </c>
      <c r="F305">
        <v>0.92500000000000004</v>
      </c>
      <c r="G305">
        <v>1.7</v>
      </c>
    </row>
    <row r="306" spans="1:7">
      <c r="A306" t="s">
        <v>187</v>
      </c>
      <c r="B306" t="s">
        <v>157</v>
      </c>
      <c r="C306" t="s">
        <v>122</v>
      </c>
      <c r="D306" t="s">
        <v>161</v>
      </c>
      <c r="E306">
        <v>26</v>
      </c>
      <c r="F306">
        <v>0.92500000000000016</v>
      </c>
      <c r="G306">
        <v>1.6</v>
      </c>
    </row>
    <row r="307" spans="1:7">
      <c r="A307" t="s">
        <v>187</v>
      </c>
      <c r="B307" t="s">
        <v>157</v>
      </c>
      <c r="C307" t="s">
        <v>122</v>
      </c>
      <c r="D307" t="s">
        <v>161</v>
      </c>
      <c r="E307">
        <v>27</v>
      </c>
      <c r="F307">
        <v>1.2666666666666666</v>
      </c>
      <c r="G307">
        <v>1.6</v>
      </c>
    </row>
    <row r="308" spans="1:7">
      <c r="A308" t="s">
        <v>187</v>
      </c>
      <c r="B308" t="s">
        <v>157</v>
      </c>
      <c r="C308" t="s">
        <v>122</v>
      </c>
      <c r="D308" t="s">
        <v>161</v>
      </c>
      <c r="E308">
        <v>28</v>
      </c>
      <c r="F308">
        <v>1.0750000000000002</v>
      </c>
      <c r="G308">
        <v>1.6</v>
      </c>
    </row>
    <row r="309" spans="1:7">
      <c r="A309" t="s">
        <v>187</v>
      </c>
      <c r="B309" t="s">
        <v>157</v>
      </c>
      <c r="C309" t="s">
        <v>122</v>
      </c>
      <c r="D309" t="s">
        <v>161</v>
      </c>
      <c r="E309">
        <v>29</v>
      </c>
      <c r="F309">
        <v>1.2250000000000001</v>
      </c>
      <c r="G309">
        <v>1.8</v>
      </c>
    </row>
    <row r="310" spans="1:7">
      <c r="A310" t="s">
        <v>187</v>
      </c>
      <c r="B310" t="s">
        <v>157</v>
      </c>
      <c r="C310" t="s">
        <v>122</v>
      </c>
      <c r="D310" t="s">
        <v>161</v>
      </c>
      <c r="E310">
        <v>30</v>
      </c>
      <c r="F310">
        <v>1.2749999999999999</v>
      </c>
      <c r="G310">
        <v>1.8</v>
      </c>
    </row>
    <row r="311" spans="1:7">
      <c r="A311" t="s">
        <v>187</v>
      </c>
      <c r="B311" t="s">
        <v>157</v>
      </c>
      <c r="C311" t="s">
        <v>122</v>
      </c>
      <c r="D311" t="s">
        <v>161</v>
      </c>
      <c r="E311">
        <v>31</v>
      </c>
      <c r="F311">
        <v>1.325</v>
      </c>
      <c r="G311">
        <v>1.9</v>
      </c>
    </row>
    <row r="312" spans="1:7">
      <c r="A312" t="s">
        <v>188</v>
      </c>
      <c r="B312" t="s">
        <v>158</v>
      </c>
      <c r="C312" t="s">
        <v>122</v>
      </c>
      <c r="D312" t="s">
        <v>131</v>
      </c>
      <c r="E312">
        <v>1</v>
      </c>
      <c r="F312">
        <v>1</v>
      </c>
      <c r="G312">
        <v>1.5</v>
      </c>
    </row>
    <row r="313" spans="1:7">
      <c r="A313" t="s">
        <v>188</v>
      </c>
      <c r="B313" t="s">
        <v>158</v>
      </c>
      <c r="C313" t="s">
        <v>122</v>
      </c>
      <c r="D313" t="s">
        <v>131</v>
      </c>
      <c r="E313">
        <v>2</v>
      </c>
      <c r="F313">
        <v>1.0250000000000001</v>
      </c>
      <c r="G313">
        <v>1.5</v>
      </c>
    </row>
    <row r="314" spans="1:7">
      <c r="A314" t="s">
        <v>188</v>
      </c>
      <c r="B314" t="s">
        <v>158</v>
      </c>
      <c r="C314" t="s">
        <v>122</v>
      </c>
      <c r="D314" t="s">
        <v>131</v>
      </c>
      <c r="E314">
        <v>3</v>
      </c>
      <c r="F314">
        <v>1.0750000000000002</v>
      </c>
      <c r="G314">
        <v>1.4</v>
      </c>
    </row>
    <row r="315" spans="1:7">
      <c r="A315" t="s">
        <v>188</v>
      </c>
      <c r="B315" t="s">
        <v>158</v>
      </c>
      <c r="C315" t="s">
        <v>122</v>
      </c>
      <c r="D315" t="s">
        <v>131</v>
      </c>
      <c r="E315">
        <v>4</v>
      </c>
      <c r="F315">
        <v>1.0333333333333334</v>
      </c>
      <c r="G315">
        <v>1.3</v>
      </c>
    </row>
    <row r="316" spans="1:7">
      <c r="A316" t="s">
        <v>188</v>
      </c>
      <c r="B316" t="s">
        <v>158</v>
      </c>
      <c r="C316" t="s">
        <v>122</v>
      </c>
      <c r="D316" t="s">
        <v>131</v>
      </c>
      <c r="E316">
        <v>5</v>
      </c>
      <c r="F316">
        <v>0.95000000000000007</v>
      </c>
      <c r="G316">
        <v>1.1000000000000001</v>
      </c>
    </row>
    <row r="317" spans="1:7">
      <c r="A317" t="s">
        <v>188</v>
      </c>
      <c r="B317" t="s">
        <v>158</v>
      </c>
      <c r="C317" t="s">
        <v>122</v>
      </c>
      <c r="D317" t="s">
        <v>131</v>
      </c>
      <c r="E317">
        <v>6</v>
      </c>
      <c r="F317">
        <v>0.875</v>
      </c>
      <c r="G317">
        <v>1.1000000000000001</v>
      </c>
    </row>
    <row r="318" spans="1:7">
      <c r="A318" t="s">
        <v>188</v>
      </c>
      <c r="B318" t="s">
        <v>158</v>
      </c>
      <c r="C318" t="s">
        <v>122</v>
      </c>
      <c r="D318" t="s">
        <v>131</v>
      </c>
      <c r="E318">
        <v>7</v>
      </c>
      <c r="F318">
        <v>0.77499999999999991</v>
      </c>
      <c r="G318">
        <v>1.1000000000000001</v>
      </c>
    </row>
    <row r="319" spans="1:7">
      <c r="A319" t="s">
        <v>188</v>
      </c>
      <c r="B319" t="s">
        <v>158</v>
      </c>
      <c r="C319" t="s">
        <v>122</v>
      </c>
      <c r="D319" t="s">
        <v>131</v>
      </c>
      <c r="E319">
        <v>8</v>
      </c>
      <c r="F319">
        <v>0.7</v>
      </c>
      <c r="G319">
        <v>1.1000000000000001</v>
      </c>
    </row>
    <row r="320" spans="1:7">
      <c r="A320" t="s">
        <v>188</v>
      </c>
      <c r="B320" t="s">
        <v>158</v>
      </c>
      <c r="C320" t="s">
        <v>122</v>
      </c>
      <c r="D320" t="s">
        <v>131</v>
      </c>
      <c r="E320">
        <v>9</v>
      </c>
      <c r="F320">
        <v>0.60000000000000009</v>
      </c>
      <c r="G320">
        <v>1.1000000000000001</v>
      </c>
    </row>
    <row r="321" spans="1:7">
      <c r="A321" t="s">
        <v>188</v>
      </c>
      <c r="B321" t="s">
        <v>158</v>
      </c>
      <c r="C321" t="s">
        <v>122</v>
      </c>
      <c r="D321" t="s">
        <v>131</v>
      </c>
      <c r="E321">
        <v>10</v>
      </c>
      <c r="F321">
        <v>0.5</v>
      </c>
      <c r="G321">
        <v>1.1000000000000001</v>
      </c>
    </row>
    <row r="322" spans="1:7">
      <c r="A322" t="s">
        <v>188</v>
      </c>
      <c r="B322" t="s">
        <v>158</v>
      </c>
      <c r="C322" t="s">
        <v>122</v>
      </c>
      <c r="D322" t="s">
        <v>131</v>
      </c>
      <c r="E322">
        <v>11</v>
      </c>
      <c r="F322">
        <v>0.47499999999999998</v>
      </c>
      <c r="G322">
        <v>1.1000000000000001</v>
      </c>
    </row>
    <row r="323" spans="1:7">
      <c r="A323" t="s">
        <v>188</v>
      </c>
      <c r="B323" t="s">
        <v>158</v>
      </c>
      <c r="C323" t="s">
        <v>122</v>
      </c>
      <c r="D323" t="s">
        <v>131</v>
      </c>
      <c r="E323">
        <v>12</v>
      </c>
      <c r="F323">
        <v>0.63333333333333341</v>
      </c>
      <c r="G323">
        <v>1.1000000000000001</v>
      </c>
    </row>
    <row r="324" spans="1:7">
      <c r="A324" t="s">
        <v>188</v>
      </c>
      <c r="B324" t="s">
        <v>158</v>
      </c>
      <c r="C324" t="s">
        <v>122</v>
      </c>
      <c r="D324" t="s">
        <v>131</v>
      </c>
      <c r="E324">
        <v>13</v>
      </c>
      <c r="F324">
        <v>0.57499999999999996</v>
      </c>
      <c r="G324">
        <v>1.1000000000000001</v>
      </c>
    </row>
    <row r="325" spans="1:7">
      <c r="A325" t="s">
        <v>188</v>
      </c>
      <c r="B325" t="s">
        <v>158</v>
      </c>
      <c r="C325" t="s">
        <v>122</v>
      </c>
      <c r="D325" t="s">
        <v>131</v>
      </c>
      <c r="E325">
        <v>14</v>
      </c>
      <c r="F325">
        <v>0.65</v>
      </c>
      <c r="G325">
        <v>1.1000000000000001</v>
      </c>
    </row>
    <row r="326" spans="1:7">
      <c r="A326" t="s">
        <v>188</v>
      </c>
      <c r="B326" t="s">
        <v>158</v>
      </c>
      <c r="C326" t="s">
        <v>122</v>
      </c>
      <c r="D326" t="s">
        <v>131</v>
      </c>
      <c r="E326">
        <v>15</v>
      </c>
      <c r="F326">
        <v>0.72500000000000009</v>
      </c>
      <c r="G326">
        <v>1.1000000000000001</v>
      </c>
    </row>
    <row r="327" spans="1:7">
      <c r="A327" t="s">
        <v>188</v>
      </c>
      <c r="B327" t="s">
        <v>158</v>
      </c>
      <c r="C327" t="s">
        <v>122</v>
      </c>
      <c r="D327" t="s">
        <v>131</v>
      </c>
      <c r="E327">
        <v>16</v>
      </c>
      <c r="F327">
        <v>0.82499999999999996</v>
      </c>
      <c r="G327">
        <v>1.2</v>
      </c>
    </row>
    <row r="328" spans="1:7">
      <c r="A328" t="s">
        <v>188</v>
      </c>
      <c r="B328" t="s">
        <v>158</v>
      </c>
      <c r="C328" t="s">
        <v>122</v>
      </c>
      <c r="D328" t="s">
        <v>131</v>
      </c>
      <c r="E328">
        <v>17</v>
      </c>
      <c r="F328">
        <v>0.9</v>
      </c>
      <c r="G328">
        <v>1.2</v>
      </c>
    </row>
    <row r="329" spans="1:7">
      <c r="A329" t="s">
        <v>188</v>
      </c>
      <c r="B329" t="s">
        <v>158</v>
      </c>
      <c r="C329" t="s">
        <v>122</v>
      </c>
      <c r="D329" t="s">
        <v>131</v>
      </c>
      <c r="E329">
        <v>18</v>
      </c>
      <c r="F329">
        <v>0.97499999999999998</v>
      </c>
      <c r="G329">
        <v>1.2</v>
      </c>
    </row>
    <row r="330" spans="1:7">
      <c r="A330" t="s">
        <v>188</v>
      </c>
      <c r="B330" t="s">
        <v>158</v>
      </c>
      <c r="C330" t="s">
        <v>122</v>
      </c>
      <c r="D330" t="s">
        <v>131</v>
      </c>
      <c r="E330">
        <v>19</v>
      </c>
      <c r="F330">
        <v>0.97500000000000009</v>
      </c>
      <c r="G330">
        <v>1.1000000000000001</v>
      </c>
    </row>
    <row r="331" spans="1:7">
      <c r="A331" t="s">
        <v>188</v>
      </c>
      <c r="B331" t="s">
        <v>158</v>
      </c>
      <c r="C331" t="s">
        <v>122</v>
      </c>
      <c r="D331" t="s">
        <v>131</v>
      </c>
      <c r="E331">
        <v>20</v>
      </c>
      <c r="F331">
        <v>0.93333333333333324</v>
      </c>
      <c r="G331">
        <v>1.1000000000000001</v>
      </c>
    </row>
    <row r="332" spans="1:7">
      <c r="A332" t="s">
        <v>188</v>
      </c>
      <c r="B332" t="s">
        <v>158</v>
      </c>
      <c r="C332" t="s">
        <v>122</v>
      </c>
      <c r="D332" t="s">
        <v>131</v>
      </c>
      <c r="E332">
        <v>21</v>
      </c>
      <c r="F332">
        <v>0.95</v>
      </c>
      <c r="G332">
        <v>1.2</v>
      </c>
    </row>
    <row r="333" spans="1:7">
      <c r="A333" t="s">
        <v>188</v>
      </c>
      <c r="B333" t="s">
        <v>158</v>
      </c>
      <c r="C333" t="s">
        <v>122</v>
      </c>
      <c r="D333" t="s">
        <v>131</v>
      </c>
      <c r="E333">
        <v>22</v>
      </c>
      <c r="F333">
        <v>0.89999999999999991</v>
      </c>
      <c r="G333">
        <v>1.3</v>
      </c>
    </row>
    <row r="334" spans="1:7">
      <c r="A334" t="s">
        <v>188</v>
      </c>
      <c r="B334" t="s">
        <v>158</v>
      </c>
      <c r="C334" t="s">
        <v>122</v>
      </c>
      <c r="D334" t="s">
        <v>131</v>
      </c>
      <c r="E334">
        <v>23</v>
      </c>
      <c r="F334">
        <v>0.82499999999999996</v>
      </c>
      <c r="G334">
        <v>1.3</v>
      </c>
    </row>
    <row r="335" spans="1:7">
      <c r="A335" t="s">
        <v>188</v>
      </c>
      <c r="B335" t="s">
        <v>158</v>
      </c>
      <c r="C335" t="s">
        <v>122</v>
      </c>
      <c r="D335" t="s">
        <v>131</v>
      </c>
      <c r="E335">
        <v>24</v>
      </c>
      <c r="F335">
        <v>0.72499999999999998</v>
      </c>
      <c r="G335">
        <v>1.3</v>
      </c>
    </row>
    <row r="336" spans="1:7">
      <c r="A336" t="s">
        <v>188</v>
      </c>
      <c r="B336" t="s">
        <v>158</v>
      </c>
      <c r="C336" t="s">
        <v>122</v>
      </c>
      <c r="D336" t="s">
        <v>131</v>
      </c>
      <c r="E336">
        <v>25</v>
      </c>
      <c r="F336">
        <v>0.67499999999999993</v>
      </c>
      <c r="G336">
        <v>1.2</v>
      </c>
    </row>
    <row r="337" spans="1:7">
      <c r="A337" t="s">
        <v>188</v>
      </c>
      <c r="B337" t="s">
        <v>158</v>
      </c>
      <c r="C337" t="s">
        <v>122</v>
      </c>
      <c r="D337" t="s">
        <v>131</v>
      </c>
      <c r="E337">
        <v>26</v>
      </c>
      <c r="F337">
        <v>0.625</v>
      </c>
      <c r="G337">
        <v>1.2</v>
      </c>
    </row>
    <row r="338" spans="1:7">
      <c r="A338" t="s">
        <v>188</v>
      </c>
      <c r="B338" t="s">
        <v>158</v>
      </c>
      <c r="C338" t="s">
        <v>122</v>
      </c>
      <c r="D338" t="s">
        <v>131</v>
      </c>
      <c r="E338">
        <v>27</v>
      </c>
      <c r="F338">
        <v>0.83333333333333337</v>
      </c>
      <c r="G338">
        <v>1.2</v>
      </c>
    </row>
    <row r="339" spans="1:7">
      <c r="A339" t="s">
        <v>188</v>
      </c>
      <c r="B339" t="s">
        <v>158</v>
      </c>
      <c r="C339" t="s">
        <v>122</v>
      </c>
      <c r="D339" t="s">
        <v>131</v>
      </c>
      <c r="E339">
        <v>28</v>
      </c>
      <c r="F339">
        <v>0.77499999999999991</v>
      </c>
      <c r="G339">
        <v>1.2</v>
      </c>
    </row>
    <row r="340" spans="1:7">
      <c r="A340" t="s">
        <v>188</v>
      </c>
      <c r="B340" t="s">
        <v>158</v>
      </c>
      <c r="C340" t="s">
        <v>122</v>
      </c>
      <c r="D340" t="s">
        <v>131</v>
      </c>
      <c r="E340">
        <v>29</v>
      </c>
      <c r="F340">
        <v>0.85000000000000009</v>
      </c>
      <c r="G340">
        <v>1.2</v>
      </c>
    </row>
    <row r="341" spans="1:7">
      <c r="A341" t="s">
        <v>188</v>
      </c>
      <c r="B341" t="s">
        <v>158</v>
      </c>
      <c r="C341" t="s">
        <v>122</v>
      </c>
      <c r="D341" t="s">
        <v>131</v>
      </c>
      <c r="E341">
        <v>30</v>
      </c>
      <c r="F341">
        <v>0.92500000000000004</v>
      </c>
      <c r="G341">
        <v>1.2</v>
      </c>
    </row>
    <row r="342" spans="1:7">
      <c r="A342" t="s">
        <v>188</v>
      </c>
      <c r="B342" t="s">
        <v>158</v>
      </c>
      <c r="C342" t="s">
        <v>122</v>
      </c>
      <c r="D342" t="s">
        <v>131</v>
      </c>
      <c r="E342">
        <v>31</v>
      </c>
      <c r="F342">
        <v>1</v>
      </c>
      <c r="G342">
        <v>1.2</v>
      </c>
    </row>
    <row r="343" spans="1:7">
      <c r="A343" t="s">
        <v>190</v>
      </c>
      <c r="B343" t="s">
        <v>160</v>
      </c>
      <c r="C343" t="s">
        <v>122</v>
      </c>
      <c r="D343" t="s">
        <v>131</v>
      </c>
      <c r="E343">
        <v>1</v>
      </c>
      <c r="F343">
        <v>1.7499999999999998</v>
      </c>
      <c r="G343">
        <v>2.6</v>
      </c>
    </row>
    <row r="344" spans="1:7">
      <c r="A344" t="s">
        <v>190</v>
      </c>
      <c r="B344" t="s">
        <v>160</v>
      </c>
      <c r="C344" t="s">
        <v>122</v>
      </c>
      <c r="D344" t="s">
        <v>131</v>
      </c>
      <c r="E344">
        <v>2</v>
      </c>
      <c r="F344">
        <v>1.8250000000000002</v>
      </c>
      <c r="G344">
        <v>2.6</v>
      </c>
    </row>
    <row r="345" spans="1:7">
      <c r="A345" t="s">
        <v>190</v>
      </c>
      <c r="B345" t="s">
        <v>160</v>
      </c>
      <c r="C345" t="s">
        <v>122</v>
      </c>
      <c r="D345" t="s">
        <v>131</v>
      </c>
      <c r="E345">
        <v>3</v>
      </c>
      <c r="F345">
        <v>1.9333333333333336</v>
      </c>
      <c r="G345">
        <v>2.6</v>
      </c>
    </row>
    <row r="346" spans="1:7">
      <c r="A346" t="s">
        <v>190</v>
      </c>
      <c r="B346" t="s">
        <v>160</v>
      </c>
      <c r="C346" t="s">
        <v>122</v>
      </c>
      <c r="D346" t="s">
        <v>131</v>
      </c>
      <c r="E346">
        <v>4</v>
      </c>
      <c r="F346">
        <v>1.85</v>
      </c>
      <c r="G346">
        <v>2.5</v>
      </c>
    </row>
    <row r="347" spans="1:7">
      <c r="A347" t="s">
        <v>190</v>
      </c>
      <c r="B347" t="s">
        <v>160</v>
      </c>
      <c r="C347" t="s">
        <v>122</v>
      </c>
      <c r="D347" t="s">
        <v>131</v>
      </c>
      <c r="E347">
        <v>5</v>
      </c>
      <c r="F347">
        <v>1.75</v>
      </c>
      <c r="G347">
        <v>2.2999999999999998</v>
      </c>
    </row>
    <row r="348" spans="1:7">
      <c r="A348" t="s">
        <v>190</v>
      </c>
      <c r="B348" t="s">
        <v>160</v>
      </c>
      <c r="C348" t="s">
        <v>122</v>
      </c>
      <c r="D348" t="s">
        <v>131</v>
      </c>
      <c r="E348">
        <v>6</v>
      </c>
      <c r="F348">
        <v>1.5750000000000002</v>
      </c>
      <c r="G348">
        <v>2</v>
      </c>
    </row>
    <row r="349" spans="1:7">
      <c r="A349" t="s">
        <v>190</v>
      </c>
      <c r="B349" t="s">
        <v>160</v>
      </c>
      <c r="C349" t="s">
        <v>122</v>
      </c>
      <c r="D349" t="s">
        <v>131</v>
      </c>
      <c r="E349">
        <v>7</v>
      </c>
      <c r="F349">
        <v>1.4000000000000001</v>
      </c>
      <c r="G349">
        <v>1.8</v>
      </c>
    </row>
    <row r="350" spans="1:7">
      <c r="A350" t="s">
        <v>190</v>
      </c>
      <c r="B350" t="s">
        <v>160</v>
      </c>
      <c r="C350" t="s">
        <v>122</v>
      </c>
      <c r="D350" t="s">
        <v>131</v>
      </c>
      <c r="E350">
        <v>8</v>
      </c>
      <c r="F350">
        <v>1.2250000000000001</v>
      </c>
      <c r="G350">
        <v>1.8</v>
      </c>
    </row>
    <row r="351" spans="1:7">
      <c r="A351" t="s">
        <v>190</v>
      </c>
      <c r="B351" t="s">
        <v>160</v>
      </c>
      <c r="C351" t="s">
        <v>122</v>
      </c>
      <c r="D351" t="s">
        <v>131</v>
      </c>
      <c r="E351">
        <v>9</v>
      </c>
      <c r="F351">
        <v>1.1000000000000001</v>
      </c>
      <c r="G351">
        <v>1.8</v>
      </c>
    </row>
    <row r="352" spans="1:7">
      <c r="A352" t="s">
        <v>190</v>
      </c>
      <c r="B352" t="s">
        <v>160</v>
      </c>
      <c r="C352" t="s">
        <v>122</v>
      </c>
      <c r="D352" t="s">
        <v>131</v>
      </c>
      <c r="E352">
        <v>10</v>
      </c>
      <c r="F352">
        <v>0.875</v>
      </c>
      <c r="G352">
        <v>1.7</v>
      </c>
    </row>
    <row r="353" spans="1:7">
      <c r="A353" t="s">
        <v>190</v>
      </c>
      <c r="B353" t="s">
        <v>160</v>
      </c>
      <c r="C353" t="s">
        <v>122</v>
      </c>
      <c r="D353" t="s">
        <v>131</v>
      </c>
      <c r="E353">
        <v>11</v>
      </c>
      <c r="F353">
        <v>0.79999999999999993</v>
      </c>
      <c r="G353">
        <v>1.7</v>
      </c>
    </row>
    <row r="354" spans="1:7">
      <c r="A354" t="s">
        <v>190</v>
      </c>
      <c r="B354" t="s">
        <v>160</v>
      </c>
      <c r="C354" t="s">
        <v>122</v>
      </c>
      <c r="D354" t="s">
        <v>131</v>
      </c>
      <c r="E354">
        <v>12</v>
      </c>
      <c r="F354">
        <v>1.1333333333333333</v>
      </c>
      <c r="G354">
        <v>1.8</v>
      </c>
    </row>
    <row r="355" spans="1:7">
      <c r="A355" t="s">
        <v>190</v>
      </c>
      <c r="B355" t="s">
        <v>160</v>
      </c>
      <c r="C355" t="s">
        <v>122</v>
      </c>
      <c r="D355" t="s">
        <v>131</v>
      </c>
      <c r="E355">
        <v>13</v>
      </c>
      <c r="F355">
        <v>1.0249999999999999</v>
      </c>
      <c r="G355">
        <v>1.8</v>
      </c>
    </row>
    <row r="356" spans="1:7">
      <c r="A356" t="s">
        <v>190</v>
      </c>
      <c r="B356" t="s">
        <v>160</v>
      </c>
      <c r="C356" t="s">
        <v>122</v>
      </c>
      <c r="D356" t="s">
        <v>131</v>
      </c>
      <c r="E356">
        <v>14</v>
      </c>
      <c r="F356">
        <v>1.125</v>
      </c>
      <c r="G356">
        <v>1.8</v>
      </c>
    </row>
    <row r="357" spans="1:7">
      <c r="A357" t="s">
        <v>190</v>
      </c>
      <c r="B357" t="s">
        <v>160</v>
      </c>
      <c r="C357" t="s">
        <v>122</v>
      </c>
      <c r="D357" t="s">
        <v>131</v>
      </c>
      <c r="E357">
        <v>15</v>
      </c>
      <c r="F357">
        <v>1.25</v>
      </c>
      <c r="G357">
        <v>2</v>
      </c>
    </row>
    <row r="358" spans="1:7">
      <c r="A358" t="s">
        <v>190</v>
      </c>
      <c r="B358" t="s">
        <v>160</v>
      </c>
      <c r="C358" t="s">
        <v>122</v>
      </c>
      <c r="D358" t="s">
        <v>131</v>
      </c>
      <c r="E358">
        <v>16</v>
      </c>
      <c r="F358">
        <v>1.4749999999999999</v>
      </c>
      <c r="G358">
        <v>2.2000000000000002</v>
      </c>
    </row>
    <row r="359" spans="1:7">
      <c r="A359" t="s">
        <v>190</v>
      </c>
      <c r="B359" t="s">
        <v>160</v>
      </c>
      <c r="C359" t="s">
        <v>122</v>
      </c>
      <c r="D359" t="s">
        <v>131</v>
      </c>
      <c r="E359">
        <v>17</v>
      </c>
      <c r="F359">
        <v>1.5999999999999999</v>
      </c>
      <c r="G359">
        <v>2.2999999999999998</v>
      </c>
    </row>
    <row r="360" spans="1:7">
      <c r="A360" t="s">
        <v>190</v>
      </c>
      <c r="B360" t="s">
        <v>160</v>
      </c>
      <c r="C360" t="s">
        <v>122</v>
      </c>
      <c r="D360" t="s">
        <v>131</v>
      </c>
      <c r="E360">
        <v>18</v>
      </c>
      <c r="F360">
        <v>1.75</v>
      </c>
      <c r="G360">
        <v>2.2999999999999998</v>
      </c>
    </row>
    <row r="361" spans="1:7">
      <c r="A361" t="s">
        <v>190</v>
      </c>
      <c r="B361" t="s">
        <v>160</v>
      </c>
      <c r="C361" t="s">
        <v>122</v>
      </c>
      <c r="D361" t="s">
        <v>131</v>
      </c>
      <c r="E361">
        <v>19</v>
      </c>
      <c r="F361">
        <v>1.7666666666666666</v>
      </c>
      <c r="G361">
        <v>2.2999999999999998</v>
      </c>
    </row>
    <row r="362" spans="1:7">
      <c r="A362" t="s">
        <v>190</v>
      </c>
      <c r="B362" t="s">
        <v>160</v>
      </c>
      <c r="C362" t="s">
        <v>122</v>
      </c>
      <c r="D362" t="s">
        <v>131</v>
      </c>
      <c r="E362">
        <v>20</v>
      </c>
      <c r="F362">
        <v>1.7500000000000002</v>
      </c>
      <c r="G362">
        <v>2.2000000000000002</v>
      </c>
    </row>
    <row r="363" spans="1:7">
      <c r="A363" t="s">
        <v>190</v>
      </c>
      <c r="B363" t="s">
        <v>160</v>
      </c>
      <c r="C363" t="s">
        <v>122</v>
      </c>
      <c r="D363" t="s">
        <v>131</v>
      </c>
      <c r="E363">
        <v>21</v>
      </c>
      <c r="F363">
        <v>1.7250000000000001</v>
      </c>
      <c r="G363">
        <v>2</v>
      </c>
    </row>
    <row r="364" spans="1:7">
      <c r="A364" t="s">
        <v>190</v>
      </c>
      <c r="B364" t="s">
        <v>160</v>
      </c>
      <c r="C364" t="s">
        <v>122</v>
      </c>
      <c r="D364" t="s">
        <v>131</v>
      </c>
      <c r="E364">
        <v>22</v>
      </c>
      <c r="F364">
        <v>1.625</v>
      </c>
      <c r="G364">
        <v>2.1</v>
      </c>
    </row>
    <row r="365" spans="1:7">
      <c r="A365" t="s">
        <v>190</v>
      </c>
      <c r="B365" t="s">
        <v>160</v>
      </c>
      <c r="C365" t="s">
        <v>122</v>
      </c>
      <c r="D365" t="s">
        <v>131</v>
      </c>
      <c r="E365">
        <v>23</v>
      </c>
      <c r="F365">
        <v>1.5</v>
      </c>
      <c r="G365">
        <v>2.1</v>
      </c>
    </row>
    <row r="366" spans="1:7">
      <c r="A366" t="s">
        <v>190</v>
      </c>
      <c r="B366" t="s">
        <v>160</v>
      </c>
      <c r="C366" t="s">
        <v>122</v>
      </c>
      <c r="D366" t="s">
        <v>131</v>
      </c>
      <c r="E366">
        <v>24</v>
      </c>
      <c r="F366">
        <v>1.375</v>
      </c>
      <c r="G366">
        <v>2.1</v>
      </c>
    </row>
    <row r="367" spans="1:7">
      <c r="A367" t="s">
        <v>190</v>
      </c>
      <c r="B367" t="s">
        <v>160</v>
      </c>
      <c r="C367" t="s">
        <v>122</v>
      </c>
      <c r="D367" t="s">
        <v>131</v>
      </c>
      <c r="E367">
        <v>25</v>
      </c>
      <c r="F367">
        <v>1.2</v>
      </c>
      <c r="G367">
        <v>2</v>
      </c>
    </row>
    <row r="368" spans="1:7">
      <c r="A368" t="s">
        <v>190</v>
      </c>
      <c r="B368" t="s">
        <v>160</v>
      </c>
      <c r="C368" t="s">
        <v>122</v>
      </c>
      <c r="D368" t="s">
        <v>131</v>
      </c>
      <c r="E368">
        <v>26</v>
      </c>
      <c r="F368">
        <v>1.175</v>
      </c>
      <c r="G368">
        <v>2</v>
      </c>
    </row>
    <row r="369" spans="1:7">
      <c r="A369" t="s">
        <v>190</v>
      </c>
      <c r="B369" t="s">
        <v>160</v>
      </c>
      <c r="C369" t="s">
        <v>122</v>
      </c>
      <c r="D369" t="s">
        <v>131</v>
      </c>
      <c r="E369">
        <v>27</v>
      </c>
      <c r="F369">
        <v>1.4666666666666668</v>
      </c>
      <c r="G369">
        <v>2</v>
      </c>
    </row>
    <row r="370" spans="1:7">
      <c r="A370" t="s">
        <v>190</v>
      </c>
      <c r="B370" t="s">
        <v>160</v>
      </c>
      <c r="C370" t="s">
        <v>122</v>
      </c>
      <c r="D370" t="s">
        <v>131</v>
      </c>
      <c r="E370">
        <v>28</v>
      </c>
      <c r="F370">
        <v>1.325</v>
      </c>
      <c r="G370">
        <v>2</v>
      </c>
    </row>
    <row r="371" spans="1:7">
      <c r="A371" t="s">
        <v>190</v>
      </c>
      <c r="B371" t="s">
        <v>160</v>
      </c>
      <c r="C371" t="s">
        <v>122</v>
      </c>
      <c r="D371" t="s">
        <v>131</v>
      </c>
      <c r="E371">
        <v>29</v>
      </c>
      <c r="F371">
        <v>1.5250000000000001</v>
      </c>
      <c r="G371">
        <v>2.2000000000000002</v>
      </c>
    </row>
    <row r="372" spans="1:7">
      <c r="A372" t="s">
        <v>190</v>
      </c>
      <c r="B372" t="s">
        <v>160</v>
      </c>
      <c r="C372" t="s">
        <v>122</v>
      </c>
      <c r="D372" t="s">
        <v>131</v>
      </c>
      <c r="E372">
        <v>30</v>
      </c>
      <c r="F372">
        <v>1.65</v>
      </c>
      <c r="G372">
        <v>2.2000000000000002</v>
      </c>
    </row>
    <row r="373" spans="1:7">
      <c r="A373" t="s">
        <v>190</v>
      </c>
      <c r="B373" t="s">
        <v>160</v>
      </c>
      <c r="C373" t="s">
        <v>122</v>
      </c>
      <c r="D373" t="s">
        <v>131</v>
      </c>
      <c r="E373">
        <v>31</v>
      </c>
      <c r="F373">
        <v>1.8</v>
      </c>
      <c r="G373">
        <v>2.2000000000000002</v>
      </c>
    </row>
    <row r="374" spans="1:7">
      <c r="A374" t="s">
        <v>192</v>
      </c>
      <c r="B374" t="s">
        <v>189</v>
      </c>
      <c r="C374" t="s">
        <v>122</v>
      </c>
      <c r="D374" t="s">
        <v>131</v>
      </c>
      <c r="E374">
        <v>1</v>
      </c>
      <c r="F374">
        <v>1.9750000000000001</v>
      </c>
      <c r="G374">
        <v>3</v>
      </c>
    </row>
    <row r="375" spans="1:7">
      <c r="A375" t="s">
        <v>192</v>
      </c>
      <c r="B375" t="s">
        <v>189</v>
      </c>
      <c r="C375" t="s">
        <v>122</v>
      </c>
      <c r="D375" t="s">
        <v>131</v>
      </c>
      <c r="E375">
        <v>2</v>
      </c>
      <c r="F375">
        <v>2.0750000000000002</v>
      </c>
      <c r="G375">
        <v>3</v>
      </c>
    </row>
    <row r="376" spans="1:7">
      <c r="A376" t="s">
        <v>192</v>
      </c>
      <c r="B376" t="s">
        <v>189</v>
      </c>
      <c r="C376" t="s">
        <v>122</v>
      </c>
      <c r="D376" t="s">
        <v>131</v>
      </c>
      <c r="E376">
        <v>3</v>
      </c>
      <c r="F376">
        <v>2.125</v>
      </c>
      <c r="G376">
        <v>2.8</v>
      </c>
    </row>
    <row r="377" spans="1:7">
      <c r="A377" t="s">
        <v>192</v>
      </c>
      <c r="B377" t="s">
        <v>189</v>
      </c>
      <c r="C377" t="s">
        <v>122</v>
      </c>
      <c r="D377" t="s">
        <v>131</v>
      </c>
      <c r="E377">
        <v>4</v>
      </c>
      <c r="F377">
        <v>2.125</v>
      </c>
      <c r="G377">
        <v>2.6</v>
      </c>
    </row>
    <row r="378" spans="1:7">
      <c r="A378" t="s">
        <v>192</v>
      </c>
      <c r="B378" t="s">
        <v>189</v>
      </c>
      <c r="C378" t="s">
        <v>122</v>
      </c>
      <c r="D378" t="s">
        <v>131</v>
      </c>
      <c r="E378">
        <v>5</v>
      </c>
      <c r="F378">
        <v>1.8666666666666665</v>
      </c>
      <c r="G378">
        <v>2.2999999999999998</v>
      </c>
    </row>
    <row r="379" spans="1:7">
      <c r="A379" t="s">
        <v>192</v>
      </c>
      <c r="B379" t="s">
        <v>189</v>
      </c>
      <c r="C379" t="s">
        <v>122</v>
      </c>
      <c r="D379" t="s">
        <v>131</v>
      </c>
      <c r="E379">
        <v>6</v>
      </c>
      <c r="F379">
        <v>1.8</v>
      </c>
      <c r="G379">
        <v>2.2999999999999998</v>
      </c>
    </row>
    <row r="380" spans="1:7">
      <c r="A380" t="s">
        <v>192</v>
      </c>
      <c r="B380" t="s">
        <v>189</v>
      </c>
      <c r="C380" t="s">
        <v>122</v>
      </c>
      <c r="D380" t="s">
        <v>131</v>
      </c>
      <c r="E380">
        <v>7</v>
      </c>
      <c r="F380">
        <v>1.6</v>
      </c>
      <c r="G380">
        <v>2.2999999999999998</v>
      </c>
    </row>
    <row r="381" spans="1:7">
      <c r="A381" t="s">
        <v>192</v>
      </c>
      <c r="B381" t="s">
        <v>189</v>
      </c>
      <c r="C381" t="s">
        <v>122</v>
      </c>
      <c r="D381" t="s">
        <v>131</v>
      </c>
      <c r="E381">
        <v>8</v>
      </c>
      <c r="F381">
        <v>1.4</v>
      </c>
      <c r="G381">
        <v>2.2999999999999998</v>
      </c>
    </row>
    <row r="382" spans="1:7">
      <c r="A382" t="s">
        <v>192</v>
      </c>
      <c r="B382" t="s">
        <v>189</v>
      </c>
      <c r="C382" t="s">
        <v>122</v>
      </c>
      <c r="D382" t="s">
        <v>131</v>
      </c>
      <c r="E382">
        <v>9</v>
      </c>
      <c r="F382">
        <v>1.2250000000000001</v>
      </c>
      <c r="G382">
        <v>2.2000000000000002</v>
      </c>
    </row>
    <row r="383" spans="1:7">
      <c r="A383" t="s">
        <v>192</v>
      </c>
      <c r="B383" t="s">
        <v>189</v>
      </c>
      <c r="C383" t="s">
        <v>122</v>
      </c>
      <c r="D383" t="s">
        <v>131</v>
      </c>
      <c r="E383">
        <v>10</v>
      </c>
      <c r="F383">
        <v>1</v>
      </c>
      <c r="G383">
        <v>2.1</v>
      </c>
    </row>
    <row r="384" spans="1:7">
      <c r="A384" t="s">
        <v>192</v>
      </c>
      <c r="B384" t="s">
        <v>189</v>
      </c>
      <c r="C384" t="s">
        <v>122</v>
      </c>
      <c r="D384" t="s">
        <v>131</v>
      </c>
      <c r="E384">
        <v>11</v>
      </c>
      <c r="F384">
        <v>0.92500000000000004</v>
      </c>
      <c r="G384">
        <v>2.1</v>
      </c>
    </row>
    <row r="385" spans="1:7">
      <c r="A385" t="s">
        <v>192</v>
      </c>
      <c r="B385" t="s">
        <v>189</v>
      </c>
      <c r="C385" t="s">
        <v>122</v>
      </c>
      <c r="D385" t="s">
        <v>131</v>
      </c>
      <c r="E385">
        <v>12</v>
      </c>
      <c r="F385">
        <v>1.3</v>
      </c>
      <c r="G385">
        <v>2.2000000000000002</v>
      </c>
    </row>
    <row r="386" spans="1:7">
      <c r="A386" t="s">
        <v>192</v>
      </c>
      <c r="B386" t="s">
        <v>189</v>
      </c>
      <c r="C386" t="s">
        <v>122</v>
      </c>
      <c r="D386" t="s">
        <v>131</v>
      </c>
      <c r="E386">
        <v>13</v>
      </c>
      <c r="F386">
        <v>1.1500000000000001</v>
      </c>
      <c r="G386">
        <v>2.2000000000000002</v>
      </c>
    </row>
    <row r="387" spans="1:7">
      <c r="A387" t="s">
        <v>192</v>
      </c>
      <c r="B387" t="s">
        <v>189</v>
      </c>
      <c r="C387" t="s">
        <v>122</v>
      </c>
      <c r="D387" t="s">
        <v>131</v>
      </c>
      <c r="E387">
        <v>14</v>
      </c>
      <c r="F387">
        <v>1.3</v>
      </c>
      <c r="G387">
        <v>2.2999999999999998</v>
      </c>
    </row>
    <row r="388" spans="1:7">
      <c r="A388" t="s">
        <v>192</v>
      </c>
      <c r="B388" t="s">
        <v>189</v>
      </c>
      <c r="C388" t="s">
        <v>122</v>
      </c>
      <c r="D388" t="s">
        <v>131</v>
      </c>
      <c r="E388">
        <v>15</v>
      </c>
      <c r="F388">
        <v>1.45</v>
      </c>
      <c r="G388">
        <v>2.2999999999999998</v>
      </c>
    </row>
    <row r="389" spans="1:7">
      <c r="A389" t="s">
        <v>192</v>
      </c>
      <c r="B389" t="s">
        <v>189</v>
      </c>
      <c r="C389" t="s">
        <v>122</v>
      </c>
      <c r="D389" t="s">
        <v>131</v>
      </c>
      <c r="E389">
        <v>16</v>
      </c>
      <c r="F389">
        <v>1.6749999999999998</v>
      </c>
      <c r="G389">
        <v>2.4</v>
      </c>
    </row>
    <row r="390" spans="1:7">
      <c r="A390" t="s">
        <v>192</v>
      </c>
      <c r="B390" t="s">
        <v>189</v>
      </c>
      <c r="C390" t="s">
        <v>122</v>
      </c>
      <c r="D390" t="s">
        <v>131</v>
      </c>
      <c r="E390">
        <v>17</v>
      </c>
      <c r="F390">
        <v>1.8249999999999997</v>
      </c>
      <c r="G390">
        <v>2.4</v>
      </c>
    </row>
    <row r="391" spans="1:7">
      <c r="A391" t="s">
        <v>192</v>
      </c>
      <c r="B391" t="s">
        <v>189</v>
      </c>
      <c r="C391" t="s">
        <v>122</v>
      </c>
      <c r="D391" t="s">
        <v>131</v>
      </c>
      <c r="E391">
        <v>18</v>
      </c>
      <c r="F391">
        <v>1.9750000000000001</v>
      </c>
      <c r="G391">
        <v>2.4</v>
      </c>
    </row>
    <row r="392" spans="1:7">
      <c r="A392" t="s">
        <v>192</v>
      </c>
      <c r="B392" t="s">
        <v>189</v>
      </c>
      <c r="C392" t="s">
        <v>122</v>
      </c>
      <c r="D392" t="s">
        <v>131</v>
      </c>
      <c r="E392">
        <v>19</v>
      </c>
      <c r="F392">
        <v>2.0249999999999999</v>
      </c>
      <c r="G392">
        <v>2.2999999999999998</v>
      </c>
    </row>
    <row r="393" spans="1:7">
      <c r="A393" t="s">
        <v>192</v>
      </c>
      <c r="B393" t="s">
        <v>189</v>
      </c>
      <c r="C393" t="s">
        <v>122</v>
      </c>
      <c r="D393" t="s">
        <v>131</v>
      </c>
      <c r="E393">
        <v>20</v>
      </c>
      <c r="F393">
        <v>2.0249999999999999</v>
      </c>
      <c r="G393">
        <v>2.5</v>
      </c>
    </row>
    <row r="394" spans="1:7">
      <c r="A394" t="s">
        <v>192</v>
      </c>
      <c r="B394" t="s">
        <v>189</v>
      </c>
      <c r="C394" t="s">
        <v>122</v>
      </c>
      <c r="D394" t="s">
        <v>131</v>
      </c>
      <c r="E394">
        <v>21</v>
      </c>
      <c r="F394">
        <v>1.7333333333333332</v>
      </c>
      <c r="G394">
        <v>1.9</v>
      </c>
    </row>
    <row r="395" spans="1:7">
      <c r="A395" t="s">
        <v>192</v>
      </c>
      <c r="B395" t="s">
        <v>189</v>
      </c>
      <c r="C395" t="s">
        <v>122</v>
      </c>
      <c r="D395" t="s">
        <v>131</v>
      </c>
      <c r="E395">
        <v>22</v>
      </c>
      <c r="F395">
        <v>1.825</v>
      </c>
      <c r="G395">
        <v>2.6</v>
      </c>
    </row>
    <row r="396" spans="1:7">
      <c r="A396" t="s">
        <v>192</v>
      </c>
      <c r="B396" t="s">
        <v>189</v>
      </c>
      <c r="C396" t="s">
        <v>122</v>
      </c>
      <c r="D396" t="s">
        <v>131</v>
      </c>
      <c r="E396">
        <v>23</v>
      </c>
      <c r="F396">
        <v>1.6749999999999998</v>
      </c>
      <c r="G396">
        <v>2.6</v>
      </c>
    </row>
    <row r="397" spans="1:7">
      <c r="A397" t="s">
        <v>192</v>
      </c>
      <c r="B397" t="s">
        <v>189</v>
      </c>
      <c r="C397" t="s">
        <v>122</v>
      </c>
      <c r="D397" t="s">
        <v>131</v>
      </c>
      <c r="E397">
        <v>24</v>
      </c>
      <c r="F397">
        <v>1.5249999999999999</v>
      </c>
      <c r="G397">
        <v>2.6</v>
      </c>
    </row>
    <row r="398" spans="1:7">
      <c r="A398" t="s">
        <v>192</v>
      </c>
      <c r="B398" t="s">
        <v>189</v>
      </c>
      <c r="C398" t="s">
        <v>122</v>
      </c>
      <c r="D398" t="s">
        <v>131</v>
      </c>
      <c r="E398">
        <v>25</v>
      </c>
      <c r="F398">
        <v>1.3499999999999999</v>
      </c>
      <c r="G398">
        <v>2.5</v>
      </c>
    </row>
    <row r="399" spans="1:7">
      <c r="A399" t="s">
        <v>192</v>
      </c>
      <c r="B399" t="s">
        <v>189</v>
      </c>
      <c r="C399" t="s">
        <v>122</v>
      </c>
      <c r="D399" t="s">
        <v>131</v>
      </c>
      <c r="E399">
        <v>26</v>
      </c>
      <c r="F399">
        <v>1.325</v>
      </c>
      <c r="G399">
        <v>2.5</v>
      </c>
    </row>
    <row r="400" spans="1:7">
      <c r="A400" t="s">
        <v>192</v>
      </c>
      <c r="B400" t="s">
        <v>189</v>
      </c>
      <c r="C400" t="s">
        <v>122</v>
      </c>
      <c r="D400" t="s">
        <v>131</v>
      </c>
      <c r="E400">
        <v>27</v>
      </c>
      <c r="F400">
        <v>1.7000000000000002</v>
      </c>
      <c r="G400">
        <v>2.5</v>
      </c>
    </row>
    <row r="401" spans="1:7">
      <c r="A401" t="s">
        <v>192</v>
      </c>
      <c r="B401" t="s">
        <v>189</v>
      </c>
      <c r="C401" t="s">
        <v>122</v>
      </c>
      <c r="D401" t="s">
        <v>131</v>
      </c>
      <c r="E401">
        <v>28</v>
      </c>
      <c r="F401">
        <v>1.5249999999999999</v>
      </c>
      <c r="G401">
        <v>2.5</v>
      </c>
    </row>
    <row r="402" spans="1:7">
      <c r="A402" t="s">
        <v>192</v>
      </c>
      <c r="B402" t="s">
        <v>189</v>
      </c>
      <c r="C402" t="s">
        <v>122</v>
      </c>
      <c r="D402" t="s">
        <v>131</v>
      </c>
      <c r="E402">
        <v>29</v>
      </c>
      <c r="F402">
        <v>1.7250000000000001</v>
      </c>
      <c r="G402">
        <v>2.5</v>
      </c>
    </row>
    <row r="403" spans="1:7">
      <c r="A403" t="s">
        <v>192</v>
      </c>
      <c r="B403" t="s">
        <v>189</v>
      </c>
      <c r="C403" t="s">
        <v>122</v>
      </c>
      <c r="D403" t="s">
        <v>131</v>
      </c>
      <c r="E403">
        <v>30</v>
      </c>
      <c r="F403">
        <v>1.875</v>
      </c>
      <c r="G403">
        <v>2.5</v>
      </c>
    </row>
    <row r="404" spans="1:7">
      <c r="A404" t="s">
        <v>192</v>
      </c>
      <c r="B404" t="s">
        <v>189</v>
      </c>
      <c r="C404" t="s">
        <v>122</v>
      </c>
      <c r="D404" t="s">
        <v>131</v>
      </c>
      <c r="E404">
        <v>31</v>
      </c>
      <c r="F404">
        <v>2.0499999999999998</v>
      </c>
      <c r="G404">
        <v>2.5</v>
      </c>
    </row>
    <row r="405" spans="1:7">
      <c r="A405" t="s">
        <v>194</v>
      </c>
      <c r="B405" t="s">
        <v>191</v>
      </c>
      <c r="C405" t="s">
        <v>122</v>
      </c>
      <c r="D405" t="s">
        <v>131</v>
      </c>
      <c r="E405">
        <v>1</v>
      </c>
      <c r="F405">
        <v>2.5750000000000002</v>
      </c>
      <c r="G405">
        <v>4.2</v>
      </c>
    </row>
    <row r="406" spans="1:7">
      <c r="A406" t="s">
        <v>194</v>
      </c>
      <c r="B406" t="s">
        <v>191</v>
      </c>
      <c r="C406" t="s">
        <v>122</v>
      </c>
      <c r="D406" t="s">
        <v>131</v>
      </c>
      <c r="E406">
        <v>2</v>
      </c>
      <c r="F406">
        <v>2.75</v>
      </c>
      <c r="G406">
        <v>4.2</v>
      </c>
    </row>
    <row r="407" spans="1:7">
      <c r="A407" t="s">
        <v>194</v>
      </c>
      <c r="B407" t="s">
        <v>191</v>
      </c>
      <c r="C407" t="s">
        <v>122</v>
      </c>
      <c r="D407" t="s">
        <v>131</v>
      </c>
      <c r="E407">
        <v>3</v>
      </c>
      <c r="F407">
        <v>2.75</v>
      </c>
      <c r="G407">
        <v>3.9</v>
      </c>
    </row>
    <row r="408" spans="1:7">
      <c r="A408" t="s">
        <v>194</v>
      </c>
      <c r="B408" t="s">
        <v>191</v>
      </c>
      <c r="C408" t="s">
        <v>122</v>
      </c>
      <c r="D408" t="s">
        <v>131</v>
      </c>
      <c r="E408">
        <v>4</v>
      </c>
      <c r="F408">
        <v>2.6</v>
      </c>
      <c r="G408">
        <v>3.6</v>
      </c>
    </row>
    <row r="409" spans="1:7">
      <c r="A409" t="s">
        <v>194</v>
      </c>
      <c r="B409" t="s">
        <v>191</v>
      </c>
      <c r="C409" t="s">
        <v>122</v>
      </c>
      <c r="D409" t="s">
        <v>131</v>
      </c>
      <c r="E409">
        <v>5</v>
      </c>
      <c r="F409">
        <v>2.5750000000000002</v>
      </c>
      <c r="G409">
        <v>3.2</v>
      </c>
    </row>
    <row r="410" spans="1:7">
      <c r="A410" t="s">
        <v>194</v>
      </c>
      <c r="B410" t="s">
        <v>191</v>
      </c>
      <c r="C410" t="s">
        <v>122</v>
      </c>
      <c r="D410" t="s">
        <v>131</v>
      </c>
      <c r="E410">
        <v>6</v>
      </c>
      <c r="F410">
        <v>2.35</v>
      </c>
      <c r="G410">
        <v>3.2</v>
      </c>
    </row>
    <row r="411" spans="1:7">
      <c r="A411" t="s">
        <v>194</v>
      </c>
      <c r="B411" t="s">
        <v>191</v>
      </c>
      <c r="C411" t="s">
        <v>122</v>
      </c>
      <c r="D411" t="s">
        <v>131</v>
      </c>
      <c r="E411">
        <v>7</v>
      </c>
      <c r="F411">
        <v>2.0750000000000002</v>
      </c>
      <c r="G411">
        <v>3.2</v>
      </c>
    </row>
    <row r="412" spans="1:7">
      <c r="A412" t="s">
        <v>194</v>
      </c>
      <c r="B412" t="s">
        <v>191</v>
      </c>
      <c r="C412" t="s">
        <v>122</v>
      </c>
      <c r="D412" t="s">
        <v>131</v>
      </c>
      <c r="E412">
        <v>8</v>
      </c>
      <c r="F412">
        <v>1.8250000000000002</v>
      </c>
      <c r="G412">
        <v>3.2</v>
      </c>
    </row>
    <row r="413" spans="1:7">
      <c r="A413" t="s">
        <v>194</v>
      </c>
      <c r="B413" t="s">
        <v>191</v>
      </c>
      <c r="C413" t="s">
        <v>122</v>
      </c>
      <c r="D413" t="s">
        <v>131</v>
      </c>
      <c r="E413">
        <v>9</v>
      </c>
      <c r="F413">
        <v>1.575</v>
      </c>
      <c r="G413">
        <v>3.1</v>
      </c>
    </row>
    <row r="414" spans="1:7">
      <c r="A414" t="s">
        <v>194</v>
      </c>
      <c r="B414" t="s">
        <v>191</v>
      </c>
      <c r="C414" t="s">
        <v>122</v>
      </c>
      <c r="D414" t="s">
        <v>131</v>
      </c>
      <c r="E414">
        <v>10</v>
      </c>
      <c r="F414">
        <v>1.325</v>
      </c>
      <c r="G414">
        <v>2.9</v>
      </c>
    </row>
    <row r="415" spans="1:7">
      <c r="A415" t="s">
        <v>194</v>
      </c>
      <c r="B415" t="s">
        <v>191</v>
      </c>
      <c r="C415" t="s">
        <v>122</v>
      </c>
      <c r="D415" t="s">
        <v>131</v>
      </c>
      <c r="E415">
        <v>11</v>
      </c>
      <c r="F415">
        <v>1.2250000000000001</v>
      </c>
      <c r="G415">
        <v>2.9</v>
      </c>
    </row>
    <row r="416" spans="1:7">
      <c r="A416" t="s">
        <v>194</v>
      </c>
      <c r="B416" t="s">
        <v>191</v>
      </c>
      <c r="C416" t="s">
        <v>122</v>
      </c>
      <c r="D416" t="s">
        <v>131</v>
      </c>
      <c r="E416">
        <v>12</v>
      </c>
      <c r="F416">
        <v>1.325</v>
      </c>
      <c r="G416">
        <v>3.1</v>
      </c>
    </row>
    <row r="417" spans="1:7">
      <c r="A417" t="s">
        <v>194</v>
      </c>
      <c r="B417" t="s">
        <v>191</v>
      </c>
      <c r="C417" t="s">
        <v>122</v>
      </c>
      <c r="D417" t="s">
        <v>131</v>
      </c>
      <c r="E417">
        <v>13</v>
      </c>
      <c r="F417">
        <v>1.9666666666666668</v>
      </c>
      <c r="G417">
        <v>3.1</v>
      </c>
    </row>
    <row r="418" spans="1:7">
      <c r="A418" t="s">
        <v>194</v>
      </c>
      <c r="B418" t="s">
        <v>191</v>
      </c>
      <c r="C418" t="s">
        <v>122</v>
      </c>
      <c r="D418" t="s">
        <v>131</v>
      </c>
      <c r="E418">
        <v>14</v>
      </c>
      <c r="F418">
        <v>1.7000000000000002</v>
      </c>
      <c r="G418">
        <v>3.2</v>
      </c>
    </row>
    <row r="419" spans="1:7">
      <c r="A419" t="s">
        <v>194</v>
      </c>
      <c r="B419" t="s">
        <v>191</v>
      </c>
      <c r="C419" t="s">
        <v>122</v>
      </c>
      <c r="D419" t="s">
        <v>131</v>
      </c>
      <c r="E419">
        <v>15</v>
      </c>
      <c r="F419">
        <v>1.925</v>
      </c>
      <c r="G419">
        <v>3.2</v>
      </c>
    </row>
    <row r="420" spans="1:7">
      <c r="A420" t="s">
        <v>194</v>
      </c>
      <c r="B420" t="s">
        <v>191</v>
      </c>
      <c r="C420" t="s">
        <v>122</v>
      </c>
      <c r="D420" t="s">
        <v>131</v>
      </c>
      <c r="E420">
        <v>16</v>
      </c>
      <c r="F420">
        <v>2.1749999999999998</v>
      </c>
      <c r="G420">
        <v>3.4</v>
      </c>
    </row>
    <row r="421" spans="1:7">
      <c r="A421" t="s">
        <v>194</v>
      </c>
      <c r="B421" t="s">
        <v>191</v>
      </c>
      <c r="C421" t="s">
        <v>122</v>
      </c>
      <c r="D421" t="s">
        <v>131</v>
      </c>
      <c r="E421">
        <v>17</v>
      </c>
      <c r="F421">
        <v>2.4000000000000004</v>
      </c>
      <c r="G421">
        <v>3.4</v>
      </c>
    </row>
    <row r="422" spans="1:7">
      <c r="A422" t="s">
        <v>194</v>
      </c>
      <c r="B422" t="s">
        <v>191</v>
      </c>
      <c r="C422" t="s">
        <v>122</v>
      </c>
      <c r="D422" t="s">
        <v>131</v>
      </c>
      <c r="E422">
        <v>18</v>
      </c>
      <c r="F422">
        <v>2.5750000000000002</v>
      </c>
      <c r="G422">
        <v>3.4</v>
      </c>
    </row>
    <row r="423" spans="1:7">
      <c r="A423" t="s">
        <v>194</v>
      </c>
      <c r="B423" t="s">
        <v>191</v>
      </c>
      <c r="C423" t="s">
        <v>122</v>
      </c>
      <c r="D423" t="s">
        <v>131</v>
      </c>
      <c r="E423">
        <v>19</v>
      </c>
      <c r="F423">
        <v>2.625</v>
      </c>
      <c r="G423">
        <v>3.2</v>
      </c>
    </row>
    <row r="424" spans="1:7">
      <c r="A424" t="s">
        <v>194</v>
      </c>
      <c r="B424" t="s">
        <v>191</v>
      </c>
      <c r="C424" t="s">
        <v>122</v>
      </c>
      <c r="D424" t="s">
        <v>131</v>
      </c>
      <c r="E424">
        <v>20</v>
      </c>
      <c r="F424">
        <v>2.3333333333333335</v>
      </c>
      <c r="G424">
        <v>2.8</v>
      </c>
    </row>
    <row r="425" spans="1:7">
      <c r="A425" t="s">
        <v>194</v>
      </c>
      <c r="B425" t="s">
        <v>191</v>
      </c>
      <c r="C425" t="s">
        <v>122</v>
      </c>
      <c r="D425" t="s">
        <v>131</v>
      </c>
      <c r="E425">
        <v>21</v>
      </c>
      <c r="F425">
        <v>2.4749999999999996</v>
      </c>
      <c r="G425">
        <v>3.5</v>
      </c>
    </row>
    <row r="426" spans="1:7">
      <c r="A426" t="s">
        <v>194</v>
      </c>
      <c r="B426" t="s">
        <v>191</v>
      </c>
      <c r="C426" t="s">
        <v>122</v>
      </c>
      <c r="D426" t="s">
        <v>131</v>
      </c>
      <c r="E426">
        <v>22</v>
      </c>
      <c r="F426">
        <v>2.3499999999999996</v>
      </c>
      <c r="G426">
        <v>3.6</v>
      </c>
    </row>
    <row r="427" spans="1:7">
      <c r="A427" t="s">
        <v>194</v>
      </c>
      <c r="B427" t="s">
        <v>191</v>
      </c>
      <c r="C427" t="s">
        <v>122</v>
      </c>
      <c r="D427" t="s">
        <v>131</v>
      </c>
      <c r="E427">
        <v>23</v>
      </c>
      <c r="F427">
        <v>2.1749999999999998</v>
      </c>
      <c r="G427">
        <v>3.6</v>
      </c>
    </row>
    <row r="428" spans="1:7">
      <c r="A428" t="s">
        <v>194</v>
      </c>
      <c r="B428" t="s">
        <v>191</v>
      </c>
      <c r="C428" t="s">
        <v>122</v>
      </c>
      <c r="D428" t="s">
        <v>131</v>
      </c>
      <c r="E428">
        <v>24</v>
      </c>
      <c r="F428">
        <v>1.9749999999999999</v>
      </c>
      <c r="G428">
        <v>3.6</v>
      </c>
    </row>
    <row r="429" spans="1:7">
      <c r="A429" t="s">
        <v>194</v>
      </c>
      <c r="B429" t="s">
        <v>191</v>
      </c>
      <c r="C429" t="s">
        <v>122</v>
      </c>
      <c r="D429" t="s">
        <v>131</v>
      </c>
      <c r="E429">
        <v>25</v>
      </c>
      <c r="F429">
        <v>1.7249999999999999</v>
      </c>
      <c r="G429">
        <v>3.5</v>
      </c>
    </row>
    <row r="430" spans="1:7">
      <c r="A430" t="s">
        <v>194</v>
      </c>
      <c r="B430" t="s">
        <v>191</v>
      </c>
      <c r="C430" t="s">
        <v>122</v>
      </c>
      <c r="D430" t="s">
        <v>131</v>
      </c>
      <c r="E430">
        <v>26</v>
      </c>
      <c r="F430">
        <v>1.7249999999999999</v>
      </c>
      <c r="G430">
        <v>3.5</v>
      </c>
    </row>
    <row r="431" spans="1:7">
      <c r="A431" t="s">
        <v>194</v>
      </c>
      <c r="B431" t="s">
        <v>191</v>
      </c>
      <c r="C431" t="s">
        <v>122</v>
      </c>
      <c r="D431" t="s">
        <v>131</v>
      </c>
      <c r="E431">
        <v>27</v>
      </c>
      <c r="F431">
        <v>2.2666666666666666</v>
      </c>
      <c r="G431">
        <v>3.5</v>
      </c>
    </row>
    <row r="432" spans="1:7">
      <c r="A432" t="s">
        <v>194</v>
      </c>
      <c r="B432" t="s">
        <v>191</v>
      </c>
      <c r="C432" t="s">
        <v>122</v>
      </c>
      <c r="D432" t="s">
        <v>131</v>
      </c>
      <c r="E432">
        <v>28</v>
      </c>
      <c r="F432">
        <v>1.9749999999999999</v>
      </c>
      <c r="G432">
        <v>3.5</v>
      </c>
    </row>
    <row r="433" spans="1:7">
      <c r="A433" t="s">
        <v>194</v>
      </c>
      <c r="B433" t="s">
        <v>191</v>
      </c>
      <c r="C433" t="s">
        <v>122</v>
      </c>
      <c r="D433" t="s">
        <v>131</v>
      </c>
      <c r="E433">
        <v>29</v>
      </c>
      <c r="F433">
        <v>2.2250000000000001</v>
      </c>
      <c r="G433">
        <v>3.5</v>
      </c>
    </row>
    <row r="434" spans="1:7">
      <c r="A434" t="s">
        <v>194</v>
      </c>
      <c r="B434" t="s">
        <v>191</v>
      </c>
      <c r="C434" t="s">
        <v>122</v>
      </c>
      <c r="D434" t="s">
        <v>131</v>
      </c>
      <c r="E434">
        <v>30</v>
      </c>
      <c r="F434">
        <v>2.4500000000000002</v>
      </c>
      <c r="G434">
        <v>3.5</v>
      </c>
    </row>
    <row r="435" spans="1:7">
      <c r="A435" t="s">
        <v>194</v>
      </c>
      <c r="B435" t="s">
        <v>191</v>
      </c>
      <c r="C435" t="s">
        <v>122</v>
      </c>
      <c r="D435" t="s">
        <v>131</v>
      </c>
      <c r="E435">
        <v>31</v>
      </c>
      <c r="F435">
        <v>2.6500000000000004</v>
      </c>
      <c r="G435">
        <v>3.5</v>
      </c>
    </row>
    <row r="436" spans="1:7">
      <c r="A436" t="s">
        <v>196</v>
      </c>
      <c r="B436" t="s">
        <v>197</v>
      </c>
      <c r="C436" t="s">
        <v>198</v>
      </c>
      <c r="D436" t="s">
        <v>151</v>
      </c>
      <c r="E436">
        <v>1</v>
      </c>
      <c r="F436">
        <v>1.0249999999999999</v>
      </c>
      <c r="G436">
        <v>1.5</v>
      </c>
    </row>
    <row r="437" spans="1:7">
      <c r="A437" t="s">
        <v>196</v>
      </c>
      <c r="B437" t="s">
        <v>197</v>
      </c>
      <c r="C437" t="s">
        <v>198</v>
      </c>
      <c r="D437" t="s">
        <v>151</v>
      </c>
      <c r="E437">
        <v>2</v>
      </c>
      <c r="F437">
        <v>1.0750000000000002</v>
      </c>
      <c r="G437">
        <v>1.5</v>
      </c>
    </row>
    <row r="438" spans="1:7">
      <c r="A438" t="s">
        <v>196</v>
      </c>
      <c r="B438" t="s">
        <v>197</v>
      </c>
      <c r="C438" t="s">
        <v>198</v>
      </c>
      <c r="D438" t="s">
        <v>151</v>
      </c>
      <c r="E438">
        <v>3</v>
      </c>
      <c r="F438">
        <v>1.075</v>
      </c>
      <c r="G438">
        <v>1.4</v>
      </c>
    </row>
    <row r="439" spans="1:7">
      <c r="A439" t="s">
        <v>196</v>
      </c>
      <c r="B439" t="s">
        <v>197</v>
      </c>
      <c r="C439" t="s">
        <v>198</v>
      </c>
      <c r="D439" t="s">
        <v>151</v>
      </c>
      <c r="E439">
        <v>4</v>
      </c>
      <c r="F439">
        <v>1.0249999999999999</v>
      </c>
      <c r="G439">
        <v>1.3</v>
      </c>
    </row>
    <row r="440" spans="1:7">
      <c r="A440" t="s">
        <v>196</v>
      </c>
      <c r="B440" t="s">
        <v>197</v>
      </c>
      <c r="C440" t="s">
        <v>198</v>
      </c>
      <c r="D440" t="s">
        <v>151</v>
      </c>
      <c r="E440">
        <v>5</v>
      </c>
      <c r="F440">
        <v>0.95</v>
      </c>
      <c r="G440">
        <v>1.2</v>
      </c>
    </row>
    <row r="441" spans="1:7">
      <c r="A441" t="s">
        <v>196</v>
      </c>
      <c r="B441" t="s">
        <v>197</v>
      </c>
      <c r="C441" t="s">
        <v>198</v>
      </c>
      <c r="D441" t="s">
        <v>151</v>
      </c>
      <c r="E441">
        <v>6</v>
      </c>
      <c r="F441">
        <v>0.69999999999999984</v>
      </c>
      <c r="G441">
        <v>0.9</v>
      </c>
    </row>
    <row r="442" spans="1:7">
      <c r="A442" t="s">
        <v>196</v>
      </c>
      <c r="B442" t="s">
        <v>197</v>
      </c>
      <c r="C442" t="s">
        <v>198</v>
      </c>
      <c r="D442" t="s">
        <v>151</v>
      </c>
      <c r="E442">
        <v>7</v>
      </c>
      <c r="F442">
        <v>0.77500000000000002</v>
      </c>
      <c r="G442">
        <v>1.2</v>
      </c>
    </row>
    <row r="443" spans="1:7">
      <c r="A443" t="s">
        <v>196</v>
      </c>
      <c r="B443" t="s">
        <v>197</v>
      </c>
      <c r="C443" t="s">
        <v>198</v>
      </c>
      <c r="D443" t="s">
        <v>151</v>
      </c>
      <c r="E443">
        <v>8</v>
      </c>
      <c r="F443">
        <v>0.65</v>
      </c>
      <c r="G443">
        <v>1.1000000000000001</v>
      </c>
    </row>
    <row r="444" spans="1:7">
      <c r="A444" t="s">
        <v>196</v>
      </c>
      <c r="B444" t="s">
        <v>197</v>
      </c>
      <c r="C444" t="s">
        <v>198</v>
      </c>
      <c r="D444" t="s">
        <v>151</v>
      </c>
      <c r="E444">
        <v>9</v>
      </c>
      <c r="F444">
        <v>0.57499999999999996</v>
      </c>
      <c r="G444">
        <v>1.1000000000000001</v>
      </c>
    </row>
    <row r="445" spans="1:7">
      <c r="A445" t="s">
        <v>196</v>
      </c>
      <c r="B445" t="s">
        <v>197</v>
      </c>
      <c r="C445" t="s">
        <v>198</v>
      </c>
      <c r="D445" t="s">
        <v>151</v>
      </c>
      <c r="E445">
        <v>10</v>
      </c>
      <c r="F445">
        <v>0.52500000000000002</v>
      </c>
      <c r="G445">
        <v>1</v>
      </c>
    </row>
    <row r="446" spans="1:7">
      <c r="A446" t="s">
        <v>196</v>
      </c>
      <c r="B446" t="s">
        <v>197</v>
      </c>
      <c r="C446" t="s">
        <v>198</v>
      </c>
      <c r="D446" t="s">
        <v>151</v>
      </c>
      <c r="E446">
        <v>11</v>
      </c>
      <c r="F446">
        <v>0.52500000000000002</v>
      </c>
      <c r="G446">
        <v>1</v>
      </c>
    </row>
    <row r="447" spans="1:7">
      <c r="A447" t="s">
        <v>196</v>
      </c>
      <c r="B447" t="s">
        <v>197</v>
      </c>
      <c r="C447" t="s">
        <v>198</v>
      </c>
      <c r="D447" t="s">
        <v>151</v>
      </c>
      <c r="E447">
        <v>12</v>
      </c>
      <c r="F447">
        <v>0.55000000000000004</v>
      </c>
      <c r="G447">
        <v>1</v>
      </c>
    </row>
    <row r="448" spans="1:7">
      <c r="A448" t="s">
        <v>196</v>
      </c>
      <c r="B448" t="s">
        <v>197</v>
      </c>
      <c r="C448" t="s">
        <v>198</v>
      </c>
      <c r="D448" t="s">
        <v>151</v>
      </c>
      <c r="E448">
        <v>13</v>
      </c>
      <c r="F448">
        <v>0.83333333333333337</v>
      </c>
      <c r="G448">
        <v>1.1000000000000001</v>
      </c>
    </row>
    <row r="449" spans="1:7">
      <c r="A449" t="s">
        <v>196</v>
      </c>
      <c r="B449" t="s">
        <v>197</v>
      </c>
      <c r="C449" t="s">
        <v>198</v>
      </c>
      <c r="D449" t="s">
        <v>151</v>
      </c>
      <c r="E449">
        <v>14</v>
      </c>
      <c r="F449">
        <v>0.72500000000000009</v>
      </c>
      <c r="G449">
        <v>1.2</v>
      </c>
    </row>
    <row r="450" spans="1:7">
      <c r="A450" t="s">
        <v>196</v>
      </c>
      <c r="B450" t="s">
        <v>197</v>
      </c>
      <c r="C450" t="s">
        <v>198</v>
      </c>
      <c r="D450" t="s">
        <v>151</v>
      </c>
      <c r="E450">
        <v>15</v>
      </c>
      <c r="F450">
        <v>0.77499999999999991</v>
      </c>
      <c r="G450">
        <v>1.2</v>
      </c>
    </row>
    <row r="451" spans="1:7">
      <c r="A451" t="s">
        <v>196</v>
      </c>
      <c r="B451" t="s">
        <v>197</v>
      </c>
      <c r="C451" t="s">
        <v>198</v>
      </c>
      <c r="D451" t="s">
        <v>151</v>
      </c>
      <c r="E451">
        <v>16</v>
      </c>
      <c r="F451">
        <v>0.85</v>
      </c>
      <c r="G451">
        <v>1.2</v>
      </c>
    </row>
    <row r="452" spans="1:7">
      <c r="A452" t="s">
        <v>196</v>
      </c>
      <c r="B452" t="s">
        <v>197</v>
      </c>
      <c r="C452" t="s">
        <v>198</v>
      </c>
      <c r="D452" t="s">
        <v>151</v>
      </c>
      <c r="E452">
        <v>17</v>
      </c>
      <c r="F452">
        <v>0.92500000000000004</v>
      </c>
      <c r="G452">
        <v>1.3</v>
      </c>
    </row>
    <row r="453" spans="1:7">
      <c r="A453" t="s">
        <v>196</v>
      </c>
      <c r="B453" t="s">
        <v>197</v>
      </c>
      <c r="C453" t="s">
        <v>198</v>
      </c>
      <c r="D453" t="s">
        <v>151</v>
      </c>
      <c r="E453">
        <v>18</v>
      </c>
      <c r="F453">
        <v>0.97500000000000009</v>
      </c>
      <c r="G453">
        <v>1.2</v>
      </c>
    </row>
    <row r="454" spans="1:7">
      <c r="A454" t="s">
        <v>196</v>
      </c>
      <c r="B454" t="s">
        <v>197</v>
      </c>
      <c r="C454" t="s">
        <v>198</v>
      </c>
      <c r="D454" t="s">
        <v>151</v>
      </c>
      <c r="E454">
        <v>19</v>
      </c>
      <c r="F454">
        <v>0.97499999999999987</v>
      </c>
      <c r="G454">
        <v>1.2</v>
      </c>
    </row>
    <row r="455" spans="1:7">
      <c r="A455" t="s">
        <v>196</v>
      </c>
      <c r="B455" t="s">
        <v>197</v>
      </c>
      <c r="C455" t="s">
        <v>198</v>
      </c>
      <c r="D455" t="s">
        <v>151</v>
      </c>
      <c r="E455">
        <v>20</v>
      </c>
      <c r="F455">
        <v>0.97500000000000009</v>
      </c>
      <c r="G455">
        <v>1.3</v>
      </c>
    </row>
    <row r="456" spans="1:7">
      <c r="A456" t="s">
        <v>196</v>
      </c>
      <c r="B456" t="s">
        <v>197</v>
      </c>
      <c r="C456" t="s">
        <v>198</v>
      </c>
      <c r="D456" t="s">
        <v>151</v>
      </c>
      <c r="E456">
        <v>21</v>
      </c>
      <c r="F456">
        <v>1</v>
      </c>
      <c r="G456">
        <v>1.4</v>
      </c>
    </row>
    <row r="457" spans="1:7">
      <c r="A457" t="s">
        <v>196</v>
      </c>
      <c r="B457" t="s">
        <v>197</v>
      </c>
      <c r="C457" t="s">
        <v>198</v>
      </c>
      <c r="D457" t="s">
        <v>151</v>
      </c>
      <c r="E457">
        <v>22</v>
      </c>
      <c r="F457">
        <v>0.73333333333333339</v>
      </c>
      <c r="G457">
        <v>0.8</v>
      </c>
    </row>
    <row r="458" spans="1:7">
      <c r="A458" t="s">
        <v>196</v>
      </c>
      <c r="B458" t="s">
        <v>197</v>
      </c>
      <c r="C458" t="s">
        <v>198</v>
      </c>
      <c r="D458" t="s">
        <v>151</v>
      </c>
      <c r="E458">
        <v>23</v>
      </c>
      <c r="F458">
        <v>0.85000000000000009</v>
      </c>
      <c r="G458">
        <v>1.4</v>
      </c>
    </row>
    <row r="459" spans="1:7">
      <c r="A459" t="s">
        <v>196</v>
      </c>
      <c r="B459" t="s">
        <v>197</v>
      </c>
      <c r="C459" t="s">
        <v>198</v>
      </c>
      <c r="D459" t="s">
        <v>151</v>
      </c>
      <c r="E459">
        <v>24</v>
      </c>
      <c r="F459">
        <v>0.77500000000000002</v>
      </c>
      <c r="G459">
        <v>1.3</v>
      </c>
    </row>
    <row r="460" spans="1:7">
      <c r="A460" t="s">
        <v>196</v>
      </c>
      <c r="B460" t="s">
        <v>197</v>
      </c>
      <c r="C460" t="s">
        <v>198</v>
      </c>
      <c r="D460" t="s">
        <v>151</v>
      </c>
      <c r="E460">
        <v>25</v>
      </c>
      <c r="F460">
        <v>0.72500000000000009</v>
      </c>
      <c r="G460">
        <v>1.3</v>
      </c>
    </row>
    <row r="461" spans="1:7">
      <c r="A461" t="s">
        <v>196</v>
      </c>
      <c r="B461" t="s">
        <v>197</v>
      </c>
      <c r="C461" t="s">
        <v>198</v>
      </c>
      <c r="D461" t="s">
        <v>151</v>
      </c>
      <c r="E461">
        <v>26</v>
      </c>
      <c r="F461">
        <v>0.72500000000000009</v>
      </c>
      <c r="G461">
        <v>1.3</v>
      </c>
    </row>
    <row r="462" spans="1:7">
      <c r="A462" t="s">
        <v>196</v>
      </c>
      <c r="B462" t="s">
        <v>197</v>
      </c>
      <c r="C462" t="s">
        <v>198</v>
      </c>
      <c r="D462" t="s">
        <v>151</v>
      </c>
      <c r="E462">
        <v>27</v>
      </c>
      <c r="F462">
        <v>0.82499999999999996</v>
      </c>
      <c r="G462">
        <v>1.3</v>
      </c>
    </row>
    <row r="463" spans="1:7">
      <c r="A463" t="s">
        <v>196</v>
      </c>
      <c r="B463" t="s">
        <v>197</v>
      </c>
      <c r="C463" t="s">
        <v>198</v>
      </c>
      <c r="D463" t="s">
        <v>151</v>
      </c>
      <c r="E463">
        <v>28</v>
      </c>
      <c r="F463">
        <v>1.0666666666666667</v>
      </c>
      <c r="G463">
        <v>1.3</v>
      </c>
    </row>
    <row r="464" spans="1:7">
      <c r="A464" t="s">
        <v>196</v>
      </c>
      <c r="B464" t="s">
        <v>197</v>
      </c>
      <c r="C464" t="s">
        <v>198</v>
      </c>
      <c r="D464" t="s">
        <v>151</v>
      </c>
      <c r="E464">
        <v>29</v>
      </c>
      <c r="F464">
        <v>0.92500000000000004</v>
      </c>
      <c r="G464">
        <v>1.3</v>
      </c>
    </row>
    <row r="465" spans="1:7">
      <c r="A465" t="s">
        <v>196</v>
      </c>
      <c r="B465" t="s">
        <v>197</v>
      </c>
      <c r="C465" t="s">
        <v>198</v>
      </c>
      <c r="D465" t="s">
        <v>151</v>
      </c>
      <c r="E465">
        <v>30</v>
      </c>
      <c r="F465">
        <v>0.97499999999999998</v>
      </c>
      <c r="G465">
        <v>1.3</v>
      </c>
    </row>
    <row r="466" spans="1:7">
      <c r="A466" t="s">
        <v>196</v>
      </c>
      <c r="B466" t="s">
        <v>197</v>
      </c>
      <c r="C466" t="s">
        <v>198</v>
      </c>
      <c r="D466" t="s">
        <v>151</v>
      </c>
      <c r="E466">
        <v>31</v>
      </c>
      <c r="F466">
        <v>1.0249999999999999</v>
      </c>
      <c r="G466">
        <v>1.3</v>
      </c>
    </row>
    <row r="467" spans="1:7">
      <c r="A467" t="s">
        <v>199</v>
      </c>
      <c r="B467" t="s">
        <v>200</v>
      </c>
      <c r="C467" t="s">
        <v>198</v>
      </c>
      <c r="D467" t="s">
        <v>151</v>
      </c>
      <c r="E467">
        <v>1</v>
      </c>
      <c r="F467">
        <v>1.1000000000000001</v>
      </c>
      <c r="G467">
        <v>1.9</v>
      </c>
    </row>
    <row r="468" spans="1:7">
      <c r="A468" t="s">
        <v>199</v>
      </c>
      <c r="B468" t="s">
        <v>200</v>
      </c>
      <c r="C468" t="s">
        <v>198</v>
      </c>
      <c r="D468" t="s">
        <v>151</v>
      </c>
      <c r="E468">
        <v>2</v>
      </c>
      <c r="F468">
        <v>1.1000000000000001</v>
      </c>
      <c r="G468">
        <v>1.8</v>
      </c>
    </row>
    <row r="469" spans="1:7">
      <c r="A469" t="s">
        <v>199</v>
      </c>
      <c r="B469" t="s">
        <v>200</v>
      </c>
      <c r="C469" t="s">
        <v>198</v>
      </c>
      <c r="D469" t="s">
        <v>151</v>
      </c>
      <c r="E469">
        <v>3</v>
      </c>
      <c r="F469">
        <v>1.125</v>
      </c>
      <c r="G469">
        <v>1.7</v>
      </c>
    </row>
    <row r="470" spans="1:7">
      <c r="A470" t="s">
        <v>199</v>
      </c>
      <c r="B470" t="s">
        <v>200</v>
      </c>
      <c r="C470" t="s">
        <v>198</v>
      </c>
      <c r="D470" t="s">
        <v>151</v>
      </c>
      <c r="E470">
        <v>4</v>
      </c>
      <c r="F470">
        <v>1.0750000000000002</v>
      </c>
      <c r="G470">
        <v>1.6</v>
      </c>
    </row>
    <row r="471" spans="1:7">
      <c r="A471" t="s">
        <v>199</v>
      </c>
      <c r="B471" t="s">
        <v>200</v>
      </c>
      <c r="C471" t="s">
        <v>198</v>
      </c>
      <c r="D471" t="s">
        <v>151</v>
      </c>
      <c r="E471">
        <v>5</v>
      </c>
      <c r="F471">
        <v>0.95000000000000007</v>
      </c>
      <c r="G471">
        <v>1.3</v>
      </c>
    </row>
    <row r="472" spans="1:7">
      <c r="A472" t="s">
        <v>199</v>
      </c>
      <c r="B472" t="s">
        <v>200</v>
      </c>
      <c r="C472" t="s">
        <v>198</v>
      </c>
      <c r="D472" t="s">
        <v>151</v>
      </c>
      <c r="E472">
        <v>6</v>
      </c>
      <c r="F472">
        <v>0.8666666666666667</v>
      </c>
      <c r="G472">
        <v>1.1000000000000001</v>
      </c>
    </row>
    <row r="473" spans="1:7">
      <c r="A473" t="s">
        <v>199</v>
      </c>
      <c r="B473" t="s">
        <v>200</v>
      </c>
      <c r="C473" t="s">
        <v>198</v>
      </c>
      <c r="D473" t="s">
        <v>151</v>
      </c>
      <c r="E473">
        <v>7</v>
      </c>
      <c r="F473">
        <v>0.77500000000000013</v>
      </c>
      <c r="G473">
        <v>0.9</v>
      </c>
    </row>
    <row r="474" spans="1:7">
      <c r="A474" t="s">
        <v>199</v>
      </c>
      <c r="B474" t="s">
        <v>200</v>
      </c>
      <c r="C474" t="s">
        <v>198</v>
      </c>
      <c r="D474" t="s">
        <v>151</v>
      </c>
      <c r="E474">
        <v>8</v>
      </c>
      <c r="F474">
        <v>0.625</v>
      </c>
      <c r="G474">
        <v>0.8</v>
      </c>
    </row>
    <row r="475" spans="1:7">
      <c r="A475" t="s">
        <v>199</v>
      </c>
      <c r="B475" t="s">
        <v>200</v>
      </c>
      <c r="C475" t="s">
        <v>198</v>
      </c>
      <c r="D475" t="s">
        <v>151</v>
      </c>
      <c r="E475">
        <v>9</v>
      </c>
      <c r="F475">
        <v>0.57499999999999996</v>
      </c>
      <c r="G475">
        <v>0.8</v>
      </c>
    </row>
    <row r="476" spans="1:7">
      <c r="A476" t="s">
        <v>199</v>
      </c>
      <c r="B476" t="s">
        <v>200</v>
      </c>
      <c r="C476" t="s">
        <v>198</v>
      </c>
      <c r="D476" t="s">
        <v>151</v>
      </c>
      <c r="E476">
        <v>10</v>
      </c>
      <c r="F476">
        <v>0.5</v>
      </c>
      <c r="G476">
        <v>0.8</v>
      </c>
    </row>
    <row r="477" spans="1:7">
      <c r="A477" t="s">
        <v>199</v>
      </c>
      <c r="B477" t="s">
        <v>200</v>
      </c>
      <c r="C477" t="s">
        <v>198</v>
      </c>
      <c r="D477" t="s">
        <v>151</v>
      </c>
      <c r="E477">
        <v>11</v>
      </c>
      <c r="F477">
        <v>0.52500000000000002</v>
      </c>
      <c r="G477">
        <v>0.8</v>
      </c>
    </row>
    <row r="478" spans="1:7">
      <c r="A478" t="s">
        <v>199</v>
      </c>
      <c r="B478" t="s">
        <v>200</v>
      </c>
      <c r="C478" t="s">
        <v>198</v>
      </c>
      <c r="D478" t="s">
        <v>151</v>
      </c>
      <c r="E478">
        <v>12</v>
      </c>
      <c r="F478">
        <v>0.60000000000000009</v>
      </c>
      <c r="G478">
        <v>1</v>
      </c>
    </row>
    <row r="479" spans="1:7">
      <c r="A479" t="s">
        <v>199</v>
      </c>
      <c r="B479" t="s">
        <v>200</v>
      </c>
      <c r="C479" t="s">
        <v>198</v>
      </c>
      <c r="D479" t="s">
        <v>151</v>
      </c>
      <c r="E479">
        <v>13</v>
      </c>
      <c r="F479">
        <v>0.62500000000000011</v>
      </c>
      <c r="G479">
        <v>1.1000000000000001</v>
      </c>
    </row>
    <row r="480" spans="1:7">
      <c r="A480" t="s">
        <v>199</v>
      </c>
      <c r="B480" t="s">
        <v>200</v>
      </c>
      <c r="C480" t="s">
        <v>198</v>
      </c>
      <c r="D480" t="s">
        <v>151</v>
      </c>
      <c r="E480">
        <v>14</v>
      </c>
      <c r="F480">
        <v>0.67500000000000004</v>
      </c>
      <c r="G480">
        <v>1.3</v>
      </c>
    </row>
    <row r="481" spans="1:7">
      <c r="A481" t="s">
        <v>199</v>
      </c>
      <c r="B481" t="s">
        <v>200</v>
      </c>
      <c r="C481" t="s">
        <v>198</v>
      </c>
      <c r="D481" t="s">
        <v>151</v>
      </c>
      <c r="E481">
        <v>15</v>
      </c>
      <c r="F481">
        <v>0.79999999999999993</v>
      </c>
      <c r="G481">
        <v>1.4</v>
      </c>
    </row>
    <row r="482" spans="1:7">
      <c r="A482" t="s">
        <v>199</v>
      </c>
      <c r="B482" t="s">
        <v>200</v>
      </c>
      <c r="C482" t="s">
        <v>198</v>
      </c>
      <c r="D482" t="s">
        <v>151</v>
      </c>
      <c r="E482">
        <v>16</v>
      </c>
      <c r="F482">
        <v>0.875</v>
      </c>
      <c r="G482">
        <v>1.4</v>
      </c>
    </row>
    <row r="483" spans="1:7">
      <c r="A483" t="s">
        <v>199</v>
      </c>
      <c r="B483" t="s">
        <v>200</v>
      </c>
      <c r="C483" t="s">
        <v>198</v>
      </c>
      <c r="D483" t="s">
        <v>151</v>
      </c>
      <c r="E483">
        <v>17</v>
      </c>
      <c r="F483">
        <v>0.97500000000000009</v>
      </c>
      <c r="G483">
        <v>1.5</v>
      </c>
    </row>
    <row r="484" spans="1:7">
      <c r="A484" t="s">
        <v>199</v>
      </c>
      <c r="B484" t="s">
        <v>200</v>
      </c>
      <c r="C484" t="s">
        <v>198</v>
      </c>
      <c r="D484" t="s">
        <v>151</v>
      </c>
      <c r="E484">
        <v>18</v>
      </c>
      <c r="F484">
        <v>1.0250000000000001</v>
      </c>
      <c r="G484">
        <v>1.5</v>
      </c>
    </row>
    <row r="485" spans="1:7">
      <c r="A485" t="s">
        <v>199</v>
      </c>
      <c r="B485" t="s">
        <v>200</v>
      </c>
      <c r="C485" t="s">
        <v>198</v>
      </c>
      <c r="D485" t="s">
        <v>151</v>
      </c>
      <c r="E485">
        <v>19</v>
      </c>
      <c r="F485">
        <v>1.0250000000000001</v>
      </c>
      <c r="G485">
        <v>1.4</v>
      </c>
    </row>
    <row r="486" spans="1:7">
      <c r="A486" t="s">
        <v>199</v>
      </c>
      <c r="B486" t="s">
        <v>200</v>
      </c>
      <c r="C486" t="s">
        <v>198</v>
      </c>
      <c r="D486" t="s">
        <v>151</v>
      </c>
      <c r="E486">
        <v>20</v>
      </c>
      <c r="F486">
        <v>1.0249999999999999</v>
      </c>
      <c r="G486">
        <v>1.3</v>
      </c>
    </row>
    <row r="487" spans="1:7">
      <c r="A487" t="s">
        <v>199</v>
      </c>
      <c r="B487" t="s">
        <v>200</v>
      </c>
      <c r="C487" t="s">
        <v>198</v>
      </c>
      <c r="D487" t="s">
        <v>151</v>
      </c>
      <c r="E487">
        <v>21</v>
      </c>
      <c r="F487">
        <v>1</v>
      </c>
      <c r="G487">
        <v>1.1000000000000001</v>
      </c>
    </row>
    <row r="488" spans="1:7">
      <c r="A488" t="s">
        <v>199</v>
      </c>
      <c r="B488" t="s">
        <v>200</v>
      </c>
      <c r="C488" t="s">
        <v>198</v>
      </c>
      <c r="D488" t="s">
        <v>151</v>
      </c>
      <c r="E488">
        <v>22</v>
      </c>
      <c r="F488">
        <v>0.8666666666666667</v>
      </c>
      <c r="G488">
        <v>1.1000000000000001</v>
      </c>
    </row>
    <row r="489" spans="1:7">
      <c r="A489" t="s">
        <v>199</v>
      </c>
      <c r="B489" t="s">
        <v>200</v>
      </c>
      <c r="C489" t="s">
        <v>198</v>
      </c>
      <c r="D489" t="s">
        <v>151</v>
      </c>
      <c r="E489">
        <v>23</v>
      </c>
      <c r="F489">
        <v>0.82499999999999996</v>
      </c>
      <c r="G489">
        <v>1.1000000000000001</v>
      </c>
    </row>
    <row r="490" spans="1:7">
      <c r="A490" t="s">
        <v>199</v>
      </c>
      <c r="B490" t="s">
        <v>200</v>
      </c>
      <c r="C490" t="s">
        <v>198</v>
      </c>
      <c r="D490" t="s">
        <v>151</v>
      </c>
      <c r="E490">
        <v>24</v>
      </c>
      <c r="F490">
        <v>0.75</v>
      </c>
      <c r="G490">
        <v>1.1000000000000001</v>
      </c>
    </row>
    <row r="491" spans="1:7">
      <c r="A491" t="s">
        <v>199</v>
      </c>
      <c r="B491" t="s">
        <v>200</v>
      </c>
      <c r="C491" t="s">
        <v>198</v>
      </c>
      <c r="D491" t="s">
        <v>151</v>
      </c>
      <c r="E491">
        <v>25</v>
      </c>
      <c r="F491">
        <v>0.75</v>
      </c>
      <c r="G491">
        <v>1.2</v>
      </c>
    </row>
    <row r="492" spans="1:7">
      <c r="A492" t="s">
        <v>199</v>
      </c>
      <c r="B492" t="s">
        <v>200</v>
      </c>
      <c r="C492" t="s">
        <v>198</v>
      </c>
      <c r="D492" t="s">
        <v>151</v>
      </c>
      <c r="E492">
        <v>26</v>
      </c>
      <c r="F492">
        <v>0.79999999999999993</v>
      </c>
      <c r="G492">
        <v>1.3</v>
      </c>
    </row>
    <row r="493" spans="1:7">
      <c r="A493" t="s">
        <v>199</v>
      </c>
      <c r="B493" t="s">
        <v>200</v>
      </c>
      <c r="C493" t="s">
        <v>198</v>
      </c>
      <c r="D493" t="s">
        <v>151</v>
      </c>
      <c r="E493">
        <v>27</v>
      </c>
      <c r="F493">
        <v>0.875</v>
      </c>
      <c r="G493">
        <v>1.4</v>
      </c>
    </row>
    <row r="494" spans="1:7">
      <c r="A494" t="s">
        <v>199</v>
      </c>
      <c r="B494" t="s">
        <v>200</v>
      </c>
      <c r="C494" t="s">
        <v>198</v>
      </c>
      <c r="D494" t="s">
        <v>151</v>
      </c>
      <c r="E494">
        <v>28</v>
      </c>
      <c r="F494">
        <v>1.0666666666666667</v>
      </c>
      <c r="G494">
        <v>1.5</v>
      </c>
    </row>
    <row r="495" spans="1:7">
      <c r="A495" t="s">
        <v>199</v>
      </c>
      <c r="B495" t="s">
        <v>200</v>
      </c>
      <c r="C495" t="s">
        <v>198</v>
      </c>
      <c r="D495" t="s">
        <v>151</v>
      </c>
      <c r="E495">
        <v>29</v>
      </c>
      <c r="F495">
        <v>1</v>
      </c>
      <c r="G495">
        <v>1.6</v>
      </c>
    </row>
    <row r="496" spans="1:7">
      <c r="A496" t="s">
        <v>199</v>
      </c>
      <c r="B496" t="s">
        <v>200</v>
      </c>
      <c r="C496" t="s">
        <v>198</v>
      </c>
      <c r="D496" t="s">
        <v>151</v>
      </c>
      <c r="E496">
        <v>30</v>
      </c>
      <c r="F496">
        <v>1.05</v>
      </c>
      <c r="G496">
        <v>1.6</v>
      </c>
    </row>
    <row r="497" spans="1:7">
      <c r="A497" t="s">
        <v>199</v>
      </c>
      <c r="B497" t="s">
        <v>200</v>
      </c>
      <c r="C497" t="s">
        <v>198</v>
      </c>
      <c r="D497" t="s">
        <v>151</v>
      </c>
      <c r="E497">
        <v>31</v>
      </c>
      <c r="F497">
        <v>1.1000000000000001</v>
      </c>
      <c r="G497">
        <v>1.5</v>
      </c>
    </row>
    <row r="498" spans="1:7">
      <c r="A498" t="s">
        <v>201</v>
      </c>
      <c r="B498" t="s">
        <v>202</v>
      </c>
      <c r="C498" t="s">
        <v>198</v>
      </c>
      <c r="D498" t="s">
        <v>151</v>
      </c>
      <c r="E498">
        <v>1</v>
      </c>
      <c r="F498">
        <v>0.77500000000000013</v>
      </c>
      <c r="G498">
        <v>1.1000000000000001</v>
      </c>
    </row>
    <row r="499" spans="1:7">
      <c r="A499" t="s">
        <v>201</v>
      </c>
      <c r="B499" t="s">
        <v>202</v>
      </c>
      <c r="C499" t="s">
        <v>198</v>
      </c>
      <c r="D499" t="s">
        <v>151</v>
      </c>
      <c r="E499">
        <v>2</v>
      </c>
      <c r="F499">
        <v>0.79249999999999998</v>
      </c>
      <c r="G499">
        <v>1.1000000000000001</v>
      </c>
    </row>
    <row r="500" spans="1:7">
      <c r="A500" t="s">
        <v>201</v>
      </c>
      <c r="B500" t="s">
        <v>202</v>
      </c>
      <c r="C500" t="s">
        <v>198</v>
      </c>
      <c r="D500" t="s">
        <v>151</v>
      </c>
      <c r="E500">
        <v>3</v>
      </c>
      <c r="F500">
        <v>0.7649999999999999</v>
      </c>
      <c r="G500">
        <v>1</v>
      </c>
    </row>
    <row r="501" spans="1:7">
      <c r="A501" t="s">
        <v>201</v>
      </c>
      <c r="B501" t="s">
        <v>202</v>
      </c>
      <c r="C501" t="s">
        <v>198</v>
      </c>
      <c r="D501" t="s">
        <v>151</v>
      </c>
      <c r="E501">
        <v>4</v>
      </c>
      <c r="F501">
        <v>0.72</v>
      </c>
      <c r="G501">
        <v>0.9</v>
      </c>
    </row>
    <row r="502" spans="1:7">
      <c r="A502" t="s">
        <v>201</v>
      </c>
      <c r="B502" t="s">
        <v>202</v>
      </c>
      <c r="C502" t="s">
        <v>198</v>
      </c>
      <c r="D502" t="s">
        <v>151</v>
      </c>
      <c r="E502">
        <v>5</v>
      </c>
      <c r="F502">
        <v>0.6725000000000001</v>
      </c>
      <c r="G502">
        <v>0.8</v>
      </c>
    </row>
    <row r="503" spans="1:7">
      <c r="A503" t="s">
        <v>201</v>
      </c>
      <c r="B503" t="s">
        <v>202</v>
      </c>
      <c r="C503" t="s">
        <v>198</v>
      </c>
      <c r="D503" t="s">
        <v>151</v>
      </c>
      <c r="E503">
        <v>6</v>
      </c>
      <c r="F503">
        <v>0.61250000000000004</v>
      </c>
      <c r="G503">
        <v>0.8</v>
      </c>
    </row>
    <row r="504" spans="1:7">
      <c r="A504" t="s">
        <v>201</v>
      </c>
      <c r="B504" t="s">
        <v>202</v>
      </c>
      <c r="C504" t="s">
        <v>198</v>
      </c>
      <c r="D504" t="s">
        <v>151</v>
      </c>
      <c r="E504">
        <v>7</v>
      </c>
      <c r="F504">
        <v>0.4366666666666667</v>
      </c>
      <c r="G504">
        <v>0.5</v>
      </c>
    </row>
    <row r="505" spans="1:7">
      <c r="A505" t="s">
        <v>201</v>
      </c>
      <c r="B505" t="s">
        <v>202</v>
      </c>
      <c r="C505" t="s">
        <v>198</v>
      </c>
      <c r="D505" t="s">
        <v>151</v>
      </c>
      <c r="E505">
        <v>8</v>
      </c>
      <c r="F505">
        <v>0.46499999999999997</v>
      </c>
      <c r="G505">
        <v>0.8</v>
      </c>
    </row>
    <row r="506" spans="1:7">
      <c r="A506" t="s">
        <v>201</v>
      </c>
      <c r="B506" t="s">
        <v>202</v>
      </c>
      <c r="C506" t="s">
        <v>198</v>
      </c>
      <c r="D506" t="s">
        <v>151</v>
      </c>
      <c r="E506">
        <v>9</v>
      </c>
      <c r="F506">
        <v>0.41250000000000003</v>
      </c>
      <c r="G506">
        <v>0.8</v>
      </c>
    </row>
    <row r="507" spans="1:7">
      <c r="A507" t="s">
        <v>201</v>
      </c>
      <c r="B507" t="s">
        <v>202</v>
      </c>
      <c r="C507" t="s">
        <v>198</v>
      </c>
      <c r="D507" t="s">
        <v>151</v>
      </c>
      <c r="E507">
        <v>10</v>
      </c>
      <c r="F507">
        <v>0.37250000000000005</v>
      </c>
      <c r="G507">
        <v>0.7</v>
      </c>
    </row>
    <row r="508" spans="1:7">
      <c r="A508" t="s">
        <v>201</v>
      </c>
      <c r="B508" t="s">
        <v>202</v>
      </c>
      <c r="C508" t="s">
        <v>198</v>
      </c>
      <c r="D508" t="s">
        <v>151</v>
      </c>
      <c r="E508">
        <v>11</v>
      </c>
      <c r="F508">
        <v>0.3725</v>
      </c>
      <c r="G508">
        <v>0.7</v>
      </c>
    </row>
    <row r="509" spans="1:7">
      <c r="A509" t="s">
        <v>201</v>
      </c>
      <c r="B509" t="s">
        <v>202</v>
      </c>
      <c r="C509" t="s">
        <v>198</v>
      </c>
      <c r="D509" t="s">
        <v>151</v>
      </c>
      <c r="E509">
        <v>12</v>
      </c>
      <c r="F509">
        <v>0.39</v>
      </c>
      <c r="G509">
        <v>0.7</v>
      </c>
    </row>
    <row r="510" spans="1:7">
      <c r="A510" t="s">
        <v>201</v>
      </c>
      <c r="B510" t="s">
        <v>202</v>
      </c>
      <c r="C510" t="s">
        <v>198</v>
      </c>
      <c r="D510" t="s">
        <v>151</v>
      </c>
      <c r="E510">
        <v>13</v>
      </c>
      <c r="F510">
        <v>0.46750000000000008</v>
      </c>
      <c r="G510">
        <v>0.8</v>
      </c>
    </row>
    <row r="511" spans="1:7">
      <c r="A511" t="s">
        <v>201</v>
      </c>
      <c r="B511" t="s">
        <v>202</v>
      </c>
      <c r="C511" t="s">
        <v>198</v>
      </c>
      <c r="D511" t="s">
        <v>151</v>
      </c>
      <c r="E511">
        <v>14</v>
      </c>
      <c r="F511">
        <v>0.64333333333333342</v>
      </c>
      <c r="G511">
        <v>0.8</v>
      </c>
    </row>
    <row r="512" spans="1:7">
      <c r="A512" t="s">
        <v>201</v>
      </c>
      <c r="B512" t="s">
        <v>202</v>
      </c>
      <c r="C512" t="s">
        <v>198</v>
      </c>
      <c r="D512" t="s">
        <v>151</v>
      </c>
      <c r="E512">
        <v>15</v>
      </c>
      <c r="F512">
        <v>0.58750000000000002</v>
      </c>
      <c r="G512">
        <v>0.9</v>
      </c>
    </row>
    <row r="513" spans="1:7">
      <c r="A513" t="s">
        <v>201</v>
      </c>
      <c r="B513" t="s">
        <v>202</v>
      </c>
      <c r="C513" t="s">
        <v>198</v>
      </c>
      <c r="D513" t="s">
        <v>151</v>
      </c>
      <c r="E513">
        <v>16</v>
      </c>
      <c r="F513">
        <v>0.64</v>
      </c>
      <c r="G513">
        <v>0.9</v>
      </c>
    </row>
    <row r="514" spans="1:7">
      <c r="A514" t="s">
        <v>201</v>
      </c>
      <c r="B514" t="s">
        <v>202</v>
      </c>
      <c r="C514" t="s">
        <v>198</v>
      </c>
      <c r="D514" t="s">
        <v>151</v>
      </c>
      <c r="E514">
        <v>17</v>
      </c>
      <c r="F514">
        <v>0.66500000000000004</v>
      </c>
      <c r="G514">
        <v>0.9</v>
      </c>
    </row>
    <row r="515" spans="1:7">
      <c r="A515" t="s">
        <v>201</v>
      </c>
      <c r="B515" t="s">
        <v>202</v>
      </c>
      <c r="C515" t="s">
        <v>198</v>
      </c>
      <c r="D515" t="s">
        <v>151</v>
      </c>
      <c r="E515">
        <v>18</v>
      </c>
      <c r="F515">
        <v>0.70750000000000002</v>
      </c>
      <c r="G515">
        <v>0.9</v>
      </c>
    </row>
    <row r="516" spans="1:7">
      <c r="A516" t="s">
        <v>201</v>
      </c>
      <c r="B516" t="s">
        <v>202</v>
      </c>
      <c r="C516" t="s">
        <v>198</v>
      </c>
      <c r="D516" t="s">
        <v>151</v>
      </c>
      <c r="E516">
        <v>19</v>
      </c>
      <c r="F516">
        <v>0.74</v>
      </c>
      <c r="G516">
        <v>0.9</v>
      </c>
    </row>
    <row r="517" spans="1:7">
      <c r="A517" t="s">
        <v>201</v>
      </c>
      <c r="B517" t="s">
        <v>202</v>
      </c>
      <c r="C517" t="s">
        <v>198</v>
      </c>
      <c r="D517" t="s">
        <v>151</v>
      </c>
      <c r="E517">
        <v>20</v>
      </c>
      <c r="F517">
        <v>0.71499999999999997</v>
      </c>
      <c r="G517">
        <v>0.9</v>
      </c>
    </row>
    <row r="518" spans="1:7">
      <c r="A518" t="s">
        <v>201</v>
      </c>
      <c r="B518" t="s">
        <v>202</v>
      </c>
      <c r="C518" t="s">
        <v>198</v>
      </c>
      <c r="D518" t="s">
        <v>151</v>
      </c>
      <c r="E518">
        <v>21</v>
      </c>
      <c r="F518">
        <v>0.70500000000000007</v>
      </c>
      <c r="G518">
        <v>1</v>
      </c>
    </row>
    <row r="519" spans="1:7">
      <c r="A519" t="s">
        <v>201</v>
      </c>
      <c r="B519" t="s">
        <v>202</v>
      </c>
      <c r="C519" t="s">
        <v>198</v>
      </c>
      <c r="D519" t="s">
        <v>151</v>
      </c>
      <c r="E519">
        <v>22</v>
      </c>
      <c r="F519">
        <v>0.54333333333333333</v>
      </c>
      <c r="G519">
        <v>0.6</v>
      </c>
    </row>
    <row r="520" spans="1:7">
      <c r="A520" t="s">
        <v>201</v>
      </c>
      <c r="B520" t="s">
        <v>202</v>
      </c>
      <c r="C520" t="s">
        <v>198</v>
      </c>
      <c r="D520" t="s">
        <v>151</v>
      </c>
      <c r="E520">
        <v>23</v>
      </c>
      <c r="F520">
        <v>0.61</v>
      </c>
      <c r="G520">
        <v>1</v>
      </c>
    </row>
    <row r="521" spans="1:7">
      <c r="A521" t="s">
        <v>201</v>
      </c>
      <c r="B521" t="s">
        <v>202</v>
      </c>
      <c r="C521" t="s">
        <v>198</v>
      </c>
      <c r="D521" t="s">
        <v>151</v>
      </c>
      <c r="E521">
        <v>24</v>
      </c>
      <c r="F521">
        <v>0.53499999999999992</v>
      </c>
      <c r="G521">
        <v>0.9</v>
      </c>
    </row>
    <row r="522" spans="1:7">
      <c r="A522" t="s">
        <v>201</v>
      </c>
      <c r="B522" t="s">
        <v>202</v>
      </c>
      <c r="C522" t="s">
        <v>198</v>
      </c>
      <c r="D522" t="s">
        <v>151</v>
      </c>
      <c r="E522">
        <v>25</v>
      </c>
      <c r="F522">
        <v>0.52</v>
      </c>
      <c r="G522">
        <v>0.9</v>
      </c>
    </row>
    <row r="523" spans="1:7">
      <c r="A523" t="s">
        <v>201</v>
      </c>
      <c r="B523" t="s">
        <v>202</v>
      </c>
      <c r="C523" t="s">
        <v>198</v>
      </c>
      <c r="D523" t="s">
        <v>151</v>
      </c>
      <c r="E523">
        <v>26</v>
      </c>
      <c r="F523">
        <v>0.53</v>
      </c>
      <c r="G523">
        <v>0.9</v>
      </c>
    </row>
    <row r="524" spans="1:7">
      <c r="A524" t="s">
        <v>201</v>
      </c>
      <c r="B524" t="s">
        <v>202</v>
      </c>
      <c r="C524" t="s">
        <v>198</v>
      </c>
      <c r="D524" t="s">
        <v>151</v>
      </c>
      <c r="E524">
        <v>27</v>
      </c>
      <c r="F524">
        <v>0.42499999999999999</v>
      </c>
      <c r="G524">
        <v>0.9</v>
      </c>
    </row>
    <row r="525" spans="1:7">
      <c r="A525" t="s">
        <v>201</v>
      </c>
      <c r="B525" t="s">
        <v>202</v>
      </c>
      <c r="C525" t="s">
        <v>198</v>
      </c>
      <c r="D525" t="s">
        <v>151</v>
      </c>
      <c r="E525">
        <v>28</v>
      </c>
      <c r="F525">
        <v>0.75</v>
      </c>
      <c r="G525">
        <v>0.9</v>
      </c>
    </row>
    <row r="526" spans="1:7">
      <c r="A526" t="s">
        <v>201</v>
      </c>
      <c r="B526" t="s">
        <v>202</v>
      </c>
      <c r="C526" t="s">
        <v>198</v>
      </c>
      <c r="D526" t="s">
        <v>151</v>
      </c>
      <c r="E526">
        <v>29</v>
      </c>
      <c r="F526">
        <v>0.69750000000000001</v>
      </c>
      <c r="G526">
        <v>1</v>
      </c>
    </row>
    <row r="527" spans="1:7">
      <c r="A527" t="s">
        <v>201</v>
      </c>
      <c r="B527" t="s">
        <v>202</v>
      </c>
      <c r="C527" t="s">
        <v>198</v>
      </c>
      <c r="D527" t="s">
        <v>151</v>
      </c>
      <c r="E527">
        <v>30</v>
      </c>
      <c r="F527">
        <v>0.74249999999999994</v>
      </c>
      <c r="G527">
        <v>1</v>
      </c>
    </row>
    <row r="528" spans="1:7">
      <c r="A528" t="s">
        <v>201</v>
      </c>
      <c r="B528" t="s">
        <v>202</v>
      </c>
      <c r="C528" t="s">
        <v>198</v>
      </c>
      <c r="D528" t="s">
        <v>151</v>
      </c>
      <c r="E528">
        <v>31</v>
      </c>
      <c r="F528">
        <v>0.75749999999999995</v>
      </c>
      <c r="G528">
        <v>0.9</v>
      </c>
    </row>
    <row r="529" spans="1:7">
      <c r="A529" t="s">
        <v>203</v>
      </c>
      <c r="B529" t="s">
        <v>204</v>
      </c>
      <c r="C529" t="s">
        <v>198</v>
      </c>
      <c r="D529" t="s">
        <v>151</v>
      </c>
      <c r="E529">
        <v>1</v>
      </c>
      <c r="F529">
        <v>0.62749999999999995</v>
      </c>
      <c r="G529">
        <v>0.93</v>
      </c>
    </row>
    <row r="530" spans="1:7">
      <c r="A530" t="s">
        <v>203</v>
      </c>
      <c r="B530" t="s">
        <v>204</v>
      </c>
      <c r="C530" t="s">
        <v>198</v>
      </c>
      <c r="D530" t="s">
        <v>151</v>
      </c>
      <c r="E530">
        <v>2</v>
      </c>
      <c r="F530">
        <v>0.64000000000000012</v>
      </c>
      <c r="G530">
        <v>0.91</v>
      </c>
    </row>
    <row r="531" spans="1:7">
      <c r="A531" t="s">
        <v>203</v>
      </c>
      <c r="B531" t="s">
        <v>204</v>
      </c>
      <c r="C531" t="s">
        <v>198</v>
      </c>
      <c r="D531" t="s">
        <v>151</v>
      </c>
      <c r="E531">
        <v>3</v>
      </c>
      <c r="F531">
        <v>0.38749999999999996</v>
      </c>
      <c r="G531">
        <v>0.86</v>
      </c>
    </row>
    <row r="532" spans="1:7">
      <c r="A532" t="s">
        <v>203</v>
      </c>
      <c r="B532" t="s">
        <v>204</v>
      </c>
      <c r="C532" t="s">
        <v>198</v>
      </c>
      <c r="D532" t="s">
        <v>151</v>
      </c>
      <c r="E532">
        <v>4</v>
      </c>
      <c r="F532">
        <v>0.6</v>
      </c>
      <c r="G532">
        <v>0.77</v>
      </c>
    </row>
    <row r="533" spans="1:7">
      <c r="A533" t="s">
        <v>203</v>
      </c>
      <c r="B533" t="s">
        <v>204</v>
      </c>
      <c r="C533" t="s">
        <v>198</v>
      </c>
      <c r="D533" t="s">
        <v>151</v>
      </c>
      <c r="E533">
        <v>5</v>
      </c>
      <c r="F533">
        <v>0.5575</v>
      </c>
      <c r="G533">
        <v>0.67</v>
      </c>
    </row>
    <row r="534" spans="1:7">
      <c r="A534" t="s">
        <v>203</v>
      </c>
      <c r="B534" t="s">
        <v>204</v>
      </c>
      <c r="C534" t="s">
        <v>198</v>
      </c>
      <c r="D534" t="s">
        <v>151</v>
      </c>
      <c r="E534">
        <v>6</v>
      </c>
      <c r="F534">
        <v>0.49750000000000005</v>
      </c>
      <c r="G534">
        <v>0.57999999999999996</v>
      </c>
    </row>
    <row r="535" spans="1:7">
      <c r="A535" t="s">
        <v>203</v>
      </c>
      <c r="B535" t="s">
        <v>204</v>
      </c>
      <c r="C535" t="s">
        <v>198</v>
      </c>
      <c r="D535" t="s">
        <v>151</v>
      </c>
      <c r="E535">
        <v>7</v>
      </c>
      <c r="F535">
        <v>0.39666666666666667</v>
      </c>
      <c r="G535">
        <v>0.43</v>
      </c>
    </row>
    <row r="536" spans="1:7">
      <c r="A536" t="s">
        <v>203</v>
      </c>
      <c r="B536" t="s">
        <v>204</v>
      </c>
      <c r="C536" t="s">
        <v>198</v>
      </c>
      <c r="D536" t="s">
        <v>151</v>
      </c>
      <c r="E536">
        <v>8</v>
      </c>
      <c r="F536">
        <v>0.3125</v>
      </c>
      <c r="G536">
        <v>0.56000000000000005</v>
      </c>
    </row>
    <row r="537" spans="1:7">
      <c r="A537" t="s">
        <v>203</v>
      </c>
      <c r="B537" t="s">
        <v>204</v>
      </c>
      <c r="C537" t="s">
        <v>198</v>
      </c>
      <c r="D537" t="s">
        <v>151</v>
      </c>
      <c r="E537">
        <v>9</v>
      </c>
      <c r="F537">
        <v>0.33250000000000002</v>
      </c>
      <c r="G537">
        <v>0.54</v>
      </c>
    </row>
    <row r="538" spans="1:7">
      <c r="A538" t="s">
        <v>203</v>
      </c>
      <c r="B538" t="s">
        <v>204</v>
      </c>
      <c r="C538" t="s">
        <v>198</v>
      </c>
      <c r="D538" t="s">
        <v>151</v>
      </c>
      <c r="E538">
        <v>10</v>
      </c>
      <c r="F538">
        <v>0.30500000000000005</v>
      </c>
      <c r="G538">
        <v>0.52</v>
      </c>
    </row>
    <row r="539" spans="1:7">
      <c r="A539" t="s">
        <v>203</v>
      </c>
      <c r="B539" t="s">
        <v>204</v>
      </c>
      <c r="C539" t="s">
        <v>198</v>
      </c>
      <c r="D539" t="s">
        <v>151</v>
      </c>
      <c r="E539">
        <v>11</v>
      </c>
      <c r="F539">
        <v>0.30499999999999999</v>
      </c>
      <c r="G539">
        <v>0.51</v>
      </c>
    </row>
    <row r="540" spans="1:7">
      <c r="A540" t="s">
        <v>203</v>
      </c>
      <c r="B540" t="s">
        <v>204</v>
      </c>
      <c r="C540" t="s">
        <v>198</v>
      </c>
      <c r="D540" t="s">
        <v>151</v>
      </c>
      <c r="E540">
        <v>12</v>
      </c>
      <c r="F540">
        <v>0.33250000000000002</v>
      </c>
      <c r="G540">
        <v>0.52</v>
      </c>
    </row>
    <row r="541" spans="1:7">
      <c r="A541" t="s">
        <v>203</v>
      </c>
      <c r="B541" t="s">
        <v>204</v>
      </c>
      <c r="C541" t="s">
        <v>198</v>
      </c>
      <c r="D541" t="s">
        <v>151</v>
      </c>
      <c r="E541">
        <v>13</v>
      </c>
      <c r="F541">
        <v>0.37750000000000006</v>
      </c>
      <c r="G541">
        <v>0.56000000000000005</v>
      </c>
    </row>
    <row r="542" spans="1:7">
      <c r="A542" t="s">
        <v>203</v>
      </c>
      <c r="B542" t="s">
        <v>204</v>
      </c>
      <c r="C542" t="s">
        <v>198</v>
      </c>
      <c r="D542" t="s">
        <v>151</v>
      </c>
      <c r="E542">
        <v>14</v>
      </c>
      <c r="F542">
        <v>0.52</v>
      </c>
      <c r="G542">
        <v>0.63</v>
      </c>
    </row>
    <row r="543" spans="1:7">
      <c r="A543" t="s">
        <v>203</v>
      </c>
      <c r="B543" t="s">
        <v>204</v>
      </c>
      <c r="C543" t="s">
        <v>198</v>
      </c>
      <c r="D543" t="s">
        <v>151</v>
      </c>
      <c r="E543">
        <v>15</v>
      </c>
      <c r="F543">
        <v>0.46499999999999997</v>
      </c>
      <c r="G543">
        <v>0.69</v>
      </c>
    </row>
    <row r="544" spans="1:7">
      <c r="A544" t="s">
        <v>203</v>
      </c>
      <c r="B544" t="s">
        <v>204</v>
      </c>
      <c r="C544" t="s">
        <v>198</v>
      </c>
      <c r="D544" t="s">
        <v>151</v>
      </c>
      <c r="E544">
        <v>16</v>
      </c>
      <c r="F544">
        <v>0.51249999999999996</v>
      </c>
      <c r="G544">
        <v>0.73</v>
      </c>
    </row>
    <row r="545" spans="1:7">
      <c r="A545" t="s">
        <v>203</v>
      </c>
      <c r="B545" t="s">
        <v>204</v>
      </c>
      <c r="C545" t="s">
        <v>198</v>
      </c>
      <c r="D545" t="s">
        <v>151</v>
      </c>
      <c r="E545">
        <v>17</v>
      </c>
      <c r="F545">
        <v>0.55249999999999999</v>
      </c>
      <c r="G545">
        <v>0.75</v>
      </c>
    </row>
    <row r="546" spans="1:7">
      <c r="A546" t="s">
        <v>203</v>
      </c>
      <c r="B546" t="s">
        <v>204</v>
      </c>
      <c r="C546" t="s">
        <v>198</v>
      </c>
      <c r="D546" t="s">
        <v>151</v>
      </c>
      <c r="E546">
        <v>18</v>
      </c>
      <c r="F546">
        <v>0.58250000000000002</v>
      </c>
      <c r="G546">
        <v>0.74</v>
      </c>
    </row>
    <row r="547" spans="1:7">
      <c r="A547" t="s">
        <v>203</v>
      </c>
      <c r="B547" t="s">
        <v>204</v>
      </c>
      <c r="C547" t="s">
        <v>198</v>
      </c>
      <c r="D547" t="s">
        <v>151</v>
      </c>
      <c r="E547">
        <v>19</v>
      </c>
      <c r="F547">
        <v>0.59499999999999997</v>
      </c>
      <c r="G547">
        <v>0.7</v>
      </c>
    </row>
    <row r="548" spans="1:7">
      <c r="A548" t="s">
        <v>203</v>
      </c>
      <c r="B548" t="s">
        <v>204</v>
      </c>
      <c r="C548" t="s">
        <v>198</v>
      </c>
      <c r="D548" t="s">
        <v>151</v>
      </c>
      <c r="E548">
        <v>20</v>
      </c>
      <c r="F548">
        <v>0.59250000000000003</v>
      </c>
      <c r="G548">
        <v>0.65</v>
      </c>
    </row>
    <row r="549" spans="1:7">
      <c r="A549" t="s">
        <v>203</v>
      </c>
      <c r="B549" t="s">
        <v>204</v>
      </c>
      <c r="C549" t="s">
        <v>198</v>
      </c>
      <c r="D549" t="s">
        <v>151</v>
      </c>
      <c r="E549">
        <v>21</v>
      </c>
      <c r="F549">
        <v>0.57250000000000001</v>
      </c>
      <c r="G549">
        <v>0.67</v>
      </c>
    </row>
    <row r="550" spans="1:7">
      <c r="A550" t="s">
        <v>203</v>
      </c>
      <c r="B550" t="s">
        <v>204</v>
      </c>
      <c r="C550" t="s">
        <v>198</v>
      </c>
      <c r="D550" t="s">
        <v>151</v>
      </c>
      <c r="E550">
        <v>22</v>
      </c>
      <c r="F550">
        <v>0.48666666666666664</v>
      </c>
      <c r="G550">
        <v>0.56999999999999995</v>
      </c>
    </row>
    <row r="551" spans="1:7">
      <c r="A551" t="s">
        <v>203</v>
      </c>
      <c r="B551" t="s">
        <v>204</v>
      </c>
      <c r="C551" t="s">
        <v>198</v>
      </c>
      <c r="D551" t="s">
        <v>151</v>
      </c>
      <c r="E551">
        <v>23</v>
      </c>
      <c r="F551">
        <v>0.49249999999999994</v>
      </c>
      <c r="G551">
        <v>0.67</v>
      </c>
    </row>
    <row r="552" spans="1:7">
      <c r="A552" t="s">
        <v>203</v>
      </c>
      <c r="B552" t="s">
        <v>204</v>
      </c>
      <c r="C552" t="s">
        <v>198</v>
      </c>
      <c r="D552" t="s">
        <v>151</v>
      </c>
      <c r="E552">
        <v>24</v>
      </c>
      <c r="F552">
        <v>0.45250000000000001</v>
      </c>
      <c r="G552">
        <v>0.66</v>
      </c>
    </row>
    <row r="553" spans="1:7">
      <c r="A553" t="s">
        <v>203</v>
      </c>
      <c r="B553" t="s">
        <v>204</v>
      </c>
      <c r="C553" t="s">
        <v>198</v>
      </c>
      <c r="D553" t="s">
        <v>151</v>
      </c>
      <c r="E553">
        <v>25</v>
      </c>
      <c r="F553">
        <v>0.42749999999999999</v>
      </c>
      <c r="G553">
        <v>0.64</v>
      </c>
    </row>
    <row r="554" spans="1:7">
      <c r="A554" t="s">
        <v>203</v>
      </c>
      <c r="B554" t="s">
        <v>204</v>
      </c>
      <c r="C554" t="s">
        <v>198</v>
      </c>
      <c r="D554" t="s">
        <v>151</v>
      </c>
      <c r="E554">
        <v>26</v>
      </c>
      <c r="F554">
        <v>0.4425</v>
      </c>
      <c r="G554">
        <v>0.64</v>
      </c>
    </row>
    <row r="555" spans="1:7">
      <c r="A555" t="s">
        <v>203</v>
      </c>
      <c r="B555" t="s">
        <v>204</v>
      </c>
      <c r="C555" t="s">
        <v>198</v>
      </c>
      <c r="D555" t="s">
        <v>151</v>
      </c>
      <c r="E555">
        <v>27</v>
      </c>
      <c r="F555">
        <v>0.32999999999999996</v>
      </c>
      <c r="G555">
        <v>0.64</v>
      </c>
    </row>
    <row r="556" spans="1:7">
      <c r="A556" t="s">
        <v>203</v>
      </c>
      <c r="B556" t="s">
        <v>204</v>
      </c>
      <c r="C556" t="s">
        <v>198</v>
      </c>
      <c r="D556" t="s">
        <v>151</v>
      </c>
      <c r="E556">
        <v>28</v>
      </c>
      <c r="F556">
        <v>0.53999999999999992</v>
      </c>
      <c r="G556">
        <v>0.75</v>
      </c>
    </row>
    <row r="557" spans="1:7">
      <c r="A557" t="s">
        <v>203</v>
      </c>
      <c r="B557" t="s">
        <v>204</v>
      </c>
      <c r="C557" t="s">
        <v>198</v>
      </c>
      <c r="D557" t="s">
        <v>151</v>
      </c>
      <c r="E557">
        <v>29</v>
      </c>
      <c r="F557">
        <v>0.65333333333333332</v>
      </c>
      <c r="G557">
        <v>0.78</v>
      </c>
    </row>
    <row r="558" spans="1:7">
      <c r="A558" t="s">
        <v>203</v>
      </c>
      <c r="B558" t="s">
        <v>204</v>
      </c>
      <c r="C558" t="s">
        <v>198</v>
      </c>
      <c r="D558" t="s">
        <v>151</v>
      </c>
      <c r="E558">
        <v>30</v>
      </c>
      <c r="F558">
        <v>0.6</v>
      </c>
      <c r="G558">
        <v>0.78</v>
      </c>
    </row>
    <row r="559" spans="1:7">
      <c r="A559" t="s">
        <v>203</v>
      </c>
      <c r="B559" t="s">
        <v>204</v>
      </c>
      <c r="C559" t="s">
        <v>198</v>
      </c>
      <c r="D559" t="s">
        <v>151</v>
      </c>
      <c r="E559">
        <v>31</v>
      </c>
      <c r="F559">
        <v>0.48250000000000004</v>
      </c>
      <c r="G559">
        <v>0.75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5"/>
  <sheetViews>
    <sheetView topLeftCell="A410" workbookViewId="0">
      <selection activeCell="M455" sqref="M455"/>
    </sheetView>
  </sheetViews>
  <sheetFormatPr baseColWidth="10" defaultRowHeight="15" x14ac:dyDescent="0"/>
  <cols>
    <col min="1" max="1" width="26.5" bestFit="1" customWidth="1"/>
    <col min="4" max="4" width="15.6640625" bestFit="1" customWidth="1"/>
  </cols>
  <sheetData>
    <row r="1" spans="1:9">
      <c r="A1" t="s">
        <v>124</v>
      </c>
      <c r="B1" t="s">
        <v>143</v>
      </c>
      <c r="C1" t="s">
        <v>12</v>
      </c>
      <c r="D1" t="s">
        <v>178</v>
      </c>
      <c r="E1" t="s">
        <v>162</v>
      </c>
      <c r="F1" t="s">
        <v>141</v>
      </c>
      <c r="G1" t="s">
        <v>142</v>
      </c>
      <c r="H1" t="s">
        <v>210</v>
      </c>
      <c r="I1" t="s">
        <v>211</v>
      </c>
    </row>
    <row r="2" spans="1:9">
      <c r="A2" t="s">
        <v>179</v>
      </c>
      <c r="B2" t="s">
        <v>144</v>
      </c>
      <c r="C2" t="s">
        <v>150</v>
      </c>
      <c r="D2" t="s">
        <v>151</v>
      </c>
      <c r="E2">
        <v>1</v>
      </c>
      <c r="F2">
        <v>1.3499999999999999</v>
      </c>
      <c r="G2">
        <v>2.2999999999999998</v>
      </c>
      <c r="H2">
        <f>F2*0.514</f>
        <v>0.69389999999999996</v>
      </c>
      <c r="I2">
        <f>G2*0.514</f>
        <v>1.1821999999999999</v>
      </c>
    </row>
    <row r="3" spans="1:9">
      <c r="A3" t="s">
        <v>179</v>
      </c>
      <c r="B3" t="s">
        <v>144</v>
      </c>
      <c r="C3" t="s">
        <v>150</v>
      </c>
      <c r="D3" t="s">
        <v>151</v>
      </c>
      <c r="E3">
        <v>2</v>
      </c>
      <c r="F3">
        <v>1.375</v>
      </c>
      <c r="G3">
        <v>2.2000000000000002</v>
      </c>
      <c r="H3">
        <f t="shared" ref="H3:H66" si="0">F3*0.514</f>
        <v>0.70674999999999999</v>
      </c>
      <c r="I3">
        <f t="shared" ref="I3:I66" si="1">G3*0.514</f>
        <v>1.1308</v>
      </c>
    </row>
    <row r="4" spans="1:9">
      <c r="A4" t="s">
        <v>179</v>
      </c>
      <c r="B4" t="s">
        <v>144</v>
      </c>
      <c r="C4" t="s">
        <v>150</v>
      </c>
      <c r="D4" t="s">
        <v>151</v>
      </c>
      <c r="E4">
        <v>3</v>
      </c>
      <c r="F4">
        <v>1.375</v>
      </c>
      <c r="G4">
        <v>2.1</v>
      </c>
      <c r="H4">
        <f t="shared" si="0"/>
        <v>0.70674999999999999</v>
      </c>
      <c r="I4">
        <f t="shared" si="1"/>
        <v>1.0794000000000001</v>
      </c>
    </row>
    <row r="5" spans="1:9">
      <c r="A5" t="s">
        <v>179</v>
      </c>
      <c r="B5" t="s">
        <v>144</v>
      </c>
      <c r="C5" t="s">
        <v>150</v>
      </c>
      <c r="D5" t="s">
        <v>151</v>
      </c>
      <c r="E5">
        <v>4</v>
      </c>
      <c r="F5">
        <v>1.3</v>
      </c>
      <c r="G5">
        <v>1.9</v>
      </c>
      <c r="H5">
        <f t="shared" si="0"/>
        <v>0.66820000000000002</v>
      </c>
      <c r="I5">
        <f t="shared" si="1"/>
        <v>0.97660000000000002</v>
      </c>
    </row>
    <row r="6" spans="1:9">
      <c r="A6" t="s">
        <v>179</v>
      </c>
      <c r="B6" t="s">
        <v>144</v>
      </c>
      <c r="C6" t="s">
        <v>150</v>
      </c>
      <c r="D6" t="s">
        <v>151</v>
      </c>
      <c r="E6">
        <v>5</v>
      </c>
      <c r="F6">
        <v>1.0666666666666667</v>
      </c>
      <c r="G6">
        <v>1.7</v>
      </c>
      <c r="H6">
        <f t="shared" si="0"/>
        <v>0.54826666666666668</v>
      </c>
      <c r="I6">
        <f t="shared" si="1"/>
        <v>0.87380000000000002</v>
      </c>
    </row>
    <row r="7" spans="1:9">
      <c r="A7" t="s">
        <v>179</v>
      </c>
      <c r="B7" t="s">
        <v>144</v>
      </c>
      <c r="C7" t="s">
        <v>150</v>
      </c>
      <c r="D7" t="s">
        <v>151</v>
      </c>
      <c r="E7">
        <v>6</v>
      </c>
      <c r="F7">
        <v>1.075</v>
      </c>
      <c r="G7">
        <v>1.7</v>
      </c>
      <c r="H7">
        <f t="shared" si="0"/>
        <v>0.55254999999999999</v>
      </c>
      <c r="I7">
        <f t="shared" si="1"/>
        <v>0.87380000000000002</v>
      </c>
    </row>
    <row r="8" spans="1:9">
      <c r="A8" t="s">
        <v>179</v>
      </c>
      <c r="B8" t="s">
        <v>144</v>
      </c>
      <c r="C8" t="s">
        <v>150</v>
      </c>
      <c r="D8" t="s">
        <v>151</v>
      </c>
      <c r="E8">
        <v>7</v>
      </c>
      <c r="F8">
        <v>0.97500000000000009</v>
      </c>
      <c r="G8">
        <v>1.7</v>
      </c>
      <c r="H8">
        <f t="shared" si="0"/>
        <v>0.5011500000000001</v>
      </c>
      <c r="I8">
        <f t="shared" si="1"/>
        <v>0.87380000000000002</v>
      </c>
    </row>
    <row r="9" spans="1:9">
      <c r="A9" t="s">
        <v>179</v>
      </c>
      <c r="B9" t="s">
        <v>144</v>
      </c>
      <c r="C9" t="s">
        <v>150</v>
      </c>
      <c r="D9" t="s">
        <v>151</v>
      </c>
      <c r="E9">
        <v>8</v>
      </c>
      <c r="F9">
        <v>0.875</v>
      </c>
      <c r="G9">
        <v>1.7</v>
      </c>
      <c r="H9">
        <f t="shared" si="0"/>
        <v>0.44974999999999998</v>
      </c>
      <c r="I9">
        <f t="shared" si="1"/>
        <v>0.87380000000000002</v>
      </c>
    </row>
    <row r="10" spans="1:9">
      <c r="A10" t="s">
        <v>179</v>
      </c>
      <c r="B10" t="s">
        <v>144</v>
      </c>
      <c r="C10" t="s">
        <v>150</v>
      </c>
      <c r="D10" t="s">
        <v>151</v>
      </c>
      <c r="E10">
        <v>9</v>
      </c>
      <c r="F10">
        <v>0.75</v>
      </c>
      <c r="G10">
        <v>1.6</v>
      </c>
      <c r="H10">
        <f t="shared" si="0"/>
        <v>0.38550000000000001</v>
      </c>
      <c r="I10">
        <f t="shared" si="1"/>
        <v>0.82240000000000002</v>
      </c>
    </row>
    <row r="11" spans="1:9">
      <c r="A11" t="s">
        <v>179</v>
      </c>
      <c r="B11" t="s">
        <v>144</v>
      </c>
      <c r="C11" t="s">
        <v>150</v>
      </c>
      <c r="D11" t="s">
        <v>151</v>
      </c>
      <c r="E11">
        <v>10</v>
      </c>
      <c r="F11">
        <v>0.72500000000000009</v>
      </c>
      <c r="G11">
        <v>1.6</v>
      </c>
      <c r="H11">
        <f t="shared" si="0"/>
        <v>0.37265000000000004</v>
      </c>
      <c r="I11">
        <f t="shared" si="1"/>
        <v>0.82240000000000002</v>
      </c>
    </row>
    <row r="12" spans="1:9">
      <c r="A12" t="s">
        <v>179</v>
      </c>
      <c r="B12" t="s">
        <v>144</v>
      </c>
      <c r="C12" t="s">
        <v>150</v>
      </c>
      <c r="D12" t="s">
        <v>151</v>
      </c>
      <c r="E12">
        <v>11</v>
      </c>
      <c r="F12">
        <v>0.75000000000000011</v>
      </c>
      <c r="G12">
        <v>1.6</v>
      </c>
      <c r="H12">
        <f t="shared" si="0"/>
        <v>0.38550000000000006</v>
      </c>
      <c r="I12">
        <f t="shared" si="1"/>
        <v>0.82240000000000002</v>
      </c>
    </row>
    <row r="13" spans="1:9">
      <c r="A13" t="s">
        <v>179</v>
      </c>
      <c r="B13" t="s">
        <v>144</v>
      </c>
      <c r="C13" t="s">
        <v>150</v>
      </c>
      <c r="D13" t="s">
        <v>151</v>
      </c>
      <c r="E13">
        <v>12</v>
      </c>
      <c r="F13">
        <v>1</v>
      </c>
      <c r="G13">
        <v>1.6</v>
      </c>
      <c r="H13">
        <f t="shared" si="0"/>
        <v>0.51400000000000001</v>
      </c>
      <c r="I13">
        <f t="shared" si="1"/>
        <v>0.82240000000000002</v>
      </c>
    </row>
    <row r="14" spans="1:9">
      <c r="A14" t="s">
        <v>179</v>
      </c>
      <c r="B14" t="s">
        <v>144</v>
      </c>
      <c r="C14" t="s">
        <v>150</v>
      </c>
      <c r="D14" t="s">
        <v>151</v>
      </c>
      <c r="E14">
        <v>13</v>
      </c>
      <c r="F14">
        <v>0.85</v>
      </c>
      <c r="G14">
        <v>1.6</v>
      </c>
      <c r="H14">
        <f t="shared" si="0"/>
        <v>0.43690000000000001</v>
      </c>
      <c r="I14">
        <f t="shared" si="1"/>
        <v>0.82240000000000002</v>
      </c>
    </row>
    <row r="15" spans="1:9">
      <c r="A15" t="s">
        <v>179</v>
      </c>
      <c r="B15" t="s">
        <v>144</v>
      </c>
      <c r="C15" t="s">
        <v>150</v>
      </c>
      <c r="D15" t="s">
        <v>151</v>
      </c>
      <c r="E15">
        <v>14</v>
      </c>
      <c r="F15">
        <v>0.95000000000000007</v>
      </c>
      <c r="G15">
        <v>1.7</v>
      </c>
      <c r="H15">
        <f t="shared" si="0"/>
        <v>0.48830000000000007</v>
      </c>
      <c r="I15">
        <f t="shared" si="1"/>
        <v>0.87380000000000002</v>
      </c>
    </row>
    <row r="16" spans="1:9">
      <c r="A16" t="s">
        <v>179</v>
      </c>
      <c r="B16" t="s">
        <v>144</v>
      </c>
      <c r="C16" t="s">
        <v>150</v>
      </c>
      <c r="D16" t="s">
        <v>151</v>
      </c>
      <c r="E16">
        <v>15</v>
      </c>
      <c r="F16">
        <v>1.05</v>
      </c>
      <c r="G16">
        <v>1.8</v>
      </c>
      <c r="H16">
        <f t="shared" si="0"/>
        <v>0.53970000000000007</v>
      </c>
      <c r="I16">
        <f t="shared" si="1"/>
        <v>0.92520000000000002</v>
      </c>
    </row>
    <row r="17" spans="1:9">
      <c r="A17" t="s">
        <v>179</v>
      </c>
      <c r="B17" t="s">
        <v>144</v>
      </c>
      <c r="C17" t="s">
        <v>150</v>
      </c>
      <c r="D17" t="s">
        <v>151</v>
      </c>
      <c r="E17">
        <v>16</v>
      </c>
      <c r="F17">
        <v>1.1499999999999999</v>
      </c>
      <c r="G17">
        <v>1.9</v>
      </c>
      <c r="H17">
        <f t="shared" si="0"/>
        <v>0.59109999999999996</v>
      </c>
      <c r="I17">
        <f t="shared" si="1"/>
        <v>0.97660000000000002</v>
      </c>
    </row>
    <row r="18" spans="1:9">
      <c r="A18" t="s">
        <v>179</v>
      </c>
      <c r="B18" t="s">
        <v>144</v>
      </c>
      <c r="C18" t="s">
        <v>150</v>
      </c>
      <c r="D18" t="s">
        <v>151</v>
      </c>
      <c r="E18">
        <v>17</v>
      </c>
      <c r="F18">
        <v>1.2250000000000001</v>
      </c>
      <c r="G18">
        <v>1.9</v>
      </c>
      <c r="H18">
        <f t="shared" si="0"/>
        <v>0.62965000000000004</v>
      </c>
      <c r="I18">
        <f t="shared" si="1"/>
        <v>0.97660000000000002</v>
      </c>
    </row>
    <row r="19" spans="1:9">
      <c r="A19" t="s">
        <v>179</v>
      </c>
      <c r="B19" t="s">
        <v>144</v>
      </c>
      <c r="C19" t="s">
        <v>150</v>
      </c>
      <c r="D19" t="s">
        <v>151</v>
      </c>
      <c r="E19">
        <v>18</v>
      </c>
      <c r="F19">
        <v>1.2749999999999999</v>
      </c>
      <c r="G19">
        <v>1.9</v>
      </c>
      <c r="H19">
        <f t="shared" si="0"/>
        <v>0.65534999999999999</v>
      </c>
      <c r="I19">
        <f t="shared" si="1"/>
        <v>0.97660000000000002</v>
      </c>
    </row>
    <row r="20" spans="1:9">
      <c r="A20" t="s">
        <v>179</v>
      </c>
      <c r="B20" t="s">
        <v>144</v>
      </c>
      <c r="C20" t="s">
        <v>150</v>
      </c>
      <c r="D20" t="s">
        <v>151</v>
      </c>
      <c r="E20">
        <v>19</v>
      </c>
      <c r="F20">
        <v>1.2999999999999998</v>
      </c>
      <c r="G20">
        <v>1.9</v>
      </c>
      <c r="H20">
        <f t="shared" si="0"/>
        <v>0.66819999999999991</v>
      </c>
      <c r="I20">
        <f t="shared" si="1"/>
        <v>0.97660000000000002</v>
      </c>
    </row>
    <row r="21" spans="1:9">
      <c r="A21" t="s">
        <v>179</v>
      </c>
      <c r="B21" t="s">
        <v>144</v>
      </c>
      <c r="C21" t="s">
        <v>150</v>
      </c>
      <c r="D21" t="s">
        <v>151</v>
      </c>
      <c r="E21">
        <v>20</v>
      </c>
      <c r="F21">
        <v>1.3</v>
      </c>
      <c r="G21">
        <v>2</v>
      </c>
      <c r="H21">
        <f t="shared" si="0"/>
        <v>0.66820000000000002</v>
      </c>
      <c r="I21">
        <f t="shared" si="1"/>
        <v>1.028</v>
      </c>
    </row>
    <row r="22" spans="1:9">
      <c r="A22" t="s">
        <v>179</v>
      </c>
      <c r="B22" t="s">
        <v>144</v>
      </c>
      <c r="C22" t="s">
        <v>150</v>
      </c>
      <c r="D22" t="s">
        <v>151</v>
      </c>
      <c r="E22">
        <v>21</v>
      </c>
      <c r="F22">
        <v>1.0333333333333332</v>
      </c>
      <c r="G22">
        <v>1.5</v>
      </c>
      <c r="H22">
        <f t="shared" si="0"/>
        <v>0.53113333333333324</v>
      </c>
      <c r="I22">
        <f t="shared" si="1"/>
        <v>0.77100000000000002</v>
      </c>
    </row>
    <row r="23" spans="1:9">
      <c r="A23" t="s">
        <v>179</v>
      </c>
      <c r="B23" t="s">
        <v>144</v>
      </c>
      <c r="C23" t="s">
        <v>150</v>
      </c>
      <c r="D23" t="s">
        <v>151</v>
      </c>
      <c r="E23">
        <v>22</v>
      </c>
      <c r="F23">
        <v>1.1749999999999998</v>
      </c>
      <c r="G23">
        <v>2</v>
      </c>
      <c r="H23">
        <f t="shared" si="0"/>
        <v>0.60394999999999988</v>
      </c>
      <c r="I23">
        <f t="shared" si="1"/>
        <v>1.028</v>
      </c>
    </row>
    <row r="24" spans="1:9">
      <c r="A24" t="s">
        <v>179</v>
      </c>
      <c r="B24" t="s">
        <v>144</v>
      </c>
      <c r="C24" t="s">
        <v>150</v>
      </c>
      <c r="D24" t="s">
        <v>151</v>
      </c>
      <c r="E24">
        <v>23</v>
      </c>
      <c r="F24">
        <v>1.1000000000000001</v>
      </c>
      <c r="G24">
        <v>2</v>
      </c>
      <c r="H24">
        <f t="shared" si="0"/>
        <v>0.56540000000000001</v>
      </c>
      <c r="I24">
        <f t="shared" si="1"/>
        <v>1.028</v>
      </c>
    </row>
    <row r="25" spans="1:9">
      <c r="A25" t="s">
        <v>179</v>
      </c>
      <c r="B25" t="s">
        <v>144</v>
      </c>
      <c r="C25" t="s">
        <v>150</v>
      </c>
      <c r="D25" t="s">
        <v>151</v>
      </c>
      <c r="E25">
        <v>24</v>
      </c>
      <c r="F25">
        <v>1.0249999999999999</v>
      </c>
      <c r="G25">
        <v>2</v>
      </c>
      <c r="H25">
        <f t="shared" si="0"/>
        <v>0.52684999999999993</v>
      </c>
      <c r="I25">
        <f t="shared" si="1"/>
        <v>1.028</v>
      </c>
    </row>
    <row r="26" spans="1:9">
      <c r="A26" t="s">
        <v>179</v>
      </c>
      <c r="B26" t="s">
        <v>144</v>
      </c>
      <c r="C26" t="s">
        <v>150</v>
      </c>
      <c r="D26" t="s">
        <v>151</v>
      </c>
      <c r="E26">
        <v>25</v>
      </c>
      <c r="F26">
        <v>0.95000000000000007</v>
      </c>
      <c r="G26">
        <v>1.9</v>
      </c>
      <c r="H26">
        <f t="shared" si="0"/>
        <v>0.48830000000000007</v>
      </c>
      <c r="I26">
        <f t="shared" si="1"/>
        <v>0.97660000000000002</v>
      </c>
    </row>
    <row r="27" spans="1:9">
      <c r="A27" t="s">
        <v>179</v>
      </c>
      <c r="B27" t="s">
        <v>144</v>
      </c>
      <c r="C27" t="s">
        <v>150</v>
      </c>
      <c r="D27" t="s">
        <v>151</v>
      </c>
      <c r="E27">
        <v>26</v>
      </c>
      <c r="F27">
        <v>0.97500000000000009</v>
      </c>
      <c r="G27">
        <v>1.9</v>
      </c>
      <c r="H27">
        <f t="shared" si="0"/>
        <v>0.5011500000000001</v>
      </c>
      <c r="I27">
        <f t="shared" si="1"/>
        <v>0.97660000000000002</v>
      </c>
    </row>
    <row r="28" spans="1:9">
      <c r="A28" t="s">
        <v>179</v>
      </c>
      <c r="B28" t="s">
        <v>144</v>
      </c>
      <c r="C28" t="s">
        <v>150</v>
      </c>
      <c r="D28" t="s">
        <v>151</v>
      </c>
      <c r="E28">
        <v>27</v>
      </c>
      <c r="F28">
        <v>1.3</v>
      </c>
      <c r="G28">
        <v>1.9</v>
      </c>
      <c r="H28">
        <f t="shared" si="0"/>
        <v>0.66820000000000002</v>
      </c>
      <c r="I28">
        <f t="shared" si="1"/>
        <v>0.97660000000000002</v>
      </c>
    </row>
    <row r="29" spans="1:9">
      <c r="A29" t="s">
        <v>179</v>
      </c>
      <c r="B29" t="s">
        <v>144</v>
      </c>
      <c r="C29" t="s">
        <v>150</v>
      </c>
      <c r="D29" t="s">
        <v>151</v>
      </c>
      <c r="E29">
        <v>28</v>
      </c>
      <c r="F29">
        <v>1.1749999999999998</v>
      </c>
      <c r="G29">
        <v>2</v>
      </c>
      <c r="H29">
        <f t="shared" si="0"/>
        <v>0.60394999999999988</v>
      </c>
      <c r="I29">
        <f t="shared" si="1"/>
        <v>1.028</v>
      </c>
    </row>
    <row r="30" spans="1:9">
      <c r="A30" t="s">
        <v>179</v>
      </c>
      <c r="B30" t="s">
        <v>144</v>
      </c>
      <c r="C30" t="s">
        <v>150</v>
      </c>
      <c r="D30" t="s">
        <v>151</v>
      </c>
      <c r="E30">
        <v>29</v>
      </c>
      <c r="F30">
        <v>1.25</v>
      </c>
      <c r="G30">
        <v>2</v>
      </c>
      <c r="H30">
        <f t="shared" si="0"/>
        <v>0.64250000000000007</v>
      </c>
      <c r="I30">
        <f t="shared" si="1"/>
        <v>1.028</v>
      </c>
    </row>
    <row r="31" spans="1:9">
      <c r="A31" t="s">
        <v>179</v>
      </c>
      <c r="B31" t="s">
        <v>144</v>
      </c>
      <c r="C31" t="s">
        <v>150</v>
      </c>
      <c r="D31" t="s">
        <v>151</v>
      </c>
      <c r="E31">
        <v>30</v>
      </c>
      <c r="F31">
        <v>1.3</v>
      </c>
      <c r="G31">
        <v>2</v>
      </c>
      <c r="H31">
        <f t="shared" si="0"/>
        <v>0.66820000000000002</v>
      </c>
      <c r="I31">
        <f t="shared" si="1"/>
        <v>1.028</v>
      </c>
    </row>
    <row r="32" spans="1:9">
      <c r="A32" t="s">
        <v>179</v>
      </c>
      <c r="B32" t="s">
        <v>144</v>
      </c>
      <c r="C32" t="s">
        <v>150</v>
      </c>
      <c r="D32" t="s">
        <v>151</v>
      </c>
      <c r="E32">
        <v>31</v>
      </c>
      <c r="F32">
        <v>1.325</v>
      </c>
      <c r="G32">
        <v>1.9</v>
      </c>
      <c r="H32">
        <f t="shared" si="0"/>
        <v>0.68105000000000004</v>
      </c>
      <c r="I32">
        <f t="shared" si="1"/>
        <v>0.97660000000000002</v>
      </c>
    </row>
    <row r="33" spans="1:9">
      <c r="A33" t="s">
        <v>180</v>
      </c>
      <c r="B33" t="s">
        <v>145</v>
      </c>
      <c r="C33" t="s">
        <v>150</v>
      </c>
      <c r="D33" t="s">
        <v>151</v>
      </c>
      <c r="E33">
        <v>1</v>
      </c>
      <c r="F33">
        <v>2.2749999999999999</v>
      </c>
      <c r="G33">
        <v>3.1</v>
      </c>
      <c r="H33">
        <f t="shared" si="0"/>
        <v>1.1693499999999999</v>
      </c>
      <c r="I33">
        <f t="shared" si="1"/>
        <v>1.5934000000000001</v>
      </c>
    </row>
    <row r="34" spans="1:9">
      <c r="A34" t="s">
        <v>180</v>
      </c>
      <c r="B34" t="s">
        <v>145</v>
      </c>
      <c r="C34" t="s">
        <v>150</v>
      </c>
      <c r="D34" t="s">
        <v>151</v>
      </c>
      <c r="E34">
        <v>2</v>
      </c>
      <c r="F34">
        <v>2.35</v>
      </c>
      <c r="G34">
        <v>3</v>
      </c>
      <c r="H34">
        <f t="shared" si="0"/>
        <v>1.2079</v>
      </c>
      <c r="I34">
        <f t="shared" si="1"/>
        <v>1.542</v>
      </c>
    </row>
    <row r="35" spans="1:9">
      <c r="A35" t="s">
        <v>180</v>
      </c>
      <c r="B35" t="s">
        <v>145</v>
      </c>
      <c r="C35" t="s">
        <v>150</v>
      </c>
      <c r="D35" t="s">
        <v>151</v>
      </c>
      <c r="E35">
        <v>3</v>
      </c>
      <c r="F35">
        <v>2.3250000000000002</v>
      </c>
      <c r="G35">
        <v>2.9</v>
      </c>
      <c r="H35">
        <f t="shared" si="0"/>
        <v>1.1950500000000002</v>
      </c>
      <c r="I35">
        <f t="shared" si="1"/>
        <v>1.4905999999999999</v>
      </c>
    </row>
    <row r="36" spans="1:9">
      <c r="A36" t="s">
        <v>180</v>
      </c>
      <c r="B36" t="s">
        <v>145</v>
      </c>
      <c r="C36" t="s">
        <v>150</v>
      </c>
      <c r="D36" t="s">
        <v>151</v>
      </c>
      <c r="E36">
        <v>4</v>
      </c>
      <c r="F36">
        <v>2.2249999999999996</v>
      </c>
      <c r="G36">
        <v>2.6</v>
      </c>
      <c r="H36">
        <f t="shared" si="0"/>
        <v>1.1436499999999998</v>
      </c>
      <c r="I36">
        <f t="shared" si="1"/>
        <v>1.3364</v>
      </c>
    </row>
    <row r="37" spans="1:9">
      <c r="A37" t="s">
        <v>180</v>
      </c>
      <c r="B37" t="s">
        <v>145</v>
      </c>
      <c r="C37" t="s">
        <v>150</v>
      </c>
      <c r="D37" t="s">
        <v>151</v>
      </c>
      <c r="E37">
        <v>5</v>
      </c>
      <c r="F37">
        <v>1.9333333333333336</v>
      </c>
      <c r="G37">
        <v>2.2000000000000002</v>
      </c>
      <c r="H37">
        <f t="shared" si="0"/>
        <v>0.99373333333333347</v>
      </c>
      <c r="I37">
        <f t="shared" si="1"/>
        <v>1.1308</v>
      </c>
    </row>
    <row r="38" spans="1:9">
      <c r="A38" t="s">
        <v>180</v>
      </c>
      <c r="B38" t="s">
        <v>145</v>
      </c>
      <c r="C38" t="s">
        <v>150</v>
      </c>
      <c r="D38" t="s">
        <v>151</v>
      </c>
      <c r="E38">
        <v>6</v>
      </c>
      <c r="F38">
        <v>1.7999999999999998</v>
      </c>
      <c r="G38">
        <v>2.2999999999999998</v>
      </c>
      <c r="H38">
        <f t="shared" si="0"/>
        <v>0.92519999999999991</v>
      </c>
      <c r="I38">
        <f t="shared" si="1"/>
        <v>1.1821999999999999</v>
      </c>
    </row>
    <row r="39" spans="1:9">
      <c r="A39" t="s">
        <v>180</v>
      </c>
      <c r="B39" t="s">
        <v>145</v>
      </c>
      <c r="C39" t="s">
        <v>150</v>
      </c>
      <c r="D39" t="s">
        <v>151</v>
      </c>
      <c r="E39">
        <v>7</v>
      </c>
      <c r="F39">
        <v>1.625</v>
      </c>
      <c r="G39">
        <v>2.2999999999999998</v>
      </c>
      <c r="H39">
        <f t="shared" si="0"/>
        <v>0.83525000000000005</v>
      </c>
      <c r="I39">
        <f t="shared" si="1"/>
        <v>1.1821999999999999</v>
      </c>
    </row>
    <row r="40" spans="1:9">
      <c r="A40" t="s">
        <v>180</v>
      </c>
      <c r="B40" t="s">
        <v>145</v>
      </c>
      <c r="C40" t="s">
        <v>150</v>
      </c>
      <c r="D40" t="s">
        <v>151</v>
      </c>
      <c r="E40">
        <v>8</v>
      </c>
      <c r="F40">
        <v>1.4000000000000001</v>
      </c>
      <c r="G40">
        <v>2.2000000000000002</v>
      </c>
      <c r="H40">
        <f t="shared" si="0"/>
        <v>0.71960000000000013</v>
      </c>
      <c r="I40">
        <f t="shared" si="1"/>
        <v>1.1308</v>
      </c>
    </row>
    <row r="41" spans="1:9">
      <c r="A41" t="s">
        <v>180</v>
      </c>
      <c r="B41" t="s">
        <v>145</v>
      </c>
      <c r="C41" t="s">
        <v>150</v>
      </c>
      <c r="D41" t="s">
        <v>151</v>
      </c>
      <c r="E41">
        <v>9</v>
      </c>
      <c r="F41">
        <v>1.2500000000000002</v>
      </c>
      <c r="G41">
        <v>2.2000000000000002</v>
      </c>
      <c r="H41">
        <f t="shared" si="0"/>
        <v>0.64250000000000018</v>
      </c>
      <c r="I41">
        <f t="shared" si="1"/>
        <v>1.1308</v>
      </c>
    </row>
    <row r="42" spans="1:9">
      <c r="A42" t="s">
        <v>180</v>
      </c>
      <c r="B42" t="s">
        <v>145</v>
      </c>
      <c r="C42" t="s">
        <v>150</v>
      </c>
      <c r="D42" t="s">
        <v>151</v>
      </c>
      <c r="E42">
        <v>10</v>
      </c>
      <c r="F42">
        <v>1.125</v>
      </c>
      <c r="G42">
        <v>2.1</v>
      </c>
      <c r="H42">
        <f t="shared" si="0"/>
        <v>0.57825000000000004</v>
      </c>
      <c r="I42">
        <f t="shared" si="1"/>
        <v>1.0794000000000001</v>
      </c>
    </row>
    <row r="43" spans="1:9">
      <c r="A43" t="s">
        <v>180</v>
      </c>
      <c r="B43" t="s">
        <v>145</v>
      </c>
      <c r="C43" t="s">
        <v>150</v>
      </c>
      <c r="D43" t="s">
        <v>151</v>
      </c>
      <c r="E43">
        <v>11</v>
      </c>
      <c r="F43">
        <v>1.175</v>
      </c>
      <c r="G43">
        <v>2.1</v>
      </c>
      <c r="H43">
        <f t="shared" si="0"/>
        <v>0.60394999999999999</v>
      </c>
      <c r="I43">
        <f t="shared" si="1"/>
        <v>1.0794000000000001</v>
      </c>
    </row>
    <row r="44" spans="1:9">
      <c r="A44" t="s">
        <v>180</v>
      </c>
      <c r="B44" t="s">
        <v>145</v>
      </c>
      <c r="C44" t="s">
        <v>150</v>
      </c>
      <c r="D44" t="s">
        <v>151</v>
      </c>
      <c r="E44">
        <v>12</v>
      </c>
      <c r="F44">
        <v>1.25</v>
      </c>
      <c r="G44">
        <v>2.1</v>
      </c>
      <c r="H44">
        <f t="shared" si="0"/>
        <v>0.64250000000000007</v>
      </c>
      <c r="I44">
        <f t="shared" si="1"/>
        <v>1.0794000000000001</v>
      </c>
    </row>
    <row r="45" spans="1:9">
      <c r="A45" t="s">
        <v>180</v>
      </c>
      <c r="B45" t="s">
        <v>145</v>
      </c>
      <c r="C45" t="s">
        <v>150</v>
      </c>
      <c r="D45" t="s">
        <v>151</v>
      </c>
      <c r="E45">
        <v>13</v>
      </c>
      <c r="F45">
        <v>1.7666666666666666</v>
      </c>
      <c r="G45">
        <v>2.2000000000000002</v>
      </c>
      <c r="H45">
        <f t="shared" si="0"/>
        <v>0.90806666666666669</v>
      </c>
      <c r="I45">
        <f t="shared" si="1"/>
        <v>1.1308</v>
      </c>
    </row>
    <row r="46" spans="1:9">
      <c r="A46" t="s">
        <v>180</v>
      </c>
      <c r="B46" t="s">
        <v>145</v>
      </c>
      <c r="C46" t="s">
        <v>150</v>
      </c>
      <c r="D46" t="s">
        <v>151</v>
      </c>
      <c r="E46">
        <v>14</v>
      </c>
      <c r="F46">
        <v>1.5499999999999998</v>
      </c>
      <c r="G46">
        <v>2.2999999999999998</v>
      </c>
      <c r="H46">
        <f t="shared" si="0"/>
        <v>0.79669999999999996</v>
      </c>
      <c r="I46">
        <f t="shared" si="1"/>
        <v>1.1821999999999999</v>
      </c>
    </row>
    <row r="47" spans="1:9">
      <c r="A47" t="s">
        <v>180</v>
      </c>
      <c r="B47" t="s">
        <v>145</v>
      </c>
      <c r="C47" t="s">
        <v>150</v>
      </c>
      <c r="D47" t="s">
        <v>151</v>
      </c>
      <c r="E47">
        <v>15</v>
      </c>
      <c r="F47">
        <v>1.7249999999999999</v>
      </c>
      <c r="G47">
        <v>2.4</v>
      </c>
      <c r="H47">
        <f t="shared" si="0"/>
        <v>0.88664999999999994</v>
      </c>
      <c r="I47">
        <f t="shared" si="1"/>
        <v>1.2336</v>
      </c>
    </row>
    <row r="48" spans="1:9">
      <c r="A48" t="s">
        <v>180</v>
      </c>
      <c r="B48" t="s">
        <v>145</v>
      </c>
      <c r="C48" t="s">
        <v>150</v>
      </c>
      <c r="D48" t="s">
        <v>151</v>
      </c>
      <c r="E48">
        <v>16</v>
      </c>
      <c r="F48">
        <v>1.8749999999999998</v>
      </c>
      <c r="G48">
        <v>2.5</v>
      </c>
      <c r="H48">
        <f t="shared" si="0"/>
        <v>0.96374999999999988</v>
      </c>
      <c r="I48">
        <f t="shared" si="1"/>
        <v>1.2850000000000001</v>
      </c>
    </row>
    <row r="49" spans="1:9">
      <c r="A49" t="s">
        <v>180</v>
      </c>
      <c r="B49" t="s">
        <v>145</v>
      </c>
      <c r="C49" t="s">
        <v>150</v>
      </c>
      <c r="D49" t="s">
        <v>151</v>
      </c>
      <c r="E49">
        <v>17</v>
      </c>
      <c r="F49">
        <v>2.0499999999999998</v>
      </c>
      <c r="G49">
        <v>2.6</v>
      </c>
      <c r="H49">
        <f t="shared" si="0"/>
        <v>1.0536999999999999</v>
      </c>
      <c r="I49">
        <f t="shared" si="1"/>
        <v>1.3364</v>
      </c>
    </row>
    <row r="50" spans="1:9">
      <c r="A50" t="s">
        <v>180</v>
      </c>
      <c r="B50" t="s">
        <v>145</v>
      </c>
      <c r="C50" t="s">
        <v>150</v>
      </c>
      <c r="D50" t="s">
        <v>151</v>
      </c>
      <c r="E50">
        <v>18</v>
      </c>
      <c r="F50">
        <v>2.15</v>
      </c>
      <c r="G50">
        <v>2.5</v>
      </c>
      <c r="H50">
        <f t="shared" si="0"/>
        <v>1.1051</v>
      </c>
      <c r="I50">
        <f t="shared" si="1"/>
        <v>1.2850000000000001</v>
      </c>
    </row>
    <row r="51" spans="1:9">
      <c r="A51" t="s">
        <v>180</v>
      </c>
      <c r="B51" t="s">
        <v>145</v>
      </c>
      <c r="C51" t="s">
        <v>150</v>
      </c>
      <c r="D51" t="s">
        <v>151</v>
      </c>
      <c r="E51">
        <v>19</v>
      </c>
      <c r="F51">
        <v>2.1749999999999998</v>
      </c>
      <c r="G51">
        <v>2.5</v>
      </c>
      <c r="H51">
        <f t="shared" si="0"/>
        <v>1.11795</v>
      </c>
      <c r="I51">
        <f t="shared" si="1"/>
        <v>1.2850000000000001</v>
      </c>
    </row>
    <row r="52" spans="1:9">
      <c r="A52" t="s">
        <v>180</v>
      </c>
      <c r="B52" t="s">
        <v>145</v>
      </c>
      <c r="C52" t="s">
        <v>150</v>
      </c>
      <c r="D52" t="s">
        <v>151</v>
      </c>
      <c r="E52">
        <v>20</v>
      </c>
      <c r="F52">
        <v>2.15</v>
      </c>
      <c r="G52">
        <v>2.6</v>
      </c>
      <c r="H52">
        <f t="shared" si="0"/>
        <v>1.1051</v>
      </c>
      <c r="I52">
        <f t="shared" si="1"/>
        <v>1.3364</v>
      </c>
    </row>
    <row r="53" spans="1:9">
      <c r="A53" t="s">
        <v>180</v>
      </c>
      <c r="B53" t="s">
        <v>145</v>
      </c>
      <c r="C53" t="s">
        <v>150</v>
      </c>
      <c r="D53" t="s">
        <v>151</v>
      </c>
      <c r="E53">
        <v>21</v>
      </c>
      <c r="F53">
        <v>1.9333333333333333</v>
      </c>
      <c r="G53">
        <v>2</v>
      </c>
      <c r="H53">
        <f t="shared" si="0"/>
        <v>0.99373333333333336</v>
      </c>
      <c r="I53">
        <f t="shared" si="1"/>
        <v>1.028</v>
      </c>
    </row>
    <row r="54" spans="1:9">
      <c r="A54" t="s">
        <v>180</v>
      </c>
      <c r="B54" t="s">
        <v>145</v>
      </c>
      <c r="C54" t="s">
        <v>150</v>
      </c>
      <c r="D54" t="s">
        <v>151</v>
      </c>
      <c r="E54">
        <v>22</v>
      </c>
      <c r="F54">
        <v>1.95</v>
      </c>
      <c r="G54">
        <v>2.7</v>
      </c>
      <c r="H54">
        <f t="shared" si="0"/>
        <v>1.0023</v>
      </c>
      <c r="I54">
        <f t="shared" si="1"/>
        <v>1.3878000000000001</v>
      </c>
    </row>
    <row r="55" spans="1:9">
      <c r="A55" t="s">
        <v>180</v>
      </c>
      <c r="B55" t="s">
        <v>145</v>
      </c>
      <c r="C55" t="s">
        <v>150</v>
      </c>
      <c r="D55" t="s">
        <v>151</v>
      </c>
      <c r="E55">
        <v>23</v>
      </c>
      <c r="F55">
        <v>1.8</v>
      </c>
      <c r="G55">
        <v>2.7</v>
      </c>
      <c r="H55">
        <f t="shared" si="0"/>
        <v>0.92520000000000002</v>
      </c>
      <c r="I55">
        <f t="shared" si="1"/>
        <v>1.3878000000000001</v>
      </c>
    </row>
    <row r="56" spans="1:9">
      <c r="A56" t="s">
        <v>180</v>
      </c>
      <c r="B56" t="s">
        <v>145</v>
      </c>
      <c r="C56" t="s">
        <v>150</v>
      </c>
      <c r="D56" t="s">
        <v>151</v>
      </c>
      <c r="E56">
        <v>24</v>
      </c>
      <c r="F56">
        <v>1.6500000000000001</v>
      </c>
      <c r="G56">
        <v>2.6</v>
      </c>
      <c r="H56">
        <f t="shared" si="0"/>
        <v>0.84810000000000008</v>
      </c>
      <c r="I56">
        <f t="shared" si="1"/>
        <v>1.3364</v>
      </c>
    </row>
    <row r="57" spans="1:9">
      <c r="A57" t="s">
        <v>180</v>
      </c>
      <c r="B57" t="s">
        <v>145</v>
      </c>
      <c r="C57" t="s">
        <v>150</v>
      </c>
      <c r="D57" t="s">
        <v>151</v>
      </c>
      <c r="E57">
        <v>25</v>
      </c>
      <c r="F57">
        <v>1.5999999999999999</v>
      </c>
      <c r="G57">
        <v>2.6</v>
      </c>
      <c r="H57">
        <f t="shared" si="0"/>
        <v>0.82239999999999991</v>
      </c>
      <c r="I57">
        <f t="shared" si="1"/>
        <v>1.3364</v>
      </c>
    </row>
    <row r="58" spans="1:9">
      <c r="A58" t="s">
        <v>180</v>
      </c>
      <c r="B58" t="s">
        <v>145</v>
      </c>
      <c r="C58" t="s">
        <v>150</v>
      </c>
      <c r="D58" t="s">
        <v>151</v>
      </c>
      <c r="E58">
        <v>26</v>
      </c>
      <c r="F58">
        <v>1.65</v>
      </c>
      <c r="G58">
        <v>2.6</v>
      </c>
      <c r="H58">
        <f t="shared" si="0"/>
        <v>0.84809999999999997</v>
      </c>
      <c r="I58">
        <f t="shared" si="1"/>
        <v>1.3364</v>
      </c>
    </row>
    <row r="59" spans="1:9">
      <c r="A59" t="s">
        <v>180</v>
      </c>
      <c r="B59" t="s">
        <v>145</v>
      </c>
      <c r="C59" t="s">
        <v>150</v>
      </c>
      <c r="D59" t="s">
        <v>151</v>
      </c>
      <c r="E59">
        <v>27</v>
      </c>
      <c r="F59">
        <v>2.1333333333333333</v>
      </c>
      <c r="G59">
        <v>2.6</v>
      </c>
      <c r="H59">
        <f t="shared" si="0"/>
        <v>1.0965333333333334</v>
      </c>
      <c r="I59">
        <f t="shared" si="1"/>
        <v>1.3364</v>
      </c>
    </row>
    <row r="60" spans="1:9">
      <c r="A60" t="s">
        <v>180</v>
      </c>
      <c r="B60" t="s">
        <v>145</v>
      </c>
      <c r="C60" t="s">
        <v>150</v>
      </c>
      <c r="D60" t="s">
        <v>151</v>
      </c>
      <c r="E60">
        <v>28</v>
      </c>
      <c r="F60">
        <v>1.925</v>
      </c>
      <c r="G60">
        <v>2.6</v>
      </c>
      <c r="H60">
        <f t="shared" si="0"/>
        <v>0.98945000000000005</v>
      </c>
      <c r="I60">
        <f t="shared" si="1"/>
        <v>1.3364</v>
      </c>
    </row>
    <row r="61" spans="1:9">
      <c r="A61" t="s">
        <v>180</v>
      </c>
      <c r="B61" t="s">
        <v>145</v>
      </c>
      <c r="C61" t="s">
        <v>150</v>
      </c>
      <c r="D61" t="s">
        <v>151</v>
      </c>
      <c r="E61">
        <v>29</v>
      </c>
      <c r="F61">
        <v>2.0750000000000002</v>
      </c>
      <c r="G61">
        <v>2.6</v>
      </c>
      <c r="H61">
        <f t="shared" si="0"/>
        <v>1.0665500000000001</v>
      </c>
      <c r="I61">
        <f t="shared" si="1"/>
        <v>1.3364</v>
      </c>
    </row>
    <row r="62" spans="1:9">
      <c r="A62" t="s">
        <v>180</v>
      </c>
      <c r="B62" t="s">
        <v>145</v>
      </c>
      <c r="C62" t="s">
        <v>150</v>
      </c>
      <c r="D62" t="s">
        <v>151</v>
      </c>
      <c r="E62">
        <v>30</v>
      </c>
      <c r="F62">
        <v>2.1749999999999998</v>
      </c>
      <c r="G62">
        <v>2.6</v>
      </c>
      <c r="H62">
        <f t="shared" si="0"/>
        <v>1.11795</v>
      </c>
      <c r="I62">
        <f t="shared" si="1"/>
        <v>1.3364</v>
      </c>
    </row>
    <row r="63" spans="1:9">
      <c r="A63" t="s">
        <v>180</v>
      </c>
      <c r="B63" t="s">
        <v>145</v>
      </c>
      <c r="C63" t="s">
        <v>150</v>
      </c>
      <c r="D63" t="s">
        <v>151</v>
      </c>
      <c r="E63">
        <v>31</v>
      </c>
      <c r="F63">
        <v>2.2749999999999999</v>
      </c>
      <c r="G63">
        <v>2.6</v>
      </c>
      <c r="H63">
        <f t="shared" si="0"/>
        <v>1.1693499999999999</v>
      </c>
      <c r="I63">
        <f t="shared" si="1"/>
        <v>1.3364</v>
      </c>
    </row>
    <row r="64" spans="1:9">
      <c r="A64" t="s">
        <v>181</v>
      </c>
      <c r="B64" t="s">
        <v>146</v>
      </c>
      <c r="C64" t="s">
        <v>150</v>
      </c>
      <c r="D64" t="s">
        <v>151</v>
      </c>
      <c r="E64">
        <v>1</v>
      </c>
      <c r="F64">
        <v>1.7749999999999999</v>
      </c>
      <c r="G64">
        <v>2.5</v>
      </c>
      <c r="H64">
        <f t="shared" si="0"/>
        <v>0.91234999999999999</v>
      </c>
      <c r="I64">
        <f t="shared" si="1"/>
        <v>1.2850000000000001</v>
      </c>
    </row>
    <row r="65" spans="1:9">
      <c r="A65" t="s">
        <v>181</v>
      </c>
      <c r="B65" t="s">
        <v>146</v>
      </c>
      <c r="C65" t="s">
        <v>150</v>
      </c>
      <c r="D65" t="s">
        <v>151</v>
      </c>
      <c r="E65">
        <v>2</v>
      </c>
      <c r="F65">
        <v>1.7999999999999998</v>
      </c>
      <c r="G65">
        <v>2.4</v>
      </c>
      <c r="H65">
        <f t="shared" si="0"/>
        <v>0.92519999999999991</v>
      </c>
      <c r="I65">
        <f t="shared" si="1"/>
        <v>1.2336</v>
      </c>
    </row>
    <row r="66" spans="1:9">
      <c r="A66" t="s">
        <v>181</v>
      </c>
      <c r="B66" t="s">
        <v>146</v>
      </c>
      <c r="C66" t="s">
        <v>150</v>
      </c>
      <c r="D66" t="s">
        <v>151</v>
      </c>
      <c r="E66">
        <v>3</v>
      </c>
      <c r="F66">
        <v>1.7750000000000001</v>
      </c>
      <c r="G66">
        <v>2.2999999999999998</v>
      </c>
      <c r="H66">
        <f t="shared" si="0"/>
        <v>0.91235000000000011</v>
      </c>
      <c r="I66">
        <f t="shared" si="1"/>
        <v>1.1821999999999999</v>
      </c>
    </row>
    <row r="67" spans="1:9">
      <c r="A67" t="s">
        <v>181</v>
      </c>
      <c r="B67" t="s">
        <v>146</v>
      </c>
      <c r="C67" t="s">
        <v>150</v>
      </c>
      <c r="D67" t="s">
        <v>151</v>
      </c>
      <c r="E67">
        <v>4</v>
      </c>
      <c r="F67">
        <v>1.7</v>
      </c>
      <c r="G67">
        <v>2.1</v>
      </c>
      <c r="H67">
        <f t="shared" ref="H67:H130" si="2">F67*0.514</f>
        <v>0.87380000000000002</v>
      </c>
      <c r="I67">
        <f t="shared" ref="I67:I130" si="3">G67*0.514</f>
        <v>1.0794000000000001</v>
      </c>
    </row>
    <row r="68" spans="1:9">
      <c r="A68" t="s">
        <v>181</v>
      </c>
      <c r="B68" t="s">
        <v>146</v>
      </c>
      <c r="C68" t="s">
        <v>150</v>
      </c>
      <c r="D68" t="s">
        <v>151</v>
      </c>
      <c r="E68">
        <v>5</v>
      </c>
      <c r="F68">
        <v>1.575</v>
      </c>
      <c r="G68">
        <v>1.8</v>
      </c>
      <c r="H68">
        <f t="shared" si="2"/>
        <v>0.80954999999999999</v>
      </c>
      <c r="I68">
        <f t="shared" si="3"/>
        <v>0.92520000000000002</v>
      </c>
    </row>
    <row r="69" spans="1:9">
      <c r="A69" t="s">
        <v>181</v>
      </c>
      <c r="B69" t="s">
        <v>146</v>
      </c>
      <c r="C69" t="s">
        <v>150</v>
      </c>
      <c r="D69" t="s">
        <v>151</v>
      </c>
      <c r="E69">
        <v>6</v>
      </c>
      <c r="F69">
        <v>1.375</v>
      </c>
      <c r="G69">
        <v>1.7</v>
      </c>
      <c r="H69">
        <f t="shared" si="2"/>
        <v>0.70674999999999999</v>
      </c>
      <c r="I69">
        <f t="shared" si="3"/>
        <v>0.87380000000000002</v>
      </c>
    </row>
    <row r="70" spans="1:9">
      <c r="A70" t="s">
        <v>181</v>
      </c>
      <c r="B70" t="s">
        <v>146</v>
      </c>
      <c r="C70" t="s">
        <v>150</v>
      </c>
      <c r="D70" t="s">
        <v>151</v>
      </c>
      <c r="E70">
        <v>7</v>
      </c>
      <c r="F70">
        <v>1.2250000000000001</v>
      </c>
      <c r="G70">
        <v>1.7</v>
      </c>
      <c r="H70">
        <f t="shared" si="2"/>
        <v>0.62965000000000004</v>
      </c>
      <c r="I70">
        <f t="shared" si="3"/>
        <v>0.87380000000000002</v>
      </c>
    </row>
    <row r="71" spans="1:9">
      <c r="A71" t="s">
        <v>181</v>
      </c>
      <c r="B71" t="s">
        <v>146</v>
      </c>
      <c r="C71" t="s">
        <v>150</v>
      </c>
      <c r="D71" t="s">
        <v>151</v>
      </c>
      <c r="E71">
        <v>8</v>
      </c>
      <c r="F71">
        <v>1.1000000000000001</v>
      </c>
      <c r="G71">
        <v>1.7</v>
      </c>
      <c r="H71">
        <f t="shared" si="2"/>
        <v>0.56540000000000001</v>
      </c>
      <c r="I71">
        <f t="shared" si="3"/>
        <v>0.87380000000000002</v>
      </c>
    </row>
    <row r="72" spans="1:9">
      <c r="A72" t="s">
        <v>181</v>
      </c>
      <c r="B72" t="s">
        <v>146</v>
      </c>
      <c r="C72" t="s">
        <v>150</v>
      </c>
      <c r="D72" t="s">
        <v>151</v>
      </c>
      <c r="E72">
        <v>9</v>
      </c>
      <c r="F72">
        <v>0.95000000000000007</v>
      </c>
      <c r="G72">
        <v>1.6</v>
      </c>
      <c r="H72">
        <f t="shared" si="2"/>
        <v>0.48830000000000007</v>
      </c>
      <c r="I72">
        <f t="shared" si="3"/>
        <v>0.82240000000000002</v>
      </c>
    </row>
    <row r="73" spans="1:9">
      <c r="A73" t="s">
        <v>181</v>
      </c>
      <c r="B73" t="s">
        <v>146</v>
      </c>
      <c r="C73" t="s">
        <v>150</v>
      </c>
      <c r="D73" t="s">
        <v>151</v>
      </c>
      <c r="E73">
        <v>10</v>
      </c>
      <c r="F73">
        <v>0.875</v>
      </c>
      <c r="G73">
        <v>1.6</v>
      </c>
      <c r="H73">
        <f t="shared" si="2"/>
        <v>0.44974999999999998</v>
      </c>
      <c r="I73">
        <f t="shared" si="3"/>
        <v>0.82240000000000002</v>
      </c>
    </row>
    <row r="74" spans="1:9">
      <c r="A74" t="s">
        <v>181</v>
      </c>
      <c r="B74" t="s">
        <v>146</v>
      </c>
      <c r="C74" t="s">
        <v>150</v>
      </c>
      <c r="D74" t="s">
        <v>151</v>
      </c>
      <c r="E74">
        <v>11</v>
      </c>
      <c r="F74">
        <v>0.90000000000000013</v>
      </c>
      <c r="G74">
        <v>1.6</v>
      </c>
      <c r="H74">
        <f t="shared" si="2"/>
        <v>0.46260000000000007</v>
      </c>
      <c r="I74">
        <f t="shared" si="3"/>
        <v>0.82240000000000002</v>
      </c>
    </row>
    <row r="75" spans="1:9">
      <c r="A75" t="s">
        <v>181</v>
      </c>
      <c r="B75" t="s">
        <v>146</v>
      </c>
      <c r="C75" t="s">
        <v>150</v>
      </c>
      <c r="D75" t="s">
        <v>151</v>
      </c>
      <c r="E75">
        <v>12</v>
      </c>
      <c r="F75">
        <v>1.2333333333333334</v>
      </c>
      <c r="G75">
        <v>1.6</v>
      </c>
      <c r="H75">
        <f t="shared" si="2"/>
        <v>0.63393333333333335</v>
      </c>
      <c r="I75">
        <f t="shared" si="3"/>
        <v>0.82240000000000002</v>
      </c>
    </row>
    <row r="76" spans="1:9">
      <c r="A76" t="s">
        <v>181</v>
      </c>
      <c r="B76" t="s">
        <v>146</v>
      </c>
      <c r="C76" t="s">
        <v>150</v>
      </c>
      <c r="D76" t="s">
        <v>151</v>
      </c>
      <c r="E76">
        <v>13</v>
      </c>
      <c r="F76">
        <v>1.05</v>
      </c>
      <c r="G76">
        <v>1.6</v>
      </c>
      <c r="H76">
        <f t="shared" si="2"/>
        <v>0.53970000000000007</v>
      </c>
      <c r="I76">
        <f t="shared" si="3"/>
        <v>0.82240000000000002</v>
      </c>
    </row>
    <row r="77" spans="1:9">
      <c r="A77" t="s">
        <v>181</v>
      </c>
      <c r="B77" t="s">
        <v>146</v>
      </c>
      <c r="C77" t="s">
        <v>150</v>
      </c>
      <c r="D77" t="s">
        <v>151</v>
      </c>
      <c r="E77">
        <v>14</v>
      </c>
      <c r="F77">
        <v>1.2000000000000002</v>
      </c>
      <c r="G77">
        <v>1.7</v>
      </c>
      <c r="H77">
        <f t="shared" si="2"/>
        <v>0.61680000000000013</v>
      </c>
      <c r="I77">
        <f t="shared" si="3"/>
        <v>0.87380000000000002</v>
      </c>
    </row>
    <row r="78" spans="1:9">
      <c r="A78" t="s">
        <v>181</v>
      </c>
      <c r="B78" t="s">
        <v>146</v>
      </c>
      <c r="C78" t="s">
        <v>150</v>
      </c>
      <c r="D78" t="s">
        <v>151</v>
      </c>
      <c r="E78">
        <v>15</v>
      </c>
      <c r="F78">
        <v>1.325</v>
      </c>
      <c r="G78">
        <v>1.8</v>
      </c>
      <c r="H78">
        <f t="shared" si="2"/>
        <v>0.68105000000000004</v>
      </c>
      <c r="I78">
        <f t="shared" si="3"/>
        <v>0.92520000000000002</v>
      </c>
    </row>
    <row r="79" spans="1:9">
      <c r="A79" t="s">
        <v>181</v>
      </c>
      <c r="B79" t="s">
        <v>146</v>
      </c>
      <c r="C79" t="s">
        <v>150</v>
      </c>
      <c r="D79" t="s">
        <v>151</v>
      </c>
      <c r="E79">
        <v>16</v>
      </c>
      <c r="F79">
        <v>1.4500000000000002</v>
      </c>
      <c r="G79">
        <v>1.9</v>
      </c>
      <c r="H79">
        <f t="shared" si="2"/>
        <v>0.74530000000000007</v>
      </c>
      <c r="I79">
        <f t="shared" si="3"/>
        <v>0.97660000000000002</v>
      </c>
    </row>
    <row r="80" spans="1:9">
      <c r="A80" t="s">
        <v>181</v>
      </c>
      <c r="B80" t="s">
        <v>146</v>
      </c>
      <c r="C80" t="s">
        <v>150</v>
      </c>
      <c r="D80" t="s">
        <v>151</v>
      </c>
      <c r="E80">
        <v>17</v>
      </c>
      <c r="F80">
        <v>1.5750000000000002</v>
      </c>
      <c r="G80">
        <v>2</v>
      </c>
      <c r="H80">
        <f t="shared" si="2"/>
        <v>0.8095500000000001</v>
      </c>
      <c r="I80">
        <f t="shared" si="3"/>
        <v>1.028</v>
      </c>
    </row>
    <row r="81" spans="1:9">
      <c r="A81" t="s">
        <v>181</v>
      </c>
      <c r="B81" t="s">
        <v>146</v>
      </c>
      <c r="C81" t="s">
        <v>150</v>
      </c>
      <c r="D81" t="s">
        <v>151</v>
      </c>
      <c r="E81">
        <v>18</v>
      </c>
      <c r="F81">
        <v>1.6500000000000001</v>
      </c>
      <c r="G81">
        <v>2</v>
      </c>
      <c r="H81">
        <f t="shared" si="2"/>
        <v>0.84810000000000008</v>
      </c>
      <c r="I81">
        <f t="shared" si="3"/>
        <v>1.028</v>
      </c>
    </row>
    <row r="82" spans="1:9">
      <c r="A82" t="s">
        <v>181</v>
      </c>
      <c r="B82" t="s">
        <v>146</v>
      </c>
      <c r="C82" t="s">
        <v>150</v>
      </c>
      <c r="D82" t="s">
        <v>151</v>
      </c>
      <c r="E82">
        <v>19</v>
      </c>
      <c r="F82">
        <v>1.6749999999999998</v>
      </c>
      <c r="G82">
        <v>1.9</v>
      </c>
      <c r="H82">
        <f t="shared" si="2"/>
        <v>0.86094999999999988</v>
      </c>
      <c r="I82">
        <f t="shared" si="3"/>
        <v>0.97660000000000002</v>
      </c>
    </row>
    <row r="83" spans="1:9">
      <c r="A83" t="s">
        <v>181</v>
      </c>
      <c r="B83" t="s">
        <v>146</v>
      </c>
      <c r="C83" t="s">
        <v>150</v>
      </c>
      <c r="D83" t="s">
        <v>151</v>
      </c>
      <c r="E83">
        <v>20</v>
      </c>
      <c r="F83">
        <v>1.5999999999999999</v>
      </c>
      <c r="G83">
        <v>1.7</v>
      </c>
      <c r="H83">
        <f t="shared" si="2"/>
        <v>0.82239999999999991</v>
      </c>
      <c r="I83">
        <f t="shared" si="3"/>
        <v>0.87380000000000002</v>
      </c>
    </row>
    <row r="84" spans="1:9">
      <c r="A84" t="s">
        <v>181</v>
      </c>
      <c r="B84" t="s">
        <v>146</v>
      </c>
      <c r="C84" t="s">
        <v>150</v>
      </c>
      <c r="D84" t="s">
        <v>151</v>
      </c>
      <c r="E84">
        <v>21</v>
      </c>
      <c r="F84">
        <v>1.625</v>
      </c>
      <c r="G84">
        <v>2</v>
      </c>
      <c r="H84">
        <f t="shared" si="2"/>
        <v>0.83525000000000005</v>
      </c>
      <c r="I84">
        <f t="shared" si="3"/>
        <v>1.028</v>
      </c>
    </row>
    <row r="85" spans="1:9">
      <c r="A85" t="s">
        <v>181</v>
      </c>
      <c r="B85" t="s">
        <v>146</v>
      </c>
      <c r="C85" t="s">
        <v>150</v>
      </c>
      <c r="D85" t="s">
        <v>151</v>
      </c>
      <c r="E85">
        <v>22</v>
      </c>
      <c r="F85">
        <v>1.5</v>
      </c>
      <c r="G85">
        <v>2</v>
      </c>
      <c r="H85">
        <f t="shared" si="2"/>
        <v>0.77100000000000002</v>
      </c>
      <c r="I85">
        <f t="shared" si="3"/>
        <v>1.028</v>
      </c>
    </row>
    <row r="86" spans="1:9">
      <c r="A86" t="s">
        <v>181</v>
      </c>
      <c r="B86" t="s">
        <v>146</v>
      </c>
      <c r="C86" t="s">
        <v>150</v>
      </c>
      <c r="D86" t="s">
        <v>151</v>
      </c>
      <c r="E86">
        <v>23</v>
      </c>
      <c r="F86">
        <v>1.4</v>
      </c>
      <c r="G86">
        <v>2</v>
      </c>
      <c r="H86">
        <f t="shared" si="2"/>
        <v>0.71960000000000002</v>
      </c>
      <c r="I86">
        <f t="shared" si="3"/>
        <v>1.028</v>
      </c>
    </row>
    <row r="87" spans="1:9">
      <c r="A87" t="s">
        <v>181</v>
      </c>
      <c r="B87" t="s">
        <v>146</v>
      </c>
      <c r="C87" t="s">
        <v>150</v>
      </c>
      <c r="D87" t="s">
        <v>151</v>
      </c>
      <c r="E87">
        <v>24</v>
      </c>
      <c r="F87">
        <v>1.2750000000000001</v>
      </c>
      <c r="G87">
        <v>2</v>
      </c>
      <c r="H87">
        <f t="shared" si="2"/>
        <v>0.6553500000000001</v>
      </c>
      <c r="I87">
        <f t="shared" si="3"/>
        <v>1.028</v>
      </c>
    </row>
    <row r="88" spans="1:9">
      <c r="A88" t="s">
        <v>181</v>
      </c>
      <c r="B88" t="s">
        <v>146</v>
      </c>
      <c r="C88" t="s">
        <v>150</v>
      </c>
      <c r="D88" t="s">
        <v>151</v>
      </c>
      <c r="E88">
        <v>25</v>
      </c>
      <c r="F88">
        <v>1.2250000000000001</v>
      </c>
      <c r="G88">
        <v>1.9</v>
      </c>
      <c r="H88">
        <f t="shared" si="2"/>
        <v>0.62965000000000004</v>
      </c>
      <c r="I88">
        <f t="shared" si="3"/>
        <v>0.97660000000000002</v>
      </c>
    </row>
    <row r="89" spans="1:9">
      <c r="A89" t="s">
        <v>181</v>
      </c>
      <c r="B89" t="s">
        <v>146</v>
      </c>
      <c r="C89" t="s">
        <v>150</v>
      </c>
      <c r="D89" t="s">
        <v>151</v>
      </c>
      <c r="E89">
        <v>26</v>
      </c>
      <c r="F89">
        <v>1.2749999999999999</v>
      </c>
      <c r="G89">
        <v>1.9</v>
      </c>
      <c r="H89">
        <f t="shared" si="2"/>
        <v>0.65534999999999999</v>
      </c>
      <c r="I89">
        <f t="shared" si="3"/>
        <v>0.97660000000000002</v>
      </c>
    </row>
    <row r="90" spans="1:9">
      <c r="A90" t="s">
        <v>181</v>
      </c>
      <c r="B90" t="s">
        <v>146</v>
      </c>
      <c r="C90" t="s">
        <v>150</v>
      </c>
      <c r="D90" t="s">
        <v>151</v>
      </c>
      <c r="E90">
        <v>27</v>
      </c>
      <c r="F90">
        <v>1.6000000000000003</v>
      </c>
      <c r="G90">
        <v>1.9</v>
      </c>
      <c r="H90">
        <f t="shared" si="2"/>
        <v>0.82240000000000013</v>
      </c>
      <c r="I90">
        <f t="shared" si="3"/>
        <v>0.97660000000000002</v>
      </c>
    </row>
    <row r="91" spans="1:9">
      <c r="A91" t="s">
        <v>181</v>
      </c>
      <c r="B91" t="s">
        <v>146</v>
      </c>
      <c r="C91" t="s">
        <v>150</v>
      </c>
      <c r="D91" t="s">
        <v>151</v>
      </c>
      <c r="E91">
        <v>28</v>
      </c>
      <c r="F91">
        <v>1.5</v>
      </c>
      <c r="G91">
        <v>2</v>
      </c>
      <c r="H91">
        <f t="shared" si="2"/>
        <v>0.77100000000000002</v>
      </c>
      <c r="I91">
        <f t="shared" si="3"/>
        <v>1.028</v>
      </c>
    </row>
    <row r="92" spans="1:9">
      <c r="A92" t="s">
        <v>181</v>
      </c>
      <c r="B92" t="s">
        <v>146</v>
      </c>
      <c r="C92" t="s">
        <v>150</v>
      </c>
      <c r="D92" t="s">
        <v>151</v>
      </c>
      <c r="E92">
        <v>29</v>
      </c>
      <c r="F92">
        <v>1.625</v>
      </c>
      <c r="G92">
        <v>2.1</v>
      </c>
      <c r="H92">
        <f t="shared" si="2"/>
        <v>0.83525000000000005</v>
      </c>
      <c r="I92">
        <f t="shared" si="3"/>
        <v>1.0794000000000001</v>
      </c>
    </row>
    <row r="93" spans="1:9">
      <c r="A93" t="s">
        <v>181</v>
      </c>
      <c r="B93" t="s">
        <v>146</v>
      </c>
      <c r="C93" t="s">
        <v>150</v>
      </c>
      <c r="D93" t="s">
        <v>151</v>
      </c>
      <c r="E93">
        <v>30</v>
      </c>
      <c r="F93">
        <v>1.7</v>
      </c>
      <c r="G93">
        <v>2.1</v>
      </c>
      <c r="H93">
        <f t="shared" si="2"/>
        <v>0.87380000000000002</v>
      </c>
      <c r="I93">
        <f t="shared" si="3"/>
        <v>1.0794000000000001</v>
      </c>
    </row>
    <row r="94" spans="1:9">
      <c r="A94" t="s">
        <v>181</v>
      </c>
      <c r="B94" t="s">
        <v>146</v>
      </c>
      <c r="C94" t="s">
        <v>150</v>
      </c>
      <c r="D94" t="s">
        <v>151</v>
      </c>
      <c r="E94">
        <v>31</v>
      </c>
      <c r="F94">
        <v>1.75</v>
      </c>
      <c r="G94">
        <v>2</v>
      </c>
      <c r="H94">
        <f t="shared" si="2"/>
        <v>0.89949999999999997</v>
      </c>
      <c r="I94">
        <f t="shared" si="3"/>
        <v>1.028</v>
      </c>
    </row>
    <row r="95" spans="1:9">
      <c r="A95" t="s">
        <v>182</v>
      </c>
      <c r="B95" t="s">
        <v>147</v>
      </c>
      <c r="C95" t="s">
        <v>150</v>
      </c>
      <c r="D95" t="s">
        <v>138</v>
      </c>
      <c r="E95">
        <v>1</v>
      </c>
      <c r="F95">
        <v>2</v>
      </c>
      <c r="G95">
        <v>3.5</v>
      </c>
      <c r="H95">
        <f t="shared" si="2"/>
        <v>1.028</v>
      </c>
      <c r="I95">
        <f t="shared" si="3"/>
        <v>1.7989999999999999</v>
      </c>
    </row>
    <row r="96" spans="1:9">
      <c r="A96" t="s">
        <v>182</v>
      </c>
      <c r="B96" t="s">
        <v>147</v>
      </c>
      <c r="C96" t="s">
        <v>150</v>
      </c>
      <c r="D96" t="s">
        <v>138</v>
      </c>
      <c r="E96">
        <v>2</v>
      </c>
      <c r="F96">
        <v>2</v>
      </c>
      <c r="G96">
        <v>3.4</v>
      </c>
      <c r="H96">
        <f t="shared" si="2"/>
        <v>1.028</v>
      </c>
      <c r="I96">
        <f t="shared" si="3"/>
        <v>1.7476</v>
      </c>
    </row>
    <row r="97" spans="1:9">
      <c r="A97" t="s">
        <v>182</v>
      </c>
      <c r="B97" t="s">
        <v>147</v>
      </c>
      <c r="C97" t="s">
        <v>150</v>
      </c>
      <c r="D97" t="s">
        <v>138</v>
      </c>
      <c r="E97">
        <v>3</v>
      </c>
      <c r="F97">
        <v>1.9000000000000001</v>
      </c>
      <c r="G97">
        <v>3.1</v>
      </c>
      <c r="H97">
        <f t="shared" si="2"/>
        <v>0.97660000000000013</v>
      </c>
      <c r="I97">
        <f t="shared" si="3"/>
        <v>1.5934000000000001</v>
      </c>
    </row>
    <row r="98" spans="1:9">
      <c r="A98" t="s">
        <v>182</v>
      </c>
      <c r="B98" t="s">
        <v>147</v>
      </c>
      <c r="C98" t="s">
        <v>150</v>
      </c>
      <c r="D98" t="s">
        <v>138</v>
      </c>
      <c r="E98">
        <v>4</v>
      </c>
      <c r="F98">
        <v>1.8</v>
      </c>
      <c r="G98">
        <v>2.8</v>
      </c>
      <c r="H98">
        <f t="shared" si="2"/>
        <v>0.92520000000000002</v>
      </c>
      <c r="I98">
        <f t="shared" si="3"/>
        <v>1.4392</v>
      </c>
    </row>
    <row r="99" spans="1:9">
      <c r="A99" t="s">
        <v>182</v>
      </c>
      <c r="B99" t="s">
        <v>147</v>
      </c>
      <c r="C99" t="s">
        <v>150</v>
      </c>
      <c r="D99" t="s">
        <v>138</v>
      </c>
      <c r="E99">
        <v>5</v>
      </c>
      <c r="F99">
        <v>1.575</v>
      </c>
      <c r="G99">
        <v>2.5</v>
      </c>
      <c r="H99">
        <f t="shared" si="2"/>
        <v>0.80954999999999999</v>
      </c>
      <c r="I99">
        <f t="shared" si="3"/>
        <v>1.2850000000000001</v>
      </c>
    </row>
    <row r="100" spans="1:9">
      <c r="A100" t="s">
        <v>182</v>
      </c>
      <c r="B100" t="s">
        <v>147</v>
      </c>
      <c r="C100" t="s">
        <v>150</v>
      </c>
      <c r="D100" t="s">
        <v>138</v>
      </c>
      <c r="E100">
        <v>6</v>
      </c>
      <c r="F100">
        <v>1.0666666666666667</v>
      </c>
      <c r="G100">
        <v>1.8</v>
      </c>
      <c r="H100">
        <f t="shared" si="2"/>
        <v>0.54826666666666668</v>
      </c>
      <c r="I100">
        <f t="shared" si="3"/>
        <v>0.92520000000000002</v>
      </c>
    </row>
    <row r="101" spans="1:9">
      <c r="A101" t="s">
        <v>182</v>
      </c>
      <c r="B101" t="s">
        <v>147</v>
      </c>
      <c r="C101" t="s">
        <v>150</v>
      </c>
      <c r="D101" t="s">
        <v>138</v>
      </c>
      <c r="E101">
        <v>7</v>
      </c>
      <c r="F101">
        <v>1.25</v>
      </c>
      <c r="G101">
        <v>2.4</v>
      </c>
      <c r="H101">
        <f t="shared" si="2"/>
        <v>0.64250000000000007</v>
      </c>
      <c r="I101">
        <f t="shared" si="3"/>
        <v>1.2336</v>
      </c>
    </row>
    <row r="102" spans="1:9">
      <c r="A102" t="s">
        <v>182</v>
      </c>
      <c r="B102" t="s">
        <v>147</v>
      </c>
      <c r="C102" t="s">
        <v>150</v>
      </c>
      <c r="D102" t="s">
        <v>138</v>
      </c>
      <c r="E102">
        <v>8</v>
      </c>
      <c r="F102">
        <v>1.0750000000000002</v>
      </c>
      <c r="G102">
        <v>2.2000000000000002</v>
      </c>
      <c r="H102">
        <f t="shared" si="2"/>
        <v>0.5525500000000001</v>
      </c>
      <c r="I102">
        <f t="shared" si="3"/>
        <v>1.1308</v>
      </c>
    </row>
    <row r="103" spans="1:9">
      <c r="A103" t="s">
        <v>182</v>
      </c>
      <c r="B103" t="s">
        <v>147</v>
      </c>
      <c r="C103" t="s">
        <v>150</v>
      </c>
      <c r="D103" t="s">
        <v>138</v>
      </c>
      <c r="E103">
        <v>9</v>
      </c>
      <c r="F103">
        <v>1.0000000000000002</v>
      </c>
      <c r="G103">
        <v>2.2000000000000002</v>
      </c>
      <c r="H103">
        <f t="shared" si="2"/>
        <v>0.51400000000000012</v>
      </c>
      <c r="I103">
        <f t="shared" si="3"/>
        <v>1.1308</v>
      </c>
    </row>
    <row r="104" spans="1:9">
      <c r="A104" t="s">
        <v>182</v>
      </c>
      <c r="B104" t="s">
        <v>147</v>
      </c>
      <c r="C104" t="s">
        <v>150</v>
      </c>
      <c r="D104" t="s">
        <v>138</v>
      </c>
      <c r="E104">
        <v>10</v>
      </c>
      <c r="F104">
        <v>0.97500000000000009</v>
      </c>
      <c r="G104">
        <v>2.2000000000000002</v>
      </c>
      <c r="H104">
        <f t="shared" si="2"/>
        <v>0.5011500000000001</v>
      </c>
      <c r="I104">
        <f t="shared" si="3"/>
        <v>1.1308</v>
      </c>
    </row>
    <row r="105" spans="1:9">
      <c r="A105" t="s">
        <v>182</v>
      </c>
      <c r="B105" t="s">
        <v>147</v>
      </c>
      <c r="C105" t="s">
        <v>150</v>
      </c>
      <c r="D105" t="s">
        <v>138</v>
      </c>
      <c r="E105">
        <v>11</v>
      </c>
      <c r="F105">
        <v>1.0250000000000001</v>
      </c>
      <c r="G105">
        <v>2.2000000000000002</v>
      </c>
      <c r="H105">
        <f t="shared" si="2"/>
        <v>0.52685000000000004</v>
      </c>
      <c r="I105">
        <f t="shared" si="3"/>
        <v>1.1308</v>
      </c>
    </row>
    <row r="106" spans="1:9">
      <c r="A106" t="s">
        <v>182</v>
      </c>
      <c r="B106" t="s">
        <v>147</v>
      </c>
      <c r="C106" t="s">
        <v>150</v>
      </c>
      <c r="D106" t="s">
        <v>138</v>
      </c>
      <c r="E106">
        <v>12</v>
      </c>
      <c r="F106">
        <v>1.125</v>
      </c>
      <c r="G106">
        <v>2.2000000000000002</v>
      </c>
      <c r="H106">
        <f t="shared" si="2"/>
        <v>0.57825000000000004</v>
      </c>
      <c r="I106">
        <f t="shared" si="3"/>
        <v>1.1308</v>
      </c>
    </row>
    <row r="107" spans="1:9">
      <c r="A107" t="s">
        <v>182</v>
      </c>
      <c r="B107" t="s">
        <v>147</v>
      </c>
      <c r="C107" t="s">
        <v>150</v>
      </c>
      <c r="D107" t="s">
        <v>138</v>
      </c>
      <c r="E107">
        <v>13</v>
      </c>
      <c r="F107">
        <v>1.3250000000000002</v>
      </c>
      <c r="G107">
        <v>2.4</v>
      </c>
      <c r="H107">
        <f t="shared" si="2"/>
        <v>0.68105000000000016</v>
      </c>
      <c r="I107">
        <f t="shared" si="3"/>
        <v>1.2336</v>
      </c>
    </row>
    <row r="108" spans="1:9">
      <c r="A108" t="s">
        <v>182</v>
      </c>
      <c r="B108" t="s">
        <v>147</v>
      </c>
      <c r="C108" t="s">
        <v>150</v>
      </c>
      <c r="D108" t="s">
        <v>138</v>
      </c>
      <c r="E108">
        <v>14</v>
      </c>
      <c r="F108">
        <v>1.8333333333333333</v>
      </c>
      <c r="G108">
        <v>2.6</v>
      </c>
      <c r="H108">
        <f t="shared" si="2"/>
        <v>0.94233333333333336</v>
      </c>
      <c r="I108">
        <f t="shared" si="3"/>
        <v>1.3364</v>
      </c>
    </row>
    <row r="109" spans="1:9">
      <c r="A109" t="s">
        <v>182</v>
      </c>
      <c r="B109" t="s">
        <v>147</v>
      </c>
      <c r="C109" t="s">
        <v>150</v>
      </c>
      <c r="D109" t="s">
        <v>138</v>
      </c>
      <c r="E109">
        <v>15</v>
      </c>
      <c r="F109">
        <v>1.6</v>
      </c>
      <c r="G109">
        <v>2.8</v>
      </c>
      <c r="H109">
        <f t="shared" si="2"/>
        <v>0.82240000000000002</v>
      </c>
      <c r="I109">
        <f t="shared" si="3"/>
        <v>1.4392</v>
      </c>
    </row>
    <row r="110" spans="1:9">
      <c r="A110" t="s">
        <v>182</v>
      </c>
      <c r="B110" t="s">
        <v>147</v>
      </c>
      <c r="C110" t="s">
        <v>150</v>
      </c>
      <c r="D110" t="s">
        <v>138</v>
      </c>
      <c r="E110">
        <v>16</v>
      </c>
      <c r="F110">
        <v>1.7249999999999999</v>
      </c>
      <c r="G110">
        <v>2.9</v>
      </c>
      <c r="H110">
        <f t="shared" si="2"/>
        <v>0.88664999999999994</v>
      </c>
      <c r="I110">
        <f t="shared" si="3"/>
        <v>1.4905999999999999</v>
      </c>
    </row>
    <row r="111" spans="1:9">
      <c r="A111" t="s">
        <v>182</v>
      </c>
      <c r="B111" t="s">
        <v>147</v>
      </c>
      <c r="C111" t="s">
        <v>150</v>
      </c>
      <c r="D111" t="s">
        <v>138</v>
      </c>
      <c r="E111">
        <v>17</v>
      </c>
      <c r="F111">
        <v>1.85</v>
      </c>
      <c r="G111">
        <v>3</v>
      </c>
      <c r="H111">
        <f t="shared" si="2"/>
        <v>0.95090000000000008</v>
      </c>
      <c r="I111">
        <f t="shared" si="3"/>
        <v>1.542</v>
      </c>
    </row>
    <row r="112" spans="1:9">
      <c r="A112" t="s">
        <v>182</v>
      </c>
      <c r="B112" t="s">
        <v>147</v>
      </c>
      <c r="C112" t="s">
        <v>150</v>
      </c>
      <c r="D112" t="s">
        <v>138</v>
      </c>
      <c r="E112">
        <v>18</v>
      </c>
      <c r="F112">
        <v>1.9250000000000003</v>
      </c>
      <c r="G112">
        <v>3</v>
      </c>
      <c r="H112">
        <f t="shared" si="2"/>
        <v>0.98945000000000016</v>
      </c>
      <c r="I112">
        <f t="shared" si="3"/>
        <v>1.542</v>
      </c>
    </row>
    <row r="113" spans="1:9">
      <c r="A113" t="s">
        <v>182</v>
      </c>
      <c r="B113" t="s">
        <v>147</v>
      </c>
      <c r="C113" t="s">
        <v>150</v>
      </c>
      <c r="D113" t="s">
        <v>138</v>
      </c>
      <c r="E113">
        <v>19</v>
      </c>
      <c r="F113">
        <v>1.9500000000000002</v>
      </c>
      <c r="G113">
        <v>3</v>
      </c>
      <c r="H113">
        <f t="shared" si="2"/>
        <v>1.0023000000000002</v>
      </c>
      <c r="I113">
        <f t="shared" si="3"/>
        <v>1.542</v>
      </c>
    </row>
    <row r="114" spans="1:9">
      <c r="A114" t="s">
        <v>182</v>
      </c>
      <c r="B114" t="s">
        <v>147</v>
      </c>
      <c r="C114" t="s">
        <v>150</v>
      </c>
      <c r="D114" t="s">
        <v>138</v>
      </c>
      <c r="E114">
        <v>20</v>
      </c>
      <c r="F114">
        <v>1.875</v>
      </c>
      <c r="G114">
        <v>3.1</v>
      </c>
      <c r="H114">
        <f t="shared" si="2"/>
        <v>0.96375</v>
      </c>
      <c r="I114">
        <f t="shared" si="3"/>
        <v>1.5934000000000001</v>
      </c>
    </row>
    <row r="115" spans="1:9">
      <c r="A115" t="s">
        <v>182</v>
      </c>
      <c r="B115" t="s">
        <v>147</v>
      </c>
      <c r="C115" t="s">
        <v>150</v>
      </c>
      <c r="D115" t="s">
        <v>138</v>
      </c>
      <c r="E115">
        <v>21</v>
      </c>
      <c r="F115">
        <v>1.7250000000000001</v>
      </c>
      <c r="G115">
        <v>3</v>
      </c>
      <c r="H115">
        <f t="shared" si="2"/>
        <v>0.88665000000000005</v>
      </c>
      <c r="I115">
        <f t="shared" si="3"/>
        <v>1.542</v>
      </c>
    </row>
    <row r="116" spans="1:9">
      <c r="A116" t="s">
        <v>182</v>
      </c>
      <c r="B116" t="s">
        <v>147</v>
      </c>
      <c r="C116" t="s">
        <v>150</v>
      </c>
      <c r="D116" t="s">
        <v>138</v>
      </c>
      <c r="E116">
        <v>22</v>
      </c>
      <c r="F116">
        <v>1.1333333333333335</v>
      </c>
      <c r="G116">
        <v>1.8</v>
      </c>
      <c r="H116">
        <f t="shared" si="2"/>
        <v>0.58253333333333346</v>
      </c>
      <c r="I116">
        <f t="shared" si="3"/>
        <v>0.92520000000000002</v>
      </c>
    </row>
    <row r="117" spans="1:9">
      <c r="A117" t="s">
        <v>182</v>
      </c>
      <c r="B117" t="s">
        <v>147</v>
      </c>
      <c r="C117" t="s">
        <v>150</v>
      </c>
      <c r="D117" t="s">
        <v>138</v>
      </c>
      <c r="E117">
        <v>23</v>
      </c>
      <c r="F117">
        <v>1.45</v>
      </c>
      <c r="G117">
        <v>2.9</v>
      </c>
      <c r="H117">
        <f t="shared" si="2"/>
        <v>0.74529999999999996</v>
      </c>
      <c r="I117">
        <f t="shared" si="3"/>
        <v>1.4905999999999999</v>
      </c>
    </row>
    <row r="118" spans="1:9">
      <c r="A118" t="s">
        <v>182</v>
      </c>
      <c r="B118" t="s">
        <v>147</v>
      </c>
      <c r="C118" t="s">
        <v>150</v>
      </c>
      <c r="D118" t="s">
        <v>138</v>
      </c>
      <c r="E118">
        <v>24</v>
      </c>
      <c r="F118">
        <v>1.375</v>
      </c>
      <c r="G118">
        <v>2.8</v>
      </c>
      <c r="H118">
        <f t="shared" si="2"/>
        <v>0.70674999999999999</v>
      </c>
      <c r="I118">
        <f t="shared" si="3"/>
        <v>1.4392</v>
      </c>
    </row>
    <row r="119" spans="1:9">
      <c r="A119" t="s">
        <v>182</v>
      </c>
      <c r="B119" t="s">
        <v>147</v>
      </c>
      <c r="C119" t="s">
        <v>150</v>
      </c>
      <c r="D119" t="s">
        <v>138</v>
      </c>
      <c r="E119">
        <v>25</v>
      </c>
      <c r="F119">
        <v>1.4</v>
      </c>
      <c r="G119">
        <v>2.8</v>
      </c>
      <c r="H119">
        <f t="shared" si="2"/>
        <v>0.71960000000000002</v>
      </c>
      <c r="I119">
        <f t="shared" si="3"/>
        <v>1.4392</v>
      </c>
    </row>
    <row r="120" spans="1:9">
      <c r="A120" t="s">
        <v>182</v>
      </c>
      <c r="B120" t="s">
        <v>147</v>
      </c>
      <c r="C120" t="s">
        <v>150</v>
      </c>
      <c r="D120" t="s">
        <v>138</v>
      </c>
      <c r="E120">
        <v>26</v>
      </c>
      <c r="F120">
        <v>1.5</v>
      </c>
      <c r="G120">
        <v>2.8</v>
      </c>
      <c r="H120">
        <f t="shared" si="2"/>
        <v>0.77100000000000002</v>
      </c>
      <c r="I120">
        <f t="shared" si="3"/>
        <v>1.4392</v>
      </c>
    </row>
    <row r="121" spans="1:9">
      <c r="A121" t="s">
        <v>182</v>
      </c>
      <c r="B121" t="s">
        <v>147</v>
      </c>
      <c r="C121" t="s">
        <v>150</v>
      </c>
      <c r="D121" t="s">
        <v>138</v>
      </c>
      <c r="E121">
        <v>27</v>
      </c>
      <c r="F121">
        <v>1.65</v>
      </c>
      <c r="G121">
        <v>2.9</v>
      </c>
      <c r="H121">
        <f t="shared" si="2"/>
        <v>0.84809999999999997</v>
      </c>
      <c r="I121">
        <f t="shared" si="3"/>
        <v>1.4905999999999999</v>
      </c>
    </row>
    <row r="122" spans="1:9">
      <c r="A122" t="s">
        <v>182</v>
      </c>
      <c r="B122" t="s">
        <v>147</v>
      </c>
      <c r="C122" t="s">
        <v>150</v>
      </c>
      <c r="D122" t="s">
        <v>138</v>
      </c>
      <c r="E122">
        <v>28</v>
      </c>
      <c r="F122">
        <v>2.1666666666666665</v>
      </c>
      <c r="G122">
        <v>3</v>
      </c>
      <c r="H122">
        <f t="shared" si="2"/>
        <v>1.1136666666666666</v>
      </c>
      <c r="I122">
        <f t="shared" si="3"/>
        <v>1.542</v>
      </c>
    </row>
    <row r="123" spans="1:9">
      <c r="A123" t="s">
        <v>182</v>
      </c>
      <c r="B123" t="s">
        <v>147</v>
      </c>
      <c r="C123" t="s">
        <v>150</v>
      </c>
      <c r="D123" t="s">
        <v>138</v>
      </c>
      <c r="E123">
        <v>29</v>
      </c>
      <c r="F123">
        <v>1.875</v>
      </c>
      <c r="G123">
        <v>3.1</v>
      </c>
      <c r="H123">
        <f t="shared" si="2"/>
        <v>0.96375</v>
      </c>
      <c r="I123">
        <f t="shared" si="3"/>
        <v>1.5934000000000001</v>
      </c>
    </row>
    <row r="124" spans="1:9">
      <c r="A124" t="s">
        <v>182</v>
      </c>
      <c r="B124" t="s">
        <v>147</v>
      </c>
      <c r="C124" t="s">
        <v>150</v>
      </c>
      <c r="D124" t="s">
        <v>138</v>
      </c>
      <c r="E124">
        <v>30</v>
      </c>
      <c r="F124">
        <v>1.95</v>
      </c>
      <c r="G124">
        <v>3.1</v>
      </c>
      <c r="H124">
        <f t="shared" si="2"/>
        <v>1.0023</v>
      </c>
      <c r="I124">
        <f t="shared" si="3"/>
        <v>1.5934000000000001</v>
      </c>
    </row>
    <row r="125" spans="1:9">
      <c r="A125" t="s">
        <v>182</v>
      </c>
      <c r="B125" t="s">
        <v>147</v>
      </c>
      <c r="C125" t="s">
        <v>150</v>
      </c>
      <c r="D125" t="s">
        <v>138</v>
      </c>
      <c r="E125">
        <v>31</v>
      </c>
      <c r="F125">
        <v>1.9500000000000002</v>
      </c>
      <c r="G125">
        <v>3</v>
      </c>
      <c r="H125">
        <f t="shared" si="2"/>
        <v>1.0023000000000002</v>
      </c>
      <c r="I125">
        <f t="shared" si="3"/>
        <v>1.542</v>
      </c>
    </row>
    <row r="126" spans="1:9">
      <c r="A126" t="s">
        <v>183</v>
      </c>
      <c r="B126" t="s">
        <v>148</v>
      </c>
      <c r="C126" t="s">
        <v>13</v>
      </c>
      <c r="D126" t="s">
        <v>138</v>
      </c>
      <c r="E126">
        <v>1</v>
      </c>
      <c r="F126">
        <v>1.35</v>
      </c>
      <c r="G126">
        <v>1.8</v>
      </c>
      <c r="H126">
        <f t="shared" si="2"/>
        <v>0.69390000000000007</v>
      </c>
      <c r="I126">
        <f t="shared" si="3"/>
        <v>0.92520000000000002</v>
      </c>
    </row>
    <row r="127" spans="1:9">
      <c r="A127" t="s">
        <v>183</v>
      </c>
      <c r="B127" t="s">
        <v>148</v>
      </c>
      <c r="C127" t="s">
        <v>13</v>
      </c>
      <c r="D127" t="s">
        <v>138</v>
      </c>
      <c r="E127">
        <v>2</v>
      </c>
      <c r="F127">
        <v>1.3</v>
      </c>
      <c r="G127">
        <v>1.7</v>
      </c>
      <c r="H127">
        <f t="shared" si="2"/>
        <v>0.66820000000000002</v>
      </c>
      <c r="I127">
        <f t="shared" si="3"/>
        <v>0.87380000000000002</v>
      </c>
    </row>
    <row r="128" spans="1:9">
      <c r="A128" t="s">
        <v>183</v>
      </c>
      <c r="B128" t="s">
        <v>148</v>
      </c>
      <c r="C128" t="s">
        <v>13</v>
      </c>
      <c r="D128" t="s">
        <v>138</v>
      </c>
      <c r="E128">
        <v>3</v>
      </c>
      <c r="F128">
        <v>1.25</v>
      </c>
      <c r="G128">
        <v>1.6</v>
      </c>
      <c r="H128">
        <f t="shared" si="2"/>
        <v>0.64250000000000007</v>
      </c>
      <c r="I128">
        <f t="shared" si="3"/>
        <v>0.82240000000000002</v>
      </c>
    </row>
    <row r="129" spans="1:9">
      <c r="A129" t="s">
        <v>183</v>
      </c>
      <c r="B129" t="s">
        <v>148</v>
      </c>
      <c r="C129" t="s">
        <v>13</v>
      </c>
      <c r="D129" t="s">
        <v>138</v>
      </c>
      <c r="E129">
        <v>4</v>
      </c>
      <c r="F129">
        <v>1.1499999999999999</v>
      </c>
      <c r="G129">
        <v>1.4</v>
      </c>
      <c r="H129">
        <f t="shared" si="2"/>
        <v>0.59109999999999996</v>
      </c>
      <c r="I129">
        <f t="shared" si="3"/>
        <v>0.71960000000000002</v>
      </c>
    </row>
    <row r="130" spans="1:9">
      <c r="A130" t="s">
        <v>183</v>
      </c>
      <c r="B130" t="s">
        <v>148</v>
      </c>
      <c r="C130" t="s">
        <v>13</v>
      </c>
      <c r="D130" t="s">
        <v>138</v>
      </c>
      <c r="E130">
        <v>5</v>
      </c>
      <c r="F130">
        <v>1.0249999999999999</v>
      </c>
      <c r="G130">
        <v>1.2</v>
      </c>
      <c r="H130">
        <f t="shared" si="2"/>
        <v>0.52684999999999993</v>
      </c>
      <c r="I130">
        <f t="shared" si="3"/>
        <v>0.61680000000000001</v>
      </c>
    </row>
    <row r="131" spans="1:9">
      <c r="A131" t="s">
        <v>183</v>
      </c>
      <c r="B131" t="s">
        <v>148</v>
      </c>
      <c r="C131" t="s">
        <v>13</v>
      </c>
      <c r="D131" t="s">
        <v>138</v>
      </c>
      <c r="E131">
        <v>6</v>
      </c>
      <c r="F131">
        <v>0.92500000000000004</v>
      </c>
      <c r="G131">
        <v>1.1000000000000001</v>
      </c>
      <c r="H131">
        <f t="shared" ref="H131:H194" si="4">F131*0.514</f>
        <v>0.47545000000000004</v>
      </c>
      <c r="I131">
        <f t="shared" ref="I131:I194" si="5">G131*0.514</f>
        <v>0.56540000000000001</v>
      </c>
    </row>
    <row r="132" spans="1:9">
      <c r="A132" t="s">
        <v>183</v>
      </c>
      <c r="B132" t="s">
        <v>148</v>
      </c>
      <c r="C132" t="s">
        <v>13</v>
      </c>
      <c r="D132" t="s">
        <v>138</v>
      </c>
      <c r="E132">
        <v>7</v>
      </c>
      <c r="F132">
        <v>0.73333333333333339</v>
      </c>
      <c r="G132">
        <v>0.8</v>
      </c>
      <c r="H132">
        <f t="shared" si="4"/>
        <v>0.3769333333333334</v>
      </c>
      <c r="I132">
        <f t="shared" si="5"/>
        <v>0.41120000000000001</v>
      </c>
    </row>
    <row r="133" spans="1:9">
      <c r="A133" t="s">
        <v>183</v>
      </c>
      <c r="B133" t="s">
        <v>148</v>
      </c>
      <c r="C133" t="s">
        <v>13</v>
      </c>
      <c r="D133" t="s">
        <v>138</v>
      </c>
      <c r="E133">
        <v>8</v>
      </c>
      <c r="F133">
        <v>0.70000000000000007</v>
      </c>
      <c r="G133">
        <v>1</v>
      </c>
      <c r="H133">
        <f t="shared" si="4"/>
        <v>0.35980000000000006</v>
      </c>
      <c r="I133">
        <f t="shared" si="5"/>
        <v>0.51400000000000001</v>
      </c>
    </row>
    <row r="134" spans="1:9">
      <c r="A134" t="s">
        <v>183</v>
      </c>
      <c r="B134" t="s">
        <v>148</v>
      </c>
      <c r="C134" t="s">
        <v>13</v>
      </c>
      <c r="D134" t="s">
        <v>138</v>
      </c>
      <c r="E134">
        <v>9</v>
      </c>
      <c r="F134">
        <v>0.67500000000000004</v>
      </c>
      <c r="G134">
        <v>1</v>
      </c>
      <c r="H134">
        <f t="shared" si="4"/>
        <v>0.34695000000000004</v>
      </c>
      <c r="I134">
        <f t="shared" si="5"/>
        <v>0.51400000000000001</v>
      </c>
    </row>
    <row r="135" spans="1:9">
      <c r="A135" t="s">
        <v>183</v>
      </c>
      <c r="B135" t="s">
        <v>148</v>
      </c>
      <c r="C135" t="s">
        <v>13</v>
      </c>
      <c r="D135" t="s">
        <v>138</v>
      </c>
      <c r="E135">
        <v>10</v>
      </c>
      <c r="F135">
        <v>0.65</v>
      </c>
      <c r="G135">
        <v>1</v>
      </c>
      <c r="H135">
        <f t="shared" si="4"/>
        <v>0.33410000000000001</v>
      </c>
      <c r="I135">
        <f t="shared" si="5"/>
        <v>0.51400000000000001</v>
      </c>
    </row>
    <row r="136" spans="1:9">
      <c r="A136" t="s">
        <v>183</v>
      </c>
      <c r="B136" t="s">
        <v>148</v>
      </c>
      <c r="C136" t="s">
        <v>13</v>
      </c>
      <c r="D136" t="s">
        <v>138</v>
      </c>
      <c r="E136">
        <v>11</v>
      </c>
      <c r="F136">
        <v>0.67499999999999993</v>
      </c>
      <c r="G136">
        <v>1</v>
      </c>
      <c r="H136">
        <f t="shared" si="4"/>
        <v>0.34694999999999998</v>
      </c>
      <c r="I136">
        <f t="shared" si="5"/>
        <v>0.51400000000000001</v>
      </c>
    </row>
    <row r="137" spans="1:9">
      <c r="A137" t="s">
        <v>183</v>
      </c>
      <c r="B137" t="s">
        <v>148</v>
      </c>
      <c r="C137" t="s">
        <v>13</v>
      </c>
      <c r="D137" t="s">
        <v>138</v>
      </c>
      <c r="E137">
        <v>12</v>
      </c>
      <c r="F137">
        <v>0.75</v>
      </c>
      <c r="G137">
        <v>1.1000000000000001</v>
      </c>
      <c r="H137">
        <f t="shared" si="4"/>
        <v>0.38550000000000001</v>
      </c>
      <c r="I137">
        <f t="shared" si="5"/>
        <v>0.56540000000000001</v>
      </c>
    </row>
    <row r="138" spans="1:9">
      <c r="A138" t="s">
        <v>183</v>
      </c>
      <c r="B138" t="s">
        <v>148</v>
      </c>
      <c r="C138" t="s">
        <v>13</v>
      </c>
      <c r="D138" t="s">
        <v>138</v>
      </c>
      <c r="E138">
        <v>13</v>
      </c>
      <c r="F138">
        <v>0.90000000000000013</v>
      </c>
      <c r="G138">
        <v>1.3</v>
      </c>
      <c r="H138">
        <f t="shared" si="4"/>
        <v>0.46260000000000007</v>
      </c>
      <c r="I138">
        <f t="shared" si="5"/>
        <v>0.66820000000000002</v>
      </c>
    </row>
    <row r="139" spans="1:9">
      <c r="A139" t="s">
        <v>183</v>
      </c>
      <c r="B139" t="s">
        <v>148</v>
      </c>
      <c r="C139" t="s">
        <v>13</v>
      </c>
      <c r="D139" t="s">
        <v>138</v>
      </c>
      <c r="E139">
        <v>14</v>
      </c>
      <c r="F139">
        <v>0.99999999999999989</v>
      </c>
      <c r="G139">
        <v>1.4</v>
      </c>
      <c r="H139">
        <f t="shared" si="4"/>
        <v>0.5139999999999999</v>
      </c>
      <c r="I139">
        <f t="shared" si="5"/>
        <v>0.71960000000000002</v>
      </c>
    </row>
    <row r="140" spans="1:9">
      <c r="A140" t="s">
        <v>183</v>
      </c>
      <c r="B140" t="s">
        <v>148</v>
      </c>
      <c r="C140" t="s">
        <v>13</v>
      </c>
      <c r="D140" t="s">
        <v>138</v>
      </c>
      <c r="E140">
        <v>15</v>
      </c>
      <c r="F140">
        <v>1.2</v>
      </c>
      <c r="G140">
        <v>1.5</v>
      </c>
      <c r="H140">
        <f t="shared" si="4"/>
        <v>0.61680000000000001</v>
      </c>
      <c r="I140">
        <f t="shared" si="5"/>
        <v>0.77100000000000002</v>
      </c>
    </row>
    <row r="141" spans="1:9">
      <c r="A141" t="s">
        <v>183</v>
      </c>
      <c r="B141" t="s">
        <v>148</v>
      </c>
      <c r="C141" t="s">
        <v>13</v>
      </c>
      <c r="D141" t="s">
        <v>138</v>
      </c>
      <c r="E141">
        <v>16</v>
      </c>
      <c r="F141">
        <v>1.1499999999999999</v>
      </c>
      <c r="G141">
        <v>1.6</v>
      </c>
      <c r="H141">
        <f t="shared" si="4"/>
        <v>0.59109999999999996</v>
      </c>
      <c r="I141">
        <f t="shared" si="5"/>
        <v>0.82240000000000002</v>
      </c>
    </row>
    <row r="142" spans="1:9">
      <c r="A142" t="s">
        <v>183</v>
      </c>
      <c r="B142" t="s">
        <v>148</v>
      </c>
      <c r="C142" t="s">
        <v>13</v>
      </c>
      <c r="D142" t="s">
        <v>138</v>
      </c>
      <c r="E142">
        <v>17</v>
      </c>
      <c r="F142">
        <v>1.2250000000000001</v>
      </c>
      <c r="G142">
        <v>1.6</v>
      </c>
      <c r="H142">
        <f t="shared" si="4"/>
        <v>0.62965000000000004</v>
      </c>
      <c r="I142">
        <f t="shared" si="5"/>
        <v>0.82240000000000002</v>
      </c>
    </row>
    <row r="143" spans="1:9">
      <c r="A143" t="s">
        <v>183</v>
      </c>
      <c r="B143" t="s">
        <v>148</v>
      </c>
      <c r="C143" t="s">
        <v>13</v>
      </c>
      <c r="D143" t="s">
        <v>138</v>
      </c>
      <c r="E143">
        <v>18</v>
      </c>
      <c r="F143">
        <v>1.25</v>
      </c>
      <c r="G143">
        <v>1.5</v>
      </c>
      <c r="H143">
        <f t="shared" si="4"/>
        <v>0.64250000000000007</v>
      </c>
      <c r="I143">
        <f t="shared" si="5"/>
        <v>0.77100000000000002</v>
      </c>
    </row>
    <row r="144" spans="1:9">
      <c r="A144" t="s">
        <v>183</v>
      </c>
      <c r="B144" t="s">
        <v>148</v>
      </c>
      <c r="C144" t="s">
        <v>13</v>
      </c>
      <c r="D144" t="s">
        <v>138</v>
      </c>
      <c r="E144">
        <v>19</v>
      </c>
      <c r="F144">
        <v>1.25</v>
      </c>
      <c r="G144">
        <v>1.4</v>
      </c>
      <c r="H144">
        <f t="shared" si="4"/>
        <v>0.64250000000000007</v>
      </c>
      <c r="I144">
        <f t="shared" si="5"/>
        <v>0.71960000000000002</v>
      </c>
    </row>
    <row r="145" spans="1:9">
      <c r="A145" t="s">
        <v>183</v>
      </c>
      <c r="B145" t="s">
        <v>148</v>
      </c>
      <c r="C145" t="s">
        <v>13</v>
      </c>
      <c r="D145" t="s">
        <v>138</v>
      </c>
      <c r="E145">
        <v>20</v>
      </c>
      <c r="F145">
        <v>1.25</v>
      </c>
      <c r="G145">
        <v>1.4</v>
      </c>
      <c r="H145">
        <f t="shared" si="4"/>
        <v>0.64250000000000007</v>
      </c>
      <c r="I145">
        <f t="shared" si="5"/>
        <v>0.71960000000000002</v>
      </c>
    </row>
    <row r="146" spans="1:9">
      <c r="A146" t="s">
        <v>183</v>
      </c>
      <c r="B146" t="s">
        <v>148</v>
      </c>
      <c r="C146" t="s">
        <v>13</v>
      </c>
      <c r="D146" t="s">
        <v>138</v>
      </c>
      <c r="E146">
        <v>21</v>
      </c>
      <c r="F146">
        <v>1.1500000000000001</v>
      </c>
      <c r="G146">
        <v>1.3</v>
      </c>
      <c r="H146">
        <f t="shared" si="4"/>
        <v>0.59110000000000007</v>
      </c>
      <c r="I146">
        <f t="shared" si="5"/>
        <v>0.66820000000000002</v>
      </c>
    </row>
    <row r="147" spans="1:9">
      <c r="A147" t="s">
        <v>183</v>
      </c>
      <c r="B147" t="s">
        <v>148</v>
      </c>
      <c r="C147" t="s">
        <v>13</v>
      </c>
      <c r="D147" t="s">
        <v>138</v>
      </c>
      <c r="E147">
        <v>22</v>
      </c>
      <c r="F147">
        <v>0.96666666666666667</v>
      </c>
      <c r="G147">
        <v>1.2</v>
      </c>
      <c r="H147">
        <f t="shared" si="4"/>
        <v>0.49686666666666668</v>
      </c>
      <c r="I147">
        <f t="shared" si="5"/>
        <v>0.61680000000000001</v>
      </c>
    </row>
    <row r="148" spans="1:9">
      <c r="A148" t="s">
        <v>183</v>
      </c>
      <c r="B148" t="s">
        <v>148</v>
      </c>
      <c r="C148" t="s">
        <v>13</v>
      </c>
      <c r="D148" t="s">
        <v>138</v>
      </c>
      <c r="E148">
        <v>23</v>
      </c>
      <c r="F148">
        <v>0.97500000000000009</v>
      </c>
      <c r="G148">
        <v>1.3</v>
      </c>
      <c r="H148">
        <f t="shared" si="4"/>
        <v>0.5011500000000001</v>
      </c>
      <c r="I148">
        <f t="shared" si="5"/>
        <v>0.66820000000000002</v>
      </c>
    </row>
    <row r="149" spans="1:9">
      <c r="A149" t="s">
        <v>183</v>
      </c>
      <c r="B149" t="s">
        <v>148</v>
      </c>
      <c r="C149" t="s">
        <v>13</v>
      </c>
      <c r="D149" t="s">
        <v>138</v>
      </c>
      <c r="E149">
        <v>24</v>
      </c>
      <c r="F149">
        <v>0.875</v>
      </c>
      <c r="G149">
        <v>1.2</v>
      </c>
      <c r="H149">
        <f t="shared" si="4"/>
        <v>0.44974999999999998</v>
      </c>
      <c r="I149">
        <f t="shared" si="5"/>
        <v>0.61680000000000001</v>
      </c>
    </row>
    <row r="150" spans="1:9">
      <c r="A150" t="s">
        <v>183</v>
      </c>
      <c r="B150" t="s">
        <v>148</v>
      </c>
      <c r="C150" t="s">
        <v>13</v>
      </c>
      <c r="D150" t="s">
        <v>138</v>
      </c>
      <c r="E150">
        <v>25</v>
      </c>
      <c r="F150">
        <v>0.9</v>
      </c>
      <c r="G150">
        <v>1.3</v>
      </c>
      <c r="H150">
        <f t="shared" si="4"/>
        <v>0.46260000000000001</v>
      </c>
      <c r="I150">
        <f t="shared" si="5"/>
        <v>0.66820000000000002</v>
      </c>
    </row>
    <row r="151" spans="1:9">
      <c r="A151" t="s">
        <v>183</v>
      </c>
      <c r="B151" t="s">
        <v>148</v>
      </c>
      <c r="C151" t="s">
        <v>13</v>
      </c>
      <c r="D151" t="s">
        <v>138</v>
      </c>
      <c r="E151">
        <v>26</v>
      </c>
      <c r="F151">
        <v>0.97499999999999987</v>
      </c>
      <c r="G151">
        <v>1.4</v>
      </c>
      <c r="H151">
        <f t="shared" si="4"/>
        <v>0.50114999999999998</v>
      </c>
      <c r="I151">
        <f t="shared" si="5"/>
        <v>0.71960000000000002</v>
      </c>
    </row>
    <row r="152" spans="1:9">
      <c r="A152" t="s">
        <v>183</v>
      </c>
      <c r="B152" t="s">
        <v>148</v>
      </c>
      <c r="C152" t="s">
        <v>13</v>
      </c>
      <c r="D152" t="s">
        <v>138</v>
      </c>
      <c r="E152">
        <v>27</v>
      </c>
      <c r="F152">
        <v>1.075</v>
      </c>
      <c r="G152">
        <v>1.5</v>
      </c>
      <c r="H152">
        <f t="shared" si="4"/>
        <v>0.55254999999999999</v>
      </c>
      <c r="I152">
        <f t="shared" si="5"/>
        <v>0.77100000000000002</v>
      </c>
    </row>
    <row r="153" spans="1:9">
      <c r="A153" t="s">
        <v>183</v>
      </c>
      <c r="B153" t="s">
        <v>148</v>
      </c>
      <c r="C153" t="s">
        <v>13</v>
      </c>
      <c r="D153" t="s">
        <v>138</v>
      </c>
      <c r="E153">
        <v>28</v>
      </c>
      <c r="F153">
        <v>1.175</v>
      </c>
      <c r="G153">
        <v>1.6</v>
      </c>
      <c r="H153">
        <f t="shared" si="4"/>
        <v>0.60394999999999999</v>
      </c>
      <c r="I153">
        <f t="shared" si="5"/>
        <v>0.82240000000000002</v>
      </c>
    </row>
    <row r="154" spans="1:9">
      <c r="A154" t="s">
        <v>183</v>
      </c>
      <c r="B154" t="s">
        <v>148</v>
      </c>
      <c r="C154" t="s">
        <v>13</v>
      </c>
      <c r="D154" t="s">
        <v>138</v>
      </c>
      <c r="E154">
        <v>29</v>
      </c>
      <c r="F154">
        <v>1.4000000000000001</v>
      </c>
      <c r="G154">
        <v>1.6</v>
      </c>
      <c r="H154">
        <f t="shared" si="4"/>
        <v>0.71960000000000013</v>
      </c>
      <c r="I154">
        <f t="shared" si="5"/>
        <v>0.82240000000000002</v>
      </c>
    </row>
    <row r="155" spans="1:9">
      <c r="A155" t="s">
        <v>183</v>
      </c>
      <c r="B155" t="s">
        <v>148</v>
      </c>
      <c r="C155" t="s">
        <v>13</v>
      </c>
      <c r="D155" t="s">
        <v>138</v>
      </c>
      <c r="E155">
        <v>30</v>
      </c>
      <c r="F155">
        <v>1.2749999999999999</v>
      </c>
      <c r="G155">
        <v>1.6</v>
      </c>
      <c r="H155">
        <f t="shared" si="4"/>
        <v>0.65534999999999999</v>
      </c>
      <c r="I155">
        <f t="shared" si="5"/>
        <v>0.82240000000000002</v>
      </c>
    </row>
    <row r="156" spans="1:9">
      <c r="A156" t="s">
        <v>183</v>
      </c>
      <c r="B156" t="s">
        <v>148</v>
      </c>
      <c r="C156" t="s">
        <v>13</v>
      </c>
      <c r="D156" t="s">
        <v>138</v>
      </c>
      <c r="E156">
        <v>31</v>
      </c>
      <c r="F156">
        <v>1.25</v>
      </c>
      <c r="G156">
        <v>1.4</v>
      </c>
      <c r="H156">
        <f t="shared" si="4"/>
        <v>0.64250000000000007</v>
      </c>
      <c r="I156">
        <f t="shared" si="5"/>
        <v>0.71960000000000002</v>
      </c>
    </row>
    <row r="157" spans="1:9">
      <c r="A157" t="s">
        <v>184</v>
      </c>
      <c r="B157" t="s">
        <v>155</v>
      </c>
      <c r="C157" t="s">
        <v>13</v>
      </c>
      <c r="D157" t="s">
        <v>138</v>
      </c>
      <c r="E157">
        <v>1</v>
      </c>
      <c r="F157">
        <v>1.4750000000000001</v>
      </c>
      <c r="G157">
        <v>1.9</v>
      </c>
      <c r="H157">
        <f t="shared" si="4"/>
        <v>0.7581500000000001</v>
      </c>
      <c r="I157">
        <f t="shared" si="5"/>
        <v>0.97660000000000002</v>
      </c>
    </row>
    <row r="158" spans="1:9">
      <c r="A158" t="s">
        <v>184</v>
      </c>
      <c r="B158" t="s">
        <v>155</v>
      </c>
      <c r="C158" t="s">
        <v>13</v>
      </c>
      <c r="D158" t="s">
        <v>138</v>
      </c>
      <c r="E158">
        <v>2</v>
      </c>
      <c r="F158">
        <v>1.4750000000000001</v>
      </c>
      <c r="G158">
        <v>1.9</v>
      </c>
      <c r="H158">
        <f t="shared" si="4"/>
        <v>0.7581500000000001</v>
      </c>
      <c r="I158">
        <f t="shared" si="5"/>
        <v>0.97660000000000002</v>
      </c>
    </row>
    <row r="159" spans="1:9">
      <c r="A159" t="s">
        <v>184</v>
      </c>
      <c r="B159" t="s">
        <v>155</v>
      </c>
      <c r="C159" t="s">
        <v>13</v>
      </c>
      <c r="D159" t="s">
        <v>138</v>
      </c>
      <c r="E159">
        <v>3</v>
      </c>
      <c r="F159">
        <v>1.425</v>
      </c>
      <c r="G159">
        <v>1.8</v>
      </c>
      <c r="H159">
        <f t="shared" si="4"/>
        <v>0.73245000000000005</v>
      </c>
      <c r="I159">
        <f t="shared" si="5"/>
        <v>0.92520000000000002</v>
      </c>
    </row>
    <row r="160" spans="1:9">
      <c r="A160" t="s">
        <v>184</v>
      </c>
      <c r="B160" t="s">
        <v>155</v>
      </c>
      <c r="C160" t="s">
        <v>13</v>
      </c>
      <c r="D160" t="s">
        <v>138</v>
      </c>
      <c r="E160">
        <v>4</v>
      </c>
      <c r="F160">
        <v>1.3250000000000002</v>
      </c>
      <c r="G160">
        <v>1.6</v>
      </c>
      <c r="H160">
        <f t="shared" si="4"/>
        <v>0.68105000000000016</v>
      </c>
      <c r="I160">
        <f t="shared" si="5"/>
        <v>0.82240000000000002</v>
      </c>
    </row>
    <row r="161" spans="1:9">
      <c r="A161" t="s">
        <v>184</v>
      </c>
      <c r="B161" t="s">
        <v>155</v>
      </c>
      <c r="C161" t="s">
        <v>13</v>
      </c>
      <c r="D161" t="s">
        <v>138</v>
      </c>
      <c r="E161">
        <v>5</v>
      </c>
      <c r="F161">
        <v>1.1749999999999998</v>
      </c>
      <c r="G161">
        <v>1.4</v>
      </c>
      <c r="H161">
        <f t="shared" si="4"/>
        <v>0.60394999999999988</v>
      </c>
      <c r="I161">
        <f t="shared" si="5"/>
        <v>0.71960000000000002</v>
      </c>
    </row>
    <row r="162" spans="1:9">
      <c r="A162" t="s">
        <v>184</v>
      </c>
      <c r="B162" t="s">
        <v>155</v>
      </c>
      <c r="C162" t="s">
        <v>13</v>
      </c>
      <c r="D162" t="s">
        <v>138</v>
      </c>
      <c r="E162">
        <v>6</v>
      </c>
      <c r="F162">
        <v>0.93333333333333324</v>
      </c>
      <c r="G162">
        <v>1</v>
      </c>
      <c r="H162">
        <f t="shared" si="4"/>
        <v>0.47973333333333329</v>
      </c>
      <c r="I162">
        <f t="shared" si="5"/>
        <v>0.51400000000000001</v>
      </c>
    </row>
    <row r="163" spans="1:9">
      <c r="A163" t="s">
        <v>184</v>
      </c>
      <c r="B163" t="s">
        <v>155</v>
      </c>
      <c r="C163" t="s">
        <v>13</v>
      </c>
      <c r="D163" t="s">
        <v>138</v>
      </c>
      <c r="E163">
        <v>7</v>
      </c>
      <c r="F163">
        <v>0.95</v>
      </c>
      <c r="G163">
        <v>1.4</v>
      </c>
      <c r="H163">
        <f t="shared" si="4"/>
        <v>0.48830000000000001</v>
      </c>
      <c r="I163">
        <f t="shared" si="5"/>
        <v>0.71960000000000002</v>
      </c>
    </row>
    <row r="164" spans="1:9">
      <c r="A164" t="s">
        <v>184</v>
      </c>
      <c r="B164" t="s">
        <v>155</v>
      </c>
      <c r="C164" t="s">
        <v>13</v>
      </c>
      <c r="D164" t="s">
        <v>138</v>
      </c>
      <c r="E164">
        <v>8</v>
      </c>
      <c r="F164">
        <v>0.8</v>
      </c>
      <c r="G164">
        <v>1.2</v>
      </c>
      <c r="H164">
        <f t="shared" si="4"/>
        <v>0.41120000000000001</v>
      </c>
      <c r="I164">
        <f t="shared" si="5"/>
        <v>0.61680000000000001</v>
      </c>
    </row>
    <row r="165" spans="1:9">
      <c r="A165" t="s">
        <v>184</v>
      </c>
      <c r="B165" t="s">
        <v>155</v>
      </c>
      <c r="C165" t="s">
        <v>13</v>
      </c>
      <c r="D165" t="s">
        <v>138</v>
      </c>
      <c r="E165">
        <v>9</v>
      </c>
      <c r="F165">
        <v>0.75</v>
      </c>
      <c r="G165">
        <v>1.2</v>
      </c>
      <c r="H165">
        <f t="shared" si="4"/>
        <v>0.38550000000000001</v>
      </c>
      <c r="I165">
        <f t="shared" si="5"/>
        <v>0.61680000000000001</v>
      </c>
    </row>
    <row r="166" spans="1:9">
      <c r="A166" t="s">
        <v>184</v>
      </c>
      <c r="B166" t="s">
        <v>155</v>
      </c>
      <c r="C166" t="s">
        <v>13</v>
      </c>
      <c r="D166" t="s">
        <v>138</v>
      </c>
      <c r="E166">
        <v>10</v>
      </c>
      <c r="F166">
        <v>0.72499999999999998</v>
      </c>
      <c r="G166">
        <v>1.2</v>
      </c>
      <c r="H166">
        <f t="shared" si="4"/>
        <v>0.37264999999999998</v>
      </c>
      <c r="I166">
        <f t="shared" si="5"/>
        <v>0.61680000000000001</v>
      </c>
    </row>
    <row r="167" spans="1:9">
      <c r="A167" t="s">
        <v>184</v>
      </c>
      <c r="B167" t="s">
        <v>155</v>
      </c>
      <c r="C167" t="s">
        <v>13</v>
      </c>
      <c r="D167" t="s">
        <v>138</v>
      </c>
      <c r="E167">
        <v>11</v>
      </c>
      <c r="F167">
        <v>0.77500000000000002</v>
      </c>
      <c r="G167">
        <v>1.2</v>
      </c>
      <c r="H167">
        <f t="shared" si="4"/>
        <v>0.39835000000000004</v>
      </c>
      <c r="I167">
        <f t="shared" si="5"/>
        <v>0.61680000000000001</v>
      </c>
    </row>
    <row r="168" spans="1:9">
      <c r="A168" t="s">
        <v>184</v>
      </c>
      <c r="B168" t="s">
        <v>155</v>
      </c>
      <c r="C168" t="s">
        <v>13</v>
      </c>
      <c r="D168" t="s">
        <v>138</v>
      </c>
      <c r="E168">
        <v>12</v>
      </c>
      <c r="F168">
        <v>1</v>
      </c>
      <c r="G168">
        <v>1.2</v>
      </c>
      <c r="H168">
        <f t="shared" si="4"/>
        <v>0.51400000000000001</v>
      </c>
      <c r="I168">
        <f t="shared" si="5"/>
        <v>0.61680000000000001</v>
      </c>
    </row>
    <row r="169" spans="1:9">
      <c r="A169" t="s">
        <v>184</v>
      </c>
      <c r="B169" t="s">
        <v>155</v>
      </c>
      <c r="C169" t="s">
        <v>13</v>
      </c>
      <c r="D169" t="s">
        <v>138</v>
      </c>
      <c r="E169">
        <v>13</v>
      </c>
      <c r="F169">
        <v>0.97499999999999987</v>
      </c>
      <c r="G169">
        <v>1.4</v>
      </c>
      <c r="H169">
        <f t="shared" si="4"/>
        <v>0.50114999999999998</v>
      </c>
      <c r="I169">
        <f t="shared" si="5"/>
        <v>0.71960000000000002</v>
      </c>
    </row>
    <row r="170" spans="1:9">
      <c r="A170" t="s">
        <v>184</v>
      </c>
      <c r="B170" t="s">
        <v>155</v>
      </c>
      <c r="C170" t="s">
        <v>13</v>
      </c>
      <c r="D170" t="s">
        <v>138</v>
      </c>
      <c r="E170">
        <v>14</v>
      </c>
      <c r="F170">
        <v>1.075</v>
      </c>
      <c r="G170">
        <v>1.4</v>
      </c>
      <c r="H170">
        <f t="shared" si="4"/>
        <v>0.55254999999999999</v>
      </c>
      <c r="I170">
        <f t="shared" si="5"/>
        <v>0.71960000000000002</v>
      </c>
    </row>
    <row r="171" spans="1:9">
      <c r="A171" t="s">
        <v>184</v>
      </c>
      <c r="B171" t="s">
        <v>155</v>
      </c>
      <c r="C171" t="s">
        <v>13</v>
      </c>
      <c r="D171" t="s">
        <v>138</v>
      </c>
      <c r="E171">
        <v>15</v>
      </c>
      <c r="F171">
        <v>1.2000000000000002</v>
      </c>
      <c r="G171">
        <v>1.6</v>
      </c>
      <c r="H171">
        <f t="shared" si="4"/>
        <v>0.61680000000000013</v>
      </c>
      <c r="I171">
        <f t="shared" si="5"/>
        <v>0.82240000000000002</v>
      </c>
    </row>
    <row r="172" spans="1:9">
      <c r="A172" t="s">
        <v>184</v>
      </c>
      <c r="B172" t="s">
        <v>155</v>
      </c>
      <c r="C172" t="s">
        <v>13</v>
      </c>
      <c r="D172" t="s">
        <v>138</v>
      </c>
      <c r="E172">
        <v>16</v>
      </c>
      <c r="F172">
        <v>1.3</v>
      </c>
      <c r="G172">
        <v>1.6</v>
      </c>
      <c r="H172">
        <f t="shared" si="4"/>
        <v>0.66820000000000002</v>
      </c>
      <c r="I172">
        <f t="shared" si="5"/>
        <v>0.82240000000000002</v>
      </c>
    </row>
    <row r="173" spans="1:9">
      <c r="A173" t="s">
        <v>184</v>
      </c>
      <c r="B173" t="s">
        <v>155</v>
      </c>
      <c r="C173" t="s">
        <v>13</v>
      </c>
      <c r="D173" t="s">
        <v>138</v>
      </c>
      <c r="E173">
        <v>17</v>
      </c>
      <c r="F173">
        <v>1.35</v>
      </c>
      <c r="G173">
        <v>1.6</v>
      </c>
      <c r="H173">
        <f t="shared" si="4"/>
        <v>0.69390000000000007</v>
      </c>
      <c r="I173">
        <f t="shared" si="5"/>
        <v>0.82240000000000002</v>
      </c>
    </row>
    <row r="174" spans="1:9">
      <c r="A174" t="s">
        <v>184</v>
      </c>
      <c r="B174" t="s">
        <v>155</v>
      </c>
      <c r="C174" t="s">
        <v>13</v>
      </c>
      <c r="D174" t="s">
        <v>138</v>
      </c>
      <c r="E174">
        <v>18</v>
      </c>
      <c r="F174">
        <v>1.4</v>
      </c>
      <c r="G174">
        <v>1.6</v>
      </c>
      <c r="H174">
        <f t="shared" si="4"/>
        <v>0.71960000000000002</v>
      </c>
      <c r="I174">
        <f t="shared" si="5"/>
        <v>0.82240000000000002</v>
      </c>
    </row>
    <row r="175" spans="1:9">
      <c r="A175" t="s">
        <v>184</v>
      </c>
      <c r="B175" t="s">
        <v>155</v>
      </c>
      <c r="C175" t="s">
        <v>13</v>
      </c>
      <c r="D175" t="s">
        <v>138</v>
      </c>
      <c r="E175">
        <v>19</v>
      </c>
      <c r="F175">
        <v>1.4</v>
      </c>
      <c r="G175">
        <v>1.6</v>
      </c>
      <c r="H175">
        <f t="shared" si="4"/>
        <v>0.71960000000000002</v>
      </c>
      <c r="I175">
        <f t="shared" si="5"/>
        <v>0.82240000000000002</v>
      </c>
    </row>
    <row r="176" spans="1:9">
      <c r="A176" t="s">
        <v>184</v>
      </c>
      <c r="B176" t="s">
        <v>155</v>
      </c>
      <c r="C176" t="s">
        <v>13</v>
      </c>
      <c r="D176" t="s">
        <v>138</v>
      </c>
      <c r="E176">
        <v>20</v>
      </c>
      <c r="F176">
        <v>1.375</v>
      </c>
      <c r="G176">
        <v>1.7</v>
      </c>
      <c r="H176">
        <f t="shared" si="4"/>
        <v>0.70674999999999999</v>
      </c>
      <c r="I176">
        <f t="shared" si="5"/>
        <v>0.87380000000000002</v>
      </c>
    </row>
    <row r="177" spans="1:9">
      <c r="A177" t="s">
        <v>184</v>
      </c>
      <c r="B177" t="s">
        <v>155</v>
      </c>
      <c r="C177" t="s">
        <v>13</v>
      </c>
      <c r="D177" t="s">
        <v>138</v>
      </c>
      <c r="E177">
        <v>21</v>
      </c>
      <c r="F177">
        <v>1.2749999999999999</v>
      </c>
      <c r="G177">
        <v>1.6</v>
      </c>
      <c r="H177">
        <f t="shared" si="4"/>
        <v>0.65534999999999999</v>
      </c>
      <c r="I177">
        <f t="shared" si="5"/>
        <v>0.82240000000000002</v>
      </c>
    </row>
    <row r="178" spans="1:9">
      <c r="A178" t="s">
        <v>184</v>
      </c>
      <c r="B178" t="s">
        <v>155</v>
      </c>
      <c r="C178" t="s">
        <v>13</v>
      </c>
      <c r="D178" t="s">
        <v>138</v>
      </c>
      <c r="E178">
        <v>22</v>
      </c>
      <c r="F178">
        <v>1.0333333333333334</v>
      </c>
      <c r="G178">
        <v>1.2</v>
      </c>
      <c r="H178">
        <f t="shared" si="4"/>
        <v>0.53113333333333335</v>
      </c>
      <c r="I178">
        <f t="shared" si="5"/>
        <v>0.61680000000000001</v>
      </c>
    </row>
    <row r="179" spans="1:9">
      <c r="A179" t="s">
        <v>184</v>
      </c>
      <c r="B179" t="s">
        <v>155</v>
      </c>
      <c r="C179" t="s">
        <v>13</v>
      </c>
      <c r="D179" t="s">
        <v>138</v>
      </c>
      <c r="E179">
        <v>23</v>
      </c>
      <c r="F179">
        <v>1.075</v>
      </c>
      <c r="G179">
        <v>1.6</v>
      </c>
      <c r="H179">
        <f t="shared" si="4"/>
        <v>0.55254999999999999</v>
      </c>
      <c r="I179">
        <f t="shared" si="5"/>
        <v>0.82240000000000002</v>
      </c>
    </row>
    <row r="180" spans="1:9">
      <c r="A180" t="s">
        <v>184</v>
      </c>
      <c r="B180" t="s">
        <v>155</v>
      </c>
      <c r="C180" t="s">
        <v>13</v>
      </c>
      <c r="D180" t="s">
        <v>138</v>
      </c>
      <c r="E180">
        <v>24</v>
      </c>
      <c r="F180">
        <v>1.0249999999999999</v>
      </c>
      <c r="G180">
        <v>1.6</v>
      </c>
      <c r="H180">
        <f t="shared" si="4"/>
        <v>0.52684999999999993</v>
      </c>
      <c r="I180">
        <f t="shared" si="5"/>
        <v>0.82240000000000002</v>
      </c>
    </row>
    <row r="181" spans="1:9">
      <c r="A181" t="s">
        <v>184</v>
      </c>
      <c r="B181" t="s">
        <v>155</v>
      </c>
      <c r="C181" t="s">
        <v>13</v>
      </c>
      <c r="D181" t="s">
        <v>138</v>
      </c>
      <c r="E181">
        <v>25</v>
      </c>
      <c r="F181">
        <v>1.0250000000000001</v>
      </c>
      <c r="G181">
        <v>1.6</v>
      </c>
      <c r="H181">
        <f t="shared" si="4"/>
        <v>0.52685000000000004</v>
      </c>
      <c r="I181">
        <f t="shared" si="5"/>
        <v>0.82240000000000002</v>
      </c>
    </row>
    <row r="182" spans="1:9">
      <c r="A182" t="s">
        <v>184</v>
      </c>
      <c r="B182" t="s">
        <v>155</v>
      </c>
      <c r="C182" t="s">
        <v>13</v>
      </c>
      <c r="D182" t="s">
        <v>138</v>
      </c>
      <c r="E182">
        <v>26</v>
      </c>
      <c r="F182">
        <v>1.3</v>
      </c>
      <c r="G182">
        <v>1.6</v>
      </c>
      <c r="H182">
        <f t="shared" si="4"/>
        <v>0.66820000000000002</v>
      </c>
      <c r="I182">
        <f t="shared" si="5"/>
        <v>0.82240000000000002</v>
      </c>
    </row>
    <row r="183" spans="1:9">
      <c r="A183" t="s">
        <v>184</v>
      </c>
      <c r="B183" t="s">
        <v>155</v>
      </c>
      <c r="C183" t="s">
        <v>13</v>
      </c>
      <c r="D183" t="s">
        <v>138</v>
      </c>
      <c r="E183">
        <v>27</v>
      </c>
      <c r="F183">
        <v>1.175</v>
      </c>
      <c r="G183">
        <v>1.6</v>
      </c>
      <c r="H183">
        <f t="shared" si="4"/>
        <v>0.60394999999999999</v>
      </c>
      <c r="I183">
        <f t="shared" si="5"/>
        <v>0.82240000000000002</v>
      </c>
    </row>
    <row r="184" spans="1:9">
      <c r="A184" t="s">
        <v>184</v>
      </c>
      <c r="B184" t="s">
        <v>155</v>
      </c>
      <c r="C184" t="s">
        <v>13</v>
      </c>
      <c r="D184" t="s">
        <v>138</v>
      </c>
      <c r="E184">
        <v>28</v>
      </c>
      <c r="F184">
        <v>1.2750000000000001</v>
      </c>
      <c r="G184">
        <v>1.6</v>
      </c>
      <c r="H184">
        <f t="shared" si="4"/>
        <v>0.6553500000000001</v>
      </c>
      <c r="I184">
        <f t="shared" si="5"/>
        <v>0.82240000000000002</v>
      </c>
    </row>
    <row r="185" spans="1:9">
      <c r="A185" t="s">
        <v>184</v>
      </c>
      <c r="B185" t="s">
        <v>155</v>
      </c>
      <c r="C185" t="s">
        <v>13</v>
      </c>
      <c r="D185" t="s">
        <v>138</v>
      </c>
      <c r="E185">
        <v>29</v>
      </c>
      <c r="F185">
        <v>1.375</v>
      </c>
      <c r="G185">
        <v>1.7</v>
      </c>
      <c r="H185">
        <f t="shared" si="4"/>
        <v>0.70674999999999999</v>
      </c>
      <c r="I185">
        <f t="shared" si="5"/>
        <v>0.87380000000000002</v>
      </c>
    </row>
    <row r="186" spans="1:9">
      <c r="A186" t="s">
        <v>184</v>
      </c>
      <c r="B186" t="s">
        <v>155</v>
      </c>
      <c r="C186" t="s">
        <v>13</v>
      </c>
      <c r="D186" t="s">
        <v>138</v>
      </c>
      <c r="E186">
        <v>30</v>
      </c>
      <c r="F186">
        <v>1.4500000000000002</v>
      </c>
      <c r="G186">
        <v>1.7</v>
      </c>
      <c r="H186">
        <f t="shared" si="4"/>
        <v>0.74530000000000007</v>
      </c>
      <c r="I186">
        <f t="shared" si="5"/>
        <v>0.87380000000000002</v>
      </c>
    </row>
    <row r="187" spans="1:9">
      <c r="A187" t="s">
        <v>184</v>
      </c>
      <c r="B187" t="s">
        <v>155</v>
      </c>
      <c r="C187" t="s">
        <v>13</v>
      </c>
      <c r="D187" t="s">
        <v>138</v>
      </c>
      <c r="E187">
        <v>31</v>
      </c>
      <c r="F187">
        <v>1.4</v>
      </c>
      <c r="G187">
        <v>1.6</v>
      </c>
      <c r="H187">
        <f t="shared" si="4"/>
        <v>0.71960000000000002</v>
      </c>
      <c r="I187">
        <f t="shared" si="5"/>
        <v>0.82240000000000002</v>
      </c>
    </row>
    <row r="188" spans="1:9">
      <c r="A188" t="s">
        <v>185</v>
      </c>
      <c r="B188" t="s">
        <v>156</v>
      </c>
      <c r="C188" t="s">
        <v>13</v>
      </c>
      <c r="D188" t="s">
        <v>138</v>
      </c>
      <c r="E188">
        <v>1</v>
      </c>
      <c r="F188">
        <v>1.4750000000000001</v>
      </c>
      <c r="G188">
        <v>1.9</v>
      </c>
      <c r="H188">
        <f t="shared" si="4"/>
        <v>0.7581500000000001</v>
      </c>
      <c r="I188">
        <f t="shared" si="5"/>
        <v>0.97660000000000002</v>
      </c>
    </row>
    <row r="189" spans="1:9">
      <c r="A189" t="s">
        <v>185</v>
      </c>
      <c r="B189" t="s">
        <v>156</v>
      </c>
      <c r="C189" t="s">
        <v>13</v>
      </c>
      <c r="D189" t="s">
        <v>138</v>
      </c>
      <c r="E189">
        <v>2</v>
      </c>
      <c r="F189">
        <v>1.4750000000000001</v>
      </c>
      <c r="G189">
        <v>1.9</v>
      </c>
      <c r="H189">
        <f t="shared" si="4"/>
        <v>0.7581500000000001</v>
      </c>
      <c r="I189">
        <f t="shared" si="5"/>
        <v>0.97660000000000002</v>
      </c>
    </row>
    <row r="190" spans="1:9">
      <c r="A190" t="s">
        <v>185</v>
      </c>
      <c r="B190" t="s">
        <v>156</v>
      </c>
      <c r="C190" t="s">
        <v>13</v>
      </c>
      <c r="D190" t="s">
        <v>138</v>
      </c>
      <c r="E190">
        <v>3</v>
      </c>
      <c r="F190">
        <v>1.425</v>
      </c>
      <c r="G190">
        <v>1.8</v>
      </c>
      <c r="H190">
        <f t="shared" si="4"/>
        <v>0.73245000000000005</v>
      </c>
      <c r="I190">
        <f t="shared" si="5"/>
        <v>0.92520000000000002</v>
      </c>
    </row>
    <row r="191" spans="1:9">
      <c r="A191" t="s">
        <v>185</v>
      </c>
      <c r="B191" t="s">
        <v>156</v>
      </c>
      <c r="C191" t="s">
        <v>13</v>
      </c>
      <c r="D191" t="s">
        <v>138</v>
      </c>
      <c r="E191">
        <v>4</v>
      </c>
      <c r="F191">
        <v>1.3250000000000002</v>
      </c>
      <c r="G191">
        <v>1.6</v>
      </c>
      <c r="H191">
        <f t="shared" si="4"/>
        <v>0.68105000000000016</v>
      </c>
      <c r="I191">
        <f t="shared" si="5"/>
        <v>0.82240000000000002</v>
      </c>
    </row>
    <row r="192" spans="1:9">
      <c r="A192" t="s">
        <v>185</v>
      </c>
      <c r="B192" t="s">
        <v>156</v>
      </c>
      <c r="C192" t="s">
        <v>13</v>
      </c>
      <c r="D192" t="s">
        <v>138</v>
      </c>
      <c r="E192">
        <v>5</v>
      </c>
      <c r="F192">
        <v>1.0999999999999999</v>
      </c>
      <c r="G192">
        <v>1.3</v>
      </c>
      <c r="H192">
        <f t="shared" si="4"/>
        <v>0.5653999999999999</v>
      </c>
      <c r="I192">
        <f t="shared" si="5"/>
        <v>0.66820000000000002</v>
      </c>
    </row>
    <row r="193" spans="1:9">
      <c r="A193" t="s">
        <v>185</v>
      </c>
      <c r="B193" t="s">
        <v>156</v>
      </c>
      <c r="C193" t="s">
        <v>13</v>
      </c>
      <c r="D193" t="s">
        <v>138</v>
      </c>
      <c r="E193">
        <v>6</v>
      </c>
      <c r="F193">
        <v>1.05</v>
      </c>
      <c r="G193">
        <v>1.4</v>
      </c>
      <c r="H193">
        <f t="shared" si="4"/>
        <v>0.53970000000000007</v>
      </c>
      <c r="I193">
        <f t="shared" si="5"/>
        <v>0.71960000000000002</v>
      </c>
    </row>
    <row r="194" spans="1:9">
      <c r="A194" t="s">
        <v>185</v>
      </c>
      <c r="B194" t="s">
        <v>156</v>
      </c>
      <c r="C194" t="s">
        <v>13</v>
      </c>
      <c r="D194" t="s">
        <v>138</v>
      </c>
      <c r="E194">
        <v>7</v>
      </c>
      <c r="F194">
        <v>0.95</v>
      </c>
      <c r="G194">
        <v>1.4</v>
      </c>
      <c r="H194">
        <f t="shared" si="4"/>
        <v>0.48830000000000001</v>
      </c>
      <c r="I194">
        <f t="shared" si="5"/>
        <v>0.71960000000000002</v>
      </c>
    </row>
    <row r="195" spans="1:9">
      <c r="A195" t="s">
        <v>185</v>
      </c>
      <c r="B195" t="s">
        <v>156</v>
      </c>
      <c r="C195" t="s">
        <v>13</v>
      </c>
      <c r="D195" t="s">
        <v>138</v>
      </c>
      <c r="E195">
        <v>8</v>
      </c>
      <c r="F195">
        <v>0.8</v>
      </c>
      <c r="G195">
        <v>1.2</v>
      </c>
      <c r="H195">
        <f t="shared" ref="H195:H258" si="6">F195*0.514</f>
        <v>0.41120000000000001</v>
      </c>
      <c r="I195">
        <f t="shared" ref="I195:I258" si="7">G195*0.514</f>
        <v>0.61680000000000001</v>
      </c>
    </row>
    <row r="196" spans="1:9">
      <c r="A196" t="s">
        <v>185</v>
      </c>
      <c r="B196" t="s">
        <v>156</v>
      </c>
      <c r="C196" t="s">
        <v>13</v>
      </c>
      <c r="D196" t="s">
        <v>138</v>
      </c>
      <c r="E196">
        <v>9</v>
      </c>
      <c r="F196">
        <v>0.75</v>
      </c>
      <c r="G196">
        <v>1.2</v>
      </c>
      <c r="H196">
        <f t="shared" si="6"/>
        <v>0.38550000000000001</v>
      </c>
      <c r="I196">
        <f t="shared" si="7"/>
        <v>0.61680000000000001</v>
      </c>
    </row>
    <row r="197" spans="1:9">
      <c r="A197" t="s">
        <v>185</v>
      </c>
      <c r="B197" t="s">
        <v>156</v>
      </c>
      <c r="C197" t="s">
        <v>13</v>
      </c>
      <c r="D197" t="s">
        <v>138</v>
      </c>
      <c r="E197">
        <v>10</v>
      </c>
      <c r="F197">
        <v>0.72499999999999998</v>
      </c>
      <c r="G197">
        <v>1.2</v>
      </c>
      <c r="H197">
        <f t="shared" si="6"/>
        <v>0.37264999999999998</v>
      </c>
      <c r="I197">
        <f t="shared" si="7"/>
        <v>0.61680000000000001</v>
      </c>
    </row>
    <row r="198" spans="1:9">
      <c r="A198" t="s">
        <v>185</v>
      </c>
      <c r="B198" t="s">
        <v>156</v>
      </c>
      <c r="C198" t="s">
        <v>13</v>
      </c>
      <c r="D198" t="s">
        <v>138</v>
      </c>
      <c r="E198">
        <v>11</v>
      </c>
      <c r="F198">
        <v>0.77500000000000002</v>
      </c>
      <c r="G198">
        <v>1.2</v>
      </c>
      <c r="H198">
        <f t="shared" si="6"/>
        <v>0.39835000000000004</v>
      </c>
      <c r="I198">
        <f t="shared" si="7"/>
        <v>0.61680000000000001</v>
      </c>
    </row>
    <row r="199" spans="1:9">
      <c r="A199" t="s">
        <v>185</v>
      </c>
      <c r="B199" t="s">
        <v>156</v>
      </c>
      <c r="C199" t="s">
        <v>13</v>
      </c>
      <c r="D199" t="s">
        <v>138</v>
      </c>
      <c r="E199">
        <v>12</v>
      </c>
      <c r="F199">
        <v>1</v>
      </c>
      <c r="G199">
        <v>1.2</v>
      </c>
      <c r="H199">
        <f t="shared" si="6"/>
        <v>0.51400000000000001</v>
      </c>
      <c r="I199">
        <f t="shared" si="7"/>
        <v>0.61680000000000001</v>
      </c>
    </row>
    <row r="200" spans="1:9">
      <c r="A200" t="s">
        <v>185</v>
      </c>
      <c r="B200" t="s">
        <v>156</v>
      </c>
      <c r="C200" t="s">
        <v>13</v>
      </c>
      <c r="D200" t="s">
        <v>138</v>
      </c>
      <c r="E200">
        <v>13</v>
      </c>
      <c r="F200">
        <v>0.97499999999999987</v>
      </c>
      <c r="G200">
        <v>1.4</v>
      </c>
      <c r="H200">
        <f t="shared" si="6"/>
        <v>0.50114999999999998</v>
      </c>
      <c r="I200">
        <f t="shared" si="7"/>
        <v>0.71960000000000002</v>
      </c>
    </row>
    <row r="201" spans="1:9">
      <c r="A201" t="s">
        <v>185</v>
      </c>
      <c r="B201" t="s">
        <v>156</v>
      </c>
      <c r="C201" t="s">
        <v>13</v>
      </c>
      <c r="D201" t="s">
        <v>138</v>
      </c>
      <c r="E201">
        <v>14</v>
      </c>
      <c r="F201">
        <v>1.075</v>
      </c>
      <c r="G201">
        <v>1.4</v>
      </c>
      <c r="H201">
        <f t="shared" si="6"/>
        <v>0.55254999999999999</v>
      </c>
      <c r="I201">
        <f t="shared" si="7"/>
        <v>0.71960000000000002</v>
      </c>
    </row>
    <row r="202" spans="1:9">
      <c r="A202" t="s">
        <v>185</v>
      </c>
      <c r="B202" t="s">
        <v>156</v>
      </c>
      <c r="C202" t="s">
        <v>13</v>
      </c>
      <c r="D202" t="s">
        <v>138</v>
      </c>
      <c r="E202">
        <v>15</v>
      </c>
      <c r="F202">
        <v>1.2000000000000002</v>
      </c>
      <c r="G202">
        <v>1.6</v>
      </c>
      <c r="H202">
        <f t="shared" si="6"/>
        <v>0.61680000000000013</v>
      </c>
      <c r="I202">
        <f t="shared" si="7"/>
        <v>0.82240000000000002</v>
      </c>
    </row>
    <row r="203" spans="1:9">
      <c r="A203" t="s">
        <v>185</v>
      </c>
      <c r="B203" t="s">
        <v>156</v>
      </c>
      <c r="C203" t="s">
        <v>13</v>
      </c>
      <c r="D203" t="s">
        <v>138</v>
      </c>
      <c r="E203">
        <v>16</v>
      </c>
      <c r="F203">
        <v>1.3</v>
      </c>
      <c r="G203">
        <v>1.6</v>
      </c>
      <c r="H203">
        <f t="shared" si="6"/>
        <v>0.66820000000000002</v>
      </c>
      <c r="I203">
        <f t="shared" si="7"/>
        <v>0.82240000000000002</v>
      </c>
    </row>
    <row r="204" spans="1:9">
      <c r="A204" t="s">
        <v>185</v>
      </c>
      <c r="B204" t="s">
        <v>156</v>
      </c>
      <c r="C204" t="s">
        <v>13</v>
      </c>
      <c r="D204" t="s">
        <v>138</v>
      </c>
      <c r="E204">
        <v>17</v>
      </c>
      <c r="F204">
        <v>1.35</v>
      </c>
      <c r="G204">
        <v>1.6</v>
      </c>
      <c r="H204">
        <f t="shared" si="6"/>
        <v>0.69390000000000007</v>
      </c>
      <c r="I204">
        <f t="shared" si="7"/>
        <v>0.82240000000000002</v>
      </c>
    </row>
    <row r="205" spans="1:9">
      <c r="A205" t="s">
        <v>185</v>
      </c>
      <c r="B205" t="s">
        <v>156</v>
      </c>
      <c r="C205" t="s">
        <v>13</v>
      </c>
      <c r="D205" t="s">
        <v>138</v>
      </c>
      <c r="E205">
        <v>18</v>
      </c>
      <c r="F205">
        <v>1.4</v>
      </c>
      <c r="G205">
        <v>1.6</v>
      </c>
      <c r="H205">
        <f t="shared" si="6"/>
        <v>0.71960000000000002</v>
      </c>
      <c r="I205">
        <f t="shared" si="7"/>
        <v>0.82240000000000002</v>
      </c>
    </row>
    <row r="206" spans="1:9">
      <c r="A206" t="s">
        <v>185</v>
      </c>
      <c r="B206" t="s">
        <v>156</v>
      </c>
      <c r="C206" t="s">
        <v>13</v>
      </c>
      <c r="D206" t="s">
        <v>138</v>
      </c>
      <c r="E206">
        <v>19</v>
      </c>
      <c r="F206">
        <v>1.4</v>
      </c>
      <c r="G206">
        <v>1.6</v>
      </c>
      <c r="H206">
        <f t="shared" si="6"/>
        <v>0.71960000000000002</v>
      </c>
      <c r="I206">
        <f t="shared" si="7"/>
        <v>0.82240000000000002</v>
      </c>
    </row>
    <row r="207" spans="1:9">
      <c r="A207" t="s">
        <v>185</v>
      </c>
      <c r="B207" t="s">
        <v>156</v>
      </c>
      <c r="C207" t="s">
        <v>13</v>
      </c>
      <c r="D207" t="s">
        <v>138</v>
      </c>
      <c r="E207">
        <v>20</v>
      </c>
      <c r="F207">
        <v>1.375</v>
      </c>
      <c r="G207">
        <v>1.7</v>
      </c>
      <c r="H207">
        <f t="shared" si="6"/>
        <v>0.70674999999999999</v>
      </c>
      <c r="I207">
        <f t="shared" si="7"/>
        <v>0.87380000000000002</v>
      </c>
    </row>
    <row r="208" spans="1:9">
      <c r="A208" t="s">
        <v>185</v>
      </c>
      <c r="B208" t="s">
        <v>156</v>
      </c>
      <c r="C208" t="s">
        <v>13</v>
      </c>
      <c r="D208" t="s">
        <v>138</v>
      </c>
      <c r="E208">
        <v>21</v>
      </c>
      <c r="F208">
        <v>1.1666666666666667</v>
      </c>
      <c r="G208">
        <v>1.2</v>
      </c>
      <c r="H208">
        <f t="shared" si="6"/>
        <v>0.59966666666666668</v>
      </c>
      <c r="I208">
        <f t="shared" si="7"/>
        <v>0.61680000000000001</v>
      </c>
    </row>
    <row r="209" spans="1:9">
      <c r="A209" t="s">
        <v>185</v>
      </c>
      <c r="B209" t="s">
        <v>156</v>
      </c>
      <c r="C209" t="s">
        <v>13</v>
      </c>
      <c r="D209" t="s">
        <v>138</v>
      </c>
      <c r="E209">
        <v>22</v>
      </c>
      <c r="F209">
        <v>1.175</v>
      </c>
      <c r="G209">
        <v>1.6</v>
      </c>
      <c r="H209">
        <f t="shared" si="6"/>
        <v>0.60394999999999999</v>
      </c>
      <c r="I209">
        <f t="shared" si="7"/>
        <v>0.82240000000000002</v>
      </c>
    </row>
    <row r="210" spans="1:9">
      <c r="A210" t="s">
        <v>185</v>
      </c>
      <c r="B210" t="s">
        <v>156</v>
      </c>
      <c r="C210" t="s">
        <v>13</v>
      </c>
      <c r="D210" t="s">
        <v>138</v>
      </c>
      <c r="E210">
        <v>23</v>
      </c>
      <c r="F210">
        <v>1.075</v>
      </c>
      <c r="G210">
        <v>1.6</v>
      </c>
      <c r="H210">
        <f t="shared" si="6"/>
        <v>0.55254999999999999</v>
      </c>
      <c r="I210">
        <f t="shared" si="7"/>
        <v>0.82240000000000002</v>
      </c>
    </row>
    <row r="211" spans="1:9">
      <c r="A211" t="s">
        <v>185</v>
      </c>
      <c r="B211" t="s">
        <v>156</v>
      </c>
      <c r="C211" t="s">
        <v>13</v>
      </c>
      <c r="D211" t="s">
        <v>138</v>
      </c>
      <c r="E211">
        <v>24</v>
      </c>
      <c r="F211">
        <v>1.0249999999999999</v>
      </c>
      <c r="G211">
        <v>1.6</v>
      </c>
      <c r="H211">
        <f t="shared" si="6"/>
        <v>0.52684999999999993</v>
      </c>
      <c r="I211">
        <f t="shared" si="7"/>
        <v>0.82240000000000002</v>
      </c>
    </row>
    <row r="212" spans="1:9">
      <c r="A212" t="s">
        <v>185</v>
      </c>
      <c r="B212" t="s">
        <v>156</v>
      </c>
      <c r="C212" t="s">
        <v>13</v>
      </c>
      <c r="D212" t="s">
        <v>138</v>
      </c>
      <c r="E212">
        <v>25</v>
      </c>
      <c r="F212">
        <v>1.0250000000000001</v>
      </c>
      <c r="G212">
        <v>1.6</v>
      </c>
      <c r="H212">
        <f t="shared" si="6"/>
        <v>0.52685000000000004</v>
      </c>
      <c r="I212">
        <f t="shared" si="7"/>
        <v>0.82240000000000002</v>
      </c>
    </row>
    <row r="213" spans="1:9">
      <c r="A213" t="s">
        <v>185</v>
      </c>
      <c r="B213" t="s">
        <v>156</v>
      </c>
      <c r="C213" t="s">
        <v>13</v>
      </c>
      <c r="D213" t="s">
        <v>138</v>
      </c>
      <c r="E213">
        <v>26</v>
      </c>
      <c r="F213">
        <v>1.1000000000000001</v>
      </c>
      <c r="G213">
        <v>1.6</v>
      </c>
      <c r="H213">
        <f t="shared" si="6"/>
        <v>0.56540000000000001</v>
      </c>
      <c r="I213">
        <f t="shared" si="7"/>
        <v>0.82240000000000002</v>
      </c>
    </row>
    <row r="214" spans="1:9">
      <c r="A214" t="s">
        <v>185</v>
      </c>
      <c r="B214" t="s">
        <v>156</v>
      </c>
      <c r="C214" t="s">
        <v>13</v>
      </c>
      <c r="D214" t="s">
        <v>138</v>
      </c>
      <c r="E214">
        <v>27</v>
      </c>
      <c r="F214">
        <v>1.4000000000000001</v>
      </c>
      <c r="G214">
        <v>1.6</v>
      </c>
      <c r="H214">
        <f t="shared" si="6"/>
        <v>0.71960000000000013</v>
      </c>
      <c r="I214">
        <f t="shared" si="7"/>
        <v>0.82240000000000002</v>
      </c>
    </row>
    <row r="215" spans="1:9">
      <c r="A215" t="s">
        <v>185</v>
      </c>
      <c r="B215" t="s">
        <v>156</v>
      </c>
      <c r="C215" t="s">
        <v>13</v>
      </c>
      <c r="D215" t="s">
        <v>138</v>
      </c>
      <c r="E215">
        <v>28</v>
      </c>
      <c r="F215">
        <v>1.2750000000000001</v>
      </c>
      <c r="G215">
        <v>1.6</v>
      </c>
      <c r="H215">
        <f t="shared" si="6"/>
        <v>0.6553500000000001</v>
      </c>
      <c r="I215">
        <f t="shared" si="7"/>
        <v>0.82240000000000002</v>
      </c>
    </row>
    <row r="216" spans="1:9">
      <c r="A216" t="s">
        <v>185</v>
      </c>
      <c r="B216" t="s">
        <v>156</v>
      </c>
      <c r="C216" t="s">
        <v>13</v>
      </c>
      <c r="D216" t="s">
        <v>138</v>
      </c>
      <c r="E216">
        <v>29</v>
      </c>
      <c r="F216">
        <v>1.375</v>
      </c>
      <c r="G216">
        <v>1.7</v>
      </c>
      <c r="H216">
        <f t="shared" si="6"/>
        <v>0.70674999999999999</v>
      </c>
      <c r="I216">
        <f t="shared" si="7"/>
        <v>0.87380000000000002</v>
      </c>
    </row>
    <row r="217" spans="1:9">
      <c r="A217" t="s">
        <v>185</v>
      </c>
      <c r="B217" t="s">
        <v>156</v>
      </c>
      <c r="C217" t="s">
        <v>13</v>
      </c>
      <c r="D217" t="s">
        <v>138</v>
      </c>
      <c r="E217">
        <v>30</v>
      </c>
      <c r="F217">
        <v>1.4500000000000002</v>
      </c>
      <c r="G217">
        <v>1.7</v>
      </c>
      <c r="H217">
        <f t="shared" si="6"/>
        <v>0.74530000000000007</v>
      </c>
      <c r="I217">
        <f t="shared" si="7"/>
        <v>0.87380000000000002</v>
      </c>
    </row>
    <row r="218" spans="1:9">
      <c r="A218" t="s">
        <v>185</v>
      </c>
      <c r="B218" t="s">
        <v>156</v>
      </c>
      <c r="C218" t="s">
        <v>13</v>
      </c>
      <c r="D218" t="s">
        <v>138</v>
      </c>
      <c r="E218">
        <v>31</v>
      </c>
      <c r="F218">
        <v>1.4</v>
      </c>
      <c r="G218">
        <v>1.6</v>
      </c>
      <c r="H218">
        <f t="shared" si="6"/>
        <v>0.71960000000000002</v>
      </c>
      <c r="I218">
        <f t="shared" si="7"/>
        <v>0.82240000000000002</v>
      </c>
    </row>
    <row r="219" spans="1:9">
      <c r="A219" t="s">
        <v>137</v>
      </c>
      <c r="B219" t="s">
        <v>193</v>
      </c>
      <c r="C219" t="s">
        <v>18</v>
      </c>
      <c r="D219" t="s">
        <v>138</v>
      </c>
      <c r="E219">
        <v>1</v>
      </c>
      <c r="F219">
        <v>0.85</v>
      </c>
      <c r="G219">
        <v>1.2</v>
      </c>
      <c r="H219">
        <f t="shared" si="6"/>
        <v>0.43690000000000001</v>
      </c>
      <c r="I219">
        <f t="shared" si="7"/>
        <v>0.61680000000000001</v>
      </c>
    </row>
    <row r="220" spans="1:9">
      <c r="A220" t="s">
        <v>137</v>
      </c>
      <c r="B220" t="s">
        <v>193</v>
      </c>
      <c r="C220" t="s">
        <v>18</v>
      </c>
      <c r="D220" t="s">
        <v>138</v>
      </c>
      <c r="E220">
        <v>2</v>
      </c>
      <c r="F220">
        <v>0.82499999999999996</v>
      </c>
      <c r="G220">
        <v>1.1000000000000001</v>
      </c>
      <c r="H220">
        <f t="shared" si="6"/>
        <v>0.42404999999999998</v>
      </c>
      <c r="I220">
        <f t="shared" si="7"/>
        <v>0.56540000000000001</v>
      </c>
    </row>
    <row r="221" spans="1:9">
      <c r="A221" t="s">
        <v>137</v>
      </c>
      <c r="B221" t="s">
        <v>193</v>
      </c>
      <c r="C221" t="s">
        <v>18</v>
      </c>
      <c r="D221" t="s">
        <v>138</v>
      </c>
      <c r="E221">
        <v>3</v>
      </c>
      <c r="F221">
        <v>0.79999999999999993</v>
      </c>
      <c r="G221">
        <v>1.1000000000000001</v>
      </c>
      <c r="H221">
        <f t="shared" si="6"/>
        <v>0.41119999999999995</v>
      </c>
      <c r="I221">
        <f t="shared" si="7"/>
        <v>0.56540000000000001</v>
      </c>
    </row>
    <row r="222" spans="1:9">
      <c r="A222" t="s">
        <v>137</v>
      </c>
      <c r="B222" t="s">
        <v>193</v>
      </c>
      <c r="C222" t="s">
        <v>18</v>
      </c>
      <c r="D222" t="s">
        <v>138</v>
      </c>
      <c r="E222">
        <v>4</v>
      </c>
      <c r="F222">
        <v>0.72499999999999998</v>
      </c>
      <c r="G222">
        <v>0.9</v>
      </c>
      <c r="H222">
        <f t="shared" si="6"/>
        <v>0.37264999999999998</v>
      </c>
      <c r="I222">
        <f t="shared" si="7"/>
        <v>0.46260000000000001</v>
      </c>
    </row>
    <row r="223" spans="1:9">
      <c r="A223" t="s">
        <v>137</v>
      </c>
      <c r="B223" t="s">
        <v>193</v>
      </c>
      <c r="C223" t="s">
        <v>18</v>
      </c>
      <c r="D223" t="s">
        <v>138</v>
      </c>
      <c r="E223">
        <v>5</v>
      </c>
      <c r="F223">
        <v>0.65000000000000013</v>
      </c>
      <c r="G223">
        <v>0.8</v>
      </c>
      <c r="H223">
        <f t="shared" si="6"/>
        <v>0.33410000000000006</v>
      </c>
      <c r="I223">
        <f t="shared" si="7"/>
        <v>0.41120000000000001</v>
      </c>
    </row>
    <row r="224" spans="1:9">
      <c r="A224" t="s">
        <v>137</v>
      </c>
      <c r="B224" t="s">
        <v>193</v>
      </c>
      <c r="C224" t="s">
        <v>18</v>
      </c>
      <c r="D224" t="s">
        <v>138</v>
      </c>
      <c r="E224">
        <v>6</v>
      </c>
      <c r="F224">
        <v>0.5</v>
      </c>
      <c r="G224">
        <v>0.6</v>
      </c>
      <c r="H224">
        <f t="shared" si="6"/>
        <v>0.25700000000000001</v>
      </c>
      <c r="I224">
        <f t="shared" si="7"/>
        <v>0.30840000000000001</v>
      </c>
    </row>
    <row r="225" spans="1:9">
      <c r="A225" t="s">
        <v>137</v>
      </c>
      <c r="B225" t="s">
        <v>193</v>
      </c>
      <c r="C225" t="s">
        <v>18</v>
      </c>
      <c r="D225" t="s">
        <v>138</v>
      </c>
      <c r="E225">
        <v>7</v>
      </c>
      <c r="F225">
        <v>0.5</v>
      </c>
      <c r="G225">
        <v>0.8</v>
      </c>
      <c r="H225">
        <f t="shared" si="6"/>
        <v>0.25700000000000001</v>
      </c>
      <c r="I225">
        <f t="shared" si="7"/>
        <v>0.41120000000000001</v>
      </c>
    </row>
    <row r="226" spans="1:9">
      <c r="A226" t="s">
        <v>137</v>
      </c>
      <c r="B226" t="s">
        <v>193</v>
      </c>
      <c r="C226" t="s">
        <v>18</v>
      </c>
      <c r="D226" t="s">
        <v>138</v>
      </c>
      <c r="E226">
        <v>8</v>
      </c>
      <c r="F226">
        <v>0.45000000000000007</v>
      </c>
      <c r="G226">
        <v>0.8</v>
      </c>
      <c r="H226">
        <f t="shared" si="6"/>
        <v>0.23130000000000003</v>
      </c>
      <c r="I226">
        <f t="shared" si="7"/>
        <v>0.41120000000000001</v>
      </c>
    </row>
    <row r="227" spans="1:9">
      <c r="A227" t="s">
        <v>137</v>
      </c>
      <c r="B227" t="s">
        <v>193</v>
      </c>
      <c r="C227" t="s">
        <v>18</v>
      </c>
      <c r="D227" t="s">
        <v>138</v>
      </c>
      <c r="E227">
        <v>9</v>
      </c>
      <c r="F227">
        <v>0.4</v>
      </c>
      <c r="G227">
        <v>0.7</v>
      </c>
      <c r="H227">
        <f t="shared" si="6"/>
        <v>0.2056</v>
      </c>
      <c r="I227">
        <f t="shared" si="7"/>
        <v>0.35980000000000001</v>
      </c>
    </row>
    <row r="228" spans="1:9">
      <c r="A228" t="s">
        <v>137</v>
      </c>
      <c r="B228" t="s">
        <v>193</v>
      </c>
      <c r="C228" t="s">
        <v>18</v>
      </c>
      <c r="D228" t="s">
        <v>138</v>
      </c>
      <c r="E228">
        <v>10</v>
      </c>
      <c r="F228">
        <v>0.4</v>
      </c>
      <c r="G228">
        <v>0.7</v>
      </c>
      <c r="H228">
        <f t="shared" si="6"/>
        <v>0.2056</v>
      </c>
      <c r="I228">
        <f t="shared" si="7"/>
        <v>0.35980000000000001</v>
      </c>
    </row>
    <row r="229" spans="1:9">
      <c r="A229" t="s">
        <v>137</v>
      </c>
      <c r="B229" t="s">
        <v>193</v>
      </c>
      <c r="C229" t="s">
        <v>18</v>
      </c>
      <c r="D229" t="s">
        <v>138</v>
      </c>
      <c r="E229">
        <v>11</v>
      </c>
      <c r="F229">
        <v>0.42499999999999999</v>
      </c>
      <c r="G229">
        <v>0.7</v>
      </c>
      <c r="H229">
        <f t="shared" si="6"/>
        <v>0.21845000000000001</v>
      </c>
      <c r="I229">
        <f t="shared" si="7"/>
        <v>0.35980000000000001</v>
      </c>
    </row>
    <row r="230" spans="1:9">
      <c r="A230" t="s">
        <v>137</v>
      </c>
      <c r="B230" t="s">
        <v>193</v>
      </c>
      <c r="C230" t="s">
        <v>18</v>
      </c>
      <c r="D230" t="s">
        <v>138</v>
      </c>
      <c r="E230">
        <v>12</v>
      </c>
      <c r="F230">
        <v>0.49999999999999994</v>
      </c>
      <c r="G230">
        <v>0.8</v>
      </c>
      <c r="H230">
        <f t="shared" si="6"/>
        <v>0.25699999999999995</v>
      </c>
      <c r="I230">
        <f t="shared" si="7"/>
        <v>0.41120000000000001</v>
      </c>
    </row>
    <row r="231" spans="1:9">
      <c r="A231" t="s">
        <v>137</v>
      </c>
      <c r="B231" t="s">
        <v>193</v>
      </c>
      <c r="C231" t="s">
        <v>18</v>
      </c>
      <c r="D231" t="s">
        <v>138</v>
      </c>
      <c r="E231">
        <v>13</v>
      </c>
      <c r="F231">
        <v>0.6333333333333333</v>
      </c>
      <c r="G231">
        <v>0.8</v>
      </c>
      <c r="H231">
        <f t="shared" si="6"/>
        <v>0.32553333333333334</v>
      </c>
      <c r="I231">
        <f t="shared" si="7"/>
        <v>0.41120000000000001</v>
      </c>
    </row>
    <row r="232" spans="1:9">
      <c r="A232" t="s">
        <v>137</v>
      </c>
      <c r="B232" t="s">
        <v>193</v>
      </c>
      <c r="C232" t="s">
        <v>18</v>
      </c>
      <c r="D232" t="s">
        <v>138</v>
      </c>
      <c r="E232">
        <v>14</v>
      </c>
      <c r="F232">
        <v>0.6</v>
      </c>
      <c r="G232">
        <v>0.9</v>
      </c>
      <c r="H232">
        <f t="shared" si="6"/>
        <v>0.30840000000000001</v>
      </c>
      <c r="I232">
        <f t="shared" si="7"/>
        <v>0.46260000000000001</v>
      </c>
    </row>
    <row r="233" spans="1:9">
      <c r="A233" t="s">
        <v>137</v>
      </c>
      <c r="B233" t="s">
        <v>193</v>
      </c>
      <c r="C233" t="s">
        <v>18</v>
      </c>
      <c r="D233" t="s">
        <v>138</v>
      </c>
      <c r="E233">
        <v>15</v>
      </c>
      <c r="F233">
        <v>0.64999999999999991</v>
      </c>
      <c r="G233">
        <v>0.9</v>
      </c>
      <c r="H233">
        <f t="shared" si="6"/>
        <v>0.33409999999999995</v>
      </c>
      <c r="I233">
        <f t="shared" si="7"/>
        <v>0.46260000000000001</v>
      </c>
    </row>
    <row r="234" spans="1:9">
      <c r="A234" t="s">
        <v>137</v>
      </c>
      <c r="B234" t="s">
        <v>193</v>
      </c>
      <c r="C234" t="s">
        <v>18</v>
      </c>
      <c r="D234" t="s">
        <v>138</v>
      </c>
      <c r="E234">
        <v>16</v>
      </c>
      <c r="F234">
        <v>0.72500000000000009</v>
      </c>
      <c r="G234">
        <v>1</v>
      </c>
      <c r="H234">
        <f t="shared" si="6"/>
        <v>0.37265000000000004</v>
      </c>
      <c r="I234">
        <f t="shared" si="7"/>
        <v>0.51400000000000001</v>
      </c>
    </row>
    <row r="235" spans="1:9">
      <c r="A235" t="s">
        <v>137</v>
      </c>
      <c r="B235" t="s">
        <v>193</v>
      </c>
      <c r="C235" t="s">
        <v>18</v>
      </c>
      <c r="D235" t="s">
        <v>138</v>
      </c>
      <c r="E235">
        <v>17</v>
      </c>
      <c r="F235">
        <v>0.77500000000000002</v>
      </c>
      <c r="G235">
        <v>1</v>
      </c>
      <c r="H235">
        <f t="shared" si="6"/>
        <v>0.39835000000000004</v>
      </c>
      <c r="I235">
        <f t="shared" si="7"/>
        <v>0.51400000000000001</v>
      </c>
    </row>
    <row r="236" spans="1:9">
      <c r="A236" t="s">
        <v>137</v>
      </c>
      <c r="B236" t="s">
        <v>193</v>
      </c>
      <c r="C236" t="s">
        <v>18</v>
      </c>
      <c r="D236" t="s">
        <v>138</v>
      </c>
      <c r="E236">
        <v>18</v>
      </c>
      <c r="F236">
        <v>0.82499999999999996</v>
      </c>
      <c r="G236">
        <v>1</v>
      </c>
      <c r="H236">
        <f t="shared" si="6"/>
        <v>0.42404999999999998</v>
      </c>
      <c r="I236">
        <f t="shared" si="7"/>
        <v>0.51400000000000001</v>
      </c>
    </row>
    <row r="237" spans="1:9">
      <c r="A237" t="s">
        <v>137</v>
      </c>
      <c r="B237" t="s">
        <v>193</v>
      </c>
      <c r="C237" t="s">
        <v>18</v>
      </c>
      <c r="D237" t="s">
        <v>138</v>
      </c>
      <c r="E237">
        <v>19</v>
      </c>
      <c r="F237">
        <v>0.8</v>
      </c>
      <c r="G237">
        <v>1</v>
      </c>
      <c r="H237">
        <f t="shared" si="6"/>
        <v>0.41120000000000001</v>
      </c>
      <c r="I237">
        <f t="shared" si="7"/>
        <v>0.51400000000000001</v>
      </c>
    </row>
    <row r="238" spans="1:9">
      <c r="A238" t="s">
        <v>137</v>
      </c>
      <c r="B238" t="s">
        <v>193</v>
      </c>
      <c r="C238" t="s">
        <v>18</v>
      </c>
      <c r="D238" t="s">
        <v>138</v>
      </c>
      <c r="E238">
        <v>20</v>
      </c>
      <c r="F238">
        <v>0.75</v>
      </c>
      <c r="G238">
        <v>1</v>
      </c>
      <c r="H238">
        <f t="shared" si="6"/>
        <v>0.38550000000000001</v>
      </c>
      <c r="I238">
        <f t="shared" si="7"/>
        <v>0.51400000000000001</v>
      </c>
    </row>
    <row r="239" spans="1:9">
      <c r="A239" t="s">
        <v>137</v>
      </c>
      <c r="B239" t="s">
        <v>193</v>
      </c>
      <c r="C239" t="s">
        <v>18</v>
      </c>
      <c r="D239" t="s">
        <v>138</v>
      </c>
      <c r="E239">
        <v>21</v>
      </c>
      <c r="F239">
        <v>0.72499999999999998</v>
      </c>
      <c r="G239">
        <v>1</v>
      </c>
      <c r="H239">
        <f t="shared" si="6"/>
        <v>0.37264999999999998</v>
      </c>
      <c r="I239">
        <f t="shared" si="7"/>
        <v>0.51400000000000001</v>
      </c>
    </row>
    <row r="240" spans="1:9">
      <c r="A240" t="s">
        <v>137</v>
      </c>
      <c r="B240" t="s">
        <v>193</v>
      </c>
      <c r="C240" t="s">
        <v>18</v>
      </c>
      <c r="D240" t="s">
        <v>138</v>
      </c>
      <c r="E240">
        <v>22</v>
      </c>
      <c r="F240">
        <v>0.56666666666666665</v>
      </c>
      <c r="G240">
        <v>0.6</v>
      </c>
      <c r="H240">
        <f t="shared" si="6"/>
        <v>0.29126666666666667</v>
      </c>
      <c r="I240">
        <f t="shared" si="7"/>
        <v>0.30840000000000001</v>
      </c>
    </row>
    <row r="241" spans="1:9">
      <c r="A241" t="s">
        <v>137</v>
      </c>
      <c r="B241" t="s">
        <v>193</v>
      </c>
      <c r="C241" t="s">
        <v>18</v>
      </c>
      <c r="D241" t="s">
        <v>138</v>
      </c>
      <c r="E241">
        <v>23</v>
      </c>
      <c r="F241">
        <v>0.625</v>
      </c>
      <c r="G241">
        <v>1</v>
      </c>
      <c r="H241">
        <f t="shared" si="6"/>
        <v>0.32125000000000004</v>
      </c>
      <c r="I241">
        <f t="shared" si="7"/>
        <v>0.51400000000000001</v>
      </c>
    </row>
    <row r="242" spans="1:9">
      <c r="A242" t="s">
        <v>137</v>
      </c>
      <c r="B242" t="s">
        <v>193</v>
      </c>
      <c r="C242" t="s">
        <v>18</v>
      </c>
      <c r="D242" t="s">
        <v>138</v>
      </c>
      <c r="E242">
        <v>24</v>
      </c>
      <c r="F242">
        <v>0.54999999999999993</v>
      </c>
      <c r="G242">
        <v>0.9</v>
      </c>
      <c r="H242">
        <f t="shared" si="6"/>
        <v>0.28269999999999995</v>
      </c>
      <c r="I242">
        <f t="shared" si="7"/>
        <v>0.46260000000000001</v>
      </c>
    </row>
    <row r="243" spans="1:9">
      <c r="A243" t="s">
        <v>137</v>
      </c>
      <c r="B243" t="s">
        <v>193</v>
      </c>
      <c r="C243" t="s">
        <v>18</v>
      </c>
      <c r="D243" t="s">
        <v>138</v>
      </c>
      <c r="E243">
        <v>25</v>
      </c>
      <c r="F243">
        <v>0.55000000000000004</v>
      </c>
      <c r="G243">
        <v>0.9</v>
      </c>
      <c r="H243">
        <f t="shared" si="6"/>
        <v>0.28270000000000001</v>
      </c>
      <c r="I243">
        <f t="shared" si="7"/>
        <v>0.46260000000000001</v>
      </c>
    </row>
    <row r="244" spans="1:9">
      <c r="A244" t="s">
        <v>137</v>
      </c>
      <c r="B244" t="s">
        <v>193</v>
      </c>
      <c r="C244" t="s">
        <v>18</v>
      </c>
      <c r="D244" t="s">
        <v>138</v>
      </c>
      <c r="E244">
        <v>26</v>
      </c>
      <c r="F244">
        <v>0.625</v>
      </c>
      <c r="G244">
        <v>0.9</v>
      </c>
      <c r="H244">
        <f t="shared" si="6"/>
        <v>0.32125000000000004</v>
      </c>
      <c r="I244">
        <f t="shared" si="7"/>
        <v>0.46260000000000001</v>
      </c>
    </row>
    <row r="245" spans="1:9">
      <c r="A245" t="s">
        <v>137</v>
      </c>
      <c r="B245" t="s">
        <v>193</v>
      </c>
      <c r="C245" t="s">
        <v>18</v>
      </c>
      <c r="D245" t="s">
        <v>138</v>
      </c>
      <c r="E245">
        <v>27</v>
      </c>
      <c r="F245">
        <v>0.83333333333333337</v>
      </c>
      <c r="G245">
        <v>1</v>
      </c>
      <c r="H245">
        <f t="shared" si="6"/>
        <v>0.42833333333333334</v>
      </c>
      <c r="I245">
        <f t="shared" si="7"/>
        <v>0.51400000000000001</v>
      </c>
    </row>
    <row r="246" spans="1:9">
      <c r="A246" t="s">
        <v>137</v>
      </c>
      <c r="B246" t="s">
        <v>193</v>
      </c>
      <c r="C246" t="s">
        <v>18</v>
      </c>
      <c r="D246" t="s">
        <v>138</v>
      </c>
      <c r="E246">
        <v>28</v>
      </c>
      <c r="F246">
        <v>0.72500000000000009</v>
      </c>
      <c r="G246">
        <v>1</v>
      </c>
      <c r="H246">
        <f t="shared" si="6"/>
        <v>0.37265000000000004</v>
      </c>
      <c r="I246">
        <f t="shared" si="7"/>
        <v>0.51400000000000001</v>
      </c>
    </row>
    <row r="247" spans="1:9">
      <c r="A247" t="s">
        <v>137</v>
      </c>
      <c r="B247" t="s">
        <v>193</v>
      </c>
      <c r="C247" t="s">
        <v>18</v>
      </c>
      <c r="D247" t="s">
        <v>138</v>
      </c>
      <c r="E247">
        <v>29</v>
      </c>
      <c r="F247">
        <v>0.77500000000000002</v>
      </c>
      <c r="G247">
        <v>1</v>
      </c>
      <c r="H247">
        <f t="shared" si="6"/>
        <v>0.39835000000000004</v>
      </c>
      <c r="I247">
        <f t="shared" si="7"/>
        <v>0.51400000000000001</v>
      </c>
    </row>
    <row r="248" spans="1:9">
      <c r="A248" t="s">
        <v>137</v>
      </c>
      <c r="B248" t="s">
        <v>193</v>
      </c>
      <c r="C248" t="s">
        <v>18</v>
      </c>
      <c r="D248" t="s">
        <v>138</v>
      </c>
      <c r="E248">
        <v>30</v>
      </c>
      <c r="F248">
        <v>0.79999999999999993</v>
      </c>
      <c r="G248">
        <v>1</v>
      </c>
      <c r="H248">
        <f t="shared" si="6"/>
        <v>0.41119999999999995</v>
      </c>
      <c r="I248">
        <f t="shared" si="7"/>
        <v>0.51400000000000001</v>
      </c>
    </row>
    <row r="249" spans="1:9">
      <c r="A249" t="s">
        <v>137</v>
      </c>
      <c r="B249" t="s">
        <v>193</v>
      </c>
      <c r="C249" t="s">
        <v>18</v>
      </c>
      <c r="D249" t="s">
        <v>138</v>
      </c>
      <c r="E249">
        <v>31</v>
      </c>
      <c r="F249">
        <v>0.8</v>
      </c>
      <c r="G249">
        <v>1</v>
      </c>
      <c r="H249">
        <f t="shared" si="6"/>
        <v>0.41120000000000001</v>
      </c>
      <c r="I249">
        <f t="shared" si="7"/>
        <v>0.51400000000000001</v>
      </c>
    </row>
    <row r="250" spans="1:9">
      <c r="A250" t="s">
        <v>186</v>
      </c>
      <c r="B250" t="s">
        <v>195</v>
      </c>
      <c r="C250" t="s">
        <v>18</v>
      </c>
      <c r="D250" t="s">
        <v>131</v>
      </c>
      <c r="E250">
        <v>1</v>
      </c>
      <c r="F250">
        <v>0.87500000000000011</v>
      </c>
      <c r="G250">
        <v>1.3</v>
      </c>
      <c r="H250">
        <f t="shared" si="6"/>
        <v>0.44975000000000009</v>
      </c>
      <c r="I250">
        <f t="shared" si="7"/>
        <v>0.66820000000000002</v>
      </c>
    </row>
    <row r="251" spans="1:9">
      <c r="A251" t="s">
        <v>186</v>
      </c>
      <c r="B251" t="s">
        <v>195</v>
      </c>
      <c r="C251" t="s">
        <v>18</v>
      </c>
      <c r="D251" t="s">
        <v>131</v>
      </c>
      <c r="E251">
        <v>2</v>
      </c>
      <c r="F251">
        <v>0.92500000000000004</v>
      </c>
      <c r="G251">
        <v>1.3</v>
      </c>
      <c r="H251">
        <f t="shared" si="6"/>
        <v>0.47545000000000004</v>
      </c>
      <c r="I251">
        <f t="shared" si="7"/>
        <v>0.66820000000000002</v>
      </c>
    </row>
    <row r="252" spans="1:9">
      <c r="A252" t="s">
        <v>186</v>
      </c>
      <c r="B252" t="s">
        <v>195</v>
      </c>
      <c r="C252" t="s">
        <v>18</v>
      </c>
      <c r="D252" t="s">
        <v>131</v>
      </c>
      <c r="E252">
        <v>3</v>
      </c>
      <c r="F252">
        <v>0.92500000000000004</v>
      </c>
      <c r="G252">
        <v>1.3</v>
      </c>
      <c r="H252">
        <f t="shared" si="6"/>
        <v>0.47545000000000004</v>
      </c>
      <c r="I252">
        <f t="shared" si="7"/>
        <v>0.66820000000000002</v>
      </c>
    </row>
    <row r="253" spans="1:9">
      <c r="A253" t="s">
        <v>186</v>
      </c>
      <c r="B253" t="s">
        <v>195</v>
      </c>
      <c r="C253" t="s">
        <v>18</v>
      </c>
      <c r="D253" t="s">
        <v>131</v>
      </c>
      <c r="E253">
        <v>4</v>
      </c>
      <c r="F253">
        <v>0.93333333333333324</v>
      </c>
      <c r="G253">
        <v>1.3</v>
      </c>
      <c r="H253">
        <f t="shared" si="6"/>
        <v>0.47973333333333329</v>
      </c>
      <c r="I253">
        <f t="shared" si="7"/>
        <v>0.66820000000000002</v>
      </c>
    </row>
    <row r="254" spans="1:9">
      <c r="A254" t="s">
        <v>186</v>
      </c>
      <c r="B254" t="s">
        <v>195</v>
      </c>
      <c r="C254" t="s">
        <v>18</v>
      </c>
      <c r="D254" t="s">
        <v>131</v>
      </c>
      <c r="E254">
        <v>5</v>
      </c>
      <c r="F254">
        <v>0.85</v>
      </c>
      <c r="G254">
        <v>1.1000000000000001</v>
      </c>
      <c r="H254">
        <f t="shared" si="6"/>
        <v>0.43690000000000001</v>
      </c>
      <c r="I254">
        <f t="shared" si="7"/>
        <v>0.56540000000000001</v>
      </c>
    </row>
    <row r="255" spans="1:9">
      <c r="A255" t="s">
        <v>186</v>
      </c>
      <c r="B255" t="s">
        <v>195</v>
      </c>
      <c r="C255" t="s">
        <v>18</v>
      </c>
      <c r="D255" t="s">
        <v>131</v>
      </c>
      <c r="E255">
        <v>6</v>
      </c>
      <c r="F255">
        <v>0.77499999999999991</v>
      </c>
      <c r="G255">
        <v>1</v>
      </c>
      <c r="H255">
        <f t="shared" si="6"/>
        <v>0.39834999999999998</v>
      </c>
      <c r="I255">
        <f t="shared" si="7"/>
        <v>0.51400000000000001</v>
      </c>
    </row>
    <row r="256" spans="1:9">
      <c r="A256" t="s">
        <v>186</v>
      </c>
      <c r="B256" t="s">
        <v>195</v>
      </c>
      <c r="C256" t="s">
        <v>18</v>
      </c>
      <c r="D256" t="s">
        <v>131</v>
      </c>
      <c r="E256">
        <v>7</v>
      </c>
      <c r="F256">
        <v>0.67500000000000004</v>
      </c>
      <c r="G256">
        <v>0.9</v>
      </c>
      <c r="H256">
        <f t="shared" si="6"/>
        <v>0.34695000000000004</v>
      </c>
      <c r="I256">
        <f t="shared" si="7"/>
        <v>0.46260000000000001</v>
      </c>
    </row>
    <row r="257" spans="1:9">
      <c r="A257" t="s">
        <v>186</v>
      </c>
      <c r="B257" t="s">
        <v>195</v>
      </c>
      <c r="C257" t="s">
        <v>18</v>
      </c>
      <c r="D257" t="s">
        <v>131</v>
      </c>
      <c r="E257">
        <v>8</v>
      </c>
      <c r="F257">
        <v>0.625</v>
      </c>
      <c r="G257">
        <v>0.9</v>
      </c>
      <c r="H257">
        <f t="shared" si="6"/>
        <v>0.32125000000000004</v>
      </c>
      <c r="I257">
        <f t="shared" si="7"/>
        <v>0.46260000000000001</v>
      </c>
    </row>
    <row r="258" spans="1:9">
      <c r="A258" t="s">
        <v>186</v>
      </c>
      <c r="B258" t="s">
        <v>195</v>
      </c>
      <c r="C258" t="s">
        <v>18</v>
      </c>
      <c r="D258" t="s">
        <v>131</v>
      </c>
      <c r="E258">
        <v>9</v>
      </c>
      <c r="F258">
        <v>0.52499999999999991</v>
      </c>
      <c r="G258">
        <v>0.9</v>
      </c>
      <c r="H258">
        <f t="shared" si="6"/>
        <v>0.26984999999999998</v>
      </c>
      <c r="I258">
        <f t="shared" si="7"/>
        <v>0.46260000000000001</v>
      </c>
    </row>
    <row r="259" spans="1:9">
      <c r="A259" t="s">
        <v>186</v>
      </c>
      <c r="B259" t="s">
        <v>195</v>
      </c>
      <c r="C259" t="s">
        <v>18</v>
      </c>
      <c r="D259" t="s">
        <v>131</v>
      </c>
      <c r="E259">
        <v>10</v>
      </c>
      <c r="F259">
        <v>0.42500000000000004</v>
      </c>
      <c r="G259">
        <v>0.8</v>
      </c>
      <c r="H259">
        <f t="shared" ref="H259:H322" si="8">F259*0.514</f>
        <v>0.21845000000000003</v>
      </c>
      <c r="I259">
        <f t="shared" ref="I259:I322" si="9">G259*0.514</f>
        <v>0.41120000000000001</v>
      </c>
    </row>
    <row r="260" spans="1:9">
      <c r="A260" t="s">
        <v>186</v>
      </c>
      <c r="B260" t="s">
        <v>195</v>
      </c>
      <c r="C260" t="s">
        <v>18</v>
      </c>
      <c r="D260" t="s">
        <v>131</v>
      </c>
      <c r="E260">
        <v>11</v>
      </c>
      <c r="F260">
        <v>0.4</v>
      </c>
      <c r="G260">
        <v>0.8</v>
      </c>
      <c r="H260">
        <f t="shared" si="8"/>
        <v>0.2056</v>
      </c>
      <c r="I260">
        <f t="shared" si="9"/>
        <v>0.41120000000000001</v>
      </c>
    </row>
    <row r="261" spans="1:9">
      <c r="A261" t="s">
        <v>186</v>
      </c>
      <c r="B261" t="s">
        <v>195</v>
      </c>
      <c r="C261" t="s">
        <v>18</v>
      </c>
      <c r="D261" t="s">
        <v>131</v>
      </c>
      <c r="E261">
        <v>12</v>
      </c>
      <c r="F261">
        <v>0.56666666666666665</v>
      </c>
      <c r="G261">
        <v>0.9</v>
      </c>
      <c r="H261">
        <f t="shared" si="8"/>
        <v>0.29126666666666667</v>
      </c>
      <c r="I261">
        <f t="shared" si="9"/>
        <v>0.46260000000000001</v>
      </c>
    </row>
    <row r="262" spans="1:9">
      <c r="A262" t="s">
        <v>186</v>
      </c>
      <c r="B262" t="s">
        <v>195</v>
      </c>
      <c r="C262" t="s">
        <v>18</v>
      </c>
      <c r="D262" t="s">
        <v>131</v>
      </c>
      <c r="E262">
        <v>13</v>
      </c>
      <c r="F262">
        <v>0.52500000000000002</v>
      </c>
      <c r="G262">
        <v>0.9</v>
      </c>
      <c r="H262">
        <f t="shared" si="8"/>
        <v>0.26985000000000003</v>
      </c>
      <c r="I262">
        <f t="shared" si="9"/>
        <v>0.46260000000000001</v>
      </c>
    </row>
    <row r="263" spans="1:9">
      <c r="A263" t="s">
        <v>186</v>
      </c>
      <c r="B263" t="s">
        <v>195</v>
      </c>
      <c r="C263" t="s">
        <v>18</v>
      </c>
      <c r="D263" t="s">
        <v>131</v>
      </c>
      <c r="E263">
        <v>14</v>
      </c>
      <c r="F263">
        <v>0.57499999999999996</v>
      </c>
      <c r="G263">
        <v>0.9</v>
      </c>
      <c r="H263">
        <f t="shared" si="8"/>
        <v>0.29554999999999998</v>
      </c>
      <c r="I263">
        <f t="shared" si="9"/>
        <v>0.46260000000000001</v>
      </c>
    </row>
    <row r="264" spans="1:9">
      <c r="A264" t="s">
        <v>186</v>
      </c>
      <c r="B264" t="s">
        <v>195</v>
      </c>
      <c r="C264" t="s">
        <v>18</v>
      </c>
      <c r="D264" t="s">
        <v>131</v>
      </c>
      <c r="E264">
        <v>15</v>
      </c>
      <c r="F264">
        <v>0.625</v>
      </c>
      <c r="G264">
        <v>1</v>
      </c>
      <c r="H264">
        <f t="shared" si="8"/>
        <v>0.32125000000000004</v>
      </c>
      <c r="I264">
        <f t="shared" si="9"/>
        <v>0.51400000000000001</v>
      </c>
    </row>
    <row r="265" spans="1:9">
      <c r="A265" t="s">
        <v>186</v>
      </c>
      <c r="B265" t="s">
        <v>195</v>
      </c>
      <c r="C265" t="s">
        <v>18</v>
      </c>
      <c r="D265" t="s">
        <v>131</v>
      </c>
      <c r="E265">
        <v>16</v>
      </c>
      <c r="F265">
        <v>0.72499999999999998</v>
      </c>
      <c r="G265">
        <v>1.1000000000000001</v>
      </c>
      <c r="H265">
        <f t="shared" si="8"/>
        <v>0.37264999999999998</v>
      </c>
      <c r="I265">
        <f t="shared" si="9"/>
        <v>0.56540000000000001</v>
      </c>
    </row>
    <row r="266" spans="1:9">
      <c r="A266" t="s">
        <v>186</v>
      </c>
      <c r="B266" t="s">
        <v>195</v>
      </c>
      <c r="C266" t="s">
        <v>18</v>
      </c>
      <c r="D266" t="s">
        <v>131</v>
      </c>
      <c r="E266">
        <v>17</v>
      </c>
      <c r="F266">
        <v>0.82499999999999996</v>
      </c>
      <c r="G266">
        <v>1.1000000000000001</v>
      </c>
      <c r="H266">
        <f t="shared" si="8"/>
        <v>0.42404999999999998</v>
      </c>
      <c r="I266">
        <f t="shared" si="9"/>
        <v>0.56540000000000001</v>
      </c>
    </row>
    <row r="267" spans="1:9">
      <c r="A267" t="s">
        <v>186</v>
      </c>
      <c r="B267" t="s">
        <v>195</v>
      </c>
      <c r="C267" t="s">
        <v>18</v>
      </c>
      <c r="D267" t="s">
        <v>131</v>
      </c>
      <c r="E267">
        <v>18</v>
      </c>
      <c r="F267">
        <v>0.85000000000000009</v>
      </c>
      <c r="G267">
        <v>1.1000000000000001</v>
      </c>
      <c r="H267">
        <f t="shared" si="8"/>
        <v>0.43690000000000007</v>
      </c>
      <c r="I267">
        <f t="shared" si="9"/>
        <v>0.56540000000000001</v>
      </c>
    </row>
    <row r="268" spans="1:9">
      <c r="A268" t="s">
        <v>186</v>
      </c>
      <c r="B268" t="s">
        <v>195</v>
      </c>
      <c r="C268" t="s">
        <v>18</v>
      </c>
      <c r="D268" t="s">
        <v>131</v>
      </c>
      <c r="E268">
        <v>19</v>
      </c>
      <c r="F268">
        <v>0.875</v>
      </c>
      <c r="G268">
        <v>1.1000000000000001</v>
      </c>
      <c r="H268">
        <f t="shared" si="8"/>
        <v>0.44974999999999998</v>
      </c>
      <c r="I268">
        <f t="shared" si="9"/>
        <v>0.56540000000000001</v>
      </c>
    </row>
    <row r="269" spans="1:9">
      <c r="A269" t="s">
        <v>186</v>
      </c>
      <c r="B269" t="s">
        <v>195</v>
      </c>
      <c r="C269" t="s">
        <v>18</v>
      </c>
      <c r="D269" t="s">
        <v>131</v>
      </c>
      <c r="E269">
        <v>20</v>
      </c>
      <c r="F269">
        <v>0.8666666666666667</v>
      </c>
      <c r="G269">
        <v>1.1000000000000001</v>
      </c>
      <c r="H269">
        <f t="shared" si="8"/>
        <v>0.44546666666666668</v>
      </c>
      <c r="I269">
        <f t="shared" si="9"/>
        <v>0.56540000000000001</v>
      </c>
    </row>
    <row r="270" spans="1:9">
      <c r="A270" t="s">
        <v>186</v>
      </c>
      <c r="B270" t="s">
        <v>195</v>
      </c>
      <c r="C270" t="s">
        <v>18</v>
      </c>
      <c r="D270" t="s">
        <v>131</v>
      </c>
      <c r="E270">
        <v>21</v>
      </c>
      <c r="F270">
        <v>0.875</v>
      </c>
      <c r="G270">
        <v>1</v>
      </c>
      <c r="H270">
        <f t="shared" si="8"/>
        <v>0.44974999999999998</v>
      </c>
      <c r="I270">
        <f t="shared" si="9"/>
        <v>0.51400000000000001</v>
      </c>
    </row>
    <row r="271" spans="1:9">
      <c r="A271" t="s">
        <v>186</v>
      </c>
      <c r="B271" t="s">
        <v>195</v>
      </c>
      <c r="C271" t="s">
        <v>18</v>
      </c>
      <c r="D271" t="s">
        <v>131</v>
      </c>
      <c r="E271">
        <v>22</v>
      </c>
      <c r="F271">
        <v>0.77499999999999991</v>
      </c>
      <c r="G271">
        <v>1</v>
      </c>
      <c r="H271">
        <f t="shared" si="8"/>
        <v>0.39834999999999998</v>
      </c>
      <c r="I271">
        <f t="shared" si="9"/>
        <v>0.51400000000000001</v>
      </c>
    </row>
    <row r="272" spans="1:9">
      <c r="A272" t="s">
        <v>186</v>
      </c>
      <c r="B272" t="s">
        <v>195</v>
      </c>
      <c r="C272" t="s">
        <v>18</v>
      </c>
      <c r="D272" t="s">
        <v>131</v>
      </c>
      <c r="E272">
        <v>23</v>
      </c>
      <c r="F272">
        <v>0.72500000000000009</v>
      </c>
      <c r="G272">
        <v>1</v>
      </c>
      <c r="H272">
        <f t="shared" si="8"/>
        <v>0.37265000000000004</v>
      </c>
      <c r="I272">
        <f t="shared" si="9"/>
        <v>0.51400000000000001</v>
      </c>
    </row>
    <row r="273" spans="1:9">
      <c r="A273" t="s">
        <v>186</v>
      </c>
      <c r="B273" t="s">
        <v>195</v>
      </c>
      <c r="C273" t="s">
        <v>18</v>
      </c>
      <c r="D273" t="s">
        <v>131</v>
      </c>
      <c r="E273">
        <v>24</v>
      </c>
      <c r="F273">
        <v>0.65</v>
      </c>
      <c r="G273">
        <v>1</v>
      </c>
      <c r="H273">
        <f t="shared" si="8"/>
        <v>0.33410000000000001</v>
      </c>
      <c r="I273">
        <f t="shared" si="9"/>
        <v>0.51400000000000001</v>
      </c>
    </row>
    <row r="274" spans="1:9">
      <c r="A274" t="s">
        <v>186</v>
      </c>
      <c r="B274" t="s">
        <v>195</v>
      </c>
      <c r="C274" t="s">
        <v>18</v>
      </c>
      <c r="D274" t="s">
        <v>131</v>
      </c>
      <c r="E274">
        <v>25</v>
      </c>
      <c r="F274">
        <v>0.6</v>
      </c>
      <c r="G274">
        <v>1</v>
      </c>
      <c r="H274">
        <f t="shared" si="8"/>
        <v>0.30840000000000001</v>
      </c>
      <c r="I274">
        <f t="shared" si="9"/>
        <v>0.51400000000000001</v>
      </c>
    </row>
    <row r="275" spans="1:9">
      <c r="A275" t="s">
        <v>186</v>
      </c>
      <c r="B275" t="s">
        <v>195</v>
      </c>
      <c r="C275" t="s">
        <v>18</v>
      </c>
      <c r="D275" t="s">
        <v>131</v>
      </c>
      <c r="E275">
        <v>26</v>
      </c>
      <c r="F275">
        <v>0.57500000000000007</v>
      </c>
      <c r="G275">
        <v>1</v>
      </c>
      <c r="H275">
        <f t="shared" si="8"/>
        <v>0.29555000000000003</v>
      </c>
      <c r="I275">
        <f t="shared" si="9"/>
        <v>0.51400000000000001</v>
      </c>
    </row>
    <row r="276" spans="1:9">
      <c r="A276" t="s">
        <v>186</v>
      </c>
      <c r="B276" t="s">
        <v>195</v>
      </c>
      <c r="C276" t="s">
        <v>18</v>
      </c>
      <c r="D276" t="s">
        <v>131</v>
      </c>
      <c r="E276">
        <v>27</v>
      </c>
      <c r="F276">
        <v>0.73333333333333339</v>
      </c>
      <c r="G276">
        <v>1</v>
      </c>
      <c r="H276">
        <f t="shared" si="8"/>
        <v>0.3769333333333334</v>
      </c>
      <c r="I276">
        <f t="shared" si="9"/>
        <v>0.51400000000000001</v>
      </c>
    </row>
    <row r="277" spans="1:9">
      <c r="A277" t="s">
        <v>186</v>
      </c>
      <c r="B277" t="s">
        <v>195</v>
      </c>
      <c r="C277" t="s">
        <v>18</v>
      </c>
      <c r="D277" t="s">
        <v>131</v>
      </c>
      <c r="E277">
        <v>28</v>
      </c>
      <c r="F277">
        <v>0.67500000000000004</v>
      </c>
      <c r="G277">
        <v>1</v>
      </c>
      <c r="H277">
        <f t="shared" si="8"/>
        <v>0.34695000000000004</v>
      </c>
      <c r="I277">
        <f t="shared" si="9"/>
        <v>0.51400000000000001</v>
      </c>
    </row>
    <row r="278" spans="1:9">
      <c r="A278" t="s">
        <v>186</v>
      </c>
      <c r="B278" t="s">
        <v>195</v>
      </c>
      <c r="C278" t="s">
        <v>18</v>
      </c>
      <c r="D278" t="s">
        <v>131</v>
      </c>
      <c r="E278">
        <v>29</v>
      </c>
      <c r="F278">
        <v>0.75000000000000011</v>
      </c>
      <c r="G278">
        <v>1.1000000000000001</v>
      </c>
      <c r="H278">
        <f t="shared" si="8"/>
        <v>0.38550000000000006</v>
      </c>
      <c r="I278">
        <f t="shared" si="9"/>
        <v>0.56540000000000001</v>
      </c>
    </row>
    <row r="279" spans="1:9">
      <c r="A279" t="s">
        <v>186</v>
      </c>
      <c r="B279" t="s">
        <v>195</v>
      </c>
      <c r="C279" t="s">
        <v>18</v>
      </c>
      <c r="D279" t="s">
        <v>131</v>
      </c>
      <c r="E279">
        <v>30</v>
      </c>
      <c r="F279">
        <v>0.82499999999999996</v>
      </c>
      <c r="G279">
        <v>1.1000000000000001</v>
      </c>
      <c r="H279">
        <f t="shared" si="8"/>
        <v>0.42404999999999998</v>
      </c>
      <c r="I279">
        <f t="shared" si="9"/>
        <v>0.56540000000000001</v>
      </c>
    </row>
    <row r="280" spans="1:9">
      <c r="A280" t="s">
        <v>186</v>
      </c>
      <c r="B280" t="s">
        <v>195</v>
      </c>
      <c r="C280" t="s">
        <v>18</v>
      </c>
      <c r="D280" t="s">
        <v>131</v>
      </c>
      <c r="E280">
        <v>31</v>
      </c>
      <c r="F280">
        <v>0.9</v>
      </c>
      <c r="G280">
        <v>1.1000000000000001</v>
      </c>
      <c r="H280">
        <f t="shared" si="8"/>
        <v>0.46260000000000001</v>
      </c>
      <c r="I280">
        <f t="shared" si="9"/>
        <v>0.56540000000000001</v>
      </c>
    </row>
    <row r="281" spans="1:9">
      <c r="A281" t="s">
        <v>187</v>
      </c>
      <c r="B281" t="s">
        <v>157</v>
      </c>
      <c r="C281" t="s">
        <v>122</v>
      </c>
      <c r="D281" t="s">
        <v>161</v>
      </c>
      <c r="E281">
        <v>1</v>
      </c>
      <c r="F281">
        <v>1.325</v>
      </c>
      <c r="G281">
        <v>2</v>
      </c>
      <c r="H281">
        <f t="shared" si="8"/>
        <v>0.68105000000000004</v>
      </c>
      <c r="I281">
        <f t="shared" si="9"/>
        <v>1.028</v>
      </c>
    </row>
    <row r="282" spans="1:9">
      <c r="A282" t="s">
        <v>187</v>
      </c>
      <c r="B282" t="s">
        <v>157</v>
      </c>
      <c r="C282" t="s">
        <v>122</v>
      </c>
      <c r="D282" t="s">
        <v>161</v>
      </c>
      <c r="E282">
        <v>2</v>
      </c>
      <c r="F282">
        <v>1.375</v>
      </c>
      <c r="G282">
        <v>2</v>
      </c>
      <c r="H282">
        <f t="shared" si="8"/>
        <v>0.70674999999999999</v>
      </c>
      <c r="I282">
        <f t="shared" si="9"/>
        <v>1.028</v>
      </c>
    </row>
    <row r="283" spans="1:9">
      <c r="A283" t="s">
        <v>187</v>
      </c>
      <c r="B283" t="s">
        <v>157</v>
      </c>
      <c r="C283" t="s">
        <v>122</v>
      </c>
      <c r="D283" t="s">
        <v>161</v>
      </c>
      <c r="E283">
        <v>3</v>
      </c>
      <c r="F283">
        <v>1.375</v>
      </c>
      <c r="G283">
        <v>1.9</v>
      </c>
      <c r="H283">
        <f t="shared" si="8"/>
        <v>0.70674999999999999</v>
      </c>
      <c r="I283">
        <f t="shared" si="9"/>
        <v>0.97660000000000002</v>
      </c>
    </row>
    <row r="284" spans="1:9">
      <c r="A284" t="s">
        <v>187</v>
      </c>
      <c r="B284" t="s">
        <v>157</v>
      </c>
      <c r="C284" t="s">
        <v>122</v>
      </c>
      <c r="D284" t="s">
        <v>161</v>
      </c>
      <c r="E284">
        <v>4</v>
      </c>
      <c r="F284">
        <v>1.35</v>
      </c>
      <c r="G284">
        <v>2</v>
      </c>
      <c r="H284">
        <f t="shared" si="8"/>
        <v>0.69390000000000007</v>
      </c>
      <c r="I284">
        <f t="shared" si="9"/>
        <v>1.028</v>
      </c>
    </row>
    <row r="285" spans="1:9">
      <c r="A285" t="s">
        <v>187</v>
      </c>
      <c r="B285" t="s">
        <v>157</v>
      </c>
      <c r="C285" t="s">
        <v>122</v>
      </c>
      <c r="D285" t="s">
        <v>161</v>
      </c>
      <c r="E285">
        <v>5</v>
      </c>
      <c r="F285">
        <v>1.0333333333333334</v>
      </c>
      <c r="G285">
        <v>1.6</v>
      </c>
      <c r="H285">
        <f t="shared" si="8"/>
        <v>0.53113333333333335</v>
      </c>
      <c r="I285">
        <f t="shared" si="9"/>
        <v>0.82240000000000002</v>
      </c>
    </row>
    <row r="286" spans="1:9">
      <c r="A286" t="s">
        <v>187</v>
      </c>
      <c r="B286" t="s">
        <v>157</v>
      </c>
      <c r="C286" t="s">
        <v>122</v>
      </c>
      <c r="D286" t="s">
        <v>161</v>
      </c>
      <c r="E286">
        <v>6</v>
      </c>
      <c r="F286">
        <v>1.1749999999999998</v>
      </c>
      <c r="G286">
        <v>1.9</v>
      </c>
      <c r="H286">
        <f t="shared" si="8"/>
        <v>0.60394999999999988</v>
      </c>
      <c r="I286">
        <f t="shared" si="9"/>
        <v>0.97660000000000002</v>
      </c>
    </row>
    <row r="287" spans="1:9">
      <c r="A287" t="s">
        <v>187</v>
      </c>
      <c r="B287" t="s">
        <v>157</v>
      </c>
      <c r="C287" t="s">
        <v>122</v>
      </c>
      <c r="D287" t="s">
        <v>161</v>
      </c>
      <c r="E287">
        <v>7</v>
      </c>
      <c r="F287">
        <v>1.0499999999999998</v>
      </c>
      <c r="G287">
        <v>1.8</v>
      </c>
      <c r="H287">
        <f t="shared" si="8"/>
        <v>0.53969999999999996</v>
      </c>
      <c r="I287">
        <f t="shared" si="9"/>
        <v>0.92520000000000002</v>
      </c>
    </row>
    <row r="288" spans="1:9">
      <c r="A288" t="s">
        <v>187</v>
      </c>
      <c r="B288" t="s">
        <v>157</v>
      </c>
      <c r="C288" t="s">
        <v>122</v>
      </c>
      <c r="D288" t="s">
        <v>161</v>
      </c>
      <c r="E288">
        <v>8</v>
      </c>
      <c r="F288">
        <v>0.92499999999999993</v>
      </c>
      <c r="G288">
        <v>1.7</v>
      </c>
      <c r="H288">
        <f t="shared" si="8"/>
        <v>0.47544999999999998</v>
      </c>
      <c r="I288">
        <f t="shared" si="9"/>
        <v>0.87380000000000002</v>
      </c>
    </row>
    <row r="289" spans="1:9">
      <c r="A289" t="s">
        <v>187</v>
      </c>
      <c r="B289" t="s">
        <v>157</v>
      </c>
      <c r="C289" t="s">
        <v>122</v>
      </c>
      <c r="D289" t="s">
        <v>161</v>
      </c>
      <c r="E289">
        <v>9</v>
      </c>
      <c r="F289">
        <v>0.82499999999999996</v>
      </c>
      <c r="G289">
        <v>1.6</v>
      </c>
      <c r="H289">
        <f t="shared" si="8"/>
        <v>0.42404999999999998</v>
      </c>
      <c r="I289">
        <f t="shared" si="9"/>
        <v>0.82240000000000002</v>
      </c>
    </row>
    <row r="290" spans="1:9">
      <c r="A290" t="s">
        <v>187</v>
      </c>
      <c r="B290" t="s">
        <v>157</v>
      </c>
      <c r="C290" t="s">
        <v>122</v>
      </c>
      <c r="D290" t="s">
        <v>161</v>
      </c>
      <c r="E290">
        <v>10</v>
      </c>
      <c r="F290">
        <v>0.72500000000000009</v>
      </c>
      <c r="G290">
        <v>1.4</v>
      </c>
      <c r="H290">
        <f t="shared" si="8"/>
        <v>0.37265000000000004</v>
      </c>
      <c r="I290">
        <f t="shared" si="9"/>
        <v>0.71960000000000002</v>
      </c>
    </row>
    <row r="291" spans="1:9">
      <c r="A291" t="s">
        <v>187</v>
      </c>
      <c r="B291" t="s">
        <v>157</v>
      </c>
      <c r="C291" t="s">
        <v>122</v>
      </c>
      <c r="D291" t="s">
        <v>161</v>
      </c>
      <c r="E291">
        <v>11</v>
      </c>
      <c r="F291">
        <v>0.70000000000000007</v>
      </c>
      <c r="G291">
        <v>1.3</v>
      </c>
      <c r="H291">
        <f t="shared" si="8"/>
        <v>0.35980000000000006</v>
      </c>
      <c r="I291">
        <f t="shared" si="9"/>
        <v>0.66820000000000002</v>
      </c>
    </row>
    <row r="292" spans="1:9">
      <c r="A292" t="s">
        <v>187</v>
      </c>
      <c r="B292" t="s">
        <v>157</v>
      </c>
      <c r="C292" t="s">
        <v>122</v>
      </c>
      <c r="D292" t="s">
        <v>161</v>
      </c>
      <c r="E292">
        <v>12</v>
      </c>
      <c r="F292">
        <v>0.75</v>
      </c>
      <c r="G292">
        <v>1.3</v>
      </c>
      <c r="H292">
        <f t="shared" si="8"/>
        <v>0.38550000000000001</v>
      </c>
      <c r="I292">
        <f t="shared" si="9"/>
        <v>0.66820000000000002</v>
      </c>
    </row>
    <row r="293" spans="1:9">
      <c r="A293" t="s">
        <v>187</v>
      </c>
      <c r="B293" t="s">
        <v>157</v>
      </c>
      <c r="C293" t="s">
        <v>122</v>
      </c>
      <c r="D293" t="s">
        <v>161</v>
      </c>
      <c r="E293">
        <v>13</v>
      </c>
      <c r="F293">
        <v>1</v>
      </c>
      <c r="G293">
        <v>1.3</v>
      </c>
      <c r="H293">
        <f t="shared" si="8"/>
        <v>0.51400000000000001</v>
      </c>
      <c r="I293">
        <f t="shared" si="9"/>
        <v>0.66820000000000002</v>
      </c>
    </row>
    <row r="294" spans="1:9">
      <c r="A294" t="s">
        <v>187</v>
      </c>
      <c r="B294" t="s">
        <v>157</v>
      </c>
      <c r="C294" t="s">
        <v>122</v>
      </c>
      <c r="D294" t="s">
        <v>161</v>
      </c>
      <c r="E294">
        <v>14</v>
      </c>
      <c r="F294">
        <v>0.89999999999999991</v>
      </c>
      <c r="G294">
        <v>1.4</v>
      </c>
      <c r="H294">
        <f t="shared" si="8"/>
        <v>0.46259999999999996</v>
      </c>
      <c r="I294">
        <f t="shared" si="9"/>
        <v>0.71960000000000002</v>
      </c>
    </row>
    <row r="295" spans="1:9">
      <c r="A295" t="s">
        <v>187</v>
      </c>
      <c r="B295" t="s">
        <v>157</v>
      </c>
      <c r="C295" t="s">
        <v>122</v>
      </c>
      <c r="D295" t="s">
        <v>161</v>
      </c>
      <c r="E295">
        <v>15</v>
      </c>
      <c r="F295">
        <v>1.05</v>
      </c>
      <c r="G295">
        <v>1.6</v>
      </c>
      <c r="H295">
        <f t="shared" si="8"/>
        <v>0.53970000000000007</v>
      </c>
      <c r="I295">
        <f t="shared" si="9"/>
        <v>0.82240000000000002</v>
      </c>
    </row>
    <row r="296" spans="1:9">
      <c r="A296" t="s">
        <v>187</v>
      </c>
      <c r="B296" t="s">
        <v>157</v>
      </c>
      <c r="C296" t="s">
        <v>122</v>
      </c>
      <c r="D296" t="s">
        <v>161</v>
      </c>
      <c r="E296">
        <v>16</v>
      </c>
      <c r="F296">
        <v>1.125</v>
      </c>
      <c r="G296">
        <v>1.7</v>
      </c>
      <c r="H296">
        <f t="shared" si="8"/>
        <v>0.57825000000000004</v>
      </c>
      <c r="I296">
        <f t="shared" si="9"/>
        <v>0.87380000000000002</v>
      </c>
    </row>
    <row r="297" spans="1:9">
      <c r="A297" t="s">
        <v>187</v>
      </c>
      <c r="B297" t="s">
        <v>157</v>
      </c>
      <c r="C297" t="s">
        <v>122</v>
      </c>
      <c r="D297" t="s">
        <v>161</v>
      </c>
      <c r="E297">
        <v>17</v>
      </c>
      <c r="F297">
        <v>1.25</v>
      </c>
      <c r="G297">
        <v>1.8</v>
      </c>
      <c r="H297">
        <f t="shared" si="8"/>
        <v>0.64250000000000007</v>
      </c>
      <c r="I297">
        <f t="shared" si="9"/>
        <v>0.92520000000000002</v>
      </c>
    </row>
    <row r="298" spans="1:9">
      <c r="A298" t="s">
        <v>187</v>
      </c>
      <c r="B298" t="s">
        <v>157</v>
      </c>
      <c r="C298" t="s">
        <v>122</v>
      </c>
      <c r="D298" t="s">
        <v>161</v>
      </c>
      <c r="E298">
        <v>18</v>
      </c>
      <c r="F298">
        <v>1.3</v>
      </c>
      <c r="G298">
        <v>1.8</v>
      </c>
      <c r="H298">
        <f t="shared" si="8"/>
        <v>0.66820000000000002</v>
      </c>
      <c r="I298">
        <f t="shared" si="9"/>
        <v>0.92520000000000002</v>
      </c>
    </row>
    <row r="299" spans="1:9">
      <c r="A299" t="s">
        <v>187</v>
      </c>
      <c r="B299" t="s">
        <v>157</v>
      </c>
      <c r="C299" t="s">
        <v>122</v>
      </c>
      <c r="D299" t="s">
        <v>161</v>
      </c>
      <c r="E299">
        <v>19</v>
      </c>
      <c r="F299">
        <v>1.325</v>
      </c>
      <c r="G299">
        <v>1.9</v>
      </c>
      <c r="H299">
        <f t="shared" si="8"/>
        <v>0.68105000000000004</v>
      </c>
      <c r="I299">
        <f t="shared" si="9"/>
        <v>0.97660000000000002</v>
      </c>
    </row>
    <row r="300" spans="1:9">
      <c r="A300" t="s">
        <v>187</v>
      </c>
      <c r="B300" t="s">
        <v>157</v>
      </c>
      <c r="C300" t="s">
        <v>122</v>
      </c>
      <c r="D300" t="s">
        <v>161</v>
      </c>
      <c r="E300">
        <v>20</v>
      </c>
      <c r="F300">
        <v>1.35</v>
      </c>
      <c r="G300">
        <v>2</v>
      </c>
      <c r="H300">
        <f t="shared" si="8"/>
        <v>0.69390000000000007</v>
      </c>
      <c r="I300">
        <f t="shared" si="9"/>
        <v>1.028</v>
      </c>
    </row>
    <row r="301" spans="1:9">
      <c r="A301" t="s">
        <v>187</v>
      </c>
      <c r="B301" t="s">
        <v>157</v>
      </c>
      <c r="C301" t="s">
        <v>122</v>
      </c>
      <c r="D301" t="s">
        <v>161</v>
      </c>
      <c r="E301">
        <v>21</v>
      </c>
      <c r="F301">
        <v>1.0666666666666667</v>
      </c>
      <c r="G301">
        <v>1.6</v>
      </c>
      <c r="H301">
        <f t="shared" si="8"/>
        <v>0.54826666666666668</v>
      </c>
      <c r="I301">
        <f t="shared" si="9"/>
        <v>0.82240000000000002</v>
      </c>
    </row>
    <row r="302" spans="1:9">
      <c r="A302" t="s">
        <v>187</v>
      </c>
      <c r="B302" t="s">
        <v>157</v>
      </c>
      <c r="C302" t="s">
        <v>122</v>
      </c>
      <c r="D302" t="s">
        <v>161</v>
      </c>
      <c r="E302">
        <v>22</v>
      </c>
      <c r="F302">
        <v>1.1999999999999997</v>
      </c>
      <c r="G302">
        <v>2</v>
      </c>
      <c r="H302">
        <f t="shared" si="8"/>
        <v>0.6167999999999999</v>
      </c>
      <c r="I302">
        <f t="shared" si="9"/>
        <v>1.028</v>
      </c>
    </row>
    <row r="303" spans="1:9">
      <c r="A303" t="s">
        <v>187</v>
      </c>
      <c r="B303" t="s">
        <v>157</v>
      </c>
      <c r="C303" t="s">
        <v>122</v>
      </c>
      <c r="D303" t="s">
        <v>161</v>
      </c>
      <c r="E303">
        <v>23</v>
      </c>
      <c r="F303">
        <v>1.1000000000000001</v>
      </c>
      <c r="G303">
        <v>1.9</v>
      </c>
      <c r="H303">
        <f t="shared" si="8"/>
        <v>0.56540000000000001</v>
      </c>
      <c r="I303">
        <f t="shared" si="9"/>
        <v>0.97660000000000002</v>
      </c>
    </row>
    <row r="304" spans="1:9">
      <c r="A304" t="s">
        <v>187</v>
      </c>
      <c r="B304" t="s">
        <v>157</v>
      </c>
      <c r="C304" t="s">
        <v>122</v>
      </c>
      <c r="D304" t="s">
        <v>161</v>
      </c>
      <c r="E304">
        <v>24</v>
      </c>
      <c r="F304">
        <v>0.97499999999999998</v>
      </c>
      <c r="G304">
        <v>1.8</v>
      </c>
      <c r="H304">
        <f t="shared" si="8"/>
        <v>0.50114999999999998</v>
      </c>
      <c r="I304">
        <f t="shared" si="9"/>
        <v>0.92520000000000002</v>
      </c>
    </row>
    <row r="305" spans="1:9">
      <c r="A305" t="s">
        <v>187</v>
      </c>
      <c r="B305" t="s">
        <v>157</v>
      </c>
      <c r="C305" t="s">
        <v>122</v>
      </c>
      <c r="D305" t="s">
        <v>161</v>
      </c>
      <c r="E305">
        <v>25</v>
      </c>
      <c r="F305">
        <v>0.92500000000000004</v>
      </c>
      <c r="G305">
        <v>1.7</v>
      </c>
      <c r="H305">
        <f t="shared" si="8"/>
        <v>0.47545000000000004</v>
      </c>
      <c r="I305">
        <f t="shared" si="9"/>
        <v>0.87380000000000002</v>
      </c>
    </row>
    <row r="306" spans="1:9">
      <c r="A306" t="s">
        <v>187</v>
      </c>
      <c r="B306" t="s">
        <v>157</v>
      </c>
      <c r="C306" t="s">
        <v>122</v>
      </c>
      <c r="D306" t="s">
        <v>161</v>
      </c>
      <c r="E306">
        <v>26</v>
      </c>
      <c r="F306">
        <v>0.92500000000000016</v>
      </c>
      <c r="G306">
        <v>1.6</v>
      </c>
      <c r="H306">
        <f t="shared" si="8"/>
        <v>0.47545000000000009</v>
      </c>
      <c r="I306">
        <f t="shared" si="9"/>
        <v>0.82240000000000002</v>
      </c>
    </row>
    <row r="307" spans="1:9">
      <c r="A307" t="s">
        <v>187</v>
      </c>
      <c r="B307" t="s">
        <v>157</v>
      </c>
      <c r="C307" t="s">
        <v>122</v>
      </c>
      <c r="D307" t="s">
        <v>161</v>
      </c>
      <c r="E307">
        <v>27</v>
      </c>
      <c r="F307">
        <v>1.2666666666666666</v>
      </c>
      <c r="G307">
        <v>1.6</v>
      </c>
      <c r="H307">
        <f t="shared" si="8"/>
        <v>0.65106666666666668</v>
      </c>
      <c r="I307">
        <f t="shared" si="9"/>
        <v>0.82240000000000002</v>
      </c>
    </row>
    <row r="308" spans="1:9">
      <c r="A308" t="s">
        <v>187</v>
      </c>
      <c r="B308" t="s">
        <v>157</v>
      </c>
      <c r="C308" t="s">
        <v>122</v>
      </c>
      <c r="D308" t="s">
        <v>161</v>
      </c>
      <c r="E308">
        <v>28</v>
      </c>
      <c r="F308">
        <v>1.0750000000000002</v>
      </c>
      <c r="G308">
        <v>1.6</v>
      </c>
      <c r="H308">
        <f t="shared" si="8"/>
        <v>0.5525500000000001</v>
      </c>
      <c r="I308">
        <f t="shared" si="9"/>
        <v>0.82240000000000002</v>
      </c>
    </row>
    <row r="309" spans="1:9">
      <c r="A309" t="s">
        <v>187</v>
      </c>
      <c r="B309" t="s">
        <v>157</v>
      </c>
      <c r="C309" t="s">
        <v>122</v>
      </c>
      <c r="D309" t="s">
        <v>161</v>
      </c>
      <c r="E309">
        <v>29</v>
      </c>
      <c r="F309">
        <v>1.2250000000000001</v>
      </c>
      <c r="G309">
        <v>1.8</v>
      </c>
      <c r="H309">
        <f t="shared" si="8"/>
        <v>0.62965000000000004</v>
      </c>
      <c r="I309">
        <f t="shared" si="9"/>
        <v>0.92520000000000002</v>
      </c>
    </row>
    <row r="310" spans="1:9">
      <c r="A310" t="s">
        <v>187</v>
      </c>
      <c r="B310" t="s">
        <v>157</v>
      </c>
      <c r="C310" t="s">
        <v>122</v>
      </c>
      <c r="D310" t="s">
        <v>161</v>
      </c>
      <c r="E310">
        <v>30</v>
      </c>
      <c r="F310">
        <v>1.2749999999999999</v>
      </c>
      <c r="G310">
        <v>1.8</v>
      </c>
      <c r="H310">
        <f t="shared" si="8"/>
        <v>0.65534999999999999</v>
      </c>
      <c r="I310">
        <f t="shared" si="9"/>
        <v>0.92520000000000002</v>
      </c>
    </row>
    <row r="311" spans="1:9">
      <c r="A311" t="s">
        <v>187</v>
      </c>
      <c r="B311" t="s">
        <v>157</v>
      </c>
      <c r="C311" t="s">
        <v>122</v>
      </c>
      <c r="D311" t="s">
        <v>161</v>
      </c>
      <c r="E311">
        <v>31</v>
      </c>
      <c r="F311">
        <v>1.325</v>
      </c>
      <c r="G311">
        <v>1.9</v>
      </c>
      <c r="H311">
        <f t="shared" si="8"/>
        <v>0.68105000000000004</v>
      </c>
      <c r="I311">
        <f t="shared" si="9"/>
        <v>0.97660000000000002</v>
      </c>
    </row>
    <row r="312" spans="1:9">
      <c r="A312" t="s">
        <v>190</v>
      </c>
      <c r="B312" t="s">
        <v>160</v>
      </c>
      <c r="C312" t="s">
        <v>122</v>
      </c>
      <c r="D312" t="s">
        <v>131</v>
      </c>
      <c r="E312">
        <v>1</v>
      </c>
      <c r="F312">
        <v>1.7499999999999998</v>
      </c>
      <c r="G312">
        <v>2.6</v>
      </c>
      <c r="H312">
        <f t="shared" si="8"/>
        <v>0.89949999999999986</v>
      </c>
      <c r="I312">
        <f t="shared" si="9"/>
        <v>1.3364</v>
      </c>
    </row>
    <row r="313" spans="1:9">
      <c r="A313" t="s">
        <v>190</v>
      </c>
      <c r="B313" t="s">
        <v>160</v>
      </c>
      <c r="C313" t="s">
        <v>122</v>
      </c>
      <c r="D313" t="s">
        <v>131</v>
      </c>
      <c r="E313">
        <v>2</v>
      </c>
      <c r="F313">
        <v>1.8250000000000002</v>
      </c>
      <c r="G313">
        <v>2.6</v>
      </c>
      <c r="H313">
        <f t="shared" si="8"/>
        <v>0.93805000000000016</v>
      </c>
      <c r="I313">
        <f t="shared" si="9"/>
        <v>1.3364</v>
      </c>
    </row>
    <row r="314" spans="1:9">
      <c r="A314" t="s">
        <v>190</v>
      </c>
      <c r="B314" t="s">
        <v>160</v>
      </c>
      <c r="C314" t="s">
        <v>122</v>
      </c>
      <c r="D314" t="s">
        <v>131</v>
      </c>
      <c r="E314">
        <v>3</v>
      </c>
      <c r="F314">
        <v>1.9333333333333336</v>
      </c>
      <c r="G314">
        <v>2.6</v>
      </c>
      <c r="H314">
        <f t="shared" si="8"/>
        <v>0.99373333333333347</v>
      </c>
      <c r="I314">
        <f t="shared" si="9"/>
        <v>1.3364</v>
      </c>
    </row>
    <row r="315" spans="1:9">
      <c r="A315" t="s">
        <v>190</v>
      </c>
      <c r="B315" t="s">
        <v>160</v>
      </c>
      <c r="C315" t="s">
        <v>122</v>
      </c>
      <c r="D315" t="s">
        <v>131</v>
      </c>
      <c r="E315">
        <v>4</v>
      </c>
      <c r="F315">
        <v>1.85</v>
      </c>
      <c r="G315">
        <v>2.5</v>
      </c>
      <c r="H315">
        <f t="shared" si="8"/>
        <v>0.95090000000000008</v>
      </c>
      <c r="I315">
        <f t="shared" si="9"/>
        <v>1.2850000000000001</v>
      </c>
    </row>
    <row r="316" spans="1:9">
      <c r="A316" t="s">
        <v>190</v>
      </c>
      <c r="B316" t="s">
        <v>160</v>
      </c>
      <c r="C316" t="s">
        <v>122</v>
      </c>
      <c r="D316" t="s">
        <v>131</v>
      </c>
      <c r="E316">
        <v>5</v>
      </c>
      <c r="F316">
        <v>1.75</v>
      </c>
      <c r="G316">
        <v>2.2999999999999998</v>
      </c>
      <c r="H316">
        <f t="shared" si="8"/>
        <v>0.89949999999999997</v>
      </c>
      <c r="I316">
        <f t="shared" si="9"/>
        <v>1.1821999999999999</v>
      </c>
    </row>
    <row r="317" spans="1:9">
      <c r="A317" t="s">
        <v>190</v>
      </c>
      <c r="B317" t="s">
        <v>160</v>
      </c>
      <c r="C317" t="s">
        <v>122</v>
      </c>
      <c r="D317" t="s">
        <v>131</v>
      </c>
      <c r="E317">
        <v>6</v>
      </c>
      <c r="F317">
        <v>1.5750000000000002</v>
      </c>
      <c r="G317">
        <v>2</v>
      </c>
      <c r="H317">
        <f t="shared" si="8"/>
        <v>0.8095500000000001</v>
      </c>
      <c r="I317">
        <f t="shared" si="9"/>
        <v>1.028</v>
      </c>
    </row>
    <row r="318" spans="1:9">
      <c r="A318" t="s">
        <v>190</v>
      </c>
      <c r="B318" t="s">
        <v>160</v>
      </c>
      <c r="C318" t="s">
        <v>122</v>
      </c>
      <c r="D318" t="s">
        <v>131</v>
      </c>
      <c r="E318">
        <v>7</v>
      </c>
      <c r="F318">
        <v>1.4000000000000001</v>
      </c>
      <c r="G318">
        <v>1.8</v>
      </c>
      <c r="H318">
        <f t="shared" si="8"/>
        <v>0.71960000000000013</v>
      </c>
      <c r="I318">
        <f t="shared" si="9"/>
        <v>0.92520000000000002</v>
      </c>
    </row>
    <row r="319" spans="1:9">
      <c r="A319" t="s">
        <v>190</v>
      </c>
      <c r="B319" t="s">
        <v>160</v>
      </c>
      <c r="C319" t="s">
        <v>122</v>
      </c>
      <c r="D319" t="s">
        <v>131</v>
      </c>
      <c r="E319">
        <v>8</v>
      </c>
      <c r="F319">
        <v>1.2250000000000001</v>
      </c>
      <c r="G319">
        <v>1.8</v>
      </c>
      <c r="H319">
        <f t="shared" si="8"/>
        <v>0.62965000000000004</v>
      </c>
      <c r="I319">
        <f t="shared" si="9"/>
        <v>0.92520000000000002</v>
      </c>
    </row>
    <row r="320" spans="1:9">
      <c r="A320" t="s">
        <v>190</v>
      </c>
      <c r="B320" t="s">
        <v>160</v>
      </c>
      <c r="C320" t="s">
        <v>122</v>
      </c>
      <c r="D320" t="s">
        <v>131</v>
      </c>
      <c r="E320">
        <v>9</v>
      </c>
      <c r="F320">
        <v>1.1000000000000001</v>
      </c>
      <c r="G320">
        <v>1.8</v>
      </c>
      <c r="H320">
        <f t="shared" si="8"/>
        <v>0.56540000000000001</v>
      </c>
      <c r="I320">
        <f t="shared" si="9"/>
        <v>0.92520000000000002</v>
      </c>
    </row>
    <row r="321" spans="1:9">
      <c r="A321" t="s">
        <v>190</v>
      </c>
      <c r="B321" t="s">
        <v>160</v>
      </c>
      <c r="C321" t="s">
        <v>122</v>
      </c>
      <c r="D321" t="s">
        <v>131</v>
      </c>
      <c r="E321">
        <v>10</v>
      </c>
      <c r="F321">
        <v>0.875</v>
      </c>
      <c r="G321">
        <v>1.7</v>
      </c>
      <c r="H321">
        <f t="shared" si="8"/>
        <v>0.44974999999999998</v>
      </c>
      <c r="I321">
        <f t="shared" si="9"/>
        <v>0.87380000000000002</v>
      </c>
    </row>
    <row r="322" spans="1:9">
      <c r="A322" t="s">
        <v>190</v>
      </c>
      <c r="B322" t="s">
        <v>160</v>
      </c>
      <c r="C322" t="s">
        <v>122</v>
      </c>
      <c r="D322" t="s">
        <v>131</v>
      </c>
      <c r="E322">
        <v>11</v>
      </c>
      <c r="F322">
        <v>0.79999999999999993</v>
      </c>
      <c r="G322">
        <v>1.7</v>
      </c>
      <c r="H322">
        <f t="shared" si="8"/>
        <v>0.41119999999999995</v>
      </c>
      <c r="I322">
        <f t="shared" si="9"/>
        <v>0.87380000000000002</v>
      </c>
    </row>
    <row r="323" spans="1:9">
      <c r="A323" t="s">
        <v>190</v>
      </c>
      <c r="B323" t="s">
        <v>160</v>
      </c>
      <c r="C323" t="s">
        <v>122</v>
      </c>
      <c r="D323" t="s">
        <v>131</v>
      </c>
      <c r="E323">
        <v>12</v>
      </c>
      <c r="F323">
        <v>1.1333333333333333</v>
      </c>
      <c r="G323">
        <v>1.8</v>
      </c>
      <c r="H323">
        <f t="shared" ref="H323:H386" si="10">F323*0.514</f>
        <v>0.58253333333333335</v>
      </c>
      <c r="I323">
        <f t="shared" ref="I323:I386" si="11">G323*0.514</f>
        <v>0.92520000000000002</v>
      </c>
    </row>
    <row r="324" spans="1:9">
      <c r="A324" t="s">
        <v>190</v>
      </c>
      <c r="B324" t="s">
        <v>160</v>
      </c>
      <c r="C324" t="s">
        <v>122</v>
      </c>
      <c r="D324" t="s">
        <v>131</v>
      </c>
      <c r="E324">
        <v>13</v>
      </c>
      <c r="F324">
        <v>1.0249999999999999</v>
      </c>
      <c r="G324">
        <v>1.8</v>
      </c>
      <c r="H324">
        <f t="shared" si="10"/>
        <v>0.52684999999999993</v>
      </c>
      <c r="I324">
        <f t="shared" si="11"/>
        <v>0.92520000000000002</v>
      </c>
    </row>
    <row r="325" spans="1:9">
      <c r="A325" t="s">
        <v>190</v>
      </c>
      <c r="B325" t="s">
        <v>160</v>
      </c>
      <c r="C325" t="s">
        <v>122</v>
      </c>
      <c r="D325" t="s">
        <v>131</v>
      </c>
      <c r="E325">
        <v>14</v>
      </c>
      <c r="F325">
        <v>1.125</v>
      </c>
      <c r="G325">
        <v>1.8</v>
      </c>
      <c r="H325">
        <f t="shared" si="10"/>
        <v>0.57825000000000004</v>
      </c>
      <c r="I325">
        <f t="shared" si="11"/>
        <v>0.92520000000000002</v>
      </c>
    </row>
    <row r="326" spans="1:9">
      <c r="A326" t="s">
        <v>190</v>
      </c>
      <c r="B326" t="s">
        <v>160</v>
      </c>
      <c r="C326" t="s">
        <v>122</v>
      </c>
      <c r="D326" t="s">
        <v>131</v>
      </c>
      <c r="E326">
        <v>15</v>
      </c>
      <c r="F326">
        <v>1.25</v>
      </c>
      <c r="G326">
        <v>2</v>
      </c>
      <c r="H326">
        <f t="shared" si="10"/>
        <v>0.64250000000000007</v>
      </c>
      <c r="I326">
        <f t="shared" si="11"/>
        <v>1.028</v>
      </c>
    </row>
    <row r="327" spans="1:9">
      <c r="A327" t="s">
        <v>190</v>
      </c>
      <c r="B327" t="s">
        <v>160</v>
      </c>
      <c r="C327" t="s">
        <v>122</v>
      </c>
      <c r="D327" t="s">
        <v>131</v>
      </c>
      <c r="E327">
        <v>16</v>
      </c>
      <c r="F327">
        <v>1.4749999999999999</v>
      </c>
      <c r="G327">
        <v>2.2000000000000002</v>
      </c>
      <c r="H327">
        <f t="shared" si="10"/>
        <v>0.75814999999999999</v>
      </c>
      <c r="I327">
        <f t="shared" si="11"/>
        <v>1.1308</v>
      </c>
    </row>
    <row r="328" spans="1:9">
      <c r="A328" t="s">
        <v>190</v>
      </c>
      <c r="B328" t="s">
        <v>160</v>
      </c>
      <c r="C328" t="s">
        <v>122</v>
      </c>
      <c r="D328" t="s">
        <v>131</v>
      </c>
      <c r="E328">
        <v>17</v>
      </c>
      <c r="F328">
        <v>1.5999999999999999</v>
      </c>
      <c r="G328">
        <v>2.2999999999999998</v>
      </c>
      <c r="H328">
        <f t="shared" si="10"/>
        <v>0.82239999999999991</v>
      </c>
      <c r="I328">
        <f t="shared" si="11"/>
        <v>1.1821999999999999</v>
      </c>
    </row>
    <row r="329" spans="1:9">
      <c r="A329" t="s">
        <v>190</v>
      </c>
      <c r="B329" t="s">
        <v>160</v>
      </c>
      <c r="C329" t="s">
        <v>122</v>
      </c>
      <c r="D329" t="s">
        <v>131</v>
      </c>
      <c r="E329">
        <v>18</v>
      </c>
      <c r="F329">
        <v>1.75</v>
      </c>
      <c r="G329">
        <v>2.2999999999999998</v>
      </c>
      <c r="H329">
        <f t="shared" si="10"/>
        <v>0.89949999999999997</v>
      </c>
      <c r="I329">
        <f t="shared" si="11"/>
        <v>1.1821999999999999</v>
      </c>
    </row>
    <row r="330" spans="1:9">
      <c r="A330" t="s">
        <v>190</v>
      </c>
      <c r="B330" t="s">
        <v>160</v>
      </c>
      <c r="C330" t="s">
        <v>122</v>
      </c>
      <c r="D330" t="s">
        <v>131</v>
      </c>
      <c r="E330">
        <v>19</v>
      </c>
      <c r="F330">
        <v>1.7666666666666666</v>
      </c>
      <c r="G330">
        <v>2.2999999999999998</v>
      </c>
      <c r="H330">
        <f t="shared" si="10"/>
        <v>0.90806666666666669</v>
      </c>
      <c r="I330">
        <f t="shared" si="11"/>
        <v>1.1821999999999999</v>
      </c>
    </row>
    <row r="331" spans="1:9">
      <c r="A331" t="s">
        <v>190</v>
      </c>
      <c r="B331" t="s">
        <v>160</v>
      </c>
      <c r="C331" t="s">
        <v>122</v>
      </c>
      <c r="D331" t="s">
        <v>131</v>
      </c>
      <c r="E331">
        <v>20</v>
      </c>
      <c r="F331">
        <v>1.7500000000000002</v>
      </c>
      <c r="G331">
        <v>2.2000000000000002</v>
      </c>
      <c r="H331">
        <f t="shared" si="10"/>
        <v>0.89950000000000019</v>
      </c>
      <c r="I331">
        <f t="shared" si="11"/>
        <v>1.1308</v>
      </c>
    </row>
    <row r="332" spans="1:9">
      <c r="A332" t="s">
        <v>190</v>
      </c>
      <c r="B332" t="s">
        <v>160</v>
      </c>
      <c r="C332" t="s">
        <v>122</v>
      </c>
      <c r="D332" t="s">
        <v>131</v>
      </c>
      <c r="E332">
        <v>21</v>
      </c>
      <c r="F332">
        <v>1.7250000000000001</v>
      </c>
      <c r="G332">
        <v>2</v>
      </c>
      <c r="H332">
        <f t="shared" si="10"/>
        <v>0.88665000000000005</v>
      </c>
      <c r="I332">
        <f t="shared" si="11"/>
        <v>1.028</v>
      </c>
    </row>
    <row r="333" spans="1:9">
      <c r="A333" t="s">
        <v>190</v>
      </c>
      <c r="B333" t="s">
        <v>160</v>
      </c>
      <c r="C333" t="s">
        <v>122</v>
      </c>
      <c r="D333" t="s">
        <v>131</v>
      </c>
      <c r="E333">
        <v>22</v>
      </c>
      <c r="F333">
        <v>1.625</v>
      </c>
      <c r="G333">
        <v>2.1</v>
      </c>
      <c r="H333">
        <f t="shared" si="10"/>
        <v>0.83525000000000005</v>
      </c>
      <c r="I333">
        <f t="shared" si="11"/>
        <v>1.0794000000000001</v>
      </c>
    </row>
    <row r="334" spans="1:9">
      <c r="A334" t="s">
        <v>190</v>
      </c>
      <c r="B334" t="s">
        <v>160</v>
      </c>
      <c r="C334" t="s">
        <v>122</v>
      </c>
      <c r="D334" t="s">
        <v>131</v>
      </c>
      <c r="E334">
        <v>23</v>
      </c>
      <c r="F334">
        <v>1.5</v>
      </c>
      <c r="G334">
        <v>2.1</v>
      </c>
      <c r="H334">
        <f t="shared" si="10"/>
        <v>0.77100000000000002</v>
      </c>
      <c r="I334">
        <f t="shared" si="11"/>
        <v>1.0794000000000001</v>
      </c>
    </row>
    <row r="335" spans="1:9">
      <c r="A335" t="s">
        <v>190</v>
      </c>
      <c r="B335" t="s">
        <v>160</v>
      </c>
      <c r="C335" t="s">
        <v>122</v>
      </c>
      <c r="D335" t="s">
        <v>131</v>
      </c>
      <c r="E335">
        <v>24</v>
      </c>
      <c r="F335">
        <v>1.375</v>
      </c>
      <c r="G335">
        <v>2.1</v>
      </c>
      <c r="H335">
        <f t="shared" si="10"/>
        <v>0.70674999999999999</v>
      </c>
      <c r="I335">
        <f t="shared" si="11"/>
        <v>1.0794000000000001</v>
      </c>
    </row>
    <row r="336" spans="1:9">
      <c r="A336" t="s">
        <v>190</v>
      </c>
      <c r="B336" t="s">
        <v>160</v>
      </c>
      <c r="C336" t="s">
        <v>122</v>
      </c>
      <c r="D336" t="s">
        <v>131</v>
      </c>
      <c r="E336">
        <v>25</v>
      </c>
      <c r="F336">
        <v>1.2</v>
      </c>
      <c r="G336">
        <v>2</v>
      </c>
      <c r="H336">
        <f t="shared" si="10"/>
        <v>0.61680000000000001</v>
      </c>
      <c r="I336">
        <f t="shared" si="11"/>
        <v>1.028</v>
      </c>
    </row>
    <row r="337" spans="1:9">
      <c r="A337" t="s">
        <v>190</v>
      </c>
      <c r="B337" t="s">
        <v>160</v>
      </c>
      <c r="C337" t="s">
        <v>122</v>
      </c>
      <c r="D337" t="s">
        <v>131</v>
      </c>
      <c r="E337">
        <v>26</v>
      </c>
      <c r="F337">
        <v>1.175</v>
      </c>
      <c r="G337">
        <v>2</v>
      </c>
      <c r="H337">
        <f t="shared" si="10"/>
        <v>0.60394999999999999</v>
      </c>
      <c r="I337">
        <f t="shared" si="11"/>
        <v>1.028</v>
      </c>
    </row>
    <row r="338" spans="1:9">
      <c r="A338" t="s">
        <v>190</v>
      </c>
      <c r="B338" t="s">
        <v>160</v>
      </c>
      <c r="C338" t="s">
        <v>122</v>
      </c>
      <c r="D338" t="s">
        <v>131</v>
      </c>
      <c r="E338">
        <v>27</v>
      </c>
      <c r="F338">
        <v>1.4666666666666668</v>
      </c>
      <c r="G338">
        <v>2</v>
      </c>
      <c r="H338">
        <f t="shared" si="10"/>
        <v>0.7538666666666668</v>
      </c>
      <c r="I338">
        <f t="shared" si="11"/>
        <v>1.028</v>
      </c>
    </row>
    <row r="339" spans="1:9">
      <c r="A339" t="s">
        <v>190</v>
      </c>
      <c r="B339" t="s">
        <v>160</v>
      </c>
      <c r="C339" t="s">
        <v>122</v>
      </c>
      <c r="D339" t="s">
        <v>131</v>
      </c>
      <c r="E339">
        <v>28</v>
      </c>
      <c r="F339">
        <v>1.325</v>
      </c>
      <c r="G339">
        <v>2</v>
      </c>
      <c r="H339">
        <f t="shared" si="10"/>
        <v>0.68105000000000004</v>
      </c>
      <c r="I339">
        <f t="shared" si="11"/>
        <v>1.028</v>
      </c>
    </row>
    <row r="340" spans="1:9">
      <c r="A340" t="s">
        <v>190</v>
      </c>
      <c r="B340" t="s">
        <v>160</v>
      </c>
      <c r="C340" t="s">
        <v>122</v>
      </c>
      <c r="D340" t="s">
        <v>131</v>
      </c>
      <c r="E340">
        <v>29</v>
      </c>
      <c r="F340">
        <v>1.5250000000000001</v>
      </c>
      <c r="G340">
        <v>2.2000000000000002</v>
      </c>
      <c r="H340">
        <f t="shared" si="10"/>
        <v>0.78385000000000005</v>
      </c>
      <c r="I340">
        <f t="shared" si="11"/>
        <v>1.1308</v>
      </c>
    </row>
    <row r="341" spans="1:9">
      <c r="A341" t="s">
        <v>190</v>
      </c>
      <c r="B341" t="s">
        <v>160</v>
      </c>
      <c r="C341" t="s">
        <v>122</v>
      </c>
      <c r="D341" t="s">
        <v>131</v>
      </c>
      <c r="E341">
        <v>30</v>
      </c>
      <c r="F341">
        <v>1.65</v>
      </c>
      <c r="G341">
        <v>2.2000000000000002</v>
      </c>
      <c r="H341">
        <f t="shared" si="10"/>
        <v>0.84809999999999997</v>
      </c>
      <c r="I341">
        <f t="shared" si="11"/>
        <v>1.1308</v>
      </c>
    </row>
    <row r="342" spans="1:9">
      <c r="A342" t="s">
        <v>190</v>
      </c>
      <c r="B342" t="s">
        <v>160</v>
      </c>
      <c r="C342" t="s">
        <v>122</v>
      </c>
      <c r="D342" t="s">
        <v>131</v>
      </c>
      <c r="E342">
        <v>31</v>
      </c>
      <c r="F342">
        <v>1.8</v>
      </c>
      <c r="G342">
        <v>2.2000000000000002</v>
      </c>
      <c r="H342">
        <f t="shared" si="10"/>
        <v>0.92520000000000002</v>
      </c>
      <c r="I342">
        <f t="shared" si="11"/>
        <v>1.1308</v>
      </c>
    </row>
    <row r="343" spans="1:9">
      <c r="A343" t="s">
        <v>194</v>
      </c>
      <c r="B343" t="s">
        <v>191</v>
      </c>
      <c r="C343" t="s">
        <v>122</v>
      </c>
      <c r="D343" t="s">
        <v>131</v>
      </c>
      <c r="E343">
        <v>1</v>
      </c>
      <c r="F343">
        <v>2.5750000000000002</v>
      </c>
      <c r="G343">
        <v>4.2</v>
      </c>
      <c r="H343">
        <f t="shared" si="10"/>
        <v>1.3235500000000002</v>
      </c>
      <c r="I343">
        <f t="shared" si="11"/>
        <v>2.1588000000000003</v>
      </c>
    </row>
    <row r="344" spans="1:9">
      <c r="A344" t="s">
        <v>194</v>
      </c>
      <c r="B344" t="s">
        <v>191</v>
      </c>
      <c r="C344" t="s">
        <v>122</v>
      </c>
      <c r="D344" t="s">
        <v>131</v>
      </c>
      <c r="E344">
        <v>2</v>
      </c>
      <c r="F344">
        <v>2.75</v>
      </c>
      <c r="G344">
        <v>4.2</v>
      </c>
      <c r="H344">
        <f t="shared" si="10"/>
        <v>1.4135</v>
      </c>
      <c r="I344">
        <f t="shared" si="11"/>
        <v>2.1588000000000003</v>
      </c>
    </row>
    <row r="345" spans="1:9">
      <c r="A345" t="s">
        <v>194</v>
      </c>
      <c r="B345" t="s">
        <v>191</v>
      </c>
      <c r="C345" t="s">
        <v>122</v>
      </c>
      <c r="D345" t="s">
        <v>131</v>
      </c>
      <c r="E345">
        <v>3</v>
      </c>
      <c r="F345">
        <v>2.75</v>
      </c>
      <c r="G345">
        <v>3.9</v>
      </c>
      <c r="H345">
        <f t="shared" si="10"/>
        <v>1.4135</v>
      </c>
      <c r="I345">
        <f t="shared" si="11"/>
        <v>2.0045999999999999</v>
      </c>
    </row>
    <row r="346" spans="1:9">
      <c r="A346" t="s">
        <v>194</v>
      </c>
      <c r="B346" t="s">
        <v>191</v>
      </c>
      <c r="C346" t="s">
        <v>122</v>
      </c>
      <c r="D346" t="s">
        <v>131</v>
      </c>
      <c r="E346">
        <v>4</v>
      </c>
      <c r="F346">
        <v>2.6</v>
      </c>
      <c r="G346">
        <v>3.6</v>
      </c>
      <c r="H346">
        <f t="shared" si="10"/>
        <v>1.3364</v>
      </c>
      <c r="I346">
        <f t="shared" si="11"/>
        <v>1.8504</v>
      </c>
    </row>
    <row r="347" spans="1:9">
      <c r="A347" t="s">
        <v>194</v>
      </c>
      <c r="B347" t="s">
        <v>191</v>
      </c>
      <c r="C347" t="s">
        <v>122</v>
      </c>
      <c r="D347" t="s">
        <v>131</v>
      </c>
      <c r="E347">
        <v>5</v>
      </c>
      <c r="F347">
        <v>2.5750000000000002</v>
      </c>
      <c r="G347">
        <v>3.2</v>
      </c>
      <c r="H347">
        <f t="shared" si="10"/>
        <v>1.3235500000000002</v>
      </c>
      <c r="I347">
        <f t="shared" si="11"/>
        <v>1.6448</v>
      </c>
    </row>
    <row r="348" spans="1:9">
      <c r="A348" t="s">
        <v>194</v>
      </c>
      <c r="B348" t="s">
        <v>191</v>
      </c>
      <c r="C348" t="s">
        <v>122</v>
      </c>
      <c r="D348" t="s">
        <v>131</v>
      </c>
      <c r="E348">
        <v>6</v>
      </c>
      <c r="F348">
        <v>2.35</v>
      </c>
      <c r="G348">
        <v>3.2</v>
      </c>
      <c r="H348">
        <f t="shared" si="10"/>
        <v>1.2079</v>
      </c>
      <c r="I348">
        <f t="shared" si="11"/>
        <v>1.6448</v>
      </c>
    </row>
    <row r="349" spans="1:9">
      <c r="A349" t="s">
        <v>194</v>
      </c>
      <c r="B349" t="s">
        <v>191</v>
      </c>
      <c r="C349" t="s">
        <v>122</v>
      </c>
      <c r="D349" t="s">
        <v>131</v>
      </c>
      <c r="E349">
        <v>7</v>
      </c>
      <c r="F349">
        <v>2.0750000000000002</v>
      </c>
      <c r="G349">
        <v>3.2</v>
      </c>
      <c r="H349">
        <f t="shared" si="10"/>
        <v>1.0665500000000001</v>
      </c>
      <c r="I349">
        <f t="shared" si="11"/>
        <v>1.6448</v>
      </c>
    </row>
    <row r="350" spans="1:9">
      <c r="A350" t="s">
        <v>194</v>
      </c>
      <c r="B350" t="s">
        <v>191</v>
      </c>
      <c r="C350" t="s">
        <v>122</v>
      </c>
      <c r="D350" t="s">
        <v>131</v>
      </c>
      <c r="E350">
        <v>8</v>
      </c>
      <c r="F350">
        <v>1.8250000000000002</v>
      </c>
      <c r="G350">
        <v>3.2</v>
      </c>
      <c r="H350">
        <f t="shared" si="10"/>
        <v>0.93805000000000016</v>
      </c>
      <c r="I350">
        <f t="shared" si="11"/>
        <v>1.6448</v>
      </c>
    </row>
    <row r="351" spans="1:9">
      <c r="A351" t="s">
        <v>194</v>
      </c>
      <c r="B351" t="s">
        <v>191</v>
      </c>
      <c r="C351" t="s">
        <v>122</v>
      </c>
      <c r="D351" t="s">
        <v>131</v>
      </c>
      <c r="E351">
        <v>9</v>
      </c>
      <c r="F351">
        <v>1.575</v>
      </c>
      <c r="G351">
        <v>3.1</v>
      </c>
      <c r="H351">
        <f t="shared" si="10"/>
        <v>0.80954999999999999</v>
      </c>
      <c r="I351">
        <f t="shared" si="11"/>
        <v>1.5934000000000001</v>
      </c>
    </row>
    <row r="352" spans="1:9">
      <c r="A352" t="s">
        <v>194</v>
      </c>
      <c r="B352" t="s">
        <v>191</v>
      </c>
      <c r="C352" t="s">
        <v>122</v>
      </c>
      <c r="D352" t="s">
        <v>131</v>
      </c>
      <c r="E352">
        <v>10</v>
      </c>
      <c r="F352">
        <v>1.325</v>
      </c>
      <c r="G352">
        <v>2.9</v>
      </c>
      <c r="H352">
        <f t="shared" si="10"/>
        <v>0.68105000000000004</v>
      </c>
      <c r="I352">
        <f t="shared" si="11"/>
        <v>1.4905999999999999</v>
      </c>
    </row>
    <row r="353" spans="1:9">
      <c r="A353" t="s">
        <v>194</v>
      </c>
      <c r="B353" t="s">
        <v>191</v>
      </c>
      <c r="C353" t="s">
        <v>122</v>
      </c>
      <c r="D353" t="s">
        <v>131</v>
      </c>
      <c r="E353">
        <v>11</v>
      </c>
      <c r="F353">
        <v>1.2250000000000001</v>
      </c>
      <c r="G353">
        <v>2.9</v>
      </c>
      <c r="H353">
        <f t="shared" si="10"/>
        <v>0.62965000000000004</v>
      </c>
      <c r="I353">
        <f t="shared" si="11"/>
        <v>1.4905999999999999</v>
      </c>
    </row>
    <row r="354" spans="1:9">
      <c r="A354" t="s">
        <v>194</v>
      </c>
      <c r="B354" t="s">
        <v>191</v>
      </c>
      <c r="C354" t="s">
        <v>122</v>
      </c>
      <c r="D354" t="s">
        <v>131</v>
      </c>
      <c r="E354">
        <v>12</v>
      </c>
      <c r="F354">
        <v>1.325</v>
      </c>
      <c r="G354">
        <v>3.1</v>
      </c>
      <c r="H354">
        <f t="shared" si="10"/>
        <v>0.68105000000000004</v>
      </c>
      <c r="I354">
        <f t="shared" si="11"/>
        <v>1.5934000000000001</v>
      </c>
    </row>
    <row r="355" spans="1:9">
      <c r="A355" t="s">
        <v>194</v>
      </c>
      <c r="B355" t="s">
        <v>191</v>
      </c>
      <c r="C355" t="s">
        <v>122</v>
      </c>
      <c r="D355" t="s">
        <v>131</v>
      </c>
      <c r="E355">
        <v>13</v>
      </c>
      <c r="F355">
        <v>1.9666666666666668</v>
      </c>
      <c r="G355">
        <v>3.1</v>
      </c>
      <c r="H355">
        <f t="shared" si="10"/>
        <v>1.0108666666666668</v>
      </c>
      <c r="I355">
        <f t="shared" si="11"/>
        <v>1.5934000000000001</v>
      </c>
    </row>
    <row r="356" spans="1:9">
      <c r="A356" t="s">
        <v>194</v>
      </c>
      <c r="B356" t="s">
        <v>191</v>
      </c>
      <c r="C356" t="s">
        <v>122</v>
      </c>
      <c r="D356" t="s">
        <v>131</v>
      </c>
      <c r="E356">
        <v>14</v>
      </c>
      <c r="F356">
        <v>1.7000000000000002</v>
      </c>
      <c r="G356">
        <v>3.2</v>
      </c>
      <c r="H356">
        <f t="shared" si="10"/>
        <v>0.87380000000000013</v>
      </c>
      <c r="I356">
        <f t="shared" si="11"/>
        <v>1.6448</v>
      </c>
    </row>
    <row r="357" spans="1:9">
      <c r="A357" t="s">
        <v>194</v>
      </c>
      <c r="B357" t="s">
        <v>191</v>
      </c>
      <c r="C357" t="s">
        <v>122</v>
      </c>
      <c r="D357" t="s">
        <v>131</v>
      </c>
      <c r="E357">
        <v>15</v>
      </c>
      <c r="F357">
        <v>1.925</v>
      </c>
      <c r="G357">
        <v>3.2</v>
      </c>
      <c r="H357">
        <f t="shared" si="10"/>
        <v>0.98945000000000005</v>
      </c>
      <c r="I357">
        <f t="shared" si="11"/>
        <v>1.6448</v>
      </c>
    </row>
    <row r="358" spans="1:9">
      <c r="A358" t="s">
        <v>194</v>
      </c>
      <c r="B358" t="s">
        <v>191</v>
      </c>
      <c r="C358" t="s">
        <v>122</v>
      </c>
      <c r="D358" t="s">
        <v>131</v>
      </c>
      <c r="E358">
        <v>16</v>
      </c>
      <c r="F358">
        <v>2.1749999999999998</v>
      </c>
      <c r="G358">
        <v>3.4</v>
      </c>
      <c r="H358">
        <f t="shared" si="10"/>
        <v>1.11795</v>
      </c>
      <c r="I358">
        <f t="shared" si="11"/>
        <v>1.7476</v>
      </c>
    </row>
    <row r="359" spans="1:9">
      <c r="A359" t="s">
        <v>194</v>
      </c>
      <c r="B359" t="s">
        <v>191</v>
      </c>
      <c r="C359" t="s">
        <v>122</v>
      </c>
      <c r="D359" t="s">
        <v>131</v>
      </c>
      <c r="E359">
        <v>17</v>
      </c>
      <c r="F359">
        <v>2.4000000000000004</v>
      </c>
      <c r="G359">
        <v>3.4</v>
      </c>
      <c r="H359">
        <f t="shared" si="10"/>
        <v>1.2336000000000003</v>
      </c>
      <c r="I359">
        <f t="shared" si="11"/>
        <v>1.7476</v>
      </c>
    </row>
    <row r="360" spans="1:9">
      <c r="A360" t="s">
        <v>194</v>
      </c>
      <c r="B360" t="s">
        <v>191</v>
      </c>
      <c r="C360" t="s">
        <v>122</v>
      </c>
      <c r="D360" t="s">
        <v>131</v>
      </c>
      <c r="E360">
        <v>18</v>
      </c>
      <c r="F360">
        <v>2.5750000000000002</v>
      </c>
      <c r="G360">
        <v>3.4</v>
      </c>
      <c r="H360">
        <f t="shared" si="10"/>
        <v>1.3235500000000002</v>
      </c>
      <c r="I360">
        <f t="shared" si="11"/>
        <v>1.7476</v>
      </c>
    </row>
    <row r="361" spans="1:9">
      <c r="A361" t="s">
        <v>194</v>
      </c>
      <c r="B361" t="s">
        <v>191</v>
      </c>
      <c r="C361" t="s">
        <v>122</v>
      </c>
      <c r="D361" t="s">
        <v>131</v>
      </c>
      <c r="E361">
        <v>19</v>
      </c>
      <c r="F361">
        <v>2.625</v>
      </c>
      <c r="G361">
        <v>3.2</v>
      </c>
      <c r="H361">
        <f t="shared" si="10"/>
        <v>1.3492500000000001</v>
      </c>
      <c r="I361">
        <f t="shared" si="11"/>
        <v>1.6448</v>
      </c>
    </row>
    <row r="362" spans="1:9">
      <c r="A362" t="s">
        <v>194</v>
      </c>
      <c r="B362" t="s">
        <v>191</v>
      </c>
      <c r="C362" t="s">
        <v>122</v>
      </c>
      <c r="D362" t="s">
        <v>131</v>
      </c>
      <c r="E362">
        <v>20</v>
      </c>
      <c r="F362">
        <v>2.3333333333333335</v>
      </c>
      <c r="G362">
        <v>2.8</v>
      </c>
      <c r="H362">
        <f t="shared" si="10"/>
        <v>1.1993333333333334</v>
      </c>
      <c r="I362">
        <f t="shared" si="11"/>
        <v>1.4392</v>
      </c>
    </row>
    <row r="363" spans="1:9">
      <c r="A363" t="s">
        <v>194</v>
      </c>
      <c r="B363" t="s">
        <v>191</v>
      </c>
      <c r="C363" t="s">
        <v>122</v>
      </c>
      <c r="D363" t="s">
        <v>131</v>
      </c>
      <c r="E363">
        <v>21</v>
      </c>
      <c r="F363">
        <v>2.4749999999999996</v>
      </c>
      <c r="G363">
        <v>3.5</v>
      </c>
      <c r="H363">
        <f t="shared" si="10"/>
        <v>1.2721499999999999</v>
      </c>
      <c r="I363">
        <f t="shared" si="11"/>
        <v>1.7989999999999999</v>
      </c>
    </row>
    <row r="364" spans="1:9">
      <c r="A364" t="s">
        <v>194</v>
      </c>
      <c r="B364" t="s">
        <v>191</v>
      </c>
      <c r="C364" t="s">
        <v>122</v>
      </c>
      <c r="D364" t="s">
        <v>131</v>
      </c>
      <c r="E364">
        <v>22</v>
      </c>
      <c r="F364">
        <v>2.3499999999999996</v>
      </c>
      <c r="G364">
        <v>3.6</v>
      </c>
      <c r="H364">
        <f t="shared" si="10"/>
        <v>1.2078999999999998</v>
      </c>
      <c r="I364">
        <f t="shared" si="11"/>
        <v>1.8504</v>
      </c>
    </row>
    <row r="365" spans="1:9">
      <c r="A365" t="s">
        <v>194</v>
      </c>
      <c r="B365" t="s">
        <v>191</v>
      </c>
      <c r="C365" t="s">
        <v>122</v>
      </c>
      <c r="D365" t="s">
        <v>131</v>
      </c>
      <c r="E365">
        <v>23</v>
      </c>
      <c r="F365">
        <v>2.1749999999999998</v>
      </c>
      <c r="G365">
        <v>3.6</v>
      </c>
      <c r="H365">
        <f t="shared" si="10"/>
        <v>1.11795</v>
      </c>
      <c r="I365">
        <f t="shared" si="11"/>
        <v>1.8504</v>
      </c>
    </row>
    <row r="366" spans="1:9">
      <c r="A366" t="s">
        <v>194</v>
      </c>
      <c r="B366" t="s">
        <v>191</v>
      </c>
      <c r="C366" t="s">
        <v>122</v>
      </c>
      <c r="D366" t="s">
        <v>131</v>
      </c>
      <c r="E366">
        <v>24</v>
      </c>
      <c r="F366">
        <v>1.9749999999999999</v>
      </c>
      <c r="G366">
        <v>3.6</v>
      </c>
      <c r="H366">
        <f t="shared" si="10"/>
        <v>1.01515</v>
      </c>
      <c r="I366">
        <f t="shared" si="11"/>
        <v>1.8504</v>
      </c>
    </row>
    <row r="367" spans="1:9">
      <c r="A367" t="s">
        <v>194</v>
      </c>
      <c r="B367" t="s">
        <v>191</v>
      </c>
      <c r="C367" t="s">
        <v>122</v>
      </c>
      <c r="D367" t="s">
        <v>131</v>
      </c>
      <c r="E367">
        <v>25</v>
      </c>
      <c r="F367">
        <v>1.7249999999999999</v>
      </c>
      <c r="G367">
        <v>3.5</v>
      </c>
      <c r="H367">
        <f t="shared" si="10"/>
        <v>0.88664999999999994</v>
      </c>
      <c r="I367">
        <f t="shared" si="11"/>
        <v>1.7989999999999999</v>
      </c>
    </row>
    <row r="368" spans="1:9">
      <c r="A368" t="s">
        <v>194</v>
      </c>
      <c r="B368" t="s">
        <v>191</v>
      </c>
      <c r="C368" t="s">
        <v>122</v>
      </c>
      <c r="D368" t="s">
        <v>131</v>
      </c>
      <c r="E368">
        <v>26</v>
      </c>
      <c r="F368">
        <v>1.7249999999999999</v>
      </c>
      <c r="G368">
        <v>3.5</v>
      </c>
      <c r="H368">
        <f t="shared" si="10"/>
        <v>0.88664999999999994</v>
      </c>
      <c r="I368">
        <f t="shared" si="11"/>
        <v>1.7989999999999999</v>
      </c>
    </row>
    <row r="369" spans="1:9">
      <c r="A369" t="s">
        <v>194</v>
      </c>
      <c r="B369" t="s">
        <v>191</v>
      </c>
      <c r="C369" t="s">
        <v>122</v>
      </c>
      <c r="D369" t="s">
        <v>131</v>
      </c>
      <c r="E369">
        <v>27</v>
      </c>
      <c r="F369">
        <v>2.2666666666666666</v>
      </c>
      <c r="G369">
        <v>3.5</v>
      </c>
      <c r="H369">
        <f t="shared" si="10"/>
        <v>1.1650666666666667</v>
      </c>
      <c r="I369">
        <f t="shared" si="11"/>
        <v>1.7989999999999999</v>
      </c>
    </row>
    <row r="370" spans="1:9">
      <c r="A370" t="s">
        <v>194</v>
      </c>
      <c r="B370" t="s">
        <v>191</v>
      </c>
      <c r="C370" t="s">
        <v>122</v>
      </c>
      <c r="D370" t="s">
        <v>131</v>
      </c>
      <c r="E370">
        <v>28</v>
      </c>
      <c r="F370">
        <v>1.9749999999999999</v>
      </c>
      <c r="G370">
        <v>3.5</v>
      </c>
      <c r="H370">
        <f t="shared" si="10"/>
        <v>1.01515</v>
      </c>
      <c r="I370">
        <f t="shared" si="11"/>
        <v>1.7989999999999999</v>
      </c>
    </row>
    <row r="371" spans="1:9">
      <c r="A371" t="s">
        <v>194</v>
      </c>
      <c r="B371" t="s">
        <v>191</v>
      </c>
      <c r="C371" t="s">
        <v>122</v>
      </c>
      <c r="D371" t="s">
        <v>131</v>
      </c>
      <c r="E371">
        <v>29</v>
      </c>
      <c r="F371">
        <v>2.2250000000000001</v>
      </c>
      <c r="G371">
        <v>3.5</v>
      </c>
      <c r="H371">
        <f t="shared" si="10"/>
        <v>1.1436500000000001</v>
      </c>
      <c r="I371">
        <f t="shared" si="11"/>
        <v>1.7989999999999999</v>
      </c>
    </row>
    <row r="372" spans="1:9">
      <c r="A372" t="s">
        <v>194</v>
      </c>
      <c r="B372" t="s">
        <v>191</v>
      </c>
      <c r="C372" t="s">
        <v>122</v>
      </c>
      <c r="D372" t="s">
        <v>131</v>
      </c>
      <c r="E372">
        <v>30</v>
      </c>
      <c r="F372">
        <v>2.4500000000000002</v>
      </c>
      <c r="G372">
        <v>3.5</v>
      </c>
      <c r="H372">
        <f t="shared" si="10"/>
        <v>1.2593000000000001</v>
      </c>
      <c r="I372">
        <f t="shared" si="11"/>
        <v>1.7989999999999999</v>
      </c>
    </row>
    <row r="373" spans="1:9">
      <c r="A373" t="s">
        <v>194</v>
      </c>
      <c r="B373" t="s">
        <v>191</v>
      </c>
      <c r="C373" t="s">
        <v>122</v>
      </c>
      <c r="D373" t="s">
        <v>131</v>
      </c>
      <c r="E373">
        <v>31</v>
      </c>
      <c r="F373">
        <v>2.6500000000000004</v>
      </c>
      <c r="G373">
        <v>3.5</v>
      </c>
      <c r="H373">
        <f t="shared" si="10"/>
        <v>1.3621000000000003</v>
      </c>
      <c r="I373">
        <f t="shared" si="11"/>
        <v>1.7989999999999999</v>
      </c>
    </row>
    <row r="374" spans="1:9">
      <c r="A374" t="s">
        <v>201</v>
      </c>
      <c r="B374" t="s">
        <v>202</v>
      </c>
      <c r="C374" t="s">
        <v>198</v>
      </c>
      <c r="D374" t="s">
        <v>151</v>
      </c>
      <c r="E374">
        <v>1</v>
      </c>
      <c r="F374">
        <v>0.77500000000000013</v>
      </c>
      <c r="G374">
        <v>1.1000000000000001</v>
      </c>
      <c r="H374">
        <f t="shared" si="10"/>
        <v>0.39835000000000009</v>
      </c>
      <c r="I374">
        <f t="shared" si="11"/>
        <v>0.56540000000000001</v>
      </c>
    </row>
    <row r="375" spans="1:9">
      <c r="A375" t="s">
        <v>201</v>
      </c>
      <c r="B375" t="s">
        <v>202</v>
      </c>
      <c r="C375" t="s">
        <v>198</v>
      </c>
      <c r="D375" t="s">
        <v>151</v>
      </c>
      <c r="E375">
        <v>2</v>
      </c>
      <c r="F375">
        <v>0.79249999999999998</v>
      </c>
      <c r="G375">
        <v>1.1000000000000001</v>
      </c>
      <c r="H375">
        <f t="shared" si="10"/>
        <v>0.40734500000000001</v>
      </c>
      <c r="I375">
        <f t="shared" si="11"/>
        <v>0.56540000000000001</v>
      </c>
    </row>
    <row r="376" spans="1:9">
      <c r="A376" t="s">
        <v>201</v>
      </c>
      <c r="B376" t="s">
        <v>202</v>
      </c>
      <c r="C376" t="s">
        <v>198</v>
      </c>
      <c r="D376" t="s">
        <v>151</v>
      </c>
      <c r="E376">
        <v>3</v>
      </c>
      <c r="F376">
        <v>0.7649999999999999</v>
      </c>
      <c r="G376">
        <v>1</v>
      </c>
      <c r="H376">
        <f t="shared" si="10"/>
        <v>0.39320999999999995</v>
      </c>
      <c r="I376">
        <f t="shared" si="11"/>
        <v>0.51400000000000001</v>
      </c>
    </row>
    <row r="377" spans="1:9">
      <c r="A377" t="s">
        <v>201</v>
      </c>
      <c r="B377" t="s">
        <v>202</v>
      </c>
      <c r="C377" t="s">
        <v>198</v>
      </c>
      <c r="D377" t="s">
        <v>151</v>
      </c>
      <c r="E377">
        <v>4</v>
      </c>
      <c r="F377">
        <v>0.72</v>
      </c>
      <c r="G377">
        <v>0.9</v>
      </c>
      <c r="H377">
        <f t="shared" si="10"/>
        <v>0.37008000000000002</v>
      </c>
      <c r="I377">
        <f t="shared" si="11"/>
        <v>0.46260000000000001</v>
      </c>
    </row>
    <row r="378" spans="1:9">
      <c r="A378" t="s">
        <v>201</v>
      </c>
      <c r="B378" t="s">
        <v>202</v>
      </c>
      <c r="C378" t="s">
        <v>198</v>
      </c>
      <c r="D378" t="s">
        <v>151</v>
      </c>
      <c r="E378">
        <v>5</v>
      </c>
      <c r="F378">
        <v>0.6725000000000001</v>
      </c>
      <c r="G378">
        <v>0.8</v>
      </c>
      <c r="H378">
        <f t="shared" si="10"/>
        <v>0.34566500000000006</v>
      </c>
      <c r="I378">
        <f t="shared" si="11"/>
        <v>0.41120000000000001</v>
      </c>
    </row>
    <row r="379" spans="1:9">
      <c r="A379" t="s">
        <v>201</v>
      </c>
      <c r="B379" t="s">
        <v>202</v>
      </c>
      <c r="C379" t="s">
        <v>198</v>
      </c>
      <c r="D379" t="s">
        <v>151</v>
      </c>
      <c r="E379">
        <v>6</v>
      </c>
      <c r="F379">
        <v>0.61250000000000004</v>
      </c>
      <c r="G379">
        <v>0.8</v>
      </c>
      <c r="H379">
        <f t="shared" si="10"/>
        <v>0.31482500000000002</v>
      </c>
      <c r="I379">
        <f t="shared" si="11"/>
        <v>0.41120000000000001</v>
      </c>
    </row>
    <row r="380" spans="1:9">
      <c r="A380" t="s">
        <v>201</v>
      </c>
      <c r="B380" t="s">
        <v>202</v>
      </c>
      <c r="C380" t="s">
        <v>198</v>
      </c>
      <c r="D380" t="s">
        <v>151</v>
      </c>
      <c r="E380">
        <v>7</v>
      </c>
      <c r="F380">
        <v>0.4366666666666667</v>
      </c>
      <c r="G380">
        <v>0.5</v>
      </c>
      <c r="H380">
        <f t="shared" si="10"/>
        <v>0.22444666666666668</v>
      </c>
      <c r="I380">
        <f t="shared" si="11"/>
        <v>0.25700000000000001</v>
      </c>
    </row>
    <row r="381" spans="1:9">
      <c r="A381" t="s">
        <v>201</v>
      </c>
      <c r="B381" t="s">
        <v>202</v>
      </c>
      <c r="C381" t="s">
        <v>198</v>
      </c>
      <c r="D381" t="s">
        <v>151</v>
      </c>
      <c r="E381">
        <v>8</v>
      </c>
      <c r="F381">
        <v>0.46499999999999997</v>
      </c>
      <c r="G381">
        <v>0.8</v>
      </c>
      <c r="H381">
        <f t="shared" si="10"/>
        <v>0.23901</v>
      </c>
      <c r="I381">
        <f t="shared" si="11"/>
        <v>0.41120000000000001</v>
      </c>
    </row>
    <row r="382" spans="1:9">
      <c r="A382" t="s">
        <v>201</v>
      </c>
      <c r="B382" t="s">
        <v>202</v>
      </c>
      <c r="C382" t="s">
        <v>198</v>
      </c>
      <c r="D382" t="s">
        <v>151</v>
      </c>
      <c r="E382">
        <v>9</v>
      </c>
      <c r="F382">
        <v>0.41250000000000003</v>
      </c>
      <c r="G382">
        <v>0.8</v>
      </c>
      <c r="H382">
        <f t="shared" si="10"/>
        <v>0.21202500000000002</v>
      </c>
      <c r="I382">
        <f t="shared" si="11"/>
        <v>0.41120000000000001</v>
      </c>
    </row>
    <row r="383" spans="1:9">
      <c r="A383" t="s">
        <v>201</v>
      </c>
      <c r="B383" t="s">
        <v>202</v>
      </c>
      <c r="C383" t="s">
        <v>198</v>
      </c>
      <c r="D383" t="s">
        <v>151</v>
      </c>
      <c r="E383">
        <v>10</v>
      </c>
      <c r="F383">
        <v>0.37250000000000005</v>
      </c>
      <c r="G383">
        <v>0.7</v>
      </c>
      <c r="H383">
        <f t="shared" si="10"/>
        <v>0.19146500000000002</v>
      </c>
      <c r="I383">
        <f t="shared" si="11"/>
        <v>0.35980000000000001</v>
      </c>
    </row>
    <row r="384" spans="1:9">
      <c r="A384" t="s">
        <v>201</v>
      </c>
      <c r="B384" t="s">
        <v>202</v>
      </c>
      <c r="C384" t="s">
        <v>198</v>
      </c>
      <c r="D384" t="s">
        <v>151</v>
      </c>
      <c r="E384">
        <v>11</v>
      </c>
      <c r="F384">
        <v>0.3725</v>
      </c>
      <c r="G384">
        <v>0.7</v>
      </c>
      <c r="H384">
        <f t="shared" si="10"/>
        <v>0.191465</v>
      </c>
      <c r="I384">
        <f t="shared" si="11"/>
        <v>0.35980000000000001</v>
      </c>
    </row>
    <row r="385" spans="1:9">
      <c r="A385" t="s">
        <v>201</v>
      </c>
      <c r="B385" t="s">
        <v>202</v>
      </c>
      <c r="C385" t="s">
        <v>198</v>
      </c>
      <c r="D385" t="s">
        <v>151</v>
      </c>
      <c r="E385">
        <v>12</v>
      </c>
      <c r="F385">
        <v>0.39</v>
      </c>
      <c r="G385">
        <v>0.7</v>
      </c>
      <c r="H385">
        <f t="shared" si="10"/>
        <v>0.20046</v>
      </c>
      <c r="I385">
        <f t="shared" si="11"/>
        <v>0.35980000000000001</v>
      </c>
    </row>
    <row r="386" spans="1:9">
      <c r="A386" t="s">
        <v>201</v>
      </c>
      <c r="B386" t="s">
        <v>202</v>
      </c>
      <c r="C386" t="s">
        <v>198</v>
      </c>
      <c r="D386" t="s">
        <v>151</v>
      </c>
      <c r="E386">
        <v>13</v>
      </c>
      <c r="F386">
        <v>0.46750000000000008</v>
      </c>
      <c r="G386">
        <v>0.8</v>
      </c>
      <c r="H386">
        <f t="shared" si="10"/>
        <v>0.24029500000000004</v>
      </c>
      <c r="I386">
        <f t="shared" si="11"/>
        <v>0.41120000000000001</v>
      </c>
    </row>
    <row r="387" spans="1:9">
      <c r="A387" t="s">
        <v>201</v>
      </c>
      <c r="B387" t="s">
        <v>202</v>
      </c>
      <c r="C387" t="s">
        <v>198</v>
      </c>
      <c r="D387" t="s">
        <v>151</v>
      </c>
      <c r="E387">
        <v>14</v>
      </c>
      <c r="F387">
        <v>0.64333333333333342</v>
      </c>
      <c r="G387">
        <v>0.8</v>
      </c>
      <c r="H387">
        <f t="shared" ref="H387:H435" si="12">F387*0.514</f>
        <v>0.33067333333333337</v>
      </c>
      <c r="I387">
        <f t="shared" ref="I387:I435" si="13">G387*0.514</f>
        <v>0.41120000000000001</v>
      </c>
    </row>
    <row r="388" spans="1:9">
      <c r="A388" t="s">
        <v>201</v>
      </c>
      <c r="B388" t="s">
        <v>202</v>
      </c>
      <c r="C388" t="s">
        <v>198</v>
      </c>
      <c r="D388" t="s">
        <v>151</v>
      </c>
      <c r="E388">
        <v>15</v>
      </c>
      <c r="F388">
        <v>0.58750000000000002</v>
      </c>
      <c r="G388">
        <v>0.9</v>
      </c>
      <c r="H388">
        <f t="shared" si="12"/>
        <v>0.30197499999999999</v>
      </c>
      <c r="I388">
        <f t="shared" si="13"/>
        <v>0.46260000000000001</v>
      </c>
    </row>
    <row r="389" spans="1:9">
      <c r="A389" t="s">
        <v>201</v>
      </c>
      <c r="B389" t="s">
        <v>202</v>
      </c>
      <c r="C389" t="s">
        <v>198</v>
      </c>
      <c r="D389" t="s">
        <v>151</v>
      </c>
      <c r="E389">
        <v>16</v>
      </c>
      <c r="F389">
        <v>0.64</v>
      </c>
      <c r="G389">
        <v>0.9</v>
      </c>
      <c r="H389">
        <f t="shared" si="12"/>
        <v>0.32896000000000003</v>
      </c>
      <c r="I389">
        <f t="shared" si="13"/>
        <v>0.46260000000000001</v>
      </c>
    </row>
    <row r="390" spans="1:9">
      <c r="A390" t="s">
        <v>201</v>
      </c>
      <c r="B390" t="s">
        <v>202</v>
      </c>
      <c r="C390" t="s">
        <v>198</v>
      </c>
      <c r="D390" t="s">
        <v>151</v>
      </c>
      <c r="E390">
        <v>17</v>
      </c>
      <c r="F390">
        <v>0.66500000000000004</v>
      </c>
      <c r="G390">
        <v>0.9</v>
      </c>
      <c r="H390">
        <f t="shared" si="12"/>
        <v>0.34181</v>
      </c>
      <c r="I390">
        <f t="shared" si="13"/>
        <v>0.46260000000000001</v>
      </c>
    </row>
    <row r="391" spans="1:9">
      <c r="A391" t="s">
        <v>201</v>
      </c>
      <c r="B391" t="s">
        <v>202</v>
      </c>
      <c r="C391" t="s">
        <v>198</v>
      </c>
      <c r="D391" t="s">
        <v>151</v>
      </c>
      <c r="E391">
        <v>18</v>
      </c>
      <c r="F391">
        <v>0.70750000000000002</v>
      </c>
      <c r="G391">
        <v>0.9</v>
      </c>
      <c r="H391">
        <f t="shared" si="12"/>
        <v>0.36365500000000001</v>
      </c>
      <c r="I391">
        <f t="shared" si="13"/>
        <v>0.46260000000000001</v>
      </c>
    </row>
    <row r="392" spans="1:9">
      <c r="A392" t="s">
        <v>201</v>
      </c>
      <c r="B392" t="s">
        <v>202</v>
      </c>
      <c r="C392" t="s">
        <v>198</v>
      </c>
      <c r="D392" t="s">
        <v>151</v>
      </c>
      <c r="E392">
        <v>19</v>
      </c>
      <c r="F392">
        <v>0.74</v>
      </c>
      <c r="G392">
        <v>0.9</v>
      </c>
      <c r="H392">
        <f t="shared" si="12"/>
        <v>0.38036000000000003</v>
      </c>
      <c r="I392">
        <f t="shared" si="13"/>
        <v>0.46260000000000001</v>
      </c>
    </row>
    <row r="393" spans="1:9">
      <c r="A393" t="s">
        <v>201</v>
      </c>
      <c r="B393" t="s">
        <v>202</v>
      </c>
      <c r="C393" t="s">
        <v>198</v>
      </c>
      <c r="D393" t="s">
        <v>151</v>
      </c>
      <c r="E393">
        <v>20</v>
      </c>
      <c r="F393">
        <v>0.71499999999999997</v>
      </c>
      <c r="G393">
        <v>0.9</v>
      </c>
      <c r="H393">
        <f t="shared" si="12"/>
        <v>0.36751</v>
      </c>
      <c r="I393">
        <f t="shared" si="13"/>
        <v>0.46260000000000001</v>
      </c>
    </row>
    <row r="394" spans="1:9">
      <c r="A394" t="s">
        <v>201</v>
      </c>
      <c r="B394" t="s">
        <v>202</v>
      </c>
      <c r="C394" t="s">
        <v>198</v>
      </c>
      <c r="D394" t="s">
        <v>151</v>
      </c>
      <c r="E394">
        <v>21</v>
      </c>
      <c r="F394">
        <v>0.70500000000000007</v>
      </c>
      <c r="G394">
        <v>1</v>
      </c>
      <c r="H394">
        <f t="shared" si="12"/>
        <v>0.36237000000000003</v>
      </c>
      <c r="I394">
        <f t="shared" si="13"/>
        <v>0.51400000000000001</v>
      </c>
    </row>
    <row r="395" spans="1:9">
      <c r="A395" t="s">
        <v>201</v>
      </c>
      <c r="B395" t="s">
        <v>202</v>
      </c>
      <c r="C395" t="s">
        <v>198</v>
      </c>
      <c r="D395" t="s">
        <v>151</v>
      </c>
      <c r="E395">
        <v>22</v>
      </c>
      <c r="F395">
        <v>0.54333333333333333</v>
      </c>
      <c r="G395">
        <v>0.6</v>
      </c>
      <c r="H395">
        <f t="shared" si="12"/>
        <v>0.27927333333333332</v>
      </c>
      <c r="I395">
        <f t="shared" si="13"/>
        <v>0.30840000000000001</v>
      </c>
    </row>
    <row r="396" spans="1:9">
      <c r="A396" t="s">
        <v>201</v>
      </c>
      <c r="B396" t="s">
        <v>202</v>
      </c>
      <c r="C396" t="s">
        <v>198</v>
      </c>
      <c r="D396" t="s">
        <v>151</v>
      </c>
      <c r="E396">
        <v>23</v>
      </c>
      <c r="F396">
        <v>0.61</v>
      </c>
      <c r="G396">
        <v>1</v>
      </c>
      <c r="H396">
        <f t="shared" si="12"/>
        <v>0.31353999999999999</v>
      </c>
      <c r="I396">
        <f t="shared" si="13"/>
        <v>0.51400000000000001</v>
      </c>
    </row>
    <row r="397" spans="1:9">
      <c r="A397" t="s">
        <v>201</v>
      </c>
      <c r="B397" t="s">
        <v>202</v>
      </c>
      <c r="C397" t="s">
        <v>198</v>
      </c>
      <c r="D397" t="s">
        <v>151</v>
      </c>
      <c r="E397">
        <v>24</v>
      </c>
      <c r="F397">
        <v>0.53499999999999992</v>
      </c>
      <c r="G397">
        <v>0.9</v>
      </c>
      <c r="H397">
        <f t="shared" si="12"/>
        <v>0.27498999999999996</v>
      </c>
      <c r="I397">
        <f t="shared" si="13"/>
        <v>0.46260000000000001</v>
      </c>
    </row>
    <row r="398" spans="1:9">
      <c r="A398" t="s">
        <v>201</v>
      </c>
      <c r="B398" t="s">
        <v>202</v>
      </c>
      <c r="C398" t="s">
        <v>198</v>
      </c>
      <c r="D398" t="s">
        <v>151</v>
      </c>
      <c r="E398">
        <v>25</v>
      </c>
      <c r="F398">
        <v>0.52</v>
      </c>
      <c r="G398">
        <v>0.9</v>
      </c>
      <c r="H398">
        <f t="shared" si="12"/>
        <v>0.26728000000000002</v>
      </c>
      <c r="I398">
        <f t="shared" si="13"/>
        <v>0.46260000000000001</v>
      </c>
    </row>
    <row r="399" spans="1:9">
      <c r="A399" t="s">
        <v>201</v>
      </c>
      <c r="B399" t="s">
        <v>202</v>
      </c>
      <c r="C399" t="s">
        <v>198</v>
      </c>
      <c r="D399" t="s">
        <v>151</v>
      </c>
      <c r="E399">
        <v>26</v>
      </c>
      <c r="F399">
        <v>0.53</v>
      </c>
      <c r="G399">
        <v>0.9</v>
      </c>
      <c r="H399">
        <f t="shared" si="12"/>
        <v>0.27242</v>
      </c>
      <c r="I399">
        <f t="shared" si="13"/>
        <v>0.46260000000000001</v>
      </c>
    </row>
    <row r="400" spans="1:9">
      <c r="A400" t="s">
        <v>201</v>
      </c>
      <c r="B400" t="s">
        <v>202</v>
      </c>
      <c r="C400" t="s">
        <v>198</v>
      </c>
      <c r="D400" t="s">
        <v>151</v>
      </c>
      <c r="E400">
        <v>27</v>
      </c>
      <c r="F400">
        <v>0.42499999999999999</v>
      </c>
      <c r="G400">
        <v>0.9</v>
      </c>
      <c r="H400">
        <f t="shared" si="12"/>
        <v>0.21845000000000001</v>
      </c>
      <c r="I400">
        <f t="shared" si="13"/>
        <v>0.46260000000000001</v>
      </c>
    </row>
    <row r="401" spans="1:9">
      <c r="A401" t="s">
        <v>201</v>
      </c>
      <c r="B401" t="s">
        <v>202</v>
      </c>
      <c r="C401" t="s">
        <v>198</v>
      </c>
      <c r="D401" t="s">
        <v>151</v>
      </c>
      <c r="E401">
        <v>28</v>
      </c>
      <c r="F401">
        <v>0.75</v>
      </c>
      <c r="G401">
        <v>0.9</v>
      </c>
      <c r="H401">
        <f t="shared" si="12"/>
        <v>0.38550000000000001</v>
      </c>
      <c r="I401">
        <f t="shared" si="13"/>
        <v>0.46260000000000001</v>
      </c>
    </row>
    <row r="402" spans="1:9">
      <c r="A402" t="s">
        <v>201</v>
      </c>
      <c r="B402" t="s">
        <v>202</v>
      </c>
      <c r="C402" t="s">
        <v>198</v>
      </c>
      <c r="D402" t="s">
        <v>151</v>
      </c>
      <c r="E402">
        <v>29</v>
      </c>
      <c r="F402">
        <v>0.69750000000000001</v>
      </c>
      <c r="G402">
        <v>1</v>
      </c>
      <c r="H402">
        <f t="shared" si="12"/>
        <v>0.35851500000000003</v>
      </c>
      <c r="I402">
        <f t="shared" si="13"/>
        <v>0.51400000000000001</v>
      </c>
    </row>
    <row r="403" spans="1:9">
      <c r="A403" t="s">
        <v>201</v>
      </c>
      <c r="B403" t="s">
        <v>202</v>
      </c>
      <c r="C403" t="s">
        <v>198</v>
      </c>
      <c r="D403" t="s">
        <v>151</v>
      </c>
      <c r="E403">
        <v>30</v>
      </c>
      <c r="F403">
        <v>0.74249999999999994</v>
      </c>
      <c r="G403">
        <v>1</v>
      </c>
      <c r="H403">
        <f t="shared" si="12"/>
        <v>0.38164499999999996</v>
      </c>
      <c r="I403">
        <f t="shared" si="13"/>
        <v>0.51400000000000001</v>
      </c>
    </row>
    <row r="404" spans="1:9">
      <c r="A404" t="s">
        <v>201</v>
      </c>
      <c r="B404" t="s">
        <v>202</v>
      </c>
      <c r="C404" t="s">
        <v>198</v>
      </c>
      <c r="D404" t="s">
        <v>151</v>
      </c>
      <c r="E404">
        <v>31</v>
      </c>
      <c r="F404">
        <v>0.75749999999999995</v>
      </c>
      <c r="G404">
        <v>0.9</v>
      </c>
      <c r="H404">
        <f t="shared" si="12"/>
        <v>0.38935500000000001</v>
      </c>
      <c r="I404">
        <f t="shared" si="13"/>
        <v>0.46260000000000001</v>
      </c>
    </row>
    <row r="405" spans="1:9">
      <c r="A405" t="s">
        <v>203</v>
      </c>
      <c r="B405" t="s">
        <v>204</v>
      </c>
      <c r="C405" t="s">
        <v>198</v>
      </c>
      <c r="D405" t="s">
        <v>151</v>
      </c>
      <c r="E405">
        <v>1</v>
      </c>
      <c r="F405">
        <v>0.62749999999999995</v>
      </c>
      <c r="G405">
        <v>0.93</v>
      </c>
      <c r="H405">
        <f t="shared" si="12"/>
        <v>0.32253499999999996</v>
      </c>
      <c r="I405">
        <f t="shared" si="13"/>
        <v>0.47802000000000006</v>
      </c>
    </row>
    <row r="406" spans="1:9">
      <c r="A406" t="s">
        <v>203</v>
      </c>
      <c r="B406" t="s">
        <v>204</v>
      </c>
      <c r="C406" t="s">
        <v>198</v>
      </c>
      <c r="D406" t="s">
        <v>151</v>
      </c>
      <c r="E406">
        <v>2</v>
      </c>
      <c r="F406">
        <v>0.64000000000000012</v>
      </c>
      <c r="G406">
        <v>0.91</v>
      </c>
      <c r="H406">
        <f t="shared" si="12"/>
        <v>0.32896000000000009</v>
      </c>
      <c r="I406">
        <f t="shared" si="13"/>
        <v>0.46774000000000004</v>
      </c>
    </row>
    <row r="407" spans="1:9">
      <c r="A407" t="s">
        <v>203</v>
      </c>
      <c r="B407" t="s">
        <v>204</v>
      </c>
      <c r="C407" t="s">
        <v>198</v>
      </c>
      <c r="D407" t="s">
        <v>151</v>
      </c>
      <c r="E407">
        <v>3</v>
      </c>
      <c r="F407">
        <v>0.38749999999999996</v>
      </c>
      <c r="G407">
        <v>0.86</v>
      </c>
      <c r="H407">
        <f t="shared" si="12"/>
        <v>0.19917499999999999</v>
      </c>
      <c r="I407">
        <f t="shared" si="13"/>
        <v>0.44203999999999999</v>
      </c>
    </row>
    <row r="408" spans="1:9">
      <c r="A408" t="s">
        <v>203</v>
      </c>
      <c r="B408" t="s">
        <v>204</v>
      </c>
      <c r="C408" t="s">
        <v>198</v>
      </c>
      <c r="D408" t="s">
        <v>151</v>
      </c>
      <c r="E408">
        <v>4</v>
      </c>
      <c r="F408">
        <v>0.6</v>
      </c>
      <c r="G408">
        <v>0.77</v>
      </c>
      <c r="H408">
        <f t="shared" si="12"/>
        <v>0.30840000000000001</v>
      </c>
      <c r="I408">
        <f t="shared" si="13"/>
        <v>0.39578000000000002</v>
      </c>
    </row>
    <row r="409" spans="1:9">
      <c r="A409" t="s">
        <v>203</v>
      </c>
      <c r="B409" t="s">
        <v>204</v>
      </c>
      <c r="C409" t="s">
        <v>198</v>
      </c>
      <c r="D409" t="s">
        <v>151</v>
      </c>
      <c r="E409">
        <v>5</v>
      </c>
      <c r="F409">
        <v>0.5575</v>
      </c>
      <c r="G409">
        <v>0.67</v>
      </c>
      <c r="H409">
        <f t="shared" si="12"/>
        <v>0.286555</v>
      </c>
      <c r="I409">
        <f t="shared" si="13"/>
        <v>0.34438000000000002</v>
      </c>
    </row>
    <row r="410" spans="1:9">
      <c r="A410" t="s">
        <v>203</v>
      </c>
      <c r="B410" t="s">
        <v>204</v>
      </c>
      <c r="C410" t="s">
        <v>198</v>
      </c>
      <c r="D410" t="s">
        <v>151</v>
      </c>
      <c r="E410">
        <v>6</v>
      </c>
      <c r="F410">
        <v>0.49750000000000005</v>
      </c>
      <c r="G410">
        <v>0.57999999999999996</v>
      </c>
      <c r="H410">
        <f t="shared" si="12"/>
        <v>0.25571500000000003</v>
      </c>
      <c r="I410">
        <f t="shared" si="13"/>
        <v>0.29812</v>
      </c>
    </row>
    <row r="411" spans="1:9">
      <c r="A411" t="s">
        <v>203</v>
      </c>
      <c r="B411" t="s">
        <v>204</v>
      </c>
      <c r="C411" t="s">
        <v>198</v>
      </c>
      <c r="D411" t="s">
        <v>151</v>
      </c>
      <c r="E411">
        <v>7</v>
      </c>
      <c r="F411">
        <v>0.39666666666666667</v>
      </c>
      <c r="G411">
        <v>0.43</v>
      </c>
      <c r="H411">
        <f t="shared" si="12"/>
        <v>0.20388666666666666</v>
      </c>
      <c r="I411">
        <f t="shared" si="13"/>
        <v>0.22101999999999999</v>
      </c>
    </row>
    <row r="412" spans="1:9">
      <c r="A412" t="s">
        <v>203</v>
      </c>
      <c r="B412" t="s">
        <v>204</v>
      </c>
      <c r="C412" t="s">
        <v>198</v>
      </c>
      <c r="D412" t="s">
        <v>151</v>
      </c>
      <c r="E412">
        <v>8</v>
      </c>
      <c r="F412">
        <v>0.3125</v>
      </c>
      <c r="G412">
        <v>0.56000000000000005</v>
      </c>
      <c r="H412">
        <f t="shared" si="12"/>
        <v>0.16062500000000002</v>
      </c>
      <c r="I412">
        <f t="shared" si="13"/>
        <v>0.28784000000000004</v>
      </c>
    </row>
    <row r="413" spans="1:9">
      <c r="A413" t="s">
        <v>203</v>
      </c>
      <c r="B413" t="s">
        <v>204</v>
      </c>
      <c r="C413" t="s">
        <v>198</v>
      </c>
      <c r="D413" t="s">
        <v>151</v>
      </c>
      <c r="E413">
        <v>9</v>
      </c>
      <c r="F413">
        <v>0.33250000000000002</v>
      </c>
      <c r="G413">
        <v>0.54</v>
      </c>
      <c r="H413">
        <f t="shared" si="12"/>
        <v>0.170905</v>
      </c>
      <c r="I413">
        <f t="shared" si="13"/>
        <v>0.27756000000000003</v>
      </c>
    </row>
    <row r="414" spans="1:9">
      <c r="A414" t="s">
        <v>203</v>
      </c>
      <c r="B414" t="s">
        <v>204</v>
      </c>
      <c r="C414" t="s">
        <v>198</v>
      </c>
      <c r="D414" t="s">
        <v>151</v>
      </c>
      <c r="E414">
        <v>10</v>
      </c>
      <c r="F414">
        <v>0.30500000000000005</v>
      </c>
      <c r="G414">
        <v>0.52</v>
      </c>
      <c r="H414">
        <f t="shared" si="12"/>
        <v>0.15677000000000002</v>
      </c>
      <c r="I414">
        <f t="shared" si="13"/>
        <v>0.26728000000000002</v>
      </c>
    </row>
    <row r="415" spans="1:9">
      <c r="A415" t="s">
        <v>203</v>
      </c>
      <c r="B415" t="s">
        <v>204</v>
      </c>
      <c r="C415" t="s">
        <v>198</v>
      </c>
      <c r="D415" t="s">
        <v>151</v>
      </c>
      <c r="E415">
        <v>11</v>
      </c>
      <c r="F415">
        <v>0.30499999999999999</v>
      </c>
      <c r="G415">
        <v>0.51</v>
      </c>
      <c r="H415">
        <f t="shared" si="12"/>
        <v>0.15676999999999999</v>
      </c>
      <c r="I415">
        <f t="shared" si="13"/>
        <v>0.26213999999999998</v>
      </c>
    </row>
    <row r="416" spans="1:9">
      <c r="A416" t="s">
        <v>203</v>
      </c>
      <c r="B416" t="s">
        <v>204</v>
      </c>
      <c r="C416" t="s">
        <v>198</v>
      </c>
      <c r="D416" t="s">
        <v>151</v>
      </c>
      <c r="E416">
        <v>12</v>
      </c>
      <c r="F416">
        <v>0.33250000000000002</v>
      </c>
      <c r="G416">
        <v>0.52</v>
      </c>
      <c r="H416">
        <f t="shared" si="12"/>
        <v>0.170905</v>
      </c>
      <c r="I416">
        <f t="shared" si="13"/>
        <v>0.26728000000000002</v>
      </c>
    </row>
    <row r="417" spans="1:9">
      <c r="A417" t="s">
        <v>203</v>
      </c>
      <c r="B417" t="s">
        <v>204</v>
      </c>
      <c r="C417" t="s">
        <v>198</v>
      </c>
      <c r="D417" t="s">
        <v>151</v>
      </c>
      <c r="E417">
        <v>13</v>
      </c>
      <c r="F417">
        <v>0.37750000000000006</v>
      </c>
      <c r="G417">
        <v>0.56000000000000005</v>
      </c>
      <c r="H417">
        <f t="shared" si="12"/>
        <v>0.19403500000000004</v>
      </c>
      <c r="I417">
        <f t="shared" si="13"/>
        <v>0.28784000000000004</v>
      </c>
    </row>
    <row r="418" spans="1:9">
      <c r="A418" t="s">
        <v>203</v>
      </c>
      <c r="B418" t="s">
        <v>204</v>
      </c>
      <c r="C418" t="s">
        <v>198</v>
      </c>
      <c r="D418" t="s">
        <v>151</v>
      </c>
      <c r="E418">
        <v>14</v>
      </c>
      <c r="F418">
        <v>0.52</v>
      </c>
      <c r="G418">
        <v>0.63</v>
      </c>
      <c r="H418">
        <f t="shared" si="12"/>
        <v>0.26728000000000002</v>
      </c>
      <c r="I418">
        <f t="shared" si="13"/>
        <v>0.32382</v>
      </c>
    </row>
    <row r="419" spans="1:9">
      <c r="A419" t="s">
        <v>203</v>
      </c>
      <c r="B419" t="s">
        <v>204</v>
      </c>
      <c r="C419" t="s">
        <v>198</v>
      </c>
      <c r="D419" t="s">
        <v>151</v>
      </c>
      <c r="E419">
        <v>15</v>
      </c>
      <c r="F419">
        <v>0.46499999999999997</v>
      </c>
      <c r="G419">
        <v>0.69</v>
      </c>
      <c r="H419">
        <f t="shared" si="12"/>
        <v>0.23901</v>
      </c>
      <c r="I419">
        <f t="shared" si="13"/>
        <v>0.35465999999999998</v>
      </c>
    </row>
    <row r="420" spans="1:9">
      <c r="A420" t="s">
        <v>203</v>
      </c>
      <c r="B420" t="s">
        <v>204</v>
      </c>
      <c r="C420" t="s">
        <v>198</v>
      </c>
      <c r="D420" t="s">
        <v>151</v>
      </c>
      <c r="E420">
        <v>16</v>
      </c>
      <c r="F420">
        <v>0.51249999999999996</v>
      </c>
      <c r="G420">
        <v>0.73</v>
      </c>
      <c r="H420">
        <f t="shared" si="12"/>
        <v>0.26342499999999996</v>
      </c>
      <c r="I420">
        <f t="shared" si="13"/>
        <v>0.37522</v>
      </c>
    </row>
    <row r="421" spans="1:9">
      <c r="A421" t="s">
        <v>203</v>
      </c>
      <c r="B421" t="s">
        <v>204</v>
      </c>
      <c r="C421" t="s">
        <v>198</v>
      </c>
      <c r="D421" t="s">
        <v>151</v>
      </c>
      <c r="E421">
        <v>17</v>
      </c>
      <c r="F421">
        <v>0.55249999999999999</v>
      </c>
      <c r="G421">
        <v>0.75</v>
      </c>
      <c r="H421">
        <f t="shared" si="12"/>
        <v>0.28398499999999999</v>
      </c>
      <c r="I421">
        <f t="shared" si="13"/>
        <v>0.38550000000000001</v>
      </c>
    </row>
    <row r="422" spans="1:9">
      <c r="A422" t="s">
        <v>203</v>
      </c>
      <c r="B422" t="s">
        <v>204</v>
      </c>
      <c r="C422" t="s">
        <v>198</v>
      </c>
      <c r="D422" t="s">
        <v>151</v>
      </c>
      <c r="E422">
        <v>18</v>
      </c>
      <c r="F422">
        <v>0.58250000000000002</v>
      </c>
      <c r="G422">
        <v>0.74</v>
      </c>
      <c r="H422">
        <f t="shared" si="12"/>
        <v>0.29940500000000003</v>
      </c>
      <c r="I422">
        <f t="shared" si="13"/>
        <v>0.38036000000000003</v>
      </c>
    </row>
    <row r="423" spans="1:9">
      <c r="A423" t="s">
        <v>203</v>
      </c>
      <c r="B423" t="s">
        <v>204</v>
      </c>
      <c r="C423" t="s">
        <v>198</v>
      </c>
      <c r="D423" t="s">
        <v>151</v>
      </c>
      <c r="E423">
        <v>19</v>
      </c>
      <c r="F423">
        <v>0.59499999999999997</v>
      </c>
      <c r="G423">
        <v>0.7</v>
      </c>
      <c r="H423">
        <f t="shared" si="12"/>
        <v>0.30582999999999999</v>
      </c>
      <c r="I423">
        <f t="shared" si="13"/>
        <v>0.35980000000000001</v>
      </c>
    </row>
    <row r="424" spans="1:9">
      <c r="A424" t="s">
        <v>203</v>
      </c>
      <c r="B424" t="s">
        <v>204</v>
      </c>
      <c r="C424" t="s">
        <v>198</v>
      </c>
      <c r="D424" t="s">
        <v>151</v>
      </c>
      <c r="E424">
        <v>20</v>
      </c>
      <c r="F424">
        <v>0.59250000000000003</v>
      </c>
      <c r="G424">
        <v>0.65</v>
      </c>
      <c r="H424">
        <f t="shared" si="12"/>
        <v>0.30454500000000001</v>
      </c>
      <c r="I424">
        <f t="shared" si="13"/>
        <v>0.33410000000000001</v>
      </c>
    </row>
    <row r="425" spans="1:9">
      <c r="A425" t="s">
        <v>203</v>
      </c>
      <c r="B425" t="s">
        <v>204</v>
      </c>
      <c r="C425" t="s">
        <v>198</v>
      </c>
      <c r="D425" t="s">
        <v>151</v>
      </c>
      <c r="E425">
        <v>21</v>
      </c>
      <c r="F425">
        <v>0.57250000000000001</v>
      </c>
      <c r="G425">
        <v>0.67</v>
      </c>
      <c r="H425">
        <f t="shared" si="12"/>
        <v>0.294265</v>
      </c>
      <c r="I425">
        <f t="shared" si="13"/>
        <v>0.34438000000000002</v>
      </c>
    </row>
    <row r="426" spans="1:9">
      <c r="A426" t="s">
        <v>203</v>
      </c>
      <c r="B426" t="s">
        <v>204</v>
      </c>
      <c r="C426" t="s">
        <v>198</v>
      </c>
      <c r="D426" t="s">
        <v>151</v>
      </c>
      <c r="E426">
        <v>22</v>
      </c>
      <c r="F426">
        <v>0.48666666666666664</v>
      </c>
      <c r="G426">
        <v>0.56999999999999995</v>
      </c>
      <c r="H426">
        <f t="shared" si="12"/>
        <v>0.25014666666666668</v>
      </c>
      <c r="I426">
        <f t="shared" si="13"/>
        <v>0.29297999999999996</v>
      </c>
    </row>
    <row r="427" spans="1:9">
      <c r="A427" t="s">
        <v>203</v>
      </c>
      <c r="B427" t="s">
        <v>204</v>
      </c>
      <c r="C427" t="s">
        <v>198</v>
      </c>
      <c r="D427" t="s">
        <v>151</v>
      </c>
      <c r="E427">
        <v>23</v>
      </c>
      <c r="F427">
        <v>0.49249999999999994</v>
      </c>
      <c r="G427">
        <v>0.67</v>
      </c>
      <c r="H427">
        <f t="shared" si="12"/>
        <v>0.25314499999999995</v>
      </c>
      <c r="I427">
        <f t="shared" si="13"/>
        <v>0.34438000000000002</v>
      </c>
    </row>
    <row r="428" spans="1:9">
      <c r="A428" t="s">
        <v>203</v>
      </c>
      <c r="B428" t="s">
        <v>204</v>
      </c>
      <c r="C428" t="s">
        <v>198</v>
      </c>
      <c r="D428" t="s">
        <v>151</v>
      </c>
      <c r="E428">
        <v>24</v>
      </c>
      <c r="F428">
        <v>0.45250000000000001</v>
      </c>
      <c r="G428">
        <v>0.66</v>
      </c>
      <c r="H428">
        <f t="shared" si="12"/>
        <v>0.23258500000000001</v>
      </c>
      <c r="I428">
        <f t="shared" si="13"/>
        <v>0.33924000000000004</v>
      </c>
    </row>
    <row r="429" spans="1:9">
      <c r="A429" t="s">
        <v>203</v>
      </c>
      <c r="B429" t="s">
        <v>204</v>
      </c>
      <c r="C429" t="s">
        <v>198</v>
      </c>
      <c r="D429" t="s">
        <v>151</v>
      </c>
      <c r="E429">
        <v>25</v>
      </c>
      <c r="F429">
        <v>0.42749999999999999</v>
      </c>
      <c r="G429">
        <v>0.64</v>
      </c>
      <c r="H429">
        <f t="shared" si="12"/>
        <v>0.21973500000000001</v>
      </c>
      <c r="I429">
        <f t="shared" si="13"/>
        <v>0.32896000000000003</v>
      </c>
    </row>
    <row r="430" spans="1:9">
      <c r="A430" t="s">
        <v>203</v>
      </c>
      <c r="B430" t="s">
        <v>204</v>
      </c>
      <c r="C430" t="s">
        <v>198</v>
      </c>
      <c r="D430" t="s">
        <v>151</v>
      </c>
      <c r="E430">
        <v>26</v>
      </c>
      <c r="F430">
        <v>0.4425</v>
      </c>
      <c r="G430">
        <v>0.64</v>
      </c>
      <c r="H430">
        <f t="shared" si="12"/>
        <v>0.22744500000000001</v>
      </c>
      <c r="I430">
        <f t="shared" si="13"/>
        <v>0.32896000000000003</v>
      </c>
    </row>
    <row r="431" spans="1:9">
      <c r="A431" t="s">
        <v>203</v>
      </c>
      <c r="B431" t="s">
        <v>204</v>
      </c>
      <c r="C431" t="s">
        <v>198</v>
      </c>
      <c r="D431" t="s">
        <v>151</v>
      </c>
      <c r="E431">
        <v>27</v>
      </c>
      <c r="F431">
        <v>0.32999999999999996</v>
      </c>
      <c r="G431">
        <v>0.64</v>
      </c>
      <c r="H431">
        <f t="shared" si="12"/>
        <v>0.16961999999999999</v>
      </c>
      <c r="I431">
        <f t="shared" si="13"/>
        <v>0.32896000000000003</v>
      </c>
    </row>
    <row r="432" spans="1:9">
      <c r="A432" t="s">
        <v>203</v>
      </c>
      <c r="B432" t="s">
        <v>204</v>
      </c>
      <c r="C432" t="s">
        <v>198</v>
      </c>
      <c r="D432" t="s">
        <v>151</v>
      </c>
      <c r="E432">
        <v>28</v>
      </c>
      <c r="F432">
        <v>0.53999999999999992</v>
      </c>
      <c r="G432">
        <v>0.75</v>
      </c>
      <c r="H432">
        <f t="shared" si="12"/>
        <v>0.27755999999999997</v>
      </c>
      <c r="I432">
        <f t="shared" si="13"/>
        <v>0.38550000000000001</v>
      </c>
    </row>
    <row r="433" spans="1:9">
      <c r="A433" t="s">
        <v>203</v>
      </c>
      <c r="B433" t="s">
        <v>204</v>
      </c>
      <c r="C433" t="s">
        <v>198</v>
      </c>
      <c r="D433" t="s">
        <v>151</v>
      </c>
      <c r="E433">
        <v>29</v>
      </c>
      <c r="F433">
        <v>0.65333333333333332</v>
      </c>
      <c r="G433">
        <v>0.78</v>
      </c>
      <c r="H433">
        <f t="shared" si="12"/>
        <v>0.33581333333333335</v>
      </c>
      <c r="I433">
        <f t="shared" si="13"/>
        <v>0.40092</v>
      </c>
    </row>
    <row r="434" spans="1:9">
      <c r="A434" t="s">
        <v>203</v>
      </c>
      <c r="B434" t="s">
        <v>204</v>
      </c>
      <c r="C434" t="s">
        <v>198</v>
      </c>
      <c r="D434" t="s">
        <v>151</v>
      </c>
      <c r="E434">
        <v>30</v>
      </c>
      <c r="F434">
        <v>0.6</v>
      </c>
      <c r="G434">
        <v>0.78</v>
      </c>
      <c r="H434">
        <f t="shared" si="12"/>
        <v>0.30840000000000001</v>
      </c>
      <c r="I434">
        <f t="shared" si="13"/>
        <v>0.40092</v>
      </c>
    </row>
    <row r="435" spans="1:9">
      <c r="A435" t="s">
        <v>203</v>
      </c>
      <c r="B435" t="s">
        <v>204</v>
      </c>
      <c r="C435" t="s">
        <v>198</v>
      </c>
      <c r="D435" t="s">
        <v>151</v>
      </c>
      <c r="E435">
        <v>31</v>
      </c>
      <c r="F435">
        <v>0.48250000000000004</v>
      </c>
      <c r="G435">
        <v>0.75</v>
      </c>
      <c r="H435">
        <f t="shared" si="12"/>
        <v>0.24800500000000003</v>
      </c>
      <c r="I435">
        <f t="shared" si="13"/>
        <v>0.38550000000000001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6"/>
  <sheetViews>
    <sheetView topLeftCell="A269" workbookViewId="0">
      <selection activeCell="I329" sqref="I329"/>
    </sheetView>
  </sheetViews>
  <sheetFormatPr baseColWidth="10" defaultRowHeight="15" x14ac:dyDescent="0"/>
  <cols>
    <col min="1" max="1" width="26.5" bestFit="1" customWidth="1"/>
    <col min="4" max="4" width="15.6640625" bestFit="1" customWidth="1"/>
  </cols>
  <sheetData>
    <row r="1" spans="1:9">
      <c r="A1" t="s">
        <v>124</v>
      </c>
      <c r="B1" t="s">
        <v>143</v>
      </c>
      <c r="C1" t="s">
        <v>12</v>
      </c>
      <c r="D1" t="s">
        <v>178</v>
      </c>
      <c r="E1" t="s">
        <v>162</v>
      </c>
      <c r="F1" t="s">
        <v>141</v>
      </c>
      <c r="G1" t="s">
        <v>142</v>
      </c>
      <c r="H1" t="s">
        <v>210</v>
      </c>
      <c r="I1" t="s">
        <v>211</v>
      </c>
    </row>
    <row r="2" spans="1:9">
      <c r="A2" t="s">
        <v>179</v>
      </c>
      <c r="B2" t="s">
        <v>212</v>
      </c>
      <c r="C2" t="s">
        <v>150</v>
      </c>
      <c r="D2" t="s">
        <v>151</v>
      </c>
      <c r="E2">
        <v>1</v>
      </c>
      <c r="F2">
        <v>1.3499999999999999</v>
      </c>
      <c r="G2">
        <v>2.2999999999999998</v>
      </c>
      <c r="H2">
        <f t="shared" ref="H2:H65" si="0">F2*0.514</f>
        <v>0.69389999999999996</v>
      </c>
      <c r="I2">
        <f t="shared" ref="I2:I65" si="1">G2*0.514</f>
        <v>1.1821999999999999</v>
      </c>
    </row>
    <row r="3" spans="1:9">
      <c r="A3" t="s">
        <v>179</v>
      </c>
      <c r="B3" t="s">
        <v>212</v>
      </c>
      <c r="C3" t="s">
        <v>150</v>
      </c>
      <c r="D3" t="s">
        <v>151</v>
      </c>
      <c r="E3">
        <v>2</v>
      </c>
      <c r="F3">
        <v>1.375</v>
      </c>
      <c r="G3">
        <v>2.2000000000000002</v>
      </c>
      <c r="H3">
        <f t="shared" si="0"/>
        <v>0.70674999999999999</v>
      </c>
      <c r="I3">
        <f t="shared" si="1"/>
        <v>1.1308</v>
      </c>
    </row>
    <row r="4" spans="1:9">
      <c r="A4" t="s">
        <v>179</v>
      </c>
      <c r="B4" t="s">
        <v>212</v>
      </c>
      <c r="C4" t="s">
        <v>150</v>
      </c>
      <c r="D4" t="s">
        <v>151</v>
      </c>
      <c r="E4">
        <v>3</v>
      </c>
      <c r="F4">
        <v>1.375</v>
      </c>
      <c r="G4">
        <v>2.1</v>
      </c>
      <c r="H4">
        <f t="shared" si="0"/>
        <v>0.70674999999999999</v>
      </c>
      <c r="I4">
        <f t="shared" si="1"/>
        <v>1.0794000000000001</v>
      </c>
    </row>
    <row r="5" spans="1:9">
      <c r="A5" t="s">
        <v>179</v>
      </c>
      <c r="B5" t="s">
        <v>212</v>
      </c>
      <c r="C5" t="s">
        <v>150</v>
      </c>
      <c r="D5" t="s">
        <v>151</v>
      </c>
      <c r="E5">
        <v>4</v>
      </c>
      <c r="F5">
        <v>1.3</v>
      </c>
      <c r="G5">
        <v>1.9</v>
      </c>
      <c r="H5">
        <f t="shared" si="0"/>
        <v>0.66820000000000002</v>
      </c>
      <c r="I5">
        <f t="shared" si="1"/>
        <v>0.97660000000000002</v>
      </c>
    </row>
    <row r="6" spans="1:9">
      <c r="A6" t="s">
        <v>179</v>
      </c>
      <c r="B6" t="s">
        <v>212</v>
      </c>
      <c r="C6" t="s">
        <v>150</v>
      </c>
      <c r="D6" t="s">
        <v>151</v>
      </c>
      <c r="E6">
        <v>5</v>
      </c>
      <c r="F6">
        <v>1.0666666666666667</v>
      </c>
      <c r="G6">
        <v>1.7</v>
      </c>
      <c r="H6">
        <f t="shared" si="0"/>
        <v>0.54826666666666668</v>
      </c>
      <c r="I6">
        <f t="shared" si="1"/>
        <v>0.87380000000000002</v>
      </c>
    </row>
    <row r="7" spans="1:9">
      <c r="A7" t="s">
        <v>179</v>
      </c>
      <c r="B7" t="s">
        <v>212</v>
      </c>
      <c r="C7" t="s">
        <v>150</v>
      </c>
      <c r="D7" t="s">
        <v>151</v>
      </c>
      <c r="E7">
        <v>6</v>
      </c>
      <c r="F7">
        <v>1.075</v>
      </c>
      <c r="G7">
        <v>1.7</v>
      </c>
      <c r="H7">
        <f t="shared" si="0"/>
        <v>0.55254999999999999</v>
      </c>
      <c r="I7">
        <f t="shared" si="1"/>
        <v>0.87380000000000002</v>
      </c>
    </row>
    <row r="8" spans="1:9">
      <c r="A8" t="s">
        <v>179</v>
      </c>
      <c r="B8" t="s">
        <v>212</v>
      </c>
      <c r="C8" t="s">
        <v>150</v>
      </c>
      <c r="D8" t="s">
        <v>151</v>
      </c>
      <c r="E8">
        <v>7</v>
      </c>
      <c r="F8">
        <v>0.97500000000000009</v>
      </c>
      <c r="G8">
        <v>1.7</v>
      </c>
      <c r="H8">
        <f t="shared" si="0"/>
        <v>0.5011500000000001</v>
      </c>
      <c r="I8">
        <f t="shared" si="1"/>
        <v>0.87380000000000002</v>
      </c>
    </row>
    <row r="9" spans="1:9">
      <c r="A9" t="s">
        <v>179</v>
      </c>
      <c r="B9" t="s">
        <v>212</v>
      </c>
      <c r="C9" t="s">
        <v>150</v>
      </c>
      <c r="D9" t="s">
        <v>151</v>
      </c>
      <c r="E9">
        <v>8</v>
      </c>
      <c r="F9">
        <v>0.875</v>
      </c>
      <c r="G9">
        <v>1.7</v>
      </c>
      <c r="H9">
        <f t="shared" si="0"/>
        <v>0.44974999999999998</v>
      </c>
      <c r="I9">
        <f t="shared" si="1"/>
        <v>0.87380000000000002</v>
      </c>
    </row>
    <row r="10" spans="1:9">
      <c r="A10" t="s">
        <v>179</v>
      </c>
      <c r="B10" t="s">
        <v>212</v>
      </c>
      <c r="C10" t="s">
        <v>150</v>
      </c>
      <c r="D10" t="s">
        <v>151</v>
      </c>
      <c r="E10">
        <v>9</v>
      </c>
      <c r="F10">
        <v>0.75</v>
      </c>
      <c r="G10">
        <v>1.6</v>
      </c>
      <c r="H10">
        <f t="shared" si="0"/>
        <v>0.38550000000000001</v>
      </c>
      <c r="I10">
        <f t="shared" si="1"/>
        <v>0.82240000000000002</v>
      </c>
    </row>
    <row r="11" spans="1:9">
      <c r="A11" t="s">
        <v>179</v>
      </c>
      <c r="B11" t="s">
        <v>212</v>
      </c>
      <c r="C11" t="s">
        <v>150</v>
      </c>
      <c r="D11" t="s">
        <v>151</v>
      </c>
      <c r="E11">
        <v>10</v>
      </c>
      <c r="F11">
        <v>0.72500000000000009</v>
      </c>
      <c r="G11">
        <v>1.6</v>
      </c>
      <c r="H11">
        <f t="shared" si="0"/>
        <v>0.37265000000000004</v>
      </c>
      <c r="I11">
        <f t="shared" si="1"/>
        <v>0.82240000000000002</v>
      </c>
    </row>
    <row r="12" spans="1:9">
      <c r="A12" t="s">
        <v>179</v>
      </c>
      <c r="B12" t="s">
        <v>212</v>
      </c>
      <c r="C12" t="s">
        <v>150</v>
      </c>
      <c r="D12" t="s">
        <v>151</v>
      </c>
      <c r="E12">
        <v>11</v>
      </c>
      <c r="F12">
        <v>0.75000000000000011</v>
      </c>
      <c r="G12">
        <v>1.6</v>
      </c>
      <c r="H12">
        <f t="shared" si="0"/>
        <v>0.38550000000000006</v>
      </c>
      <c r="I12">
        <f t="shared" si="1"/>
        <v>0.82240000000000002</v>
      </c>
    </row>
    <row r="13" spans="1:9">
      <c r="A13" t="s">
        <v>179</v>
      </c>
      <c r="B13" t="s">
        <v>212</v>
      </c>
      <c r="C13" t="s">
        <v>150</v>
      </c>
      <c r="D13" t="s">
        <v>151</v>
      </c>
      <c r="E13">
        <v>12</v>
      </c>
      <c r="F13">
        <v>1</v>
      </c>
      <c r="G13">
        <v>1.6</v>
      </c>
      <c r="H13">
        <f t="shared" si="0"/>
        <v>0.51400000000000001</v>
      </c>
      <c r="I13">
        <f t="shared" si="1"/>
        <v>0.82240000000000002</v>
      </c>
    </row>
    <row r="14" spans="1:9">
      <c r="A14" t="s">
        <v>179</v>
      </c>
      <c r="B14" t="s">
        <v>212</v>
      </c>
      <c r="C14" t="s">
        <v>150</v>
      </c>
      <c r="D14" t="s">
        <v>151</v>
      </c>
      <c r="E14">
        <v>13</v>
      </c>
      <c r="F14">
        <v>0.85</v>
      </c>
      <c r="G14">
        <v>1.6</v>
      </c>
      <c r="H14">
        <f t="shared" si="0"/>
        <v>0.43690000000000001</v>
      </c>
      <c r="I14">
        <f t="shared" si="1"/>
        <v>0.82240000000000002</v>
      </c>
    </row>
    <row r="15" spans="1:9">
      <c r="A15" t="s">
        <v>179</v>
      </c>
      <c r="B15" t="s">
        <v>212</v>
      </c>
      <c r="C15" t="s">
        <v>150</v>
      </c>
      <c r="D15" t="s">
        <v>151</v>
      </c>
      <c r="E15">
        <v>14</v>
      </c>
      <c r="F15">
        <v>0.95000000000000007</v>
      </c>
      <c r="G15">
        <v>1.7</v>
      </c>
      <c r="H15">
        <f t="shared" si="0"/>
        <v>0.48830000000000007</v>
      </c>
      <c r="I15">
        <f t="shared" si="1"/>
        <v>0.87380000000000002</v>
      </c>
    </row>
    <row r="16" spans="1:9">
      <c r="A16" t="s">
        <v>179</v>
      </c>
      <c r="B16" t="s">
        <v>212</v>
      </c>
      <c r="C16" t="s">
        <v>150</v>
      </c>
      <c r="D16" t="s">
        <v>151</v>
      </c>
      <c r="E16">
        <v>15</v>
      </c>
      <c r="F16">
        <v>1.05</v>
      </c>
      <c r="G16">
        <v>1.8</v>
      </c>
      <c r="H16">
        <f t="shared" si="0"/>
        <v>0.53970000000000007</v>
      </c>
      <c r="I16">
        <f t="shared" si="1"/>
        <v>0.92520000000000002</v>
      </c>
    </row>
    <row r="17" spans="1:9">
      <c r="A17" t="s">
        <v>179</v>
      </c>
      <c r="B17" t="s">
        <v>212</v>
      </c>
      <c r="C17" t="s">
        <v>150</v>
      </c>
      <c r="D17" t="s">
        <v>151</v>
      </c>
      <c r="E17">
        <v>16</v>
      </c>
      <c r="F17">
        <v>1.1499999999999999</v>
      </c>
      <c r="G17">
        <v>1.9</v>
      </c>
      <c r="H17">
        <f t="shared" si="0"/>
        <v>0.59109999999999996</v>
      </c>
      <c r="I17">
        <f t="shared" si="1"/>
        <v>0.97660000000000002</v>
      </c>
    </row>
    <row r="18" spans="1:9">
      <c r="A18" t="s">
        <v>179</v>
      </c>
      <c r="B18" t="s">
        <v>212</v>
      </c>
      <c r="C18" t="s">
        <v>150</v>
      </c>
      <c r="D18" t="s">
        <v>151</v>
      </c>
      <c r="E18">
        <v>17</v>
      </c>
      <c r="F18">
        <v>1.2250000000000001</v>
      </c>
      <c r="G18">
        <v>1.9</v>
      </c>
      <c r="H18">
        <f t="shared" si="0"/>
        <v>0.62965000000000004</v>
      </c>
      <c r="I18">
        <f t="shared" si="1"/>
        <v>0.97660000000000002</v>
      </c>
    </row>
    <row r="19" spans="1:9">
      <c r="A19" t="s">
        <v>179</v>
      </c>
      <c r="B19" t="s">
        <v>212</v>
      </c>
      <c r="C19" t="s">
        <v>150</v>
      </c>
      <c r="D19" t="s">
        <v>151</v>
      </c>
      <c r="E19">
        <v>18</v>
      </c>
      <c r="F19">
        <v>1.2749999999999999</v>
      </c>
      <c r="G19">
        <v>1.9</v>
      </c>
      <c r="H19">
        <f t="shared" si="0"/>
        <v>0.65534999999999999</v>
      </c>
      <c r="I19">
        <f t="shared" si="1"/>
        <v>0.97660000000000002</v>
      </c>
    </row>
    <row r="20" spans="1:9">
      <c r="A20" t="s">
        <v>179</v>
      </c>
      <c r="B20" t="s">
        <v>212</v>
      </c>
      <c r="C20" t="s">
        <v>150</v>
      </c>
      <c r="D20" t="s">
        <v>151</v>
      </c>
      <c r="E20">
        <v>19</v>
      </c>
      <c r="F20">
        <v>1.2999999999999998</v>
      </c>
      <c r="G20">
        <v>1.9</v>
      </c>
      <c r="H20">
        <f t="shared" si="0"/>
        <v>0.66819999999999991</v>
      </c>
      <c r="I20">
        <f t="shared" si="1"/>
        <v>0.97660000000000002</v>
      </c>
    </row>
    <row r="21" spans="1:9">
      <c r="A21" t="s">
        <v>179</v>
      </c>
      <c r="B21" t="s">
        <v>212</v>
      </c>
      <c r="C21" t="s">
        <v>150</v>
      </c>
      <c r="D21" t="s">
        <v>151</v>
      </c>
      <c r="E21">
        <v>20</v>
      </c>
      <c r="F21">
        <v>1.3</v>
      </c>
      <c r="G21">
        <v>2</v>
      </c>
      <c r="H21">
        <f t="shared" si="0"/>
        <v>0.66820000000000002</v>
      </c>
      <c r="I21">
        <f t="shared" si="1"/>
        <v>1.028</v>
      </c>
    </row>
    <row r="22" spans="1:9">
      <c r="A22" t="s">
        <v>179</v>
      </c>
      <c r="B22" t="s">
        <v>212</v>
      </c>
      <c r="C22" t="s">
        <v>150</v>
      </c>
      <c r="D22" t="s">
        <v>151</v>
      </c>
      <c r="E22">
        <v>21</v>
      </c>
      <c r="F22">
        <v>1.0333333333333332</v>
      </c>
      <c r="G22">
        <v>1.5</v>
      </c>
      <c r="H22">
        <f t="shared" si="0"/>
        <v>0.53113333333333324</v>
      </c>
      <c r="I22">
        <f t="shared" si="1"/>
        <v>0.77100000000000002</v>
      </c>
    </row>
    <row r="23" spans="1:9">
      <c r="A23" t="s">
        <v>179</v>
      </c>
      <c r="B23" t="s">
        <v>212</v>
      </c>
      <c r="C23" t="s">
        <v>150</v>
      </c>
      <c r="D23" t="s">
        <v>151</v>
      </c>
      <c r="E23">
        <v>22</v>
      </c>
      <c r="F23">
        <v>1.1749999999999998</v>
      </c>
      <c r="G23">
        <v>2</v>
      </c>
      <c r="H23">
        <f t="shared" si="0"/>
        <v>0.60394999999999988</v>
      </c>
      <c r="I23">
        <f t="shared" si="1"/>
        <v>1.028</v>
      </c>
    </row>
    <row r="24" spans="1:9">
      <c r="A24" t="s">
        <v>179</v>
      </c>
      <c r="B24" t="s">
        <v>212</v>
      </c>
      <c r="C24" t="s">
        <v>150</v>
      </c>
      <c r="D24" t="s">
        <v>151</v>
      </c>
      <c r="E24">
        <v>23</v>
      </c>
      <c r="F24">
        <v>1.1000000000000001</v>
      </c>
      <c r="G24">
        <v>2</v>
      </c>
      <c r="H24">
        <f t="shared" si="0"/>
        <v>0.56540000000000001</v>
      </c>
      <c r="I24">
        <f t="shared" si="1"/>
        <v>1.028</v>
      </c>
    </row>
    <row r="25" spans="1:9">
      <c r="A25" t="s">
        <v>179</v>
      </c>
      <c r="B25" t="s">
        <v>212</v>
      </c>
      <c r="C25" t="s">
        <v>150</v>
      </c>
      <c r="D25" t="s">
        <v>151</v>
      </c>
      <c r="E25">
        <v>24</v>
      </c>
      <c r="F25">
        <v>1.0249999999999999</v>
      </c>
      <c r="G25">
        <v>2</v>
      </c>
      <c r="H25">
        <f t="shared" si="0"/>
        <v>0.52684999999999993</v>
      </c>
      <c r="I25">
        <f t="shared" si="1"/>
        <v>1.028</v>
      </c>
    </row>
    <row r="26" spans="1:9">
      <c r="A26" t="s">
        <v>179</v>
      </c>
      <c r="B26" t="s">
        <v>212</v>
      </c>
      <c r="C26" t="s">
        <v>150</v>
      </c>
      <c r="D26" t="s">
        <v>151</v>
      </c>
      <c r="E26">
        <v>25</v>
      </c>
      <c r="F26">
        <v>0.95000000000000007</v>
      </c>
      <c r="G26">
        <v>1.9</v>
      </c>
      <c r="H26">
        <f t="shared" si="0"/>
        <v>0.48830000000000007</v>
      </c>
      <c r="I26">
        <f t="shared" si="1"/>
        <v>0.97660000000000002</v>
      </c>
    </row>
    <row r="27" spans="1:9">
      <c r="A27" t="s">
        <v>179</v>
      </c>
      <c r="B27" t="s">
        <v>212</v>
      </c>
      <c r="C27" t="s">
        <v>150</v>
      </c>
      <c r="D27" t="s">
        <v>151</v>
      </c>
      <c r="E27">
        <v>26</v>
      </c>
      <c r="F27">
        <v>0.97500000000000009</v>
      </c>
      <c r="G27">
        <v>1.9</v>
      </c>
      <c r="H27">
        <f t="shared" si="0"/>
        <v>0.5011500000000001</v>
      </c>
      <c r="I27">
        <f t="shared" si="1"/>
        <v>0.97660000000000002</v>
      </c>
    </row>
    <row r="28" spans="1:9">
      <c r="A28" t="s">
        <v>179</v>
      </c>
      <c r="B28" t="s">
        <v>212</v>
      </c>
      <c r="C28" t="s">
        <v>150</v>
      </c>
      <c r="D28" t="s">
        <v>151</v>
      </c>
      <c r="E28">
        <v>27</v>
      </c>
      <c r="F28">
        <v>1.3</v>
      </c>
      <c r="G28">
        <v>1.9</v>
      </c>
      <c r="H28">
        <f t="shared" si="0"/>
        <v>0.66820000000000002</v>
      </c>
      <c r="I28">
        <f t="shared" si="1"/>
        <v>0.97660000000000002</v>
      </c>
    </row>
    <row r="29" spans="1:9">
      <c r="A29" t="s">
        <v>179</v>
      </c>
      <c r="B29" t="s">
        <v>212</v>
      </c>
      <c r="C29" t="s">
        <v>150</v>
      </c>
      <c r="D29" t="s">
        <v>151</v>
      </c>
      <c r="E29">
        <v>28</v>
      </c>
      <c r="F29">
        <v>1.1749999999999998</v>
      </c>
      <c r="G29">
        <v>2</v>
      </c>
      <c r="H29">
        <f t="shared" si="0"/>
        <v>0.60394999999999988</v>
      </c>
      <c r="I29">
        <f t="shared" si="1"/>
        <v>1.028</v>
      </c>
    </row>
    <row r="30" spans="1:9">
      <c r="A30" t="s">
        <v>179</v>
      </c>
      <c r="B30" t="s">
        <v>212</v>
      </c>
      <c r="C30" t="s">
        <v>150</v>
      </c>
      <c r="D30" t="s">
        <v>151</v>
      </c>
      <c r="E30">
        <v>29</v>
      </c>
      <c r="F30">
        <v>1.25</v>
      </c>
      <c r="G30">
        <v>2</v>
      </c>
      <c r="H30">
        <f t="shared" si="0"/>
        <v>0.64250000000000007</v>
      </c>
      <c r="I30">
        <f t="shared" si="1"/>
        <v>1.028</v>
      </c>
    </row>
    <row r="31" spans="1:9">
      <c r="A31" t="s">
        <v>179</v>
      </c>
      <c r="B31" t="s">
        <v>212</v>
      </c>
      <c r="C31" t="s">
        <v>150</v>
      </c>
      <c r="D31" t="s">
        <v>151</v>
      </c>
      <c r="E31">
        <v>30</v>
      </c>
      <c r="F31">
        <v>1.3</v>
      </c>
      <c r="G31">
        <v>2</v>
      </c>
      <c r="H31">
        <f t="shared" si="0"/>
        <v>0.66820000000000002</v>
      </c>
      <c r="I31">
        <f t="shared" si="1"/>
        <v>1.028</v>
      </c>
    </row>
    <row r="32" spans="1:9">
      <c r="A32" t="s">
        <v>179</v>
      </c>
      <c r="B32" t="s">
        <v>212</v>
      </c>
      <c r="C32" t="s">
        <v>150</v>
      </c>
      <c r="D32" t="s">
        <v>151</v>
      </c>
      <c r="E32">
        <v>31</v>
      </c>
      <c r="F32">
        <v>1.325</v>
      </c>
      <c r="G32">
        <v>1.9</v>
      </c>
      <c r="H32">
        <f t="shared" si="0"/>
        <v>0.68105000000000004</v>
      </c>
      <c r="I32">
        <f t="shared" si="1"/>
        <v>0.97660000000000002</v>
      </c>
    </row>
    <row r="33" spans="1:9">
      <c r="A33" t="s">
        <v>180</v>
      </c>
      <c r="B33" t="s">
        <v>213</v>
      </c>
      <c r="C33" t="s">
        <v>150</v>
      </c>
      <c r="D33" t="s">
        <v>151</v>
      </c>
      <c r="E33">
        <v>1</v>
      </c>
      <c r="F33">
        <v>2.2749999999999999</v>
      </c>
      <c r="G33">
        <v>3.1</v>
      </c>
      <c r="H33">
        <f t="shared" si="0"/>
        <v>1.1693499999999999</v>
      </c>
      <c r="I33">
        <f t="shared" si="1"/>
        <v>1.5934000000000001</v>
      </c>
    </row>
    <row r="34" spans="1:9">
      <c r="A34" t="s">
        <v>180</v>
      </c>
      <c r="B34" t="s">
        <v>213</v>
      </c>
      <c r="C34" t="s">
        <v>150</v>
      </c>
      <c r="D34" t="s">
        <v>151</v>
      </c>
      <c r="E34">
        <v>2</v>
      </c>
      <c r="F34">
        <v>2.35</v>
      </c>
      <c r="G34">
        <v>3</v>
      </c>
      <c r="H34">
        <f t="shared" si="0"/>
        <v>1.2079</v>
      </c>
      <c r="I34">
        <f t="shared" si="1"/>
        <v>1.542</v>
      </c>
    </row>
    <row r="35" spans="1:9">
      <c r="A35" t="s">
        <v>180</v>
      </c>
      <c r="B35" t="s">
        <v>213</v>
      </c>
      <c r="C35" t="s">
        <v>150</v>
      </c>
      <c r="D35" t="s">
        <v>151</v>
      </c>
      <c r="E35">
        <v>3</v>
      </c>
      <c r="F35">
        <v>2.3250000000000002</v>
      </c>
      <c r="G35">
        <v>2.9</v>
      </c>
      <c r="H35">
        <f t="shared" si="0"/>
        <v>1.1950500000000002</v>
      </c>
      <c r="I35">
        <f t="shared" si="1"/>
        <v>1.4905999999999999</v>
      </c>
    </row>
    <row r="36" spans="1:9">
      <c r="A36" t="s">
        <v>180</v>
      </c>
      <c r="B36" t="s">
        <v>213</v>
      </c>
      <c r="C36" t="s">
        <v>150</v>
      </c>
      <c r="D36" t="s">
        <v>151</v>
      </c>
      <c r="E36">
        <v>4</v>
      </c>
      <c r="F36">
        <v>2.2249999999999996</v>
      </c>
      <c r="G36">
        <v>2.6</v>
      </c>
      <c r="H36">
        <f t="shared" si="0"/>
        <v>1.1436499999999998</v>
      </c>
      <c r="I36">
        <f t="shared" si="1"/>
        <v>1.3364</v>
      </c>
    </row>
    <row r="37" spans="1:9">
      <c r="A37" t="s">
        <v>180</v>
      </c>
      <c r="B37" t="s">
        <v>213</v>
      </c>
      <c r="C37" t="s">
        <v>150</v>
      </c>
      <c r="D37" t="s">
        <v>151</v>
      </c>
      <c r="E37">
        <v>5</v>
      </c>
      <c r="F37">
        <v>1.9333333333333336</v>
      </c>
      <c r="G37">
        <v>2.2000000000000002</v>
      </c>
      <c r="H37">
        <f t="shared" si="0"/>
        <v>0.99373333333333347</v>
      </c>
      <c r="I37">
        <f t="shared" si="1"/>
        <v>1.1308</v>
      </c>
    </row>
    <row r="38" spans="1:9">
      <c r="A38" t="s">
        <v>180</v>
      </c>
      <c r="B38" t="s">
        <v>213</v>
      </c>
      <c r="C38" t="s">
        <v>150</v>
      </c>
      <c r="D38" t="s">
        <v>151</v>
      </c>
      <c r="E38">
        <v>6</v>
      </c>
      <c r="F38">
        <v>1.7999999999999998</v>
      </c>
      <c r="G38">
        <v>2.2999999999999998</v>
      </c>
      <c r="H38">
        <f t="shared" si="0"/>
        <v>0.92519999999999991</v>
      </c>
      <c r="I38">
        <f t="shared" si="1"/>
        <v>1.1821999999999999</v>
      </c>
    </row>
    <row r="39" spans="1:9">
      <c r="A39" t="s">
        <v>180</v>
      </c>
      <c r="B39" t="s">
        <v>213</v>
      </c>
      <c r="C39" t="s">
        <v>150</v>
      </c>
      <c r="D39" t="s">
        <v>151</v>
      </c>
      <c r="E39">
        <v>7</v>
      </c>
      <c r="F39">
        <v>1.625</v>
      </c>
      <c r="G39">
        <v>2.2999999999999998</v>
      </c>
      <c r="H39">
        <f t="shared" si="0"/>
        <v>0.83525000000000005</v>
      </c>
      <c r="I39">
        <f t="shared" si="1"/>
        <v>1.1821999999999999</v>
      </c>
    </row>
    <row r="40" spans="1:9">
      <c r="A40" t="s">
        <v>180</v>
      </c>
      <c r="B40" t="s">
        <v>213</v>
      </c>
      <c r="C40" t="s">
        <v>150</v>
      </c>
      <c r="D40" t="s">
        <v>151</v>
      </c>
      <c r="E40">
        <v>8</v>
      </c>
      <c r="F40">
        <v>1.4000000000000001</v>
      </c>
      <c r="G40">
        <v>2.2000000000000002</v>
      </c>
      <c r="H40">
        <f t="shared" si="0"/>
        <v>0.71960000000000013</v>
      </c>
      <c r="I40">
        <f t="shared" si="1"/>
        <v>1.1308</v>
      </c>
    </row>
    <row r="41" spans="1:9">
      <c r="A41" t="s">
        <v>180</v>
      </c>
      <c r="B41" t="s">
        <v>213</v>
      </c>
      <c r="C41" t="s">
        <v>150</v>
      </c>
      <c r="D41" t="s">
        <v>151</v>
      </c>
      <c r="E41">
        <v>9</v>
      </c>
      <c r="F41">
        <v>1.2500000000000002</v>
      </c>
      <c r="G41">
        <v>2.2000000000000002</v>
      </c>
      <c r="H41">
        <f t="shared" si="0"/>
        <v>0.64250000000000018</v>
      </c>
      <c r="I41">
        <f t="shared" si="1"/>
        <v>1.1308</v>
      </c>
    </row>
    <row r="42" spans="1:9">
      <c r="A42" t="s">
        <v>180</v>
      </c>
      <c r="B42" t="s">
        <v>213</v>
      </c>
      <c r="C42" t="s">
        <v>150</v>
      </c>
      <c r="D42" t="s">
        <v>151</v>
      </c>
      <c r="E42">
        <v>10</v>
      </c>
      <c r="F42">
        <v>1.125</v>
      </c>
      <c r="G42">
        <v>2.1</v>
      </c>
      <c r="H42">
        <f t="shared" si="0"/>
        <v>0.57825000000000004</v>
      </c>
      <c r="I42">
        <f t="shared" si="1"/>
        <v>1.0794000000000001</v>
      </c>
    </row>
    <row r="43" spans="1:9">
      <c r="A43" t="s">
        <v>180</v>
      </c>
      <c r="B43" t="s">
        <v>213</v>
      </c>
      <c r="C43" t="s">
        <v>150</v>
      </c>
      <c r="D43" t="s">
        <v>151</v>
      </c>
      <c r="E43">
        <v>11</v>
      </c>
      <c r="F43">
        <v>1.175</v>
      </c>
      <c r="G43">
        <v>2.1</v>
      </c>
      <c r="H43">
        <f t="shared" si="0"/>
        <v>0.60394999999999999</v>
      </c>
      <c r="I43">
        <f t="shared" si="1"/>
        <v>1.0794000000000001</v>
      </c>
    </row>
    <row r="44" spans="1:9">
      <c r="A44" t="s">
        <v>180</v>
      </c>
      <c r="B44" t="s">
        <v>213</v>
      </c>
      <c r="C44" t="s">
        <v>150</v>
      </c>
      <c r="D44" t="s">
        <v>151</v>
      </c>
      <c r="E44">
        <v>12</v>
      </c>
      <c r="F44">
        <v>1.25</v>
      </c>
      <c r="G44">
        <v>2.1</v>
      </c>
      <c r="H44">
        <f t="shared" si="0"/>
        <v>0.64250000000000007</v>
      </c>
      <c r="I44">
        <f t="shared" si="1"/>
        <v>1.0794000000000001</v>
      </c>
    </row>
    <row r="45" spans="1:9">
      <c r="A45" t="s">
        <v>180</v>
      </c>
      <c r="B45" t="s">
        <v>213</v>
      </c>
      <c r="C45" t="s">
        <v>150</v>
      </c>
      <c r="D45" t="s">
        <v>151</v>
      </c>
      <c r="E45">
        <v>13</v>
      </c>
      <c r="F45">
        <v>1.7666666666666666</v>
      </c>
      <c r="G45">
        <v>2.2000000000000002</v>
      </c>
      <c r="H45">
        <f t="shared" si="0"/>
        <v>0.90806666666666669</v>
      </c>
      <c r="I45">
        <f t="shared" si="1"/>
        <v>1.1308</v>
      </c>
    </row>
    <row r="46" spans="1:9">
      <c r="A46" t="s">
        <v>180</v>
      </c>
      <c r="B46" t="s">
        <v>213</v>
      </c>
      <c r="C46" t="s">
        <v>150</v>
      </c>
      <c r="D46" t="s">
        <v>151</v>
      </c>
      <c r="E46">
        <v>14</v>
      </c>
      <c r="F46">
        <v>1.5499999999999998</v>
      </c>
      <c r="G46">
        <v>2.2999999999999998</v>
      </c>
      <c r="H46">
        <f t="shared" si="0"/>
        <v>0.79669999999999996</v>
      </c>
      <c r="I46">
        <f t="shared" si="1"/>
        <v>1.1821999999999999</v>
      </c>
    </row>
    <row r="47" spans="1:9">
      <c r="A47" t="s">
        <v>180</v>
      </c>
      <c r="B47" t="s">
        <v>213</v>
      </c>
      <c r="C47" t="s">
        <v>150</v>
      </c>
      <c r="D47" t="s">
        <v>151</v>
      </c>
      <c r="E47">
        <v>15</v>
      </c>
      <c r="F47">
        <v>1.7249999999999999</v>
      </c>
      <c r="G47">
        <v>2.4</v>
      </c>
      <c r="H47">
        <f t="shared" si="0"/>
        <v>0.88664999999999994</v>
      </c>
      <c r="I47">
        <f t="shared" si="1"/>
        <v>1.2336</v>
      </c>
    </row>
    <row r="48" spans="1:9">
      <c r="A48" t="s">
        <v>180</v>
      </c>
      <c r="B48" t="s">
        <v>213</v>
      </c>
      <c r="C48" t="s">
        <v>150</v>
      </c>
      <c r="D48" t="s">
        <v>151</v>
      </c>
      <c r="E48">
        <v>16</v>
      </c>
      <c r="F48">
        <v>1.8749999999999998</v>
      </c>
      <c r="G48">
        <v>2.5</v>
      </c>
      <c r="H48">
        <f t="shared" si="0"/>
        <v>0.96374999999999988</v>
      </c>
      <c r="I48">
        <f t="shared" si="1"/>
        <v>1.2850000000000001</v>
      </c>
    </row>
    <row r="49" spans="1:9">
      <c r="A49" t="s">
        <v>180</v>
      </c>
      <c r="B49" t="s">
        <v>213</v>
      </c>
      <c r="C49" t="s">
        <v>150</v>
      </c>
      <c r="D49" t="s">
        <v>151</v>
      </c>
      <c r="E49">
        <v>17</v>
      </c>
      <c r="F49">
        <v>2.0499999999999998</v>
      </c>
      <c r="G49">
        <v>2.6</v>
      </c>
      <c r="H49">
        <f t="shared" si="0"/>
        <v>1.0536999999999999</v>
      </c>
      <c r="I49">
        <f t="shared" si="1"/>
        <v>1.3364</v>
      </c>
    </row>
    <row r="50" spans="1:9">
      <c r="A50" t="s">
        <v>180</v>
      </c>
      <c r="B50" t="s">
        <v>213</v>
      </c>
      <c r="C50" t="s">
        <v>150</v>
      </c>
      <c r="D50" t="s">
        <v>151</v>
      </c>
      <c r="E50">
        <v>18</v>
      </c>
      <c r="F50">
        <v>2.15</v>
      </c>
      <c r="G50">
        <v>2.5</v>
      </c>
      <c r="H50">
        <f t="shared" si="0"/>
        <v>1.1051</v>
      </c>
      <c r="I50">
        <f t="shared" si="1"/>
        <v>1.2850000000000001</v>
      </c>
    </row>
    <row r="51" spans="1:9">
      <c r="A51" t="s">
        <v>180</v>
      </c>
      <c r="B51" t="s">
        <v>213</v>
      </c>
      <c r="C51" t="s">
        <v>150</v>
      </c>
      <c r="D51" t="s">
        <v>151</v>
      </c>
      <c r="E51">
        <v>19</v>
      </c>
      <c r="F51">
        <v>2.1749999999999998</v>
      </c>
      <c r="G51">
        <v>2.5</v>
      </c>
      <c r="H51">
        <f t="shared" si="0"/>
        <v>1.11795</v>
      </c>
      <c r="I51">
        <f t="shared" si="1"/>
        <v>1.2850000000000001</v>
      </c>
    </row>
    <row r="52" spans="1:9">
      <c r="A52" t="s">
        <v>180</v>
      </c>
      <c r="B52" t="s">
        <v>213</v>
      </c>
      <c r="C52" t="s">
        <v>150</v>
      </c>
      <c r="D52" t="s">
        <v>151</v>
      </c>
      <c r="E52">
        <v>20</v>
      </c>
      <c r="F52">
        <v>2.15</v>
      </c>
      <c r="G52">
        <v>2.6</v>
      </c>
      <c r="H52">
        <f t="shared" si="0"/>
        <v>1.1051</v>
      </c>
      <c r="I52">
        <f t="shared" si="1"/>
        <v>1.3364</v>
      </c>
    </row>
    <row r="53" spans="1:9">
      <c r="A53" t="s">
        <v>180</v>
      </c>
      <c r="B53" t="s">
        <v>213</v>
      </c>
      <c r="C53" t="s">
        <v>150</v>
      </c>
      <c r="D53" t="s">
        <v>151</v>
      </c>
      <c r="E53">
        <v>21</v>
      </c>
      <c r="F53">
        <v>1.9333333333333333</v>
      </c>
      <c r="G53">
        <v>2</v>
      </c>
      <c r="H53">
        <f t="shared" si="0"/>
        <v>0.99373333333333336</v>
      </c>
      <c r="I53">
        <f t="shared" si="1"/>
        <v>1.028</v>
      </c>
    </row>
    <row r="54" spans="1:9">
      <c r="A54" t="s">
        <v>180</v>
      </c>
      <c r="B54" t="s">
        <v>213</v>
      </c>
      <c r="C54" t="s">
        <v>150</v>
      </c>
      <c r="D54" t="s">
        <v>151</v>
      </c>
      <c r="E54">
        <v>22</v>
      </c>
      <c r="F54">
        <v>1.95</v>
      </c>
      <c r="G54">
        <v>2.7</v>
      </c>
      <c r="H54">
        <f t="shared" si="0"/>
        <v>1.0023</v>
      </c>
      <c r="I54">
        <f t="shared" si="1"/>
        <v>1.3878000000000001</v>
      </c>
    </row>
    <row r="55" spans="1:9">
      <c r="A55" t="s">
        <v>180</v>
      </c>
      <c r="B55" t="s">
        <v>213</v>
      </c>
      <c r="C55" t="s">
        <v>150</v>
      </c>
      <c r="D55" t="s">
        <v>151</v>
      </c>
      <c r="E55">
        <v>23</v>
      </c>
      <c r="F55">
        <v>1.8</v>
      </c>
      <c r="G55">
        <v>2.7</v>
      </c>
      <c r="H55">
        <f t="shared" si="0"/>
        <v>0.92520000000000002</v>
      </c>
      <c r="I55">
        <f t="shared" si="1"/>
        <v>1.3878000000000001</v>
      </c>
    </row>
    <row r="56" spans="1:9">
      <c r="A56" t="s">
        <v>180</v>
      </c>
      <c r="B56" t="s">
        <v>213</v>
      </c>
      <c r="C56" t="s">
        <v>150</v>
      </c>
      <c r="D56" t="s">
        <v>151</v>
      </c>
      <c r="E56">
        <v>24</v>
      </c>
      <c r="F56">
        <v>1.6500000000000001</v>
      </c>
      <c r="G56">
        <v>2.6</v>
      </c>
      <c r="H56">
        <f t="shared" si="0"/>
        <v>0.84810000000000008</v>
      </c>
      <c r="I56">
        <f t="shared" si="1"/>
        <v>1.3364</v>
      </c>
    </row>
    <row r="57" spans="1:9">
      <c r="A57" t="s">
        <v>180</v>
      </c>
      <c r="B57" t="s">
        <v>213</v>
      </c>
      <c r="C57" t="s">
        <v>150</v>
      </c>
      <c r="D57" t="s">
        <v>151</v>
      </c>
      <c r="E57">
        <v>25</v>
      </c>
      <c r="F57">
        <v>1.5999999999999999</v>
      </c>
      <c r="G57">
        <v>2.6</v>
      </c>
      <c r="H57">
        <f t="shared" si="0"/>
        <v>0.82239999999999991</v>
      </c>
      <c r="I57">
        <f t="shared" si="1"/>
        <v>1.3364</v>
      </c>
    </row>
    <row r="58" spans="1:9">
      <c r="A58" t="s">
        <v>180</v>
      </c>
      <c r="B58" t="s">
        <v>213</v>
      </c>
      <c r="C58" t="s">
        <v>150</v>
      </c>
      <c r="D58" t="s">
        <v>151</v>
      </c>
      <c r="E58">
        <v>26</v>
      </c>
      <c r="F58">
        <v>1.65</v>
      </c>
      <c r="G58">
        <v>2.6</v>
      </c>
      <c r="H58">
        <f t="shared" si="0"/>
        <v>0.84809999999999997</v>
      </c>
      <c r="I58">
        <f t="shared" si="1"/>
        <v>1.3364</v>
      </c>
    </row>
    <row r="59" spans="1:9">
      <c r="A59" t="s">
        <v>180</v>
      </c>
      <c r="B59" t="s">
        <v>213</v>
      </c>
      <c r="C59" t="s">
        <v>150</v>
      </c>
      <c r="D59" t="s">
        <v>151</v>
      </c>
      <c r="E59">
        <v>27</v>
      </c>
      <c r="F59">
        <v>2.1333333333333333</v>
      </c>
      <c r="G59">
        <v>2.6</v>
      </c>
      <c r="H59">
        <f t="shared" si="0"/>
        <v>1.0965333333333334</v>
      </c>
      <c r="I59">
        <f t="shared" si="1"/>
        <v>1.3364</v>
      </c>
    </row>
    <row r="60" spans="1:9">
      <c r="A60" t="s">
        <v>180</v>
      </c>
      <c r="B60" t="s">
        <v>213</v>
      </c>
      <c r="C60" t="s">
        <v>150</v>
      </c>
      <c r="D60" t="s">
        <v>151</v>
      </c>
      <c r="E60">
        <v>28</v>
      </c>
      <c r="F60">
        <v>1.925</v>
      </c>
      <c r="G60">
        <v>2.6</v>
      </c>
      <c r="H60">
        <f t="shared" si="0"/>
        <v>0.98945000000000005</v>
      </c>
      <c r="I60">
        <f t="shared" si="1"/>
        <v>1.3364</v>
      </c>
    </row>
    <row r="61" spans="1:9">
      <c r="A61" t="s">
        <v>180</v>
      </c>
      <c r="B61" t="s">
        <v>213</v>
      </c>
      <c r="C61" t="s">
        <v>150</v>
      </c>
      <c r="D61" t="s">
        <v>151</v>
      </c>
      <c r="E61">
        <v>29</v>
      </c>
      <c r="F61">
        <v>2.0750000000000002</v>
      </c>
      <c r="G61">
        <v>2.6</v>
      </c>
      <c r="H61">
        <f t="shared" si="0"/>
        <v>1.0665500000000001</v>
      </c>
      <c r="I61">
        <f t="shared" si="1"/>
        <v>1.3364</v>
      </c>
    </row>
    <row r="62" spans="1:9">
      <c r="A62" t="s">
        <v>180</v>
      </c>
      <c r="B62" t="s">
        <v>213</v>
      </c>
      <c r="C62" t="s">
        <v>150</v>
      </c>
      <c r="D62" t="s">
        <v>151</v>
      </c>
      <c r="E62">
        <v>30</v>
      </c>
      <c r="F62">
        <v>2.1749999999999998</v>
      </c>
      <c r="G62">
        <v>2.6</v>
      </c>
      <c r="H62">
        <f t="shared" si="0"/>
        <v>1.11795</v>
      </c>
      <c r="I62">
        <f t="shared" si="1"/>
        <v>1.3364</v>
      </c>
    </row>
    <row r="63" spans="1:9">
      <c r="A63" t="s">
        <v>180</v>
      </c>
      <c r="B63" t="s">
        <v>213</v>
      </c>
      <c r="C63" t="s">
        <v>150</v>
      </c>
      <c r="D63" t="s">
        <v>151</v>
      </c>
      <c r="E63">
        <v>31</v>
      </c>
      <c r="F63">
        <v>2.2749999999999999</v>
      </c>
      <c r="G63">
        <v>2.6</v>
      </c>
      <c r="H63">
        <f t="shared" si="0"/>
        <v>1.1693499999999999</v>
      </c>
      <c r="I63">
        <f t="shared" si="1"/>
        <v>1.3364</v>
      </c>
    </row>
    <row r="64" spans="1:9">
      <c r="A64" t="s">
        <v>181</v>
      </c>
      <c r="B64" t="s">
        <v>214</v>
      </c>
      <c r="C64" t="s">
        <v>150</v>
      </c>
      <c r="D64" t="s">
        <v>151</v>
      </c>
      <c r="E64">
        <v>1</v>
      </c>
      <c r="F64">
        <v>1.7749999999999999</v>
      </c>
      <c r="G64">
        <v>2.5</v>
      </c>
      <c r="H64">
        <f t="shared" si="0"/>
        <v>0.91234999999999999</v>
      </c>
      <c r="I64">
        <f t="shared" si="1"/>
        <v>1.2850000000000001</v>
      </c>
    </row>
    <row r="65" spans="1:9">
      <c r="A65" t="s">
        <v>181</v>
      </c>
      <c r="B65" t="s">
        <v>214</v>
      </c>
      <c r="C65" t="s">
        <v>150</v>
      </c>
      <c r="D65" t="s">
        <v>151</v>
      </c>
      <c r="E65">
        <v>2</v>
      </c>
      <c r="F65">
        <v>1.7999999999999998</v>
      </c>
      <c r="G65">
        <v>2.4</v>
      </c>
      <c r="H65">
        <f t="shared" si="0"/>
        <v>0.92519999999999991</v>
      </c>
      <c r="I65">
        <f t="shared" si="1"/>
        <v>1.2336</v>
      </c>
    </row>
    <row r="66" spans="1:9">
      <c r="A66" t="s">
        <v>181</v>
      </c>
      <c r="B66" t="s">
        <v>214</v>
      </c>
      <c r="C66" t="s">
        <v>150</v>
      </c>
      <c r="D66" t="s">
        <v>151</v>
      </c>
      <c r="E66">
        <v>3</v>
      </c>
      <c r="F66">
        <v>1.7750000000000001</v>
      </c>
      <c r="G66">
        <v>2.2999999999999998</v>
      </c>
      <c r="H66">
        <f t="shared" ref="H66:H129" si="2">F66*0.514</f>
        <v>0.91235000000000011</v>
      </c>
      <c r="I66">
        <f t="shared" ref="I66:I129" si="3">G66*0.514</f>
        <v>1.1821999999999999</v>
      </c>
    </row>
    <row r="67" spans="1:9">
      <c r="A67" t="s">
        <v>181</v>
      </c>
      <c r="B67" t="s">
        <v>214</v>
      </c>
      <c r="C67" t="s">
        <v>150</v>
      </c>
      <c r="D67" t="s">
        <v>151</v>
      </c>
      <c r="E67">
        <v>4</v>
      </c>
      <c r="F67">
        <v>1.7</v>
      </c>
      <c r="G67">
        <v>2.1</v>
      </c>
      <c r="H67">
        <f t="shared" si="2"/>
        <v>0.87380000000000002</v>
      </c>
      <c r="I67">
        <f t="shared" si="3"/>
        <v>1.0794000000000001</v>
      </c>
    </row>
    <row r="68" spans="1:9">
      <c r="A68" t="s">
        <v>181</v>
      </c>
      <c r="B68" t="s">
        <v>214</v>
      </c>
      <c r="C68" t="s">
        <v>150</v>
      </c>
      <c r="D68" t="s">
        <v>151</v>
      </c>
      <c r="E68">
        <v>5</v>
      </c>
      <c r="F68">
        <v>1.575</v>
      </c>
      <c r="G68">
        <v>1.8</v>
      </c>
      <c r="H68">
        <f t="shared" si="2"/>
        <v>0.80954999999999999</v>
      </c>
      <c r="I68">
        <f t="shared" si="3"/>
        <v>0.92520000000000002</v>
      </c>
    </row>
    <row r="69" spans="1:9">
      <c r="A69" t="s">
        <v>181</v>
      </c>
      <c r="B69" t="s">
        <v>214</v>
      </c>
      <c r="C69" t="s">
        <v>150</v>
      </c>
      <c r="D69" t="s">
        <v>151</v>
      </c>
      <c r="E69">
        <v>6</v>
      </c>
      <c r="F69">
        <v>1.375</v>
      </c>
      <c r="G69">
        <v>1.7</v>
      </c>
      <c r="H69">
        <f t="shared" si="2"/>
        <v>0.70674999999999999</v>
      </c>
      <c r="I69">
        <f t="shared" si="3"/>
        <v>0.87380000000000002</v>
      </c>
    </row>
    <row r="70" spans="1:9">
      <c r="A70" t="s">
        <v>181</v>
      </c>
      <c r="B70" t="s">
        <v>214</v>
      </c>
      <c r="C70" t="s">
        <v>150</v>
      </c>
      <c r="D70" t="s">
        <v>151</v>
      </c>
      <c r="E70">
        <v>7</v>
      </c>
      <c r="F70">
        <v>1.2250000000000001</v>
      </c>
      <c r="G70">
        <v>1.7</v>
      </c>
      <c r="H70">
        <f t="shared" si="2"/>
        <v>0.62965000000000004</v>
      </c>
      <c r="I70">
        <f t="shared" si="3"/>
        <v>0.87380000000000002</v>
      </c>
    </row>
    <row r="71" spans="1:9">
      <c r="A71" t="s">
        <v>181</v>
      </c>
      <c r="B71" t="s">
        <v>214</v>
      </c>
      <c r="C71" t="s">
        <v>150</v>
      </c>
      <c r="D71" t="s">
        <v>151</v>
      </c>
      <c r="E71">
        <v>8</v>
      </c>
      <c r="F71">
        <v>1.1000000000000001</v>
      </c>
      <c r="G71">
        <v>1.7</v>
      </c>
      <c r="H71">
        <f t="shared" si="2"/>
        <v>0.56540000000000001</v>
      </c>
      <c r="I71">
        <f t="shared" si="3"/>
        <v>0.87380000000000002</v>
      </c>
    </row>
    <row r="72" spans="1:9">
      <c r="A72" t="s">
        <v>181</v>
      </c>
      <c r="B72" t="s">
        <v>214</v>
      </c>
      <c r="C72" t="s">
        <v>150</v>
      </c>
      <c r="D72" t="s">
        <v>151</v>
      </c>
      <c r="E72">
        <v>9</v>
      </c>
      <c r="F72">
        <v>0.95000000000000007</v>
      </c>
      <c r="G72">
        <v>1.6</v>
      </c>
      <c r="H72">
        <f t="shared" si="2"/>
        <v>0.48830000000000007</v>
      </c>
      <c r="I72">
        <f t="shared" si="3"/>
        <v>0.82240000000000002</v>
      </c>
    </row>
    <row r="73" spans="1:9">
      <c r="A73" t="s">
        <v>181</v>
      </c>
      <c r="B73" t="s">
        <v>214</v>
      </c>
      <c r="C73" t="s">
        <v>150</v>
      </c>
      <c r="D73" t="s">
        <v>151</v>
      </c>
      <c r="E73">
        <v>10</v>
      </c>
      <c r="F73">
        <v>0.875</v>
      </c>
      <c r="G73">
        <v>1.6</v>
      </c>
      <c r="H73">
        <f t="shared" si="2"/>
        <v>0.44974999999999998</v>
      </c>
      <c r="I73">
        <f t="shared" si="3"/>
        <v>0.82240000000000002</v>
      </c>
    </row>
    <row r="74" spans="1:9">
      <c r="A74" t="s">
        <v>181</v>
      </c>
      <c r="B74" t="s">
        <v>214</v>
      </c>
      <c r="C74" t="s">
        <v>150</v>
      </c>
      <c r="D74" t="s">
        <v>151</v>
      </c>
      <c r="E74">
        <v>11</v>
      </c>
      <c r="F74">
        <v>0.90000000000000013</v>
      </c>
      <c r="G74">
        <v>1.6</v>
      </c>
      <c r="H74">
        <f t="shared" si="2"/>
        <v>0.46260000000000007</v>
      </c>
      <c r="I74">
        <f t="shared" si="3"/>
        <v>0.82240000000000002</v>
      </c>
    </row>
    <row r="75" spans="1:9">
      <c r="A75" t="s">
        <v>181</v>
      </c>
      <c r="B75" t="s">
        <v>214</v>
      </c>
      <c r="C75" t="s">
        <v>150</v>
      </c>
      <c r="D75" t="s">
        <v>151</v>
      </c>
      <c r="E75">
        <v>12</v>
      </c>
      <c r="F75">
        <v>1.2333333333333334</v>
      </c>
      <c r="G75">
        <v>1.6</v>
      </c>
      <c r="H75">
        <f t="shared" si="2"/>
        <v>0.63393333333333335</v>
      </c>
      <c r="I75">
        <f t="shared" si="3"/>
        <v>0.82240000000000002</v>
      </c>
    </row>
    <row r="76" spans="1:9">
      <c r="A76" t="s">
        <v>181</v>
      </c>
      <c r="B76" t="s">
        <v>214</v>
      </c>
      <c r="C76" t="s">
        <v>150</v>
      </c>
      <c r="D76" t="s">
        <v>151</v>
      </c>
      <c r="E76">
        <v>13</v>
      </c>
      <c r="F76">
        <v>1.05</v>
      </c>
      <c r="G76">
        <v>1.6</v>
      </c>
      <c r="H76">
        <f t="shared" si="2"/>
        <v>0.53970000000000007</v>
      </c>
      <c r="I76">
        <f t="shared" si="3"/>
        <v>0.82240000000000002</v>
      </c>
    </row>
    <row r="77" spans="1:9">
      <c r="A77" t="s">
        <v>181</v>
      </c>
      <c r="B77" t="s">
        <v>214</v>
      </c>
      <c r="C77" t="s">
        <v>150</v>
      </c>
      <c r="D77" t="s">
        <v>151</v>
      </c>
      <c r="E77">
        <v>14</v>
      </c>
      <c r="F77">
        <v>1.2000000000000002</v>
      </c>
      <c r="G77">
        <v>1.7</v>
      </c>
      <c r="H77">
        <f t="shared" si="2"/>
        <v>0.61680000000000013</v>
      </c>
      <c r="I77">
        <f t="shared" si="3"/>
        <v>0.87380000000000002</v>
      </c>
    </row>
    <row r="78" spans="1:9">
      <c r="A78" t="s">
        <v>181</v>
      </c>
      <c r="B78" t="s">
        <v>214</v>
      </c>
      <c r="C78" t="s">
        <v>150</v>
      </c>
      <c r="D78" t="s">
        <v>151</v>
      </c>
      <c r="E78">
        <v>15</v>
      </c>
      <c r="F78">
        <v>1.325</v>
      </c>
      <c r="G78">
        <v>1.8</v>
      </c>
      <c r="H78">
        <f t="shared" si="2"/>
        <v>0.68105000000000004</v>
      </c>
      <c r="I78">
        <f t="shared" si="3"/>
        <v>0.92520000000000002</v>
      </c>
    </row>
    <row r="79" spans="1:9">
      <c r="A79" t="s">
        <v>181</v>
      </c>
      <c r="B79" t="s">
        <v>214</v>
      </c>
      <c r="C79" t="s">
        <v>150</v>
      </c>
      <c r="D79" t="s">
        <v>151</v>
      </c>
      <c r="E79">
        <v>16</v>
      </c>
      <c r="F79">
        <v>1.4500000000000002</v>
      </c>
      <c r="G79">
        <v>1.9</v>
      </c>
      <c r="H79">
        <f t="shared" si="2"/>
        <v>0.74530000000000007</v>
      </c>
      <c r="I79">
        <f t="shared" si="3"/>
        <v>0.97660000000000002</v>
      </c>
    </row>
    <row r="80" spans="1:9">
      <c r="A80" t="s">
        <v>181</v>
      </c>
      <c r="B80" t="s">
        <v>214</v>
      </c>
      <c r="C80" t="s">
        <v>150</v>
      </c>
      <c r="D80" t="s">
        <v>151</v>
      </c>
      <c r="E80">
        <v>17</v>
      </c>
      <c r="F80">
        <v>1.5750000000000002</v>
      </c>
      <c r="G80">
        <v>2</v>
      </c>
      <c r="H80">
        <f t="shared" si="2"/>
        <v>0.8095500000000001</v>
      </c>
      <c r="I80">
        <f t="shared" si="3"/>
        <v>1.028</v>
      </c>
    </row>
    <row r="81" spans="1:9">
      <c r="A81" t="s">
        <v>181</v>
      </c>
      <c r="B81" t="s">
        <v>214</v>
      </c>
      <c r="C81" t="s">
        <v>150</v>
      </c>
      <c r="D81" t="s">
        <v>151</v>
      </c>
      <c r="E81">
        <v>18</v>
      </c>
      <c r="F81">
        <v>1.6500000000000001</v>
      </c>
      <c r="G81">
        <v>2</v>
      </c>
      <c r="H81">
        <f t="shared" si="2"/>
        <v>0.84810000000000008</v>
      </c>
      <c r="I81">
        <f t="shared" si="3"/>
        <v>1.028</v>
      </c>
    </row>
    <row r="82" spans="1:9">
      <c r="A82" t="s">
        <v>181</v>
      </c>
      <c r="B82" t="s">
        <v>214</v>
      </c>
      <c r="C82" t="s">
        <v>150</v>
      </c>
      <c r="D82" t="s">
        <v>151</v>
      </c>
      <c r="E82">
        <v>19</v>
      </c>
      <c r="F82">
        <v>1.6749999999999998</v>
      </c>
      <c r="G82">
        <v>1.9</v>
      </c>
      <c r="H82">
        <f t="shared" si="2"/>
        <v>0.86094999999999988</v>
      </c>
      <c r="I82">
        <f t="shared" si="3"/>
        <v>0.97660000000000002</v>
      </c>
    </row>
    <row r="83" spans="1:9">
      <c r="A83" t="s">
        <v>181</v>
      </c>
      <c r="B83" t="s">
        <v>214</v>
      </c>
      <c r="C83" t="s">
        <v>150</v>
      </c>
      <c r="D83" t="s">
        <v>151</v>
      </c>
      <c r="E83">
        <v>20</v>
      </c>
      <c r="F83">
        <v>1.5999999999999999</v>
      </c>
      <c r="G83">
        <v>1.7</v>
      </c>
      <c r="H83">
        <f t="shared" si="2"/>
        <v>0.82239999999999991</v>
      </c>
      <c r="I83">
        <f t="shared" si="3"/>
        <v>0.87380000000000002</v>
      </c>
    </row>
    <row r="84" spans="1:9">
      <c r="A84" t="s">
        <v>181</v>
      </c>
      <c r="B84" t="s">
        <v>214</v>
      </c>
      <c r="C84" t="s">
        <v>150</v>
      </c>
      <c r="D84" t="s">
        <v>151</v>
      </c>
      <c r="E84">
        <v>21</v>
      </c>
      <c r="F84">
        <v>1.625</v>
      </c>
      <c r="G84">
        <v>2</v>
      </c>
      <c r="H84">
        <f t="shared" si="2"/>
        <v>0.83525000000000005</v>
      </c>
      <c r="I84">
        <f t="shared" si="3"/>
        <v>1.028</v>
      </c>
    </row>
    <row r="85" spans="1:9">
      <c r="A85" t="s">
        <v>181</v>
      </c>
      <c r="B85" t="s">
        <v>214</v>
      </c>
      <c r="C85" t="s">
        <v>150</v>
      </c>
      <c r="D85" t="s">
        <v>151</v>
      </c>
      <c r="E85">
        <v>22</v>
      </c>
      <c r="F85">
        <v>1.5</v>
      </c>
      <c r="G85">
        <v>2</v>
      </c>
      <c r="H85">
        <f t="shared" si="2"/>
        <v>0.77100000000000002</v>
      </c>
      <c r="I85">
        <f t="shared" si="3"/>
        <v>1.028</v>
      </c>
    </row>
    <row r="86" spans="1:9">
      <c r="A86" t="s">
        <v>181</v>
      </c>
      <c r="B86" t="s">
        <v>214</v>
      </c>
      <c r="C86" t="s">
        <v>150</v>
      </c>
      <c r="D86" t="s">
        <v>151</v>
      </c>
      <c r="E86">
        <v>23</v>
      </c>
      <c r="F86">
        <v>1.4</v>
      </c>
      <c r="G86">
        <v>2</v>
      </c>
      <c r="H86">
        <f t="shared" si="2"/>
        <v>0.71960000000000002</v>
      </c>
      <c r="I86">
        <f t="shared" si="3"/>
        <v>1.028</v>
      </c>
    </row>
    <row r="87" spans="1:9">
      <c r="A87" t="s">
        <v>181</v>
      </c>
      <c r="B87" t="s">
        <v>214</v>
      </c>
      <c r="C87" t="s">
        <v>150</v>
      </c>
      <c r="D87" t="s">
        <v>151</v>
      </c>
      <c r="E87">
        <v>24</v>
      </c>
      <c r="F87">
        <v>1.2750000000000001</v>
      </c>
      <c r="G87">
        <v>2</v>
      </c>
      <c r="H87">
        <f t="shared" si="2"/>
        <v>0.6553500000000001</v>
      </c>
      <c r="I87">
        <f t="shared" si="3"/>
        <v>1.028</v>
      </c>
    </row>
    <row r="88" spans="1:9">
      <c r="A88" t="s">
        <v>181</v>
      </c>
      <c r="B88" t="s">
        <v>214</v>
      </c>
      <c r="C88" t="s">
        <v>150</v>
      </c>
      <c r="D88" t="s">
        <v>151</v>
      </c>
      <c r="E88">
        <v>25</v>
      </c>
      <c r="F88">
        <v>1.2250000000000001</v>
      </c>
      <c r="G88">
        <v>1.9</v>
      </c>
      <c r="H88">
        <f t="shared" si="2"/>
        <v>0.62965000000000004</v>
      </c>
      <c r="I88">
        <f t="shared" si="3"/>
        <v>0.97660000000000002</v>
      </c>
    </row>
    <row r="89" spans="1:9">
      <c r="A89" t="s">
        <v>181</v>
      </c>
      <c r="B89" t="s">
        <v>214</v>
      </c>
      <c r="C89" t="s">
        <v>150</v>
      </c>
      <c r="D89" t="s">
        <v>151</v>
      </c>
      <c r="E89">
        <v>26</v>
      </c>
      <c r="F89">
        <v>1.2749999999999999</v>
      </c>
      <c r="G89">
        <v>1.9</v>
      </c>
      <c r="H89">
        <f t="shared" si="2"/>
        <v>0.65534999999999999</v>
      </c>
      <c r="I89">
        <f t="shared" si="3"/>
        <v>0.97660000000000002</v>
      </c>
    </row>
    <row r="90" spans="1:9">
      <c r="A90" t="s">
        <v>181</v>
      </c>
      <c r="B90" t="s">
        <v>214</v>
      </c>
      <c r="C90" t="s">
        <v>150</v>
      </c>
      <c r="D90" t="s">
        <v>151</v>
      </c>
      <c r="E90">
        <v>27</v>
      </c>
      <c r="F90">
        <v>1.6000000000000003</v>
      </c>
      <c r="G90">
        <v>1.9</v>
      </c>
      <c r="H90">
        <f t="shared" si="2"/>
        <v>0.82240000000000013</v>
      </c>
      <c r="I90">
        <f t="shared" si="3"/>
        <v>0.97660000000000002</v>
      </c>
    </row>
    <row r="91" spans="1:9">
      <c r="A91" t="s">
        <v>181</v>
      </c>
      <c r="B91" t="s">
        <v>214</v>
      </c>
      <c r="C91" t="s">
        <v>150</v>
      </c>
      <c r="D91" t="s">
        <v>151</v>
      </c>
      <c r="E91">
        <v>28</v>
      </c>
      <c r="F91">
        <v>1.5</v>
      </c>
      <c r="G91">
        <v>2</v>
      </c>
      <c r="H91">
        <f t="shared" si="2"/>
        <v>0.77100000000000002</v>
      </c>
      <c r="I91">
        <f t="shared" si="3"/>
        <v>1.028</v>
      </c>
    </row>
    <row r="92" spans="1:9">
      <c r="A92" t="s">
        <v>181</v>
      </c>
      <c r="B92" t="s">
        <v>214</v>
      </c>
      <c r="C92" t="s">
        <v>150</v>
      </c>
      <c r="D92" t="s">
        <v>151</v>
      </c>
      <c r="E92">
        <v>29</v>
      </c>
      <c r="F92">
        <v>1.625</v>
      </c>
      <c r="G92">
        <v>2.1</v>
      </c>
      <c r="H92">
        <f t="shared" si="2"/>
        <v>0.83525000000000005</v>
      </c>
      <c r="I92">
        <f t="shared" si="3"/>
        <v>1.0794000000000001</v>
      </c>
    </row>
    <row r="93" spans="1:9">
      <c r="A93" t="s">
        <v>181</v>
      </c>
      <c r="B93" t="s">
        <v>214</v>
      </c>
      <c r="C93" t="s">
        <v>150</v>
      </c>
      <c r="D93" t="s">
        <v>151</v>
      </c>
      <c r="E93">
        <v>30</v>
      </c>
      <c r="F93">
        <v>1.7</v>
      </c>
      <c r="G93">
        <v>2.1</v>
      </c>
      <c r="H93">
        <f t="shared" si="2"/>
        <v>0.87380000000000002</v>
      </c>
      <c r="I93">
        <f t="shared" si="3"/>
        <v>1.0794000000000001</v>
      </c>
    </row>
    <row r="94" spans="1:9">
      <c r="A94" t="s">
        <v>181</v>
      </c>
      <c r="B94" t="s">
        <v>214</v>
      </c>
      <c r="C94" t="s">
        <v>150</v>
      </c>
      <c r="D94" t="s">
        <v>151</v>
      </c>
      <c r="E94">
        <v>31</v>
      </c>
      <c r="F94">
        <v>1.75</v>
      </c>
      <c r="G94">
        <v>2</v>
      </c>
      <c r="H94">
        <f t="shared" si="2"/>
        <v>0.89949999999999997</v>
      </c>
      <c r="I94">
        <f t="shared" si="3"/>
        <v>1.028</v>
      </c>
    </row>
    <row r="95" spans="1:9">
      <c r="A95" t="s">
        <v>182</v>
      </c>
      <c r="B95" t="s">
        <v>215</v>
      </c>
      <c r="C95" t="s">
        <v>150</v>
      </c>
      <c r="D95" t="s">
        <v>138</v>
      </c>
      <c r="E95">
        <v>1</v>
      </c>
      <c r="F95">
        <v>2</v>
      </c>
      <c r="G95">
        <v>3.5</v>
      </c>
      <c r="H95">
        <f t="shared" si="2"/>
        <v>1.028</v>
      </c>
      <c r="I95">
        <f t="shared" si="3"/>
        <v>1.7989999999999999</v>
      </c>
    </row>
    <row r="96" spans="1:9">
      <c r="A96" t="s">
        <v>182</v>
      </c>
      <c r="B96" t="s">
        <v>215</v>
      </c>
      <c r="C96" t="s">
        <v>150</v>
      </c>
      <c r="D96" t="s">
        <v>138</v>
      </c>
      <c r="E96">
        <v>2</v>
      </c>
      <c r="F96">
        <v>2</v>
      </c>
      <c r="G96">
        <v>3.4</v>
      </c>
      <c r="H96">
        <f t="shared" si="2"/>
        <v>1.028</v>
      </c>
      <c r="I96">
        <f t="shared" si="3"/>
        <v>1.7476</v>
      </c>
    </row>
    <row r="97" spans="1:9">
      <c r="A97" t="s">
        <v>182</v>
      </c>
      <c r="B97" t="s">
        <v>215</v>
      </c>
      <c r="C97" t="s">
        <v>150</v>
      </c>
      <c r="D97" t="s">
        <v>138</v>
      </c>
      <c r="E97">
        <v>3</v>
      </c>
      <c r="F97">
        <v>1.9000000000000001</v>
      </c>
      <c r="G97">
        <v>3.1</v>
      </c>
      <c r="H97">
        <f t="shared" si="2"/>
        <v>0.97660000000000013</v>
      </c>
      <c r="I97">
        <f t="shared" si="3"/>
        <v>1.5934000000000001</v>
      </c>
    </row>
    <row r="98" spans="1:9">
      <c r="A98" t="s">
        <v>182</v>
      </c>
      <c r="B98" t="s">
        <v>215</v>
      </c>
      <c r="C98" t="s">
        <v>150</v>
      </c>
      <c r="D98" t="s">
        <v>138</v>
      </c>
      <c r="E98">
        <v>4</v>
      </c>
      <c r="F98">
        <v>1.8</v>
      </c>
      <c r="G98">
        <v>2.8</v>
      </c>
      <c r="H98">
        <f t="shared" si="2"/>
        <v>0.92520000000000002</v>
      </c>
      <c r="I98">
        <f t="shared" si="3"/>
        <v>1.4392</v>
      </c>
    </row>
    <row r="99" spans="1:9">
      <c r="A99" t="s">
        <v>182</v>
      </c>
      <c r="B99" t="s">
        <v>215</v>
      </c>
      <c r="C99" t="s">
        <v>150</v>
      </c>
      <c r="D99" t="s">
        <v>138</v>
      </c>
      <c r="E99">
        <v>5</v>
      </c>
      <c r="F99">
        <v>1.575</v>
      </c>
      <c r="G99">
        <v>2.5</v>
      </c>
      <c r="H99">
        <f t="shared" si="2"/>
        <v>0.80954999999999999</v>
      </c>
      <c r="I99">
        <f t="shared" si="3"/>
        <v>1.2850000000000001</v>
      </c>
    </row>
    <row r="100" spans="1:9">
      <c r="A100" t="s">
        <v>182</v>
      </c>
      <c r="B100" t="s">
        <v>215</v>
      </c>
      <c r="C100" t="s">
        <v>150</v>
      </c>
      <c r="D100" t="s">
        <v>138</v>
      </c>
      <c r="E100">
        <v>6</v>
      </c>
      <c r="F100">
        <v>1.0666666666666667</v>
      </c>
      <c r="G100">
        <v>1.8</v>
      </c>
      <c r="H100">
        <f t="shared" si="2"/>
        <v>0.54826666666666668</v>
      </c>
      <c r="I100">
        <f t="shared" si="3"/>
        <v>0.92520000000000002</v>
      </c>
    </row>
    <row r="101" spans="1:9">
      <c r="A101" t="s">
        <v>182</v>
      </c>
      <c r="B101" t="s">
        <v>215</v>
      </c>
      <c r="C101" t="s">
        <v>150</v>
      </c>
      <c r="D101" t="s">
        <v>138</v>
      </c>
      <c r="E101">
        <v>7</v>
      </c>
      <c r="F101">
        <v>1.25</v>
      </c>
      <c r="G101">
        <v>2.4</v>
      </c>
      <c r="H101">
        <f t="shared" si="2"/>
        <v>0.64250000000000007</v>
      </c>
      <c r="I101">
        <f t="shared" si="3"/>
        <v>1.2336</v>
      </c>
    </row>
    <row r="102" spans="1:9">
      <c r="A102" t="s">
        <v>182</v>
      </c>
      <c r="B102" t="s">
        <v>215</v>
      </c>
      <c r="C102" t="s">
        <v>150</v>
      </c>
      <c r="D102" t="s">
        <v>138</v>
      </c>
      <c r="E102">
        <v>8</v>
      </c>
      <c r="F102">
        <v>1.0750000000000002</v>
      </c>
      <c r="G102">
        <v>2.2000000000000002</v>
      </c>
      <c r="H102">
        <f t="shared" si="2"/>
        <v>0.5525500000000001</v>
      </c>
      <c r="I102">
        <f t="shared" si="3"/>
        <v>1.1308</v>
      </c>
    </row>
    <row r="103" spans="1:9">
      <c r="A103" t="s">
        <v>182</v>
      </c>
      <c r="B103" t="s">
        <v>215</v>
      </c>
      <c r="C103" t="s">
        <v>150</v>
      </c>
      <c r="D103" t="s">
        <v>138</v>
      </c>
      <c r="E103">
        <v>9</v>
      </c>
      <c r="F103">
        <v>1.0000000000000002</v>
      </c>
      <c r="G103">
        <v>2.2000000000000002</v>
      </c>
      <c r="H103">
        <f t="shared" si="2"/>
        <v>0.51400000000000012</v>
      </c>
      <c r="I103">
        <f t="shared" si="3"/>
        <v>1.1308</v>
      </c>
    </row>
    <row r="104" spans="1:9">
      <c r="A104" t="s">
        <v>182</v>
      </c>
      <c r="B104" t="s">
        <v>215</v>
      </c>
      <c r="C104" t="s">
        <v>150</v>
      </c>
      <c r="D104" t="s">
        <v>138</v>
      </c>
      <c r="E104">
        <v>10</v>
      </c>
      <c r="F104">
        <v>0.97500000000000009</v>
      </c>
      <c r="G104">
        <v>2.2000000000000002</v>
      </c>
      <c r="H104">
        <f t="shared" si="2"/>
        <v>0.5011500000000001</v>
      </c>
      <c r="I104">
        <f t="shared" si="3"/>
        <v>1.1308</v>
      </c>
    </row>
    <row r="105" spans="1:9">
      <c r="A105" t="s">
        <v>182</v>
      </c>
      <c r="B105" t="s">
        <v>215</v>
      </c>
      <c r="C105" t="s">
        <v>150</v>
      </c>
      <c r="D105" t="s">
        <v>138</v>
      </c>
      <c r="E105">
        <v>11</v>
      </c>
      <c r="F105">
        <v>1.0250000000000001</v>
      </c>
      <c r="G105">
        <v>2.2000000000000002</v>
      </c>
      <c r="H105">
        <f t="shared" si="2"/>
        <v>0.52685000000000004</v>
      </c>
      <c r="I105">
        <f t="shared" si="3"/>
        <v>1.1308</v>
      </c>
    </row>
    <row r="106" spans="1:9">
      <c r="A106" t="s">
        <v>182</v>
      </c>
      <c r="B106" t="s">
        <v>215</v>
      </c>
      <c r="C106" t="s">
        <v>150</v>
      </c>
      <c r="D106" t="s">
        <v>138</v>
      </c>
      <c r="E106">
        <v>12</v>
      </c>
      <c r="F106">
        <v>1.125</v>
      </c>
      <c r="G106">
        <v>2.2000000000000002</v>
      </c>
      <c r="H106">
        <f t="shared" si="2"/>
        <v>0.57825000000000004</v>
      </c>
      <c r="I106">
        <f t="shared" si="3"/>
        <v>1.1308</v>
      </c>
    </row>
    <row r="107" spans="1:9">
      <c r="A107" t="s">
        <v>182</v>
      </c>
      <c r="B107" t="s">
        <v>215</v>
      </c>
      <c r="C107" t="s">
        <v>150</v>
      </c>
      <c r="D107" t="s">
        <v>138</v>
      </c>
      <c r="E107">
        <v>13</v>
      </c>
      <c r="F107">
        <v>1.3250000000000002</v>
      </c>
      <c r="G107">
        <v>2.4</v>
      </c>
      <c r="H107">
        <f t="shared" si="2"/>
        <v>0.68105000000000016</v>
      </c>
      <c r="I107">
        <f t="shared" si="3"/>
        <v>1.2336</v>
      </c>
    </row>
    <row r="108" spans="1:9">
      <c r="A108" t="s">
        <v>182</v>
      </c>
      <c r="B108" t="s">
        <v>215</v>
      </c>
      <c r="C108" t="s">
        <v>150</v>
      </c>
      <c r="D108" t="s">
        <v>138</v>
      </c>
      <c r="E108">
        <v>14</v>
      </c>
      <c r="F108">
        <v>1.8333333333333333</v>
      </c>
      <c r="G108">
        <v>2.6</v>
      </c>
      <c r="H108">
        <f t="shared" si="2"/>
        <v>0.94233333333333336</v>
      </c>
      <c r="I108">
        <f t="shared" si="3"/>
        <v>1.3364</v>
      </c>
    </row>
    <row r="109" spans="1:9">
      <c r="A109" t="s">
        <v>182</v>
      </c>
      <c r="B109" t="s">
        <v>215</v>
      </c>
      <c r="C109" t="s">
        <v>150</v>
      </c>
      <c r="D109" t="s">
        <v>138</v>
      </c>
      <c r="E109">
        <v>15</v>
      </c>
      <c r="F109">
        <v>1.6</v>
      </c>
      <c r="G109">
        <v>2.8</v>
      </c>
      <c r="H109">
        <f t="shared" si="2"/>
        <v>0.82240000000000002</v>
      </c>
      <c r="I109">
        <f t="shared" si="3"/>
        <v>1.4392</v>
      </c>
    </row>
    <row r="110" spans="1:9">
      <c r="A110" t="s">
        <v>182</v>
      </c>
      <c r="B110" t="s">
        <v>215</v>
      </c>
      <c r="C110" t="s">
        <v>150</v>
      </c>
      <c r="D110" t="s">
        <v>138</v>
      </c>
      <c r="E110">
        <v>16</v>
      </c>
      <c r="F110">
        <v>1.7249999999999999</v>
      </c>
      <c r="G110">
        <v>2.9</v>
      </c>
      <c r="H110">
        <f t="shared" si="2"/>
        <v>0.88664999999999994</v>
      </c>
      <c r="I110">
        <f t="shared" si="3"/>
        <v>1.4905999999999999</v>
      </c>
    </row>
    <row r="111" spans="1:9">
      <c r="A111" t="s">
        <v>182</v>
      </c>
      <c r="B111" t="s">
        <v>215</v>
      </c>
      <c r="C111" t="s">
        <v>150</v>
      </c>
      <c r="D111" t="s">
        <v>138</v>
      </c>
      <c r="E111">
        <v>17</v>
      </c>
      <c r="F111">
        <v>1.85</v>
      </c>
      <c r="G111">
        <v>3</v>
      </c>
      <c r="H111">
        <f t="shared" si="2"/>
        <v>0.95090000000000008</v>
      </c>
      <c r="I111">
        <f t="shared" si="3"/>
        <v>1.542</v>
      </c>
    </row>
    <row r="112" spans="1:9">
      <c r="A112" t="s">
        <v>182</v>
      </c>
      <c r="B112" t="s">
        <v>215</v>
      </c>
      <c r="C112" t="s">
        <v>150</v>
      </c>
      <c r="D112" t="s">
        <v>138</v>
      </c>
      <c r="E112">
        <v>18</v>
      </c>
      <c r="F112">
        <v>1.9250000000000003</v>
      </c>
      <c r="G112">
        <v>3</v>
      </c>
      <c r="H112">
        <f t="shared" si="2"/>
        <v>0.98945000000000016</v>
      </c>
      <c r="I112">
        <f t="shared" si="3"/>
        <v>1.542</v>
      </c>
    </row>
    <row r="113" spans="1:9">
      <c r="A113" t="s">
        <v>182</v>
      </c>
      <c r="B113" t="s">
        <v>215</v>
      </c>
      <c r="C113" t="s">
        <v>150</v>
      </c>
      <c r="D113" t="s">
        <v>138</v>
      </c>
      <c r="E113">
        <v>19</v>
      </c>
      <c r="F113">
        <v>1.9500000000000002</v>
      </c>
      <c r="G113">
        <v>3</v>
      </c>
      <c r="H113">
        <f t="shared" si="2"/>
        <v>1.0023000000000002</v>
      </c>
      <c r="I113">
        <f t="shared" si="3"/>
        <v>1.542</v>
      </c>
    </row>
    <row r="114" spans="1:9">
      <c r="A114" t="s">
        <v>182</v>
      </c>
      <c r="B114" t="s">
        <v>215</v>
      </c>
      <c r="C114" t="s">
        <v>150</v>
      </c>
      <c r="D114" t="s">
        <v>138</v>
      </c>
      <c r="E114">
        <v>20</v>
      </c>
      <c r="F114">
        <v>1.875</v>
      </c>
      <c r="G114">
        <v>3.1</v>
      </c>
      <c r="H114">
        <f t="shared" si="2"/>
        <v>0.96375</v>
      </c>
      <c r="I114">
        <f t="shared" si="3"/>
        <v>1.5934000000000001</v>
      </c>
    </row>
    <row r="115" spans="1:9">
      <c r="A115" t="s">
        <v>182</v>
      </c>
      <c r="B115" t="s">
        <v>215</v>
      </c>
      <c r="C115" t="s">
        <v>150</v>
      </c>
      <c r="D115" t="s">
        <v>138</v>
      </c>
      <c r="E115">
        <v>21</v>
      </c>
      <c r="F115">
        <v>1.7250000000000001</v>
      </c>
      <c r="G115">
        <v>3</v>
      </c>
      <c r="H115">
        <f t="shared" si="2"/>
        <v>0.88665000000000005</v>
      </c>
      <c r="I115">
        <f t="shared" si="3"/>
        <v>1.542</v>
      </c>
    </row>
    <row r="116" spans="1:9">
      <c r="A116" t="s">
        <v>182</v>
      </c>
      <c r="B116" t="s">
        <v>215</v>
      </c>
      <c r="C116" t="s">
        <v>150</v>
      </c>
      <c r="D116" t="s">
        <v>138</v>
      </c>
      <c r="E116">
        <v>22</v>
      </c>
      <c r="F116">
        <v>1.1333333333333335</v>
      </c>
      <c r="G116">
        <v>1.8</v>
      </c>
      <c r="H116">
        <f t="shared" si="2"/>
        <v>0.58253333333333346</v>
      </c>
      <c r="I116">
        <f t="shared" si="3"/>
        <v>0.92520000000000002</v>
      </c>
    </row>
    <row r="117" spans="1:9">
      <c r="A117" t="s">
        <v>182</v>
      </c>
      <c r="B117" t="s">
        <v>215</v>
      </c>
      <c r="C117" t="s">
        <v>150</v>
      </c>
      <c r="D117" t="s">
        <v>138</v>
      </c>
      <c r="E117">
        <v>23</v>
      </c>
      <c r="F117">
        <v>1.45</v>
      </c>
      <c r="G117">
        <v>2.9</v>
      </c>
      <c r="H117">
        <f t="shared" si="2"/>
        <v>0.74529999999999996</v>
      </c>
      <c r="I117">
        <f t="shared" si="3"/>
        <v>1.4905999999999999</v>
      </c>
    </row>
    <row r="118" spans="1:9">
      <c r="A118" t="s">
        <v>182</v>
      </c>
      <c r="B118" t="s">
        <v>215</v>
      </c>
      <c r="C118" t="s">
        <v>150</v>
      </c>
      <c r="D118" t="s">
        <v>138</v>
      </c>
      <c r="E118">
        <v>24</v>
      </c>
      <c r="F118">
        <v>1.375</v>
      </c>
      <c r="G118">
        <v>2.8</v>
      </c>
      <c r="H118">
        <f t="shared" si="2"/>
        <v>0.70674999999999999</v>
      </c>
      <c r="I118">
        <f t="shared" si="3"/>
        <v>1.4392</v>
      </c>
    </row>
    <row r="119" spans="1:9">
      <c r="A119" t="s">
        <v>182</v>
      </c>
      <c r="B119" t="s">
        <v>215</v>
      </c>
      <c r="C119" t="s">
        <v>150</v>
      </c>
      <c r="D119" t="s">
        <v>138</v>
      </c>
      <c r="E119">
        <v>25</v>
      </c>
      <c r="F119">
        <v>1.4</v>
      </c>
      <c r="G119">
        <v>2.8</v>
      </c>
      <c r="H119">
        <f t="shared" si="2"/>
        <v>0.71960000000000002</v>
      </c>
      <c r="I119">
        <f t="shared" si="3"/>
        <v>1.4392</v>
      </c>
    </row>
    <row r="120" spans="1:9">
      <c r="A120" t="s">
        <v>182</v>
      </c>
      <c r="B120" t="s">
        <v>215</v>
      </c>
      <c r="C120" t="s">
        <v>150</v>
      </c>
      <c r="D120" t="s">
        <v>138</v>
      </c>
      <c r="E120">
        <v>26</v>
      </c>
      <c r="F120">
        <v>1.5</v>
      </c>
      <c r="G120">
        <v>2.8</v>
      </c>
      <c r="H120">
        <f t="shared" si="2"/>
        <v>0.77100000000000002</v>
      </c>
      <c r="I120">
        <f t="shared" si="3"/>
        <v>1.4392</v>
      </c>
    </row>
    <row r="121" spans="1:9">
      <c r="A121" t="s">
        <v>182</v>
      </c>
      <c r="B121" t="s">
        <v>215</v>
      </c>
      <c r="C121" t="s">
        <v>150</v>
      </c>
      <c r="D121" t="s">
        <v>138</v>
      </c>
      <c r="E121">
        <v>27</v>
      </c>
      <c r="F121">
        <v>1.65</v>
      </c>
      <c r="G121">
        <v>2.9</v>
      </c>
      <c r="H121">
        <f t="shared" si="2"/>
        <v>0.84809999999999997</v>
      </c>
      <c r="I121">
        <f t="shared" si="3"/>
        <v>1.4905999999999999</v>
      </c>
    </row>
    <row r="122" spans="1:9">
      <c r="A122" t="s">
        <v>182</v>
      </c>
      <c r="B122" t="s">
        <v>215</v>
      </c>
      <c r="C122" t="s">
        <v>150</v>
      </c>
      <c r="D122" t="s">
        <v>138</v>
      </c>
      <c r="E122">
        <v>28</v>
      </c>
      <c r="F122">
        <v>2.1666666666666665</v>
      </c>
      <c r="G122">
        <v>3</v>
      </c>
      <c r="H122">
        <f t="shared" si="2"/>
        <v>1.1136666666666666</v>
      </c>
      <c r="I122">
        <f t="shared" si="3"/>
        <v>1.542</v>
      </c>
    </row>
    <row r="123" spans="1:9">
      <c r="A123" t="s">
        <v>182</v>
      </c>
      <c r="B123" t="s">
        <v>215</v>
      </c>
      <c r="C123" t="s">
        <v>150</v>
      </c>
      <c r="D123" t="s">
        <v>138</v>
      </c>
      <c r="E123">
        <v>29</v>
      </c>
      <c r="F123">
        <v>1.875</v>
      </c>
      <c r="G123">
        <v>3.1</v>
      </c>
      <c r="H123">
        <f t="shared" si="2"/>
        <v>0.96375</v>
      </c>
      <c r="I123">
        <f t="shared" si="3"/>
        <v>1.5934000000000001</v>
      </c>
    </row>
    <row r="124" spans="1:9">
      <c r="A124" t="s">
        <v>182</v>
      </c>
      <c r="B124" t="s">
        <v>215</v>
      </c>
      <c r="C124" t="s">
        <v>150</v>
      </c>
      <c r="D124" t="s">
        <v>138</v>
      </c>
      <c r="E124">
        <v>30</v>
      </c>
      <c r="F124">
        <v>1.95</v>
      </c>
      <c r="G124">
        <v>3.1</v>
      </c>
      <c r="H124">
        <f t="shared" si="2"/>
        <v>1.0023</v>
      </c>
      <c r="I124">
        <f t="shared" si="3"/>
        <v>1.5934000000000001</v>
      </c>
    </row>
    <row r="125" spans="1:9">
      <c r="A125" t="s">
        <v>182</v>
      </c>
      <c r="B125" t="s">
        <v>215</v>
      </c>
      <c r="C125" t="s">
        <v>150</v>
      </c>
      <c r="D125" t="s">
        <v>138</v>
      </c>
      <c r="E125">
        <v>31</v>
      </c>
      <c r="F125">
        <v>1.9500000000000002</v>
      </c>
      <c r="G125">
        <v>3</v>
      </c>
      <c r="H125">
        <f t="shared" si="2"/>
        <v>1.0023000000000002</v>
      </c>
      <c r="I125">
        <f t="shared" si="3"/>
        <v>1.542</v>
      </c>
    </row>
    <row r="126" spans="1:9">
      <c r="A126" t="s">
        <v>183</v>
      </c>
      <c r="B126" t="s">
        <v>216</v>
      </c>
      <c r="C126" t="s">
        <v>13</v>
      </c>
      <c r="D126" t="s">
        <v>138</v>
      </c>
      <c r="E126">
        <v>1</v>
      </c>
      <c r="F126">
        <v>1.35</v>
      </c>
      <c r="G126">
        <v>1.8</v>
      </c>
      <c r="H126">
        <f t="shared" si="2"/>
        <v>0.69390000000000007</v>
      </c>
      <c r="I126">
        <f t="shared" si="3"/>
        <v>0.92520000000000002</v>
      </c>
    </row>
    <row r="127" spans="1:9">
      <c r="A127" t="s">
        <v>183</v>
      </c>
      <c r="B127" t="s">
        <v>216</v>
      </c>
      <c r="C127" t="s">
        <v>13</v>
      </c>
      <c r="D127" t="s">
        <v>138</v>
      </c>
      <c r="E127">
        <v>2</v>
      </c>
      <c r="F127">
        <v>1.3</v>
      </c>
      <c r="G127">
        <v>1.7</v>
      </c>
      <c r="H127">
        <f t="shared" si="2"/>
        <v>0.66820000000000002</v>
      </c>
      <c r="I127">
        <f t="shared" si="3"/>
        <v>0.87380000000000002</v>
      </c>
    </row>
    <row r="128" spans="1:9">
      <c r="A128" t="s">
        <v>183</v>
      </c>
      <c r="B128" t="s">
        <v>216</v>
      </c>
      <c r="C128" t="s">
        <v>13</v>
      </c>
      <c r="D128" t="s">
        <v>138</v>
      </c>
      <c r="E128">
        <v>3</v>
      </c>
      <c r="F128">
        <v>1.25</v>
      </c>
      <c r="G128">
        <v>1.6</v>
      </c>
      <c r="H128">
        <f t="shared" si="2"/>
        <v>0.64250000000000007</v>
      </c>
      <c r="I128">
        <f t="shared" si="3"/>
        <v>0.82240000000000002</v>
      </c>
    </row>
    <row r="129" spans="1:9">
      <c r="A129" t="s">
        <v>183</v>
      </c>
      <c r="B129" t="s">
        <v>216</v>
      </c>
      <c r="C129" t="s">
        <v>13</v>
      </c>
      <c r="D129" t="s">
        <v>138</v>
      </c>
      <c r="E129">
        <v>4</v>
      </c>
      <c r="F129">
        <v>1.1499999999999999</v>
      </c>
      <c r="G129">
        <v>1.4</v>
      </c>
      <c r="H129">
        <f t="shared" si="2"/>
        <v>0.59109999999999996</v>
      </c>
      <c r="I129">
        <f t="shared" si="3"/>
        <v>0.71960000000000002</v>
      </c>
    </row>
    <row r="130" spans="1:9">
      <c r="A130" t="s">
        <v>183</v>
      </c>
      <c r="B130" t="s">
        <v>216</v>
      </c>
      <c r="C130" t="s">
        <v>13</v>
      </c>
      <c r="D130" t="s">
        <v>138</v>
      </c>
      <c r="E130">
        <v>5</v>
      </c>
      <c r="F130">
        <v>1.0249999999999999</v>
      </c>
      <c r="G130">
        <v>1.2</v>
      </c>
      <c r="H130">
        <f t="shared" ref="H130:H193" si="4">F130*0.514</f>
        <v>0.52684999999999993</v>
      </c>
      <c r="I130">
        <f t="shared" ref="I130:I193" si="5">G130*0.514</f>
        <v>0.61680000000000001</v>
      </c>
    </row>
    <row r="131" spans="1:9">
      <c r="A131" t="s">
        <v>183</v>
      </c>
      <c r="B131" t="s">
        <v>216</v>
      </c>
      <c r="C131" t="s">
        <v>13</v>
      </c>
      <c r="D131" t="s">
        <v>138</v>
      </c>
      <c r="E131">
        <v>6</v>
      </c>
      <c r="F131">
        <v>0.92500000000000004</v>
      </c>
      <c r="G131">
        <v>1.1000000000000001</v>
      </c>
      <c r="H131">
        <f t="shared" si="4"/>
        <v>0.47545000000000004</v>
      </c>
      <c r="I131">
        <f t="shared" si="5"/>
        <v>0.56540000000000001</v>
      </c>
    </row>
    <row r="132" spans="1:9">
      <c r="A132" t="s">
        <v>183</v>
      </c>
      <c r="B132" t="s">
        <v>216</v>
      </c>
      <c r="C132" t="s">
        <v>13</v>
      </c>
      <c r="D132" t="s">
        <v>138</v>
      </c>
      <c r="E132">
        <v>7</v>
      </c>
      <c r="F132">
        <v>0.73333333333333339</v>
      </c>
      <c r="G132">
        <v>0.8</v>
      </c>
      <c r="H132">
        <f t="shared" si="4"/>
        <v>0.3769333333333334</v>
      </c>
      <c r="I132">
        <f t="shared" si="5"/>
        <v>0.41120000000000001</v>
      </c>
    </row>
    <row r="133" spans="1:9">
      <c r="A133" t="s">
        <v>183</v>
      </c>
      <c r="B133" t="s">
        <v>216</v>
      </c>
      <c r="C133" t="s">
        <v>13</v>
      </c>
      <c r="D133" t="s">
        <v>138</v>
      </c>
      <c r="E133">
        <v>8</v>
      </c>
      <c r="F133">
        <v>0.70000000000000007</v>
      </c>
      <c r="G133">
        <v>1</v>
      </c>
      <c r="H133">
        <f t="shared" si="4"/>
        <v>0.35980000000000006</v>
      </c>
      <c r="I133">
        <f t="shared" si="5"/>
        <v>0.51400000000000001</v>
      </c>
    </row>
    <row r="134" spans="1:9">
      <c r="A134" t="s">
        <v>183</v>
      </c>
      <c r="B134" t="s">
        <v>216</v>
      </c>
      <c r="C134" t="s">
        <v>13</v>
      </c>
      <c r="D134" t="s">
        <v>138</v>
      </c>
      <c r="E134">
        <v>9</v>
      </c>
      <c r="F134">
        <v>0.67500000000000004</v>
      </c>
      <c r="G134">
        <v>1</v>
      </c>
      <c r="H134">
        <f t="shared" si="4"/>
        <v>0.34695000000000004</v>
      </c>
      <c r="I134">
        <f t="shared" si="5"/>
        <v>0.51400000000000001</v>
      </c>
    </row>
    <row r="135" spans="1:9">
      <c r="A135" t="s">
        <v>183</v>
      </c>
      <c r="B135" t="s">
        <v>216</v>
      </c>
      <c r="C135" t="s">
        <v>13</v>
      </c>
      <c r="D135" t="s">
        <v>138</v>
      </c>
      <c r="E135">
        <v>10</v>
      </c>
      <c r="F135">
        <v>0.65</v>
      </c>
      <c r="G135">
        <v>1</v>
      </c>
      <c r="H135">
        <f t="shared" si="4"/>
        <v>0.33410000000000001</v>
      </c>
      <c r="I135">
        <f t="shared" si="5"/>
        <v>0.51400000000000001</v>
      </c>
    </row>
    <row r="136" spans="1:9">
      <c r="A136" t="s">
        <v>183</v>
      </c>
      <c r="B136" t="s">
        <v>216</v>
      </c>
      <c r="C136" t="s">
        <v>13</v>
      </c>
      <c r="D136" t="s">
        <v>138</v>
      </c>
      <c r="E136">
        <v>11</v>
      </c>
      <c r="F136">
        <v>0.67499999999999993</v>
      </c>
      <c r="G136">
        <v>1</v>
      </c>
      <c r="H136">
        <f t="shared" si="4"/>
        <v>0.34694999999999998</v>
      </c>
      <c r="I136">
        <f t="shared" si="5"/>
        <v>0.51400000000000001</v>
      </c>
    </row>
    <row r="137" spans="1:9">
      <c r="A137" t="s">
        <v>183</v>
      </c>
      <c r="B137" t="s">
        <v>216</v>
      </c>
      <c r="C137" t="s">
        <v>13</v>
      </c>
      <c r="D137" t="s">
        <v>138</v>
      </c>
      <c r="E137">
        <v>12</v>
      </c>
      <c r="F137">
        <v>0.75</v>
      </c>
      <c r="G137">
        <v>1.1000000000000001</v>
      </c>
      <c r="H137">
        <f t="shared" si="4"/>
        <v>0.38550000000000001</v>
      </c>
      <c r="I137">
        <f t="shared" si="5"/>
        <v>0.56540000000000001</v>
      </c>
    </row>
    <row r="138" spans="1:9">
      <c r="A138" t="s">
        <v>183</v>
      </c>
      <c r="B138" t="s">
        <v>216</v>
      </c>
      <c r="C138" t="s">
        <v>13</v>
      </c>
      <c r="D138" t="s">
        <v>138</v>
      </c>
      <c r="E138">
        <v>13</v>
      </c>
      <c r="F138">
        <v>0.90000000000000013</v>
      </c>
      <c r="G138">
        <v>1.3</v>
      </c>
      <c r="H138">
        <f t="shared" si="4"/>
        <v>0.46260000000000007</v>
      </c>
      <c r="I138">
        <f t="shared" si="5"/>
        <v>0.66820000000000002</v>
      </c>
    </row>
    <row r="139" spans="1:9">
      <c r="A139" t="s">
        <v>183</v>
      </c>
      <c r="B139" t="s">
        <v>216</v>
      </c>
      <c r="C139" t="s">
        <v>13</v>
      </c>
      <c r="D139" t="s">
        <v>138</v>
      </c>
      <c r="E139">
        <v>14</v>
      </c>
      <c r="F139">
        <v>0.99999999999999989</v>
      </c>
      <c r="G139">
        <v>1.4</v>
      </c>
      <c r="H139">
        <f t="shared" si="4"/>
        <v>0.5139999999999999</v>
      </c>
      <c r="I139">
        <f t="shared" si="5"/>
        <v>0.71960000000000002</v>
      </c>
    </row>
    <row r="140" spans="1:9">
      <c r="A140" t="s">
        <v>183</v>
      </c>
      <c r="B140" t="s">
        <v>216</v>
      </c>
      <c r="C140" t="s">
        <v>13</v>
      </c>
      <c r="D140" t="s">
        <v>138</v>
      </c>
      <c r="E140">
        <v>15</v>
      </c>
      <c r="F140">
        <v>1.2</v>
      </c>
      <c r="G140">
        <v>1.5</v>
      </c>
      <c r="H140">
        <f t="shared" si="4"/>
        <v>0.61680000000000001</v>
      </c>
      <c r="I140">
        <f t="shared" si="5"/>
        <v>0.77100000000000002</v>
      </c>
    </row>
    <row r="141" spans="1:9">
      <c r="A141" t="s">
        <v>183</v>
      </c>
      <c r="B141" t="s">
        <v>216</v>
      </c>
      <c r="C141" t="s">
        <v>13</v>
      </c>
      <c r="D141" t="s">
        <v>138</v>
      </c>
      <c r="E141">
        <v>16</v>
      </c>
      <c r="F141">
        <v>1.1499999999999999</v>
      </c>
      <c r="G141">
        <v>1.6</v>
      </c>
      <c r="H141">
        <f t="shared" si="4"/>
        <v>0.59109999999999996</v>
      </c>
      <c r="I141">
        <f t="shared" si="5"/>
        <v>0.82240000000000002</v>
      </c>
    </row>
    <row r="142" spans="1:9">
      <c r="A142" t="s">
        <v>183</v>
      </c>
      <c r="B142" t="s">
        <v>216</v>
      </c>
      <c r="C142" t="s">
        <v>13</v>
      </c>
      <c r="D142" t="s">
        <v>138</v>
      </c>
      <c r="E142">
        <v>17</v>
      </c>
      <c r="F142">
        <v>1.2250000000000001</v>
      </c>
      <c r="G142">
        <v>1.6</v>
      </c>
      <c r="H142">
        <f t="shared" si="4"/>
        <v>0.62965000000000004</v>
      </c>
      <c r="I142">
        <f t="shared" si="5"/>
        <v>0.82240000000000002</v>
      </c>
    </row>
    <row r="143" spans="1:9">
      <c r="A143" t="s">
        <v>183</v>
      </c>
      <c r="B143" t="s">
        <v>216</v>
      </c>
      <c r="C143" t="s">
        <v>13</v>
      </c>
      <c r="D143" t="s">
        <v>138</v>
      </c>
      <c r="E143">
        <v>18</v>
      </c>
      <c r="F143">
        <v>1.25</v>
      </c>
      <c r="G143">
        <v>1.5</v>
      </c>
      <c r="H143">
        <f t="shared" si="4"/>
        <v>0.64250000000000007</v>
      </c>
      <c r="I143">
        <f t="shared" si="5"/>
        <v>0.77100000000000002</v>
      </c>
    </row>
    <row r="144" spans="1:9">
      <c r="A144" t="s">
        <v>183</v>
      </c>
      <c r="B144" t="s">
        <v>216</v>
      </c>
      <c r="C144" t="s">
        <v>13</v>
      </c>
      <c r="D144" t="s">
        <v>138</v>
      </c>
      <c r="E144">
        <v>19</v>
      </c>
      <c r="F144">
        <v>1.25</v>
      </c>
      <c r="G144">
        <v>1.4</v>
      </c>
      <c r="H144">
        <f t="shared" si="4"/>
        <v>0.64250000000000007</v>
      </c>
      <c r="I144">
        <f t="shared" si="5"/>
        <v>0.71960000000000002</v>
      </c>
    </row>
    <row r="145" spans="1:9">
      <c r="A145" t="s">
        <v>183</v>
      </c>
      <c r="B145" t="s">
        <v>216</v>
      </c>
      <c r="C145" t="s">
        <v>13</v>
      </c>
      <c r="D145" t="s">
        <v>138</v>
      </c>
      <c r="E145">
        <v>20</v>
      </c>
      <c r="F145">
        <v>1.25</v>
      </c>
      <c r="G145">
        <v>1.4</v>
      </c>
      <c r="H145">
        <f t="shared" si="4"/>
        <v>0.64250000000000007</v>
      </c>
      <c r="I145">
        <f t="shared" si="5"/>
        <v>0.71960000000000002</v>
      </c>
    </row>
    <row r="146" spans="1:9">
      <c r="A146" t="s">
        <v>183</v>
      </c>
      <c r="B146" t="s">
        <v>216</v>
      </c>
      <c r="C146" t="s">
        <v>13</v>
      </c>
      <c r="D146" t="s">
        <v>138</v>
      </c>
      <c r="E146">
        <v>21</v>
      </c>
      <c r="F146">
        <v>1.1500000000000001</v>
      </c>
      <c r="G146">
        <v>1.3</v>
      </c>
      <c r="H146">
        <f t="shared" si="4"/>
        <v>0.59110000000000007</v>
      </c>
      <c r="I146">
        <f t="shared" si="5"/>
        <v>0.66820000000000002</v>
      </c>
    </row>
    <row r="147" spans="1:9">
      <c r="A147" t="s">
        <v>183</v>
      </c>
      <c r="B147" t="s">
        <v>216</v>
      </c>
      <c r="C147" t="s">
        <v>13</v>
      </c>
      <c r="D147" t="s">
        <v>138</v>
      </c>
      <c r="E147">
        <v>22</v>
      </c>
      <c r="F147">
        <v>0.96666666666666667</v>
      </c>
      <c r="G147">
        <v>1.2</v>
      </c>
      <c r="H147">
        <f t="shared" si="4"/>
        <v>0.49686666666666668</v>
      </c>
      <c r="I147">
        <f t="shared" si="5"/>
        <v>0.61680000000000001</v>
      </c>
    </row>
    <row r="148" spans="1:9">
      <c r="A148" t="s">
        <v>183</v>
      </c>
      <c r="B148" t="s">
        <v>216</v>
      </c>
      <c r="C148" t="s">
        <v>13</v>
      </c>
      <c r="D148" t="s">
        <v>138</v>
      </c>
      <c r="E148">
        <v>23</v>
      </c>
      <c r="F148">
        <v>0.97500000000000009</v>
      </c>
      <c r="G148">
        <v>1.3</v>
      </c>
      <c r="H148">
        <f t="shared" si="4"/>
        <v>0.5011500000000001</v>
      </c>
      <c r="I148">
        <f t="shared" si="5"/>
        <v>0.66820000000000002</v>
      </c>
    </row>
    <row r="149" spans="1:9">
      <c r="A149" t="s">
        <v>183</v>
      </c>
      <c r="B149" t="s">
        <v>216</v>
      </c>
      <c r="C149" t="s">
        <v>13</v>
      </c>
      <c r="D149" t="s">
        <v>138</v>
      </c>
      <c r="E149">
        <v>24</v>
      </c>
      <c r="F149">
        <v>0.875</v>
      </c>
      <c r="G149">
        <v>1.2</v>
      </c>
      <c r="H149">
        <f t="shared" si="4"/>
        <v>0.44974999999999998</v>
      </c>
      <c r="I149">
        <f t="shared" si="5"/>
        <v>0.61680000000000001</v>
      </c>
    </row>
    <row r="150" spans="1:9">
      <c r="A150" t="s">
        <v>183</v>
      </c>
      <c r="B150" t="s">
        <v>216</v>
      </c>
      <c r="C150" t="s">
        <v>13</v>
      </c>
      <c r="D150" t="s">
        <v>138</v>
      </c>
      <c r="E150">
        <v>25</v>
      </c>
      <c r="F150">
        <v>0.9</v>
      </c>
      <c r="G150">
        <v>1.3</v>
      </c>
      <c r="H150">
        <f t="shared" si="4"/>
        <v>0.46260000000000001</v>
      </c>
      <c r="I150">
        <f t="shared" si="5"/>
        <v>0.66820000000000002</v>
      </c>
    </row>
    <row r="151" spans="1:9">
      <c r="A151" t="s">
        <v>183</v>
      </c>
      <c r="B151" t="s">
        <v>216</v>
      </c>
      <c r="C151" t="s">
        <v>13</v>
      </c>
      <c r="D151" t="s">
        <v>138</v>
      </c>
      <c r="E151">
        <v>26</v>
      </c>
      <c r="F151">
        <v>0.97499999999999987</v>
      </c>
      <c r="G151">
        <v>1.4</v>
      </c>
      <c r="H151">
        <f t="shared" si="4"/>
        <v>0.50114999999999998</v>
      </c>
      <c r="I151">
        <f t="shared" si="5"/>
        <v>0.71960000000000002</v>
      </c>
    </row>
    <row r="152" spans="1:9">
      <c r="A152" t="s">
        <v>183</v>
      </c>
      <c r="B152" t="s">
        <v>216</v>
      </c>
      <c r="C152" t="s">
        <v>13</v>
      </c>
      <c r="D152" t="s">
        <v>138</v>
      </c>
      <c r="E152">
        <v>27</v>
      </c>
      <c r="F152">
        <v>1.075</v>
      </c>
      <c r="G152">
        <v>1.5</v>
      </c>
      <c r="H152">
        <f t="shared" si="4"/>
        <v>0.55254999999999999</v>
      </c>
      <c r="I152">
        <f t="shared" si="5"/>
        <v>0.77100000000000002</v>
      </c>
    </row>
    <row r="153" spans="1:9">
      <c r="A153" t="s">
        <v>183</v>
      </c>
      <c r="B153" t="s">
        <v>216</v>
      </c>
      <c r="C153" t="s">
        <v>13</v>
      </c>
      <c r="D153" t="s">
        <v>138</v>
      </c>
      <c r="E153">
        <v>28</v>
      </c>
      <c r="F153">
        <v>1.175</v>
      </c>
      <c r="G153">
        <v>1.6</v>
      </c>
      <c r="H153">
        <f t="shared" si="4"/>
        <v>0.60394999999999999</v>
      </c>
      <c r="I153">
        <f t="shared" si="5"/>
        <v>0.82240000000000002</v>
      </c>
    </row>
    <row r="154" spans="1:9">
      <c r="A154" t="s">
        <v>183</v>
      </c>
      <c r="B154" t="s">
        <v>216</v>
      </c>
      <c r="C154" t="s">
        <v>13</v>
      </c>
      <c r="D154" t="s">
        <v>138</v>
      </c>
      <c r="E154">
        <v>29</v>
      </c>
      <c r="F154">
        <v>1.4000000000000001</v>
      </c>
      <c r="G154">
        <v>1.6</v>
      </c>
      <c r="H154">
        <f t="shared" si="4"/>
        <v>0.71960000000000013</v>
      </c>
      <c r="I154">
        <f t="shared" si="5"/>
        <v>0.82240000000000002</v>
      </c>
    </row>
    <row r="155" spans="1:9">
      <c r="A155" t="s">
        <v>183</v>
      </c>
      <c r="B155" t="s">
        <v>216</v>
      </c>
      <c r="C155" t="s">
        <v>13</v>
      </c>
      <c r="D155" t="s">
        <v>138</v>
      </c>
      <c r="E155">
        <v>30</v>
      </c>
      <c r="F155">
        <v>1.2749999999999999</v>
      </c>
      <c r="G155">
        <v>1.6</v>
      </c>
      <c r="H155">
        <f t="shared" si="4"/>
        <v>0.65534999999999999</v>
      </c>
      <c r="I155">
        <f t="shared" si="5"/>
        <v>0.82240000000000002</v>
      </c>
    </row>
    <row r="156" spans="1:9">
      <c r="A156" t="s">
        <v>183</v>
      </c>
      <c r="B156" t="s">
        <v>216</v>
      </c>
      <c r="C156" t="s">
        <v>13</v>
      </c>
      <c r="D156" t="s">
        <v>138</v>
      </c>
      <c r="E156">
        <v>31</v>
      </c>
      <c r="F156">
        <v>1.25</v>
      </c>
      <c r="G156">
        <v>1.4</v>
      </c>
      <c r="H156">
        <f t="shared" si="4"/>
        <v>0.64250000000000007</v>
      </c>
      <c r="I156">
        <f t="shared" si="5"/>
        <v>0.71960000000000002</v>
      </c>
    </row>
    <row r="157" spans="1:9">
      <c r="A157" t="s">
        <v>184</v>
      </c>
      <c r="B157" t="s">
        <v>217</v>
      </c>
      <c r="C157" t="s">
        <v>13</v>
      </c>
      <c r="D157" t="s">
        <v>138</v>
      </c>
      <c r="E157">
        <v>1</v>
      </c>
      <c r="F157">
        <v>1.4750000000000001</v>
      </c>
      <c r="G157">
        <v>1.9</v>
      </c>
      <c r="H157">
        <f t="shared" si="4"/>
        <v>0.7581500000000001</v>
      </c>
      <c r="I157">
        <f t="shared" si="5"/>
        <v>0.97660000000000002</v>
      </c>
    </row>
    <row r="158" spans="1:9">
      <c r="A158" t="s">
        <v>184</v>
      </c>
      <c r="B158" t="s">
        <v>217</v>
      </c>
      <c r="C158" t="s">
        <v>13</v>
      </c>
      <c r="D158" t="s">
        <v>138</v>
      </c>
      <c r="E158">
        <v>2</v>
      </c>
      <c r="F158">
        <v>1.4750000000000001</v>
      </c>
      <c r="G158">
        <v>1.9</v>
      </c>
      <c r="H158">
        <f t="shared" si="4"/>
        <v>0.7581500000000001</v>
      </c>
      <c r="I158">
        <f t="shared" si="5"/>
        <v>0.97660000000000002</v>
      </c>
    </row>
    <row r="159" spans="1:9">
      <c r="A159" t="s">
        <v>184</v>
      </c>
      <c r="B159" t="s">
        <v>217</v>
      </c>
      <c r="C159" t="s">
        <v>13</v>
      </c>
      <c r="D159" t="s">
        <v>138</v>
      </c>
      <c r="E159">
        <v>3</v>
      </c>
      <c r="F159">
        <v>1.425</v>
      </c>
      <c r="G159">
        <v>1.8</v>
      </c>
      <c r="H159">
        <f t="shared" si="4"/>
        <v>0.73245000000000005</v>
      </c>
      <c r="I159">
        <f t="shared" si="5"/>
        <v>0.92520000000000002</v>
      </c>
    </row>
    <row r="160" spans="1:9">
      <c r="A160" t="s">
        <v>184</v>
      </c>
      <c r="B160" t="s">
        <v>217</v>
      </c>
      <c r="C160" t="s">
        <v>13</v>
      </c>
      <c r="D160" t="s">
        <v>138</v>
      </c>
      <c r="E160">
        <v>4</v>
      </c>
      <c r="F160">
        <v>1.3250000000000002</v>
      </c>
      <c r="G160">
        <v>1.6</v>
      </c>
      <c r="H160">
        <f t="shared" si="4"/>
        <v>0.68105000000000016</v>
      </c>
      <c r="I160">
        <f t="shared" si="5"/>
        <v>0.82240000000000002</v>
      </c>
    </row>
    <row r="161" spans="1:9">
      <c r="A161" t="s">
        <v>184</v>
      </c>
      <c r="B161" t="s">
        <v>217</v>
      </c>
      <c r="C161" t="s">
        <v>13</v>
      </c>
      <c r="D161" t="s">
        <v>138</v>
      </c>
      <c r="E161">
        <v>5</v>
      </c>
      <c r="F161">
        <v>1.1749999999999998</v>
      </c>
      <c r="G161">
        <v>1.4</v>
      </c>
      <c r="H161">
        <f t="shared" si="4"/>
        <v>0.60394999999999988</v>
      </c>
      <c r="I161">
        <f t="shared" si="5"/>
        <v>0.71960000000000002</v>
      </c>
    </row>
    <row r="162" spans="1:9">
      <c r="A162" t="s">
        <v>184</v>
      </c>
      <c r="B162" t="s">
        <v>217</v>
      </c>
      <c r="C162" t="s">
        <v>13</v>
      </c>
      <c r="D162" t="s">
        <v>138</v>
      </c>
      <c r="E162">
        <v>6</v>
      </c>
      <c r="F162">
        <v>0.93333333333333324</v>
      </c>
      <c r="G162">
        <v>1</v>
      </c>
      <c r="H162">
        <f t="shared" si="4"/>
        <v>0.47973333333333329</v>
      </c>
      <c r="I162">
        <f t="shared" si="5"/>
        <v>0.51400000000000001</v>
      </c>
    </row>
    <row r="163" spans="1:9">
      <c r="A163" t="s">
        <v>184</v>
      </c>
      <c r="B163" t="s">
        <v>217</v>
      </c>
      <c r="C163" t="s">
        <v>13</v>
      </c>
      <c r="D163" t="s">
        <v>138</v>
      </c>
      <c r="E163">
        <v>7</v>
      </c>
      <c r="F163">
        <v>0.95</v>
      </c>
      <c r="G163">
        <v>1.4</v>
      </c>
      <c r="H163">
        <f t="shared" si="4"/>
        <v>0.48830000000000001</v>
      </c>
      <c r="I163">
        <f t="shared" si="5"/>
        <v>0.71960000000000002</v>
      </c>
    </row>
    <row r="164" spans="1:9">
      <c r="A164" t="s">
        <v>184</v>
      </c>
      <c r="B164" t="s">
        <v>217</v>
      </c>
      <c r="C164" t="s">
        <v>13</v>
      </c>
      <c r="D164" t="s">
        <v>138</v>
      </c>
      <c r="E164">
        <v>8</v>
      </c>
      <c r="F164">
        <v>0.8</v>
      </c>
      <c r="G164">
        <v>1.2</v>
      </c>
      <c r="H164">
        <f t="shared" si="4"/>
        <v>0.41120000000000001</v>
      </c>
      <c r="I164">
        <f t="shared" si="5"/>
        <v>0.61680000000000001</v>
      </c>
    </row>
    <row r="165" spans="1:9">
      <c r="A165" t="s">
        <v>184</v>
      </c>
      <c r="B165" t="s">
        <v>217</v>
      </c>
      <c r="C165" t="s">
        <v>13</v>
      </c>
      <c r="D165" t="s">
        <v>138</v>
      </c>
      <c r="E165">
        <v>9</v>
      </c>
      <c r="F165">
        <v>0.75</v>
      </c>
      <c r="G165">
        <v>1.2</v>
      </c>
      <c r="H165">
        <f t="shared" si="4"/>
        <v>0.38550000000000001</v>
      </c>
      <c r="I165">
        <f t="shared" si="5"/>
        <v>0.61680000000000001</v>
      </c>
    </row>
    <row r="166" spans="1:9">
      <c r="A166" t="s">
        <v>184</v>
      </c>
      <c r="B166" t="s">
        <v>217</v>
      </c>
      <c r="C166" t="s">
        <v>13</v>
      </c>
      <c r="D166" t="s">
        <v>138</v>
      </c>
      <c r="E166">
        <v>10</v>
      </c>
      <c r="F166">
        <v>0.72499999999999998</v>
      </c>
      <c r="G166">
        <v>1.2</v>
      </c>
      <c r="H166">
        <f t="shared" si="4"/>
        <v>0.37264999999999998</v>
      </c>
      <c r="I166">
        <f t="shared" si="5"/>
        <v>0.61680000000000001</v>
      </c>
    </row>
    <row r="167" spans="1:9">
      <c r="A167" t="s">
        <v>184</v>
      </c>
      <c r="B167" t="s">
        <v>217</v>
      </c>
      <c r="C167" t="s">
        <v>13</v>
      </c>
      <c r="D167" t="s">
        <v>138</v>
      </c>
      <c r="E167">
        <v>11</v>
      </c>
      <c r="F167">
        <v>0.77500000000000002</v>
      </c>
      <c r="G167">
        <v>1.2</v>
      </c>
      <c r="H167">
        <f t="shared" si="4"/>
        <v>0.39835000000000004</v>
      </c>
      <c r="I167">
        <f t="shared" si="5"/>
        <v>0.61680000000000001</v>
      </c>
    </row>
    <row r="168" spans="1:9">
      <c r="A168" t="s">
        <v>184</v>
      </c>
      <c r="B168" t="s">
        <v>217</v>
      </c>
      <c r="C168" t="s">
        <v>13</v>
      </c>
      <c r="D168" t="s">
        <v>138</v>
      </c>
      <c r="E168">
        <v>12</v>
      </c>
      <c r="F168">
        <v>1</v>
      </c>
      <c r="G168">
        <v>1.2</v>
      </c>
      <c r="H168">
        <f t="shared" si="4"/>
        <v>0.51400000000000001</v>
      </c>
      <c r="I168">
        <f t="shared" si="5"/>
        <v>0.61680000000000001</v>
      </c>
    </row>
    <row r="169" spans="1:9">
      <c r="A169" t="s">
        <v>184</v>
      </c>
      <c r="B169" t="s">
        <v>217</v>
      </c>
      <c r="C169" t="s">
        <v>13</v>
      </c>
      <c r="D169" t="s">
        <v>138</v>
      </c>
      <c r="E169">
        <v>13</v>
      </c>
      <c r="F169">
        <v>0.97499999999999987</v>
      </c>
      <c r="G169">
        <v>1.4</v>
      </c>
      <c r="H169">
        <f t="shared" si="4"/>
        <v>0.50114999999999998</v>
      </c>
      <c r="I169">
        <f t="shared" si="5"/>
        <v>0.71960000000000002</v>
      </c>
    </row>
    <row r="170" spans="1:9">
      <c r="A170" t="s">
        <v>184</v>
      </c>
      <c r="B170" t="s">
        <v>217</v>
      </c>
      <c r="C170" t="s">
        <v>13</v>
      </c>
      <c r="D170" t="s">
        <v>138</v>
      </c>
      <c r="E170">
        <v>14</v>
      </c>
      <c r="F170">
        <v>1.075</v>
      </c>
      <c r="G170">
        <v>1.4</v>
      </c>
      <c r="H170">
        <f t="shared" si="4"/>
        <v>0.55254999999999999</v>
      </c>
      <c r="I170">
        <f t="shared" si="5"/>
        <v>0.71960000000000002</v>
      </c>
    </row>
    <row r="171" spans="1:9">
      <c r="A171" t="s">
        <v>184</v>
      </c>
      <c r="B171" t="s">
        <v>217</v>
      </c>
      <c r="C171" t="s">
        <v>13</v>
      </c>
      <c r="D171" t="s">
        <v>138</v>
      </c>
      <c r="E171">
        <v>15</v>
      </c>
      <c r="F171">
        <v>1.2000000000000002</v>
      </c>
      <c r="G171">
        <v>1.6</v>
      </c>
      <c r="H171">
        <f t="shared" si="4"/>
        <v>0.61680000000000013</v>
      </c>
      <c r="I171">
        <f t="shared" si="5"/>
        <v>0.82240000000000002</v>
      </c>
    </row>
    <row r="172" spans="1:9">
      <c r="A172" t="s">
        <v>184</v>
      </c>
      <c r="B172" t="s">
        <v>217</v>
      </c>
      <c r="C172" t="s">
        <v>13</v>
      </c>
      <c r="D172" t="s">
        <v>138</v>
      </c>
      <c r="E172">
        <v>16</v>
      </c>
      <c r="F172">
        <v>1.3</v>
      </c>
      <c r="G172">
        <v>1.6</v>
      </c>
      <c r="H172">
        <f t="shared" si="4"/>
        <v>0.66820000000000002</v>
      </c>
      <c r="I172">
        <f t="shared" si="5"/>
        <v>0.82240000000000002</v>
      </c>
    </row>
    <row r="173" spans="1:9">
      <c r="A173" t="s">
        <v>184</v>
      </c>
      <c r="B173" t="s">
        <v>217</v>
      </c>
      <c r="C173" t="s">
        <v>13</v>
      </c>
      <c r="D173" t="s">
        <v>138</v>
      </c>
      <c r="E173">
        <v>17</v>
      </c>
      <c r="F173">
        <v>1.35</v>
      </c>
      <c r="G173">
        <v>1.6</v>
      </c>
      <c r="H173">
        <f t="shared" si="4"/>
        <v>0.69390000000000007</v>
      </c>
      <c r="I173">
        <f t="shared" si="5"/>
        <v>0.82240000000000002</v>
      </c>
    </row>
    <row r="174" spans="1:9">
      <c r="A174" t="s">
        <v>184</v>
      </c>
      <c r="B174" t="s">
        <v>217</v>
      </c>
      <c r="C174" t="s">
        <v>13</v>
      </c>
      <c r="D174" t="s">
        <v>138</v>
      </c>
      <c r="E174">
        <v>18</v>
      </c>
      <c r="F174">
        <v>1.4</v>
      </c>
      <c r="G174">
        <v>1.6</v>
      </c>
      <c r="H174">
        <f t="shared" si="4"/>
        <v>0.71960000000000002</v>
      </c>
      <c r="I174">
        <f t="shared" si="5"/>
        <v>0.82240000000000002</v>
      </c>
    </row>
    <row r="175" spans="1:9">
      <c r="A175" t="s">
        <v>184</v>
      </c>
      <c r="B175" t="s">
        <v>217</v>
      </c>
      <c r="C175" t="s">
        <v>13</v>
      </c>
      <c r="D175" t="s">
        <v>138</v>
      </c>
      <c r="E175">
        <v>19</v>
      </c>
      <c r="F175">
        <v>1.4</v>
      </c>
      <c r="G175">
        <v>1.6</v>
      </c>
      <c r="H175">
        <f t="shared" si="4"/>
        <v>0.71960000000000002</v>
      </c>
      <c r="I175">
        <f t="shared" si="5"/>
        <v>0.82240000000000002</v>
      </c>
    </row>
    <row r="176" spans="1:9">
      <c r="A176" t="s">
        <v>184</v>
      </c>
      <c r="B176" t="s">
        <v>217</v>
      </c>
      <c r="C176" t="s">
        <v>13</v>
      </c>
      <c r="D176" t="s">
        <v>138</v>
      </c>
      <c r="E176">
        <v>20</v>
      </c>
      <c r="F176">
        <v>1.375</v>
      </c>
      <c r="G176">
        <v>1.7</v>
      </c>
      <c r="H176">
        <f t="shared" si="4"/>
        <v>0.70674999999999999</v>
      </c>
      <c r="I176">
        <f t="shared" si="5"/>
        <v>0.87380000000000002</v>
      </c>
    </row>
    <row r="177" spans="1:9">
      <c r="A177" t="s">
        <v>184</v>
      </c>
      <c r="B177" t="s">
        <v>217</v>
      </c>
      <c r="C177" t="s">
        <v>13</v>
      </c>
      <c r="D177" t="s">
        <v>138</v>
      </c>
      <c r="E177">
        <v>21</v>
      </c>
      <c r="F177">
        <v>1.2749999999999999</v>
      </c>
      <c r="G177">
        <v>1.6</v>
      </c>
      <c r="H177">
        <f t="shared" si="4"/>
        <v>0.65534999999999999</v>
      </c>
      <c r="I177">
        <f t="shared" si="5"/>
        <v>0.82240000000000002</v>
      </c>
    </row>
    <row r="178" spans="1:9">
      <c r="A178" t="s">
        <v>184</v>
      </c>
      <c r="B178" t="s">
        <v>217</v>
      </c>
      <c r="C178" t="s">
        <v>13</v>
      </c>
      <c r="D178" t="s">
        <v>138</v>
      </c>
      <c r="E178">
        <v>22</v>
      </c>
      <c r="F178">
        <v>1.0333333333333334</v>
      </c>
      <c r="G178">
        <v>1.2</v>
      </c>
      <c r="H178">
        <f t="shared" si="4"/>
        <v>0.53113333333333335</v>
      </c>
      <c r="I178">
        <f t="shared" si="5"/>
        <v>0.61680000000000001</v>
      </c>
    </row>
    <row r="179" spans="1:9">
      <c r="A179" t="s">
        <v>184</v>
      </c>
      <c r="B179" t="s">
        <v>217</v>
      </c>
      <c r="C179" t="s">
        <v>13</v>
      </c>
      <c r="D179" t="s">
        <v>138</v>
      </c>
      <c r="E179">
        <v>23</v>
      </c>
      <c r="F179">
        <v>1.075</v>
      </c>
      <c r="G179">
        <v>1.6</v>
      </c>
      <c r="H179">
        <f t="shared" si="4"/>
        <v>0.55254999999999999</v>
      </c>
      <c r="I179">
        <f t="shared" si="5"/>
        <v>0.82240000000000002</v>
      </c>
    </row>
    <row r="180" spans="1:9">
      <c r="A180" t="s">
        <v>184</v>
      </c>
      <c r="B180" t="s">
        <v>217</v>
      </c>
      <c r="C180" t="s">
        <v>13</v>
      </c>
      <c r="D180" t="s">
        <v>138</v>
      </c>
      <c r="E180">
        <v>24</v>
      </c>
      <c r="F180">
        <v>1.0249999999999999</v>
      </c>
      <c r="G180">
        <v>1.6</v>
      </c>
      <c r="H180">
        <f t="shared" si="4"/>
        <v>0.52684999999999993</v>
      </c>
      <c r="I180">
        <f t="shared" si="5"/>
        <v>0.82240000000000002</v>
      </c>
    </row>
    <row r="181" spans="1:9">
      <c r="A181" t="s">
        <v>184</v>
      </c>
      <c r="B181" t="s">
        <v>217</v>
      </c>
      <c r="C181" t="s">
        <v>13</v>
      </c>
      <c r="D181" t="s">
        <v>138</v>
      </c>
      <c r="E181">
        <v>25</v>
      </c>
      <c r="F181">
        <v>1.0250000000000001</v>
      </c>
      <c r="G181">
        <v>1.6</v>
      </c>
      <c r="H181">
        <f t="shared" si="4"/>
        <v>0.52685000000000004</v>
      </c>
      <c r="I181">
        <f t="shared" si="5"/>
        <v>0.82240000000000002</v>
      </c>
    </row>
    <row r="182" spans="1:9">
      <c r="A182" t="s">
        <v>184</v>
      </c>
      <c r="B182" t="s">
        <v>217</v>
      </c>
      <c r="C182" t="s">
        <v>13</v>
      </c>
      <c r="D182" t="s">
        <v>138</v>
      </c>
      <c r="E182">
        <v>26</v>
      </c>
      <c r="F182">
        <v>1.3</v>
      </c>
      <c r="G182">
        <v>1.6</v>
      </c>
      <c r="H182">
        <f t="shared" si="4"/>
        <v>0.66820000000000002</v>
      </c>
      <c r="I182">
        <f t="shared" si="5"/>
        <v>0.82240000000000002</v>
      </c>
    </row>
    <row r="183" spans="1:9">
      <c r="A183" t="s">
        <v>184</v>
      </c>
      <c r="B183" t="s">
        <v>217</v>
      </c>
      <c r="C183" t="s">
        <v>13</v>
      </c>
      <c r="D183" t="s">
        <v>138</v>
      </c>
      <c r="E183">
        <v>27</v>
      </c>
      <c r="F183">
        <v>1.175</v>
      </c>
      <c r="G183">
        <v>1.6</v>
      </c>
      <c r="H183">
        <f t="shared" si="4"/>
        <v>0.60394999999999999</v>
      </c>
      <c r="I183">
        <f t="shared" si="5"/>
        <v>0.82240000000000002</v>
      </c>
    </row>
    <row r="184" spans="1:9">
      <c r="A184" t="s">
        <v>184</v>
      </c>
      <c r="B184" t="s">
        <v>217</v>
      </c>
      <c r="C184" t="s">
        <v>13</v>
      </c>
      <c r="D184" t="s">
        <v>138</v>
      </c>
      <c r="E184">
        <v>28</v>
      </c>
      <c r="F184">
        <v>1.2750000000000001</v>
      </c>
      <c r="G184">
        <v>1.6</v>
      </c>
      <c r="H184">
        <f t="shared" si="4"/>
        <v>0.6553500000000001</v>
      </c>
      <c r="I184">
        <f t="shared" si="5"/>
        <v>0.82240000000000002</v>
      </c>
    </row>
    <row r="185" spans="1:9">
      <c r="A185" t="s">
        <v>184</v>
      </c>
      <c r="B185" t="s">
        <v>217</v>
      </c>
      <c r="C185" t="s">
        <v>13</v>
      </c>
      <c r="D185" t="s">
        <v>138</v>
      </c>
      <c r="E185">
        <v>29</v>
      </c>
      <c r="F185">
        <v>1.375</v>
      </c>
      <c r="G185">
        <v>1.7</v>
      </c>
      <c r="H185">
        <f t="shared" si="4"/>
        <v>0.70674999999999999</v>
      </c>
      <c r="I185">
        <f t="shared" si="5"/>
        <v>0.87380000000000002</v>
      </c>
    </row>
    <row r="186" spans="1:9">
      <c r="A186" t="s">
        <v>184</v>
      </c>
      <c r="B186" t="s">
        <v>217</v>
      </c>
      <c r="C186" t="s">
        <v>13</v>
      </c>
      <c r="D186" t="s">
        <v>138</v>
      </c>
      <c r="E186">
        <v>30</v>
      </c>
      <c r="F186">
        <v>1.4500000000000002</v>
      </c>
      <c r="G186">
        <v>1.7</v>
      </c>
      <c r="H186">
        <f t="shared" si="4"/>
        <v>0.74530000000000007</v>
      </c>
      <c r="I186">
        <f t="shared" si="5"/>
        <v>0.87380000000000002</v>
      </c>
    </row>
    <row r="187" spans="1:9">
      <c r="A187" t="s">
        <v>184</v>
      </c>
      <c r="B187" t="s">
        <v>217</v>
      </c>
      <c r="C187" t="s">
        <v>13</v>
      </c>
      <c r="D187" t="s">
        <v>138</v>
      </c>
      <c r="E187">
        <v>31</v>
      </c>
      <c r="F187">
        <v>1.4</v>
      </c>
      <c r="G187">
        <v>1.6</v>
      </c>
      <c r="H187">
        <f t="shared" si="4"/>
        <v>0.71960000000000002</v>
      </c>
      <c r="I187">
        <f t="shared" si="5"/>
        <v>0.82240000000000002</v>
      </c>
    </row>
    <row r="188" spans="1:9">
      <c r="A188" t="s">
        <v>185</v>
      </c>
      <c r="B188" t="s">
        <v>218</v>
      </c>
      <c r="C188" t="s">
        <v>13</v>
      </c>
      <c r="D188" t="s">
        <v>138</v>
      </c>
      <c r="E188">
        <v>1</v>
      </c>
      <c r="F188">
        <v>1.4750000000000001</v>
      </c>
      <c r="G188">
        <v>1.9</v>
      </c>
      <c r="H188">
        <f t="shared" si="4"/>
        <v>0.7581500000000001</v>
      </c>
      <c r="I188">
        <f t="shared" si="5"/>
        <v>0.97660000000000002</v>
      </c>
    </row>
    <row r="189" spans="1:9">
      <c r="A189" t="s">
        <v>185</v>
      </c>
      <c r="B189" t="s">
        <v>218</v>
      </c>
      <c r="C189" t="s">
        <v>13</v>
      </c>
      <c r="D189" t="s">
        <v>138</v>
      </c>
      <c r="E189">
        <v>2</v>
      </c>
      <c r="F189">
        <v>1.4750000000000001</v>
      </c>
      <c r="G189">
        <v>1.9</v>
      </c>
      <c r="H189">
        <f t="shared" si="4"/>
        <v>0.7581500000000001</v>
      </c>
      <c r="I189">
        <f t="shared" si="5"/>
        <v>0.97660000000000002</v>
      </c>
    </row>
    <row r="190" spans="1:9">
      <c r="A190" t="s">
        <v>185</v>
      </c>
      <c r="B190" t="s">
        <v>218</v>
      </c>
      <c r="C190" t="s">
        <v>13</v>
      </c>
      <c r="D190" t="s">
        <v>138</v>
      </c>
      <c r="E190">
        <v>3</v>
      </c>
      <c r="F190">
        <v>1.425</v>
      </c>
      <c r="G190">
        <v>1.8</v>
      </c>
      <c r="H190">
        <f t="shared" si="4"/>
        <v>0.73245000000000005</v>
      </c>
      <c r="I190">
        <f t="shared" si="5"/>
        <v>0.92520000000000002</v>
      </c>
    </row>
    <row r="191" spans="1:9">
      <c r="A191" t="s">
        <v>185</v>
      </c>
      <c r="B191" t="s">
        <v>218</v>
      </c>
      <c r="C191" t="s">
        <v>13</v>
      </c>
      <c r="D191" t="s">
        <v>138</v>
      </c>
      <c r="E191">
        <v>4</v>
      </c>
      <c r="F191">
        <v>1.3250000000000002</v>
      </c>
      <c r="G191">
        <v>1.6</v>
      </c>
      <c r="H191">
        <f t="shared" si="4"/>
        <v>0.68105000000000016</v>
      </c>
      <c r="I191">
        <f t="shared" si="5"/>
        <v>0.82240000000000002</v>
      </c>
    </row>
    <row r="192" spans="1:9">
      <c r="A192" t="s">
        <v>185</v>
      </c>
      <c r="B192" t="s">
        <v>218</v>
      </c>
      <c r="C192" t="s">
        <v>13</v>
      </c>
      <c r="D192" t="s">
        <v>138</v>
      </c>
      <c r="E192">
        <v>5</v>
      </c>
      <c r="F192">
        <v>1.0999999999999999</v>
      </c>
      <c r="G192">
        <v>1.3</v>
      </c>
      <c r="H192">
        <f t="shared" si="4"/>
        <v>0.5653999999999999</v>
      </c>
      <c r="I192">
        <f t="shared" si="5"/>
        <v>0.66820000000000002</v>
      </c>
    </row>
    <row r="193" spans="1:9">
      <c r="A193" t="s">
        <v>185</v>
      </c>
      <c r="B193" t="s">
        <v>218</v>
      </c>
      <c r="C193" t="s">
        <v>13</v>
      </c>
      <c r="D193" t="s">
        <v>138</v>
      </c>
      <c r="E193">
        <v>6</v>
      </c>
      <c r="F193">
        <v>1.05</v>
      </c>
      <c r="G193">
        <v>1.4</v>
      </c>
      <c r="H193">
        <f t="shared" si="4"/>
        <v>0.53970000000000007</v>
      </c>
      <c r="I193">
        <f t="shared" si="5"/>
        <v>0.71960000000000002</v>
      </c>
    </row>
    <row r="194" spans="1:9">
      <c r="A194" t="s">
        <v>185</v>
      </c>
      <c r="B194" t="s">
        <v>218</v>
      </c>
      <c r="C194" t="s">
        <v>13</v>
      </c>
      <c r="D194" t="s">
        <v>138</v>
      </c>
      <c r="E194">
        <v>7</v>
      </c>
      <c r="F194">
        <v>0.95</v>
      </c>
      <c r="G194">
        <v>1.4</v>
      </c>
      <c r="H194">
        <f t="shared" ref="H194:H257" si="6">F194*0.514</f>
        <v>0.48830000000000001</v>
      </c>
      <c r="I194">
        <f t="shared" ref="I194:I257" si="7">G194*0.514</f>
        <v>0.71960000000000002</v>
      </c>
    </row>
    <row r="195" spans="1:9">
      <c r="A195" t="s">
        <v>185</v>
      </c>
      <c r="B195" t="s">
        <v>218</v>
      </c>
      <c r="C195" t="s">
        <v>13</v>
      </c>
      <c r="D195" t="s">
        <v>138</v>
      </c>
      <c r="E195">
        <v>8</v>
      </c>
      <c r="F195">
        <v>0.8</v>
      </c>
      <c r="G195">
        <v>1.2</v>
      </c>
      <c r="H195">
        <f t="shared" si="6"/>
        <v>0.41120000000000001</v>
      </c>
      <c r="I195">
        <f t="shared" si="7"/>
        <v>0.61680000000000001</v>
      </c>
    </row>
    <row r="196" spans="1:9">
      <c r="A196" t="s">
        <v>185</v>
      </c>
      <c r="B196" t="s">
        <v>218</v>
      </c>
      <c r="C196" t="s">
        <v>13</v>
      </c>
      <c r="D196" t="s">
        <v>138</v>
      </c>
      <c r="E196">
        <v>9</v>
      </c>
      <c r="F196">
        <v>0.75</v>
      </c>
      <c r="G196">
        <v>1.2</v>
      </c>
      <c r="H196">
        <f t="shared" si="6"/>
        <v>0.38550000000000001</v>
      </c>
      <c r="I196">
        <f t="shared" si="7"/>
        <v>0.61680000000000001</v>
      </c>
    </row>
    <row r="197" spans="1:9">
      <c r="A197" t="s">
        <v>185</v>
      </c>
      <c r="B197" t="s">
        <v>218</v>
      </c>
      <c r="C197" t="s">
        <v>13</v>
      </c>
      <c r="D197" t="s">
        <v>138</v>
      </c>
      <c r="E197">
        <v>10</v>
      </c>
      <c r="F197">
        <v>0.72499999999999998</v>
      </c>
      <c r="G197">
        <v>1.2</v>
      </c>
      <c r="H197">
        <f t="shared" si="6"/>
        <v>0.37264999999999998</v>
      </c>
      <c r="I197">
        <f t="shared" si="7"/>
        <v>0.61680000000000001</v>
      </c>
    </row>
    <row r="198" spans="1:9">
      <c r="A198" t="s">
        <v>185</v>
      </c>
      <c r="B198" t="s">
        <v>218</v>
      </c>
      <c r="C198" t="s">
        <v>13</v>
      </c>
      <c r="D198" t="s">
        <v>138</v>
      </c>
      <c r="E198">
        <v>11</v>
      </c>
      <c r="F198">
        <v>0.77500000000000002</v>
      </c>
      <c r="G198">
        <v>1.2</v>
      </c>
      <c r="H198">
        <f t="shared" si="6"/>
        <v>0.39835000000000004</v>
      </c>
      <c r="I198">
        <f t="shared" si="7"/>
        <v>0.61680000000000001</v>
      </c>
    </row>
    <row r="199" spans="1:9">
      <c r="A199" t="s">
        <v>185</v>
      </c>
      <c r="B199" t="s">
        <v>218</v>
      </c>
      <c r="C199" t="s">
        <v>13</v>
      </c>
      <c r="D199" t="s">
        <v>138</v>
      </c>
      <c r="E199">
        <v>12</v>
      </c>
      <c r="F199">
        <v>1</v>
      </c>
      <c r="G199">
        <v>1.2</v>
      </c>
      <c r="H199">
        <f t="shared" si="6"/>
        <v>0.51400000000000001</v>
      </c>
      <c r="I199">
        <f t="shared" si="7"/>
        <v>0.61680000000000001</v>
      </c>
    </row>
    <row r="200" spans="1:9">
      <c r="A200" t="s">
        <v>185</v>
      </c>
      <c r="B200" t="s">
        <v>218</v>
      </c>
      <c r="C200" t="s">
        <v>13</v>
      </c>
      <c r="D200" t="s">
        <v>138</v>
      </c>
      <c r="E200">
        <v>13</v>
      </c>
      <c r="F200">
        <v>0.97499999999999987</v>
      </c>
      <c r="G200">
        <v>1.4</v>
      </c>
      <c r="H200">
        <f t="shared" si="6"/>
        <v>0.50114999999999998</v>
      </c>
      <c r="I200">
        <f t="shared" si="7"/>
        <v>0.71960000000000002</v>
      </c>
    </row>
    <row r="201" spans="1:9">
      <c r="A201" t="s">
        <v>185</v>
      </c>
      <c r="B201" t="s">
        <v>218</v>
      </c>
      <c r="C201" t="s">
        <v>13</v>
      </c>
      <c r="D201" t="s">
        <v>138</v>
      </c>
      <c r="E201">
        <v>14</v>
      </c>
      <c r="F201">
        <v>1.075</v>
      </c>
      <c r="G201">
        <v>1.4</v>
      </c>
      <c r="H201">
        <f t="shared" si="6"/>
        <v>0.55254999999999999</v>
      </c>
      <c r="I201">
        <f t="shared" si="7"/>
        <v>0.71960000000000002</v>
      </c>
    </row>
    <row r="202" spans="1:9">
      <c r="A202" t="s">
        <v>185</v>
      </c>
      <c r="B202" t="s">
        <v>218</v>
      </c>
      <c r="C202" t="s">
        <v>13</v>
      </c>
      <c r="D202" t="s">
        <v>138</v>
      </c>
      <c r="E202">
        <v>15</v>
      </c>
      <c r="F202">
        <v>1.2000000000000002</v>
      </c>
      <c r="G202">
        <v>1.6</v>
      </c>
      <c r="H202">
        <f t="shared" si="6"/>
        <v>0.61680000000000013</v>
      </c>
      <c r="I202">
        <f t="shared" si="7"/>
        <v>0.82240000000000002</v>
      </c>
    </row>
    <row r="203" spans="1:9">
      <c r="A203" t="s">
        <v>185</v>
      </c>
      <c r="B203" t="s">
        <v>218</v>
      </c>
      <c r="C203" t="s">
        <v>13</v>
      </c>
      <c r="D203" t="s">
        <v>138</v>
      </c>
      <c r="E203">
        <v>16</v>
      </c>
      <c r="F203">
        <v>1.3</v>
      </c>
      <c r="G203">
        <v>1.6</v>
      </c>
      <c r="H203">
        <f t="shared" si="6"/>
        <v>0.66820000000000002</v>
      </c>
      <c r="I203">
        <f t="shared" si="7"/>
        <v>0.82240000000000002</v>
      </c>
    </row>
    <row r="204" spans="1:9">
      <c r="A204" t="s">
        <v>185</v>
      </c>
      <c r="B204" t="s">
        <v>218</v>
      </c>
      <c r="C204" t="s">
        <v>13</v>
      </c>
      <c r="D204" t="s">
        <v>138</v>
      </c>
      <c r="E204">
        <v>17</v>
      </c>
      <c r="F204">
        <v>1.35</v>
      </c>
      <c r="G204">
        <v>1.6</v>
      </c>
      <c r="H204">
        <f t="shared" si="6"/>
        <v>0.69390000000000007</v>
      </c>
      <c r="I204">
        <f t="shared" si="7"/>
        <v>0.82240000000000002</v>
      </c>
    </row>
    <row r="205" spans="1:9">
      <c r="A205" t="s">
        <v>185</v>
      </c>
      <c r="B205" t="s">
        <v>218</v>
      </c>
      <c r="C205" t="s">
        <v>13</v>
      </c>
      <c r="D205" t="s">
        <v>138</v>
      </c>
      <c r="E205">
        <v>18</v>
      </c>
      <c r="F205">
        <v>1.4</v>
      </c>
      <c r="G205">
        <v>1.6</v>
      </c>
      <c r="H205">
        <f t="shared" si="6"/>
        <v>0.71960000000000002</v>
      </c>
      <c r="I205">
        <f t="shared" si="7"/>
        <v>0.82240000000000002</v>
      </c>
    </row>
    <row r="206" spans="1:9">
      <c r="A206" t="s">
        <v>185</v>
      </c>
      <c r="B206" t="s">
        <v>218</v>
      </c>
      <c r="C206" t="s">
        <v>13</v>
      </c>
      <c r="D206" t="s">
        <v>138</v>
      </c>
      <c r="E206">
        <v>19</v>
      </c>
      <c r="F206">
        <v>1.4</v>
      </c>
      <c r="G206">
        <v>1.6</v>
      </c>
      <c r="H206">
        <f t="shared" si="6"/>
        <v>0.71960000000000002</v>
      </c>
      <c r="I206">
        <f t="shared" si="7"/>
        <v>0.82240000000000002</v>
      </c>
    </row>
    <row r="207" spans="1:9">
      <c r="A207" t="s">
        <v>185</v>
      </c>
      <c r="B207" t="s">
        <v>218</v>
      </c>
      <c r="C207" t="s">
        <v>13</v>
      </c>
      <c r="D207" t="s">
        <v>138</v>
      </c>
      <c r="E207">
        <v>20</v>
      </c>
      <c r="F207">
        <v>1.375</v>
      </c>
      <c r="G207">
        <v>1.7</v>
      </c>
      <c r="H207">
        <f t="shared" si="6"/>
        <v>0.70674999999999999</v>
      </c>
      <c r="I207">
        <f t="shared" si="7"/>
        <v>0.87380000000000002</v>
      </c>
    </row>
    <row r="208" spans="1:9">
      <c r="A208" t="s">
        <v>185</v>
      </c>
      <c r="B208" t="s">
        <v>218</v>
      </c>
      <c r="C208" t="s">
        <v>13</v>
      </c>
      <c r="D208" t="s">
        <v>138</v>
      </c>
      <c r="E208">
        <v>21</v>
      </c>
      <c r="F208">
        <v>1.1666666666666667</v>
      </c>
      <c r="G208">
        <v>1.2</v>
      </c>
      <c r="H208">
        <f t="shared" si="6"/>
        <v>0.59966666666666668</v>
      </c>
      <c r="I208">
        <f t="shared" si="7"/>
        <v>0.61680000000000001</v>
      </c>
    </row>
    <row r="209" spans="1:9">
      <c r="A209" t="s">
        <v>185</v>
      </c>
      <c r="B209" t="s">
        <v>218</v>
      </c>
      <c r="C209" t="s">
        <v>13</v>
      </c>
      <c r="D209" t="s">
        <v>138</v>
      </c>
      <c r="E209">
        <v>22</v>
      </c>
      <c r="F209">
        <v>1.175</v>
      </c>
      <c r="G209">
        <v>1.6</v>
      </c>
      <c r="H209">
        <f t="shared" si="6"/>
        <v>0.60394999999999999</v>
      </c>
      <c r="I209">
        <f t="shared" si="7"/>
        <v>0.82240000000000002</v>
      </c>
    </row>
    <row r="210" spans="1:9">
      <c r="A210" t="s">
        <v>185</v>
      </c>
      <c r="B210" t="s">
        <v>218</v>
      </c>
      <c r="C210" t="s">
        <v>13</v>
      </c>
      <c r="D210" t="s">
        <v>138</v>
      </c>
      <c r="E210">
        <v>23</v>
      </c>
      <c r="F210">
        <v>1.075</v>
      </c>
      <c r="G210">
        <v>1.6</v>
      </c>
      <c r="H210">
        <f t="shared" si="6"/>
        <v>0.55254999999999999</v>
      </c>
      <c r="I210">
        <f t="shared" si="7"/>
        <v>0.82240000000000002</v>
      </c>
    </row>
    <row r="211" spans="1:9">
      <c r="A211" t="s">
        <v>185</v>
      </c>
      <c r="B211" t="s">
        <v>218</v>
      </c>
      <c r="C211" t="s">
        <v>13</v>
      </c>
      <c r="D211" t="s">
        <v>138</v>
      </c>
      <c r="E211">
        <v>24</v>
      </c>
      <c r="F211">
        <v>1.0249999999999999</v>
      </c>
      <c r="G211">
        <v>1.6</v>
      </c>
      <c r="H211">
        <f t="shared" si="6"/>
        <v>0.52684999999999993</v>
      </c>
      <c r="I211">
        <f t="shared" si="7"/>
        <v>0.82240000000000002</v>
      </c>
    </row>
    <row r="212" spans="1:9">
      <c r="A212" t="s">
        <v>185</v>
      </c>
      <c r="B212" t="s">
        <v>218</v>
      </c>
      <c r="C212" t="s">
        <v>13</v>
      </c>
      <c r="D212" t="s">
        <v>138</v>
      </c>
      <c r="E212">
        <v>25</v>
      </c>
      <c r="F212">
        <v>1.0250000000000001</v>
      </c>
      <c r="G212">
        <v>1.6</v>
      </c>
      <c r="H212">
        <f t="shared" si="6"/>
        <v>0.52685000000000004</v>
      </c>
      <c r="I212">
        <f t="shared" si="7"/>
        <v>0.82240000000000002</v>
      </c>
    </row>
    <row r="213" spans="1:9">
      <c r="A213" t="s">
        <v>185</v>
      </c>
      <c r="B213" t="s">
        <v>218</v>
      </c>
      <c r="C213" t="s">
        <v>13</v>
      </c>
      <c r="D213" t="s">
        <v>138</v>
      </c>
      <c r="E213">
        <v>26</v>
      </c>
      <c r="F213">
        <v>1.1000000000000001</v>
      </c>
      <c r="G213">
        <v>1.6</v>
      </c>
      <c r="H213">
        <f t="shared" si="6"/>
        <v>0.56540000000000001</v>
      </c>
      <c r="I213">
        <f t="shared" si="7"/>
        <v>0.82240000000000002</v>
      </c>
    </row>
    <row r="214" spans="1:9">
      <c r="A214" t="s">
        <v>185</v>
      </c>
      <c r="B214" t="s">
        <v>218</v>
      </c>
      <c r="C214" t="s">
        <v>13</v>
      </c>
      <c r="D214" t="s">
        <v>138</v>
      </c>
      <c r="E214">
        <v>27</v>
      </c>
      <c r="F214">
        <v>1.4000000000000001</v>
      </c>
      <c r="G214">
        <v>1.6</v>
      </c>
      <c r="H214">
        <f t="shared" si="6"/>
        <v>0.71960000000000013</v>
      </c>
      <c r="I214">
        <f t="shared" si="7"/>
        <v>0.82240000000000002</v>
      </c>
    </row>
    <row r="215" spans="1:9">
      <c r="A215" t="s">
        <v>185</v>
      </c>
      <c r="B215" t="s">
        <v>218</v>
      </c>
      <c r="C215" t="s">
        <v>13</v>
      </c>
      <c r="D215" t="s">
        <v>138</v>
      </c>
      <c r="E215">
        <v>28</v>
      </c>
      <c r="F215">
        <v>1.2750000000000001</v>
      </c>
      <c r="G215">
        <v>1.6</v>
      </c>
      <c r="H215">
        <f t="shared" si="6"/>
        <v>0.6553500000000001</v>
      </c>
      <c r="I215">
        <f t="shared" si="7"/>
        <v>0.82240000000000002</v>
      </c>
    </row>
    <row r="216" spans="1:9">
      <c r="A216" t="s">
        <v>185</v>
      </c>
      <c r="B216" t="s">
        <v>218</v>
      </c>
      <c r="C216" t="s">
        <v>13</v>
      </c>
      <c r="D216" t="s">
        <v>138</v>
      </c>
      <c r="E216">
        <v>29</v>
      </c>
      <c r="F216">
        <v>1.375</v>
      </c>
      <c r="G216">
        <v>1.7</v>
      </c>
      <c r="H216">
        <f t="shared" si="6"/>
        <v>0.70674999999999999</v>
      </c>
      <c r="I216">
        <f t="shared" si="7"/>
        <v>0.87380000000000002</v>
      </c>
    </row>
    <row r="217" spans="1:9">
      <c r="A217" t="s">
        <v>185</v>
      </c>
      <c r="B217" t="s">
        <v>218</v>
      </c>
      <c r="C217" t="s">
        <v>13</v>
      </c>
      <c r="D217" t="s">
        <v>138</v>
      </c>
      <c r="E217">
        <v>30</v>
      </c>
      <c r="F217">
        <v>1.4500000000000002</v>
      </c>
      <c r="G217">
        <v>1.7</v>
      </c>
      <c r="H217">
        <f t="shared" si="6"/>
        <v>0.74530000000000007</v>
      </c>
      <c r="I217">
        <f t="shared" si="7"/>
        <v>0.87380000000000002</v>
      </c>
    </row>
    <row r="218" spans="1:9">
      <c r="A218" t="s">
        <v>185</v>
      </c>
      <c r="B218" t="s">
        <v>218</v>
      </c>
      <c r="C218" t="s">
        <v>13</v>
      </c>
      <c r="D218" t="s">
        <v>138</v>
      </c>
      <c r="E218">
        <v>31</v>
      </c>
      <c r="F218">
        <v>1.4</v>
      </c>
      <c r="G218">
        <v>1.6</v>
      </c>
      <c r="H218">
        <f t="shared" si="6"/>
        <v>0.71960000000000002</v>
      </c>
      <c r="I218">
        <f t="shared" si="7"/>
        <v>0.82240000000000002</v>
      </c>
    </row>
    <row r="219" spans="1:9">
      <c r="A219" t="s">
        <v>187</v>
      </c>
      <c r="B219" t="s">
        <v>219</v>
      </c>
      <c r="C219" t="s">
        <v>122</v>
      </c>
      <c r="D219" t="s">
        <v>161</v>
      </c>
      <c r="E219">
        <v>1</v>
      </c>
      <c r="F219">
        <v>1.325</v>
      </c>
      <c r="G219">
        <v>2</v>
      </c>
      <c r="H219">
        <f t="shared" si="6"/>
        <v>0.68105000000000004</v>
      </c>
      <c r="I219">
        <f t="shared" si="7"/>
        <v>1.028</v>
      </c>
    </row>
    <row r="220" spans="1:9">
      <c r="A220" t="s">
        <v>187</v>
      </c>
      <c r="B220" t="s">
        <v>219</v>
      </c>
      <c r="C220" t="s">
        <v>122</v>
      </c>
      <c r="D220" t="s">
        <v>161</v>
      </c>
      <c r="E220">
        <v>2</v>
      </c>
      <c r="F220">
        <v>1.375</v>
      </c>
      <c r="G220">
        <v>2</v>
      </c>
      <c r="H220">
        <f t="shared" si="6"/>
        <v>0.70674999999999999</v>
      </c>
      <c r="I220">
        <f t="shared" si="7"/>
        <v>1.028</v>
      </c>
    </row>
    <row r="221" spans="1:9">
      <c r="A221" t="s">
        <v>187</v>
      </c>
      <c r="B221" t="s">
        <v>219</v>
      </c>
      <c r="C221" t="s">
        <v>122</v>
      </c>
      <c r="D221" t="s">
        <v>161</v>
      </c>
      <c r="E221">
        <v>3</v>
      </c>
      <c r="F221">
        <v>1.375</v>
      </c>
      <c r="G221">
        <v>1.9</v>
      </c>
      <c r="H221">
        <f t="shared" si="6"/>
        <v>0.70674999999999999</v>
      </c>
      <c r="I221">
        <f t="shared" si="7"/>
        <v>0.97660000000000002</v>
      </c>
    </row>
    <row r="222" spans="1:9">
      <c r="A222" t="s">
        <v>187</v>
      </c>
      <c r="B222" t="s">
        <v>219</v>
      </c>
      <c r="C222" t="s">
        <v>122</v>
      </c>
      <c r="D222" t="s">
        <v>161</v>
      </c>
      <c r="E222">
        <v>4</v>
      </c>
      <c r="F222">
        <v>1.35</v>
      </c>
      <c r="G222">
        <v>2</v>
      </c>
      <c r="H222">
        <f t="shared" si="6"/>
        <v>0.69390000000000007</v>
      </c>
      <c r="I222">
        <f t="shared" si="7"/>
        <v>1.028</v>
      </c>
    </row>
    <row r="223" spans="1:9">
      <c r="A223" t="s">
        <v>187</v>
      </c>
      <c r="B223" t="s">
        <v>219</v>
      </c>
      <c r="C223" t="s">
        <v>122</v>
      </c>
      <c r="D223" t="s">
        <v>161</v>
      </c>
      <c r="E223">
        <v>5</v>
      </c>
      <c r="F223">
        <v>1.0333333333333334</v>
      </c>
      <c r="G223">
        <v>1.6</v>
      </c>
      <c r="H223">
        <f t="shared" si="6"/>
        <v>0.53113333333333335</v>
      </c>
      <c r="I223">
        <f t="shared" si="7"/>
        <v>0.82240000000000002</v>
      </c>
    </row>
    <row r="224" spans="1:9">
      <c r="A224" t="s">
        <v>187</v>
      </c>
      <c r="B224" t="s">
        <v>219</v>
      </c>
      <c r="C224" t="s">
        <v>122</v>
      </c>
      <c r="D224" t="s">
        <v>161</v>
      </c>
      <c r="E224">
        <v>6</v>
      </c>
      <c r="F224">
        <v>1.1749999999999998</v>
      </c>
      <c r="G224">
        <v>1.9</v>
      </c>
      <c r="H224">
        <f t="shared" si="6"/>
        <v>0.60394999999999988</v>
      </c>
      <c r="I224">
        <f t="shared" si="7"/>
        <v>0.97660000000000002</v>
      </c>
    </row>
    <row r="225" spans="1:9">
      <c r="A225" t="s">
        <v>187</v>
      </c>
      <c r="B225" t="s">
        <v>219</v>
      </c>
      <c r="C225" t="s">
        <v>122</v>
      </c>
      <c r="D225" t="s">
        <v>161</v>
      </c>
      <c r="E225">
        <v>7</v>
      </c>
      <c r="F225">
        <v>1.0499999999999998</v>
      </c>
      <c r="G225">
        <v>1.8</v>
      </c>
      <c r="H225">
        <f t="shared" si="6"/>
        <v>0.53969999999999996</v>
      </c>
      <c r="I225">
        <f t="shared" si="7"/>
        <v>0.92520000000000002</v>
      </c>
    </row>
    <row r="226" spans="1:9">
      <c r="A226" t="s">
        <v>187</v>
      </c>
      <c r="B226" t="s">
        <v>219</v>
      </c>
      <c r="C226" t="s">
        <v>122</v>
      </c>
      <c r="D226" t="s">
        <v>161</v>
      </c>
      <c r="E226">
        <v>8</v>
      </c>
      <c r="F226">
        <v>0.92499999999999993</v>
      </c>
      <c r="G226">
        <v>1.7</v>
      </c>
      <c r="H226">
        <f t="shared" si="6"/>
        <v>0.47544999999999998</v>
      </c>
      <c r="I226">
        <f t="shared" si="7"/>
        <v>0.87380000000000002</v>
      </c>
    </row>
    <row r="227" spans="1:9">
      <c r="A227" t="s">
        <v>187</v>
      </c>
      <c r="B227" t="s">
        <v>219</v>
      </c>
      <c r="C227" t="s">
        <v>122</v>
      </c>
      <c r="D227" t="s">
        <v>161</v>
      </c>
      <c r="E227">
        <v>9</v>
      </c>
      <c r="F227">
        <v>0.82499999999999996</v>
      </c>
      <c r="G227">
        <v>1.6</v>
      </c>
      <c r="H227">
        <f t="shared" si="6"/>
        <v>0.42404999999999998</v>
      </c>
      <c r="I227">
        <f t="shared" si="7"/>
        <v>0.82240000000000002</v>
      </c>
    </row>
    <row r="228" spans="1:9">
      <c r="A228" t="s">
        <v>187</v>
      </c>
      <c r="B228" t="s">
        <v>219</v>
      </c>
      <c r="C228" t="s">
        <v>122</v>
      </c>
      <c r="D228" t="s">
        <v>161</v>
      </c>
      <c r="E228">
        <v>10</v>
      </c>
      <c r="F228">
        <v>0.72500000000000009</v>
      </c>
      <c r="G228">
        <v>1.4</v>
      </c>
      <c r="H228">
        <f t="shared" si="6"/>
        <v>0.37265000000000004</v>
      </c>
      <c r="I228">
        <f t="shared" si="7"/>
        <v>0.71960000000000002</v>
      </c>
    </row>
    <row r="229" spans="1:9">
      <c r="A229" t="s">
        <v>187</v>
      </c>
      <c r="B229" t="s">
        <v>219</v>
      </c>
      <c r="C229" t="s">
        <v>122</v>
      </c>
      <c r="D229" t="s">
        <v>161</v>
      </c>
      <c r="E229">
        <v>11</v>
      </c>
      <c r="F229">
        <v>0.70000000000000007</v>
      </c>
      <c r="G229">
        <v>1.3</v>
      </c>
      <c r="H229">
        <f t="shared" si="6"/>
        <v>0.35980000000000006</v>
      </c>
      <c r="I229">
        <f t="shared" si="7"/>
        <v>0.66820000000000002</v>
      </c>
    </row>
    <row r="230" spans="1:9">
      <c r="A230" t="s">
        <v>187</v>
      </c>
      <c r="B230" t="s">
        <v>219</v>
      </c>
      <c r="C230" t="s">
        <v>122</v>
      </c>
      <c r="D230" t="s">
        <v>161</v>
      </c>
      <c r="E230">
        <v>12</v>
      </c>
      <c r="F230">
        <v>0.75</v>
      </c>
      <c r="G230">
        <v>1.3</v>
      </c>
      <c r="H230">
        <f t="shared" si="6"/>
        <v>0.38550000000000001</v>
      </c>
      <c r="I230">
        <f t="shared" si="7"/>
        <v>0.66820000000000002</v>
      </c>
    </row>
    <row r="231" spans="1:9">
      <c r="A231" t="s">
        <v>187</v>
      </c>
      <c r="B231" t="s">
        <v>219</v>
      </c>
      <c r="C231" t="s">
        <v>122</v>
      </c>
      <c r="D231" t="s">
        <v>161</v>
      </c>
      <c r="E231">
        <v>13</v>
      </c>
      <c r="F231">
        <v>1</v>
      </c>
      <c r="G231">
        <v>1.3</v>
      </c>
      <c r="H231">
        <f t="shared" si="6"/>
        <v>0.51400000000000001</v>
      </c>
      <c r="I231">
        <f t="shared" si="7"/>
        <v>0.66820000000000002</v>
      </c>
    </row>
    <row r="232" spans="1:9">
      <c r="A232" t="s">
        <v>187</v>
      </c>
      <c r="B232" t="s">
        <v>219</v>
      </c>
      <c r="C232" t="s">
        <v>122</v>
      </c>
      <c r="D232" t="s">
        <v>161</v>
      </c>
      <c r="E232">
        <v>14</v>
      </c>
      <c r="F232">
        <v>0.89999999999999991</v>
      </c>
      <c r="G232">
        <v>1.4</v>
      </c>
      <c r="H232">
        <f t="shared" si="6"/>
        <v>0.46259999999999996</v>
      </c>
      <c r="I232">
        <f t="shared" si="7"/>
        <v>0.71960000000000002</v>
      </c>
    </row>
    <row r="233" spans="1:9">
      <c r="A233" t="s">
        <v>187</v>
      </c>
      <c r="B233" t="s">
        <v>219</v>
      </c>
      <c r="C233" t="s">
        <v>122</v>
      </c>
      <c r="D233" t="s">
        <v>161</v>
      </c>
      <c r="E233">
        <v>15</v>
      </c>
      <c r="F233">
        <v>1.05</v>
      </c>
      <c r="G233">
        <v>1.6</v>
      </c>
      <c r="H233">
        <f t="shared" si="6"/>
        <v>0.53970000000000007</v>
      </c>
      <c r="I233">
        <f t="shared" si="7"/>
        <v>0.82240000000000002</v>
      </c>
    </row>
    <row r="234" spans="1:9">
      <c r="A234" t="s">
        <v>187</v>
      </c>
      <c r="B234" t="s">
        <v>219</v>
      </c>
      <c r="C234" t="s">
        <v>122</v>
      </c>
      <c r="D234" t="s">
        <v>161</v>
      </c>
      <c r="E234">
        <v>16</v>
      </c>
      <c r="F234">
        <v>1.125</v>
      </c>
      <c r="G234">
        <v>1.7</v>
      </c>
      <c r="H234">
        <f t="shared" si="6"/>
        <v>0.57825000000000004</v>
      </c>
      <c r="I234">
        <f t="shared" si="7"/>
        <v>0.87380000000000002</v>
      </c>
    </row>
    <row r="235" spans="1:9">
      <c r="A235" t="s">
        <v>187</v>
      </c>
      <c r="B235" t="s">
        <v>219</v>
      </c>
      <c r="C235" t="s">
        <v>122</v>
      </c>
      <c r="D235" t="s">
        <v>161</v>
      </c>
      <c r="E235">
        <v>17</v>
      </c>
      <c r="F235">
        <v>1.25</v>
      </c>
      <c r="G235">
        <v>1.8</v>
      </c>
      <c r="H235">
        <f t="shared" si="6"/>
        <v>0.64250000000000007</v>
      </c>
      <c r="I235">
        <f t="shared" si="7"/>
        <v>0.92520000000000002</v>
      </c>
    </row>
    <row r="236" spans="1:9">
      <c r="A236" t="s">
        <v>187</v>
      </c>
      <c r="B236" t="s">
        <v>219</v>
      </c>
      <c r="C236" t="s">
        <v>122</v>
      </c>
      <c r="D236" t="s">
        <v>161</v>
      </c>
      <c r="E236">
        <v>18</v>
      </c>
      <c r="F236">
        <v>1.3</v>
      </c>
      <c r="G236">
        <v>1.8</v>
      </c>
      <c r="H236">
        <f t="shared" si="6"/>
        <v>0.66820000000000002</v>
      </c>
      <c r="I236">
        <f t="shared" si="7"/>
        <v>0.92520000000000002</v>
      </c>
    </row>
    <row r="237" spans="1:9">
      <c r="A237" t="s">
        <v>187</v>
      </c>
      <c r="B237" t="s">
        <v>219</v>
      </c>
      <c r="C237" t="s">
        <v>122</v>
      </c>
      <c r="D237" t="s">
        <v>161</v>
      </c>
      <c r="E237">
        <v>19</v>
      </c>
      <c r="F237">
        <v>1.325</v>
      </c>
      <c r="G237">
        <v>1.9</v>
      </c>
      <c r="H237">
        <f t="shared" si="6"/>
        <v>0.68105000000000004</v>
      </c>
      <c r="I237">
        <f t="shared" si="7"/>
        <v>0.97660000000000002</v>
      </c>
    </row>
    <row r="238" spans="1:9">
      <c r="A238" t="s">
        <v>187</v>
      </c>
      <c r="B238" t="s">
        <v>219</v>
      </c>
      <c r="C238" t="s">
        <v>122</v>
      </c>
      <c r="D238" t="s">
        <v>161</v>
      </c>
      <c r="E238">
        <v>20</v>
      </c>
      <c r="F238">
        <v>1.35</v>
      </c>
      <c r="G238">
        <v>2</v>
      </c>
      <c r="H238">
        <f t="shared" si="6"/>
        <v>0.69390000000000007</v>
      </c>
      <c r="I238">
        <f t="shared" si="7"/>
        <v>1.028</v>
      </c>
    </row>
    <row r="239" spans="1:9">
      <c r="A239" t="s">
        <v>187</v>
      </c>
      <c r="B239" t="s">
        <v>219</v>
      </c>
      <c r="C239" t="s">
        <v>122</v>
      </c>
      <c r="D239" t="s">
        <v>161</v>
      </c>
      <c r="E239">
        <v>21</v>
      </c>
      <c r="F239">
        <v>1.0666666666666667</v>
      </c>
      <c r="G239">
        <v>1.6</v>
      </c>
      <c r="H239">
        <f t="shared" si="6"/>
        <v>0.54826666666666668</v>
      </c>
      <c r="I239">
        <f t="shared" si="7"/>
        <v>0.82240000000000002</v>
      </c>
    </row>
    <row r="240" spans="1:9">
      <c r="A240" t="s">
        <v>187</v>
      </c>
      <c r="B240" t="s">
        <v>219</v>
      </c>
      <c r="C240" t="s">
        <v>122</v>
      </c>
      <c r="D240" t="s">
        <v>161</v>
      </c>
      <c r="E240">
        <v>22</v>
      </c>
      <c r="F240">
        <v>1.1999999999999997</v>
      </c>
      <c r="G240">
        <v>2</v>
      </c>
      <c r="H240">
        <f t="shared" si="6"/>
        <v>0.6167999999999999</v>
      </c>
      <c r="I240">
        <f t="shared" si="7"/>
        <v>1.028</v>
      </c>
    </row>
    <row r="241" spans="1:9">
      <c r="A241" t="s">
        <v>187</v>
      </c>
      <c r="B241" t="s">
        <v>219</v>
      </c>
      <c r="C241" t="s">
        <v>122</v>
      </c>
      <c r="D241" t="s">
        <v>161</v>
      </c>
      <c r="E241">
        <v>23</v>
      </c>
      <c r="F241">
        <v>1.1000000000000001</v>
      </c>
      <c r="G241">
        <v>1.9</v>
      </c>
      <c r="H241">
        <f t="shared" si="6"/>
        <v>0.56540000000000001</v>
      </c>
      <c r="I241">
        <f t="shared" si="7"/>
        <v>0.97660000000000002</v>
      </c>
    </row>
    <row r="242" spans="1:9">
      <c r="A242" t="s">
        <v>187</v>
      </c>
      <c r="B242" t="s">
        <v>219</v>
      </c>
      <c r="C242" t="s">
        <v>122</v>
      </c>
      <c r="D242" t="s">
        <v>161</v>
      </c>
      <c r="E242">
        <v>24</v>
      </c>
      <c r="F242">
        <v>0.97499999999999998</v>
      </c>
      <c r="G242">
        <v>1.8</v>
      </c>
      <c r="H242">
        <f t="shared" si="6"/>
        <v>0.50114999999999998</v>
      </c>
      <c r="I242">
        <f t="shared" si="7"/>
        <v>0.92520000000000002</v>
      </c>
    </row>
    <row r="243" spans="1:9">
      <c r="A243" t="s">
        <v>187</v>
      </c>
      <c r="B243" t="s">
        <v>219</v>
      </c>
      <c r="C243" t="s">
        <v>122</v>
      </c>
      <c r="D243" t="s">
        <v>161</v>
      </c>
      <c r="E243">
        <v>25</v>
      </c>
      <c r="F243">
        <v>0.92500000000000004</v>
      </c>
      <c r="G243">
        <v>1.7</v>
      </c>
      <c r="H243">
        <f t="shared" si="6"/>
        <v>0.47545000000000004</v>
      </c>
      <c r="I243">
        <f t="shared" si="7"/>
        <v>0.87380000000000002</v>
      </c>
    </row>
    <row r="244" spans="1:9">
      <c r="A244" t="s">
        <v>187</v>
      </c>
      <c r="B244" t="s">
        <v>219</v>
      </c>
      <c r="C244" t="s">
        <v>122</v>
      </c>
      <c r="D244" t="s">
        <v>161</v>
      </c>
      <c r="E244">
        <v>26</v>
      </c>
      <c r="F244">
        <v>0.92500000000000016</v>
      </c>
      <c r="G244">
        <v>1.6</v>
      </c>
      <c r="H244">
        <f t="shared" si="6"/>
        <v>0.47545000000000009</v>
      </c>
      <c r="I244">
        <f t="shared" si="7"/>
        <v>0.82240000000000002</v>
      </c>
    </row>
    <row r="245" spans="1:9">
      <c r="A245" t="s">
        <v>187</v>
      </c>
      <c r="B245" t="s">
        <v>219</v>
      </c>
      <c r="C245" t="s">
        <v>122</v>
      </c>
      <c r="D245" t="s">
        <v>161</v>
      </c>
      <c r="E245">
        <v>27</v>
      </c>
      <c r="F245">
        <v>1.2666666666666666</v>
      </c>
      <c r="G245">
        <v>1.6</v>
      </c>
      <c r="H245">
        <f t="shared" si="6"/>
        <v>0.65106666666666668</v>
      </c>
      <c r="I245">
        <f t="shared" si="7"/>
        <v>0.82240000000000002</v>
      </c>
    </row>
    <row r="246" spans="1:9">
      <c r="A246" t="s">
        <v>187</v>
      </c>
      <c r="B246" t="s">
        <v>219</v>
      </c>
      <c r="C246" t="s">
        <v>122</v>
      </c>
      <c r="D246" t="s">
        <v>161</v>
      </c>
      <c r="E246">
        <v>28</v>
      </c>
      <c r="F246">
        <v>1.0750000000000002</v>
      </c>
      <c r="G246">
        <v>1.6</v>
      </c>
      <c r="H246">
        <f t="shared" si="6"/>
        <v>0.5525500000000001</v>
      </c>
      <c r="I246">
        <f t="shared" si="7"/>
        <v>0.82240000000000002</v>
      </c>
    </row>
    <row r="247" spans="1:9">
      <c r="A247" t="s">
        <v>187</v>
      </c>
      <c r="B247" t="s">
        <v>219</v>
      </c>
      <c r="C247" t="s">
        <v>122</v>
      </c>
      <c r="D247" t="s">
        <v>161</v>
      </c>
      <c r="E247">
        <v>29</v>
      </c>
      <c r="F247">
        <v>1.2250000000000001</v>
      </c>
      <c r="G247">
        <v>1.8</v>
      </c>
      <c r="H247">
        <f t="shared" si="6"/>
        <v>0.62965000000000004</v>
      </c>
      <c r="I247">
        <f t="shared" si="7"/>
        <v>0.92520000000000002</v>
      </c>
    </row>
    <row r="248" spans="1:9">
      <c r="A248" t="s">
        <v>187</v>
      </c>
      <c r="B248" t="s">
        <v>219</v>
      </c>
      <c r="C248" t="s">
        <v>122</v>
      </c>
      <c r="D248" t="s">
        <v>161</v>
      </c>
      <c r="E248">
        <v>30</v>
      </c>
      <c r="F248">
        <v>1.2749999999999999</v>
      </c>
      <c r="G248">
        <v>1.8</v>
      </c>
      <c r="H248">
        <f t="shared" si="6"/>
        <v>0.65534999999999999</v>
      </c>
      <c r="I248">
        <f t="shared" si="7"/>
        <v>0.92520000000000002</v>
      </c>
    </row>
    <row r="249" spans="1:9">
      <c r="A249" t="s">
        <v>187</v>
      </c>
      <c r="B249" t="s">
        <v>219</v>
      </c>
      <c r="C249" t="s">
        <v>122</v>
      </c>
      <c r="D249" t="s">
        <v>161</v>
      </c>
      <c r="E249">
        <v>31</v>
      </c>
      <c r="F249">
        <v>1.325</v>
      </c>
      <c r="G249">
        <v>1.9</v>
      </c>
      <c r="H249">
        <f t="shared" si="6"/>
        <v>0.68105000000000004</v>
      </c>
      <c r="I249">
        <f t="shared" si="7"/>
        <v>0.97660000000000002</v>
      </c>
    </row>
    <row r="250" spans="1:9">
      <c r="A250" t="s">
        <v>190</v>
      </c>
      <c r="B250" t="s">
        <v>220</v>
      </c>
      <c r="C250" t="s">
        <v>122</v>
      </c>
      <c r="D250" t="s">
        <v>131</v>
      </c>
      <c r="E250">
        <v>1</v>
      </c>
      <c r="F250">
        <v>1.7499999999999998</v>
      </c>
      <c r="G250">
        <v>2.6</v>
      </c>
      <c r="H250">
        <f t="shared" si="6"/>
        <v>0.89949999999999986</v>
      </c>
      <c r="I250">
        <f t="shared" si="7"/>
        <v>1.3364</v>
      </c>
    </row>
    <row r="251" spans="1:9">
      <c r="A251" t="s">
        <v>190</v>
      </c>
      <c r="B251" t="s">
        <v>220</v>
      </c>
      <c r="C251" t="s">
        <v>122</v>
      </c>
      <c r="D251" t="s">
        <v>131</v>
      </c>
      <c r="E251">
        <v>2</v>
      </c>
      <c r="F251">
        <v>1.8250000000000002</v>
      </c>
      <c r="G251">
        <v>2.6</v>
      </c>
      <c r="H251">
        <f t="shared" si="6"/>
        <v>0.93805000000000016</v>
      </c>
      <c r="I251">
        <f t="shared" si="7"/>
        <v>1.3364</v>
      </c>
    </row>
    <row r="252" spans="1:9">
      <c r="A252" t="s">
        <v>190</v>
      </c>
      <c r="B252" t="s">
        <v>220</v>
      </c>
      <c r="C252" t="s">
        <v>122</v>
      </c>
      <c r="D252" t="s">
        <v>131</v>
      </c>
      <c r="E252">
        <v>3</v>
      </c>
      <c r="F252">
        <v>1.9333333333333336</v>
      </c>
      <c r="G252">
        <v>2.6</v>
      </c>
      <c r="H252">
        <f t="shared" si="6"/>
        <v>0.99373333333333347</v>
      </c>
      <c r="I252">
        <f t="shared" si="7"/>
        <v>1.3364</v>
      </c>
    </row>
    <row r="253" spans="1:9">
      <c r="A253" t="s">
        <v>190</v>
      </c>
      <c r="B253" t="s">
        <v>220</v>
      </c>
      <c r="C253" t="s">
        <v>122</v>
      </c>
      <c r="D253" t="s">
        <v>131</v>
      </c>
      <c r="E253">
        <v>4</v>
      </c>
      <c r="F253">
        <v>1.85</v>
      </c>
      <c r="G253">
        <v>2.5</v>
      </c>
      <c r="H253">
        <f t="shared" si="6"/>
        <v>0.95090000000000008</v>
      </c>
      <c r="I253">
        <f t="shared" si="7"/>
        <v>1.2850000000000001</v>
      </c>
    </row>
    <row r="254" spans="1:9">
      <c r="A254" t="s">
        <v>190</v>
      </c>
      <c r="B254" t="s">
        <v>220</v>
      </c>
      <c r="C254" t="s">
        <v>122</v>
      </c>
      <c r="D254" t="s">
        <v>131</v>
      </c>
      <c r="E254">
        <v>5</v>
      </c>
      <c r="F254">
        <v>1.75</v>
      </c>
      <c r="G254">
        <v>2.2999999999999998</v>
      </c>
      <c r="H254">
        <f t="shared" si="6"/>
        <v>0.89949999999999997</v>
      </c>
      <c r="I254">
        <f t="shared" si="7"/>
        <v>1.1821999999999999</v>
      </c>
    </row>
    <row r="255" spans="1:9">
      <c r="A255" t="s">
        <v>190</v>
      </c>
      <c r="B255" t="s">
        <v>220</v>
      </c>
      <c r="C255" t="s">
        <v>122</v>
      </c>
      <c r="D255" t="s">
        <v>131</v>
      </c>
      <c r="E255">
        <v>6</v>
      </c>
      <c r="F255">
        <v>1.5750000000000002</v>
      </c>
      <c r="G255">
        <v>2</v>
      </c>
      <c r="H255">
        <f t="shared" si="6"/>
        <v>0.8095500000000001</v>
      </c>
      <c r="I255">
        <f t="shared" si="7"/>
        <v>1.028</v>
      </c>
    </row>
    <row r="256" spans="1:9">
      <c r="A256" t="s">
        <v>190</v>
      </c>
      <c r="B256" t="s">
        <v>220</v>
      </c>
      <c r="C256" t="s">
        <v>122</v>
      </c>
      <c r="D256" t="s">
        <v>131</v>
      </c>
      <c r="E256">
        <v>7</v>
      </c>
      <c r="F256">
        <v>1.4000000000000001</v>
      </c>
      <c r="G256">
        <v>1.8</v>
      </c>
      <c r="H256">
        <f t="shared" si="6"/>
        <v>0.71960000000000013</v>
      </c>
      <c r="I256">
        <f t="shared" si="7"/>
        <v>0.92520000000000002</v>
      </c>
    </row>
    <row r="257" spans="1:9">
      <c r="A257" t="s">
        <v>190</v>
      </c>
      <c r="B257" t="s">
        <v>220</v>
      </c>
      <c r="C257" t="s">
        <v>122</v>
      </c>
      <c r="D257" t="s">
        <v>131</v>
      </c>
      <c r="E257">
        <v>8</v>
      </c>
      <c r="F257">
        <v>1.2250000000000001</v>
      </c>
      <c r="G257">
        <v>1.8</v>
      </c>
      <c r="H257">
        <f t="shared" si="6"/>
        <v>0.62965000000000004</v>
      </c>
      <c r="I257">
        <f t="shared" si="7"/>
        <v>0.92520000000000002</v>
      </c>
    </row>
    <row r="258" spans="1:9">
      <c r="A258" t="s">
        <v>190</v>
      </c>
      <c r="B258" t="s">
        <v>220</v>
      </c>
      <c r="C258" t="s">
        <v>122</v>
      </c>
      <c r="D258" t="s">
        <v>131</v>
      </c>
      <c r="E258">
        <v>9</v>
      </c>
      <c r="F258">
        <v>1.1000000000000001</v>
      </c>
      <c r="G258">
        <v>1.8</v>
      </c>
      <c r="H258">
        <f t="shared" ref="H258:H321" si="8">F258*0.514</f>
        <v>0.56540000000000001</v>
      </c>
      <c r="I258">
        <f t="shared" ref="I258:I321" si="9">G258*0.514</f>
        <v>0.92520000000000002</v>
      </c>
    </row>
    <row r="259" spans="1:9">
      <c r="A259" t="s">
        <v>190</v>
      </c>
      <c r="B259" t="s">
        <v>220</v>
      </c>
      <c r="C259" t="s">
        <v>122</v>
      </c>
      <c r="D259" t="s">
        <v>131</v>
      </c>
      <c r="E259">
        <v>10</v>
      </c>
      <c r="F259">
        <v>0.875</v>
      </c>
      <c r="G259">
        <v>1.7</v>
      </c>
      <c r="H259">
        <f t="shared" si="8"/>
        <v>0.44974999999999998</v>
      </c>
      <c r="I259">
        <f t="shared" si="9"/>
        <v>0.87380000000000002</v>
      </c>
    </row>
    <row r="260" spans="1:9">
      <c r="A260" t="s">
        <v>190</v>
      </c>
      <c r="B260" t="s">
        <v>220</v>
      </c>
      <c r="C260" t="s">
        <v>122</v>
      </c>
      <c r="D260" t="s">
        <v>131</v>
      </c>
      <c r="E260">
        <v>11</v>
      </c>
      <c r="F260">
        <v>0.79999999999999993</v>
      </c>
      <c r="G260">
        <v>1.7</v>
      </c>
      <c r="H260">
        <f t="shared" si="8"/>
        <v>0.41119999999999995</v>
      </c>
      <c r="I260">
        <f t="shared" si="9"/>
        <v>0.87380000000000002</v>
      </c>
    </row>
    <row r="261" spans="1:9">
      <c r="A261" t="s">
        <v>190</v>
      </c>
      <c r="B261" t="s">
        <v>220</v>
      </c>
      <c r="C261" t="s">
        <v>122</v>
      </c>
      <c r="D261" t="s">
        <v>131</v>
      </c>
      <c r="E261">
        <v>12</v>
      </c>
      <c r="F261">
        <v>1.1333333333333333</v>
      </c>
      <c r="G261">
        <v>1.8</v>
      </c>
      <c r="H261">
        <f t="shared" si="8"/>
        <v>0.58253333333333335</v>
      </c>
      <c r="I261">
        <f t="shared" si="9"/>
        <v>0.92520000000000002</v>
      </c>
    </row>
    <row r="262" spans="1:9">
      <c r="A262" t="s">
        <v>190</v>
      </c>
      <c r="B262" t="s">
        <v>220</v>
      </c>
      <c r="C262" t="s">
        <v>122</v>
      </c>
      <c r="D262" t="s">
        <v>131</v>
      </c>
      <c r="E262">
        <v>13</v>
      </c>
      <c r="F262">
        <v>1.0249999999999999</v>
      </c>
      <c r="G262">
        <v>1.8</v>
      </c>
      <c r="H262">
        <f t="shared" si="8"/>
        <v>0.52684999999999993</v>
      </c>
      <c r="I262">
        <f t="shared" si="9"/>
        <v>0.92520000000000002</v>
      </c>
    </row>
    <row r="263" spans="1:9">
      <c r="A263" t="s">
        <v>190</v>
      </c>
      <c r="B263" t="s">
        <v>220</v>
      </c>
      <c r="C263" t="s">
        <v>122</v>
      </c>
      <c r="D263" t="s">
        <v>131</v>
      </c>
      <c r="E263">
        <v>14</v>
      </c>
      <c r="F263">
        <v>1.125</v>
      </c>
      <c r="G263">
        <v>1.8</v>
      </c>
      <c r="H263">
        <f t="shared" si="8"/>
        <v>0.57825000000000004</v>
      </c>
      <c r="I263">
        <f t="shared" si="9"/>
        <v>0.92520000000000002</v>
      </c>
    </row>
    <row r="264" spans="1:9">
      <c r="A264" t="s">
        <v>190</v>
      </c>
      <c r="B264" t="s">
        <v>220</v>
      </c>
      <c r="C264" t="s">
        <v>122</v>
      </c>
      <c r="D264" t="s">
        <v>131</v>
      </c>
      <c r="E264">
        <v>15</v>
      </c>
      <c r="F264">
        <v>1.25</v>
      </c>
      <c r="G264">
        <v>2</v>
      </c>
      <c r="H264">
        <f t="shared" si="8"/>
        <v>0.64250000000000007</v>
      </c>
      <c r="I264">
        <f t="shared" si="9"/>
        <v>1.028</v>
      </c>
    </row>
    <row r="265" spans="1:9">
      <c r="A265" t="s">
        <v>190</v>
      </c>
      <c r="B265" t="s">
        <v>220</v>
      </c>
      <c r="C265" t="s">
        <v>122</v>
      </c>
      <c r="D265" t="s">
        <v>131</v>
      </c>
      <c r="E265">
        <v>16</v>
      </c>
      <c r="F265">
        <v>1.4749999999999999</v>
      </c>
      <c r="G265">
        <v>2.2000000000000002</v>
      </c>
      <c r="H265">
        <f t="shared" si="8"/>
        <v>0.75814999999999999</v>
      </c>
      <c r="I265">
        <f t="shared" si="9"/>
        <v>1.1308</v>
      </c>
    </row>
    <row r="266" spans="1:9">
      <c r="A266" t="s">
        <v>190</v>
      </c>
      <c r="B266" t="s">
        <v>220</v>
      </c>
      <c r="C266" t="s">
        <v>122</v>
      </c>
      <c r="D266" t="s">
        <v>131</v>
      </c>
      <c r="E266">
        <v>17</v>
      </c>
      <c r="F266">
        <v>1.5999999999999999</v>
      </c>
      <c r="G266">
        <v>2.2999999999999998</v>
      </c>
      <c r="H266">
        <f t="shared" si="8"/>
        <v>0.82239999999999991</v>
      </c>
      <c r="I266">
        <f t="shared" si="9"/>
        <v>1.1821999999999999</v>
      </c>
    </row>
    <row r="267" spans="1:9">
      <c r="A267" t="s">
        <v>190</v>
      </c>
      <c r="B267" t="s">
        <v>220</v>
      </c>
      <c r="C267" t="s">
        <v>122</v>
      </c>
      <c r="D267" t="s">
        <v>131</v>
      </c>
      <c r="E267">
        <v>18</v>
      </c>
      <c r="F267">
        <v>1.75</v>
      </c>
      <c r="G267">
        <v>2.2999999999999998</v>
      </c>
      <c r="H267">
        <f t="shared" si="8"/>
        <v>0.89949999999999997</v>
      </c>
      <c r="I267">
        <f t="shared" si="9"/>
        <v>1.1821999999999999</v>
      </c>
    </row>
    <row r="268" spans="1:9">
      <c r="A268" t="s">
        <v>190</v>
      </c>
      <c r="B268" t="s">
        <v>220</v>
      </c>
      <c r="C268" t="s">
        <v>122</v>
      </c>
      <c r="D268" t="s">
        <v>131</v>
      </c>
      <c r="E268">
        <v>19</v>
      </c>
      <c r="F268">
        <v>1.7666666666666666</v>
      </c>
      <c r="G268">
        <v>2.2999999999999998</v>
      </c>
      <c r="H268">
        <f t="shared" si="8"/>
        <v>0.90806666666666669</v>
      </c>
      <c r="I268">
        <f t="shared" si="9"/>
        <v>1.1821999999999999</v>
      </c>
    </row>
    <row r="269" spans="1:9">
      <c r="A269" t="s">
        <v>190</v>
      </c>
      <c r="B269" t="s">
        <v>220</v>
      </c>
      <c r="C269" t="s">
        <v>122</v>
      </c>
      <c r="D269" t="s">
        <v>131</v>
      </c>
      <c r="E269">
        <v>20</v>
      </c>
      <c r="F269">
        <v>1.7500000000000002</v>
      </c>
      <c r="G269">
        <v>2.2000000000000002</v>
      </c>
      <c r="H269">
        <f t="shared" si="8"/>
        <v>0.89950000000000019</v>
      </c>
      <c r="I269">
        <f t="shared" si="9"/>
        <v>1.1308</v>
      </c>
    </row>
    <row r="270" spans="1:9">
      <c r="A270" t="s">
        <v>190</v>
      </c>
      <c r="B270" t="s">
        <v>220</v>
      </c>
      <c r="C270" t="s">
        <v>122</v>
      </c>
      <c r="D270" t="s">
        <v>131</v>
      </c>
      <c r="E270">
        <v>21</v>
      </c>
      <c r="F270">
        <v>1.7250000000000001</v>
      </c>
      <c r="G270">
        <v>2</v>
      </c>
      <c r="H270">
        <f t="shared" si="8"/>
        <v>0.88665000000000005</v>
      </c>
      <c r="I270">
        <f t="shared" si="9"/>
        <v>1.028</v>
      </c>
    </row>
    <row r="271" spans="1:9">
      <c r="A271" t="s">
        <v>190</v>
      </c>
      <c r="B271" t="s">
        <v>220</v>
      </c>
      <c r="C271" t="s">
        <v>122</v>
      </c>
      <c r="D271" t="s">
        <v>131</v>
      </c>
      <c r="E271">
        <v>22</v>
      </c>
      <c r="F271">
        <v>1.625</v>
      </c>
      <c r="G271">
        <v>2.1</v>
      </c>
      <c r="H271">
        <f t="shared" si="8"/>
        <v>0.83525000000000005</v>
      </c>
      <c r="I271">
        <f t="shared" si="9"/>
        <v>1.0794000000000001</v>
      </c>
    </row>
    <row r="272" spans="1:9">
      <c r="A272" t="s">
        <v>190</v>
      </c>
      <c r="B272" t="s">
        <v>220</v>
      </c>
      <c r="C272" t="s">
        <v>122</v>
      </c>
      <c r="D272" t="s">
        <v>131</v>
      </c>
      <c r="E272">
        <v>23</v>
      </c>
      <c r="F272">
        <v>1.5</v>
      </c>
      <c r="G272">
        <v>2.1</v>
      </c>
      <c r="H272">
        <f t="shared" si="8"/>
        <v>0.77100000000000002</v>
      </c>
      <c r="I272">
        <f t="shared" si="9"/>
        <v>1.0794000000000001</v>
      </c>
    </row>
    <row r="273" spans="1:9">
      <c r="A273" t="s">
        <v>190</v>
      </c>
      <c r="B273" t="s">
        <v>220</v>
      </c>
      <c r="C273" t="s">
        <v>122</v>
      </c>
      <c r="D273" t="s">
        <v>131</v>
      </c>
      <c r="E273">
        <v>24</v>
      </c>
      <c r="F273">
        <v>1.375</v>
      </c>
      <c r="G273">
        <v>2.1</v>
      </c>
      <c r="H273">
        <f t="shared" si="8"/>
        <v>0.70674999999999999</v>
      </c>
      <c r="I273">
        <f t="shared" si="9"/>
        <v>1.0794000000000001</v>
      </c>
    </row>
    <row r="274" spans="1:9">
      <c r="A274" t="s">
        <v>190</v>
      </c>
      <c r="B274" t="s">
        <v>220</v>
      </c>
      <c r="C274" t="s">
        <v>122</v>
      </c>
      <c r="D274" t="s">
        <v>131</v>
      </c>
      <c r="E274">
        <v>25</v>
      </c>
      <c r="F274">
        <v>1.2</v>
      </c>
      <c r="G274">
        <v>2</v>
      </c>
      <c r="H274">
        <f t="shared" si="8"/>
        <v>0.61680000000000001</v>
      </c>
      <c r="I274">
        <f t="shared" si="9"/>
        <v>1.028</v>
      </c>
    </row>
    <row r="275" spans="1:9">
      <c r="A275" t="s">
        <v>190</v>
      </c>
      <c r="B275" t="s">
        <v>220</v>
      </c>
      <c r="C275" t="s">
        <v>122</v>
      </c>
      <c r="D275" t="s">
        <v>131</v>
      </c>
      <c r="E275">
        <v>26</v>
      </c>
      <c r="F275">
        <v>1.175</v>
      </c>
      <c r="G275">
        <v>2</v>
      </c>
      <c r="H275">
        <f t="shared" si="8"/>
        <v>0.60394999999999999</v>
      </c>
      <c r="I275">
        <f t="shared" si="9"/>
        <v>1.028</v>
      </c>
    </row>
    <row r="276" spans="1:9">
      <c r="A276" t="s">
        <v>190</v>
      </c>
      <c r="B276" t="s">
        <v>220</v>
      </c>
      <c r="C276" t="s">
        <v>122</v>
      </c>
      <c r="D276" t="s">
        <v>131</v>
      </c>
      <c r="E276">
        <v>27</v>
      </c>
      <c r="F276">
        <v>1.4666666666666668</v>
      </c>
      <c r="G276">
        <v>2</v>
      </c>
      <c r="H276">
        <f t="shared" si="8"/>
        <v>0.7538666666666668</v>
      </c>
      <c r="I276">
        <f t="shared" si="9"/>
        <v>1.028</v>
      </c>
    </row>
    <row r="277" spans="1:9">
      <c r="A277" t="s">
        <v>190</v>
      </c>
      <c r="B277" t="s">
        <v>220</v>
      </c>
      <c r="C277" t="s">
        <v>122</v>
      </c>
      <c r="D277" t="s">
        <v>131</v>
      </c>
      <c r="E277">
        <v>28</v>
      </c>
      <c r="F277">
        <v>1.325</v>
      </c>
      <c r="G277">
        <v>2</v>
      </c>
      <c r="H277">
        <f t="shared" si="8"/>
        <v>0.68105000000000004</v>
      </c>
      <c r="I277">
        <f t="shared" si="9"/>
        <v>1.028</v>
      </c>
    </row>
    <row r="278" spans="1:9">
      <c r="A278" t="s">
        <v>190</v>
      </c>
      <c r="B278" t="s">
        <v>220</v>
      </c>
      <c r="C278" t="s">
        <v>122</v>
      </c>
      <c r="D278" t="s">
        <v>131</v>
      </c>
      <c r="E278">
        <v>29</v>
      </c>
      <c r="F278">
        <v>1.5250000000000001</v>
      </c>
      <c r="G278">
        <v>2.2000000000000002</v>
      </c>
      <c r="H278">
        <f t="shared" si="8"/>
        <v>0.78385000000000005</v>
      </c>
      <c r="I278">
        <f t="shared" si="9"/>
        <v>1.1308</v>
      </c>
    </row>
    <row r="279" spans="1:9">
      <c r="A279" t="s">
        <v>190</v>
      </c>
      <c r="B279" t="s">
        <v>220</v>
      </c>
      <c r="C279" t="s">
        <v>122</v>
      </c>
      <c r="D279" t="s">
        <v>131</v>
      </c>
      <c r="E279">
        <v>30</v>
      </c>
      <c r="F279">
        <v>1.65</v>
      </c>
      <c r="G279">
        <v>2.2000000000000002</v>
      </c>
      <c r="H279">
        <f t="shared" si="8"/>
        <v>0.84809999999999997</v>
      </c>
      <c r="I279">
        <f t="shared" si="9"/>
        <v>1.1308</v>
      </c>
    </row>
    <row r="280" spans="1:9">
      <c r="A280" t="s">
        <v>190</v>
      </c>
      <c r="B280" t="s">
        <v>220</v>
      </c>
      <c r="C280" t="s">
        <v>122</v>
      </c>
      <c r="D280" t="s">
        <v>131</v>
      </c>
      <c r="E280">
        <v>31</v>
      </c>
      <c r="F280">
        <v>1.8</v>
      </c>
      <c r="G280">
        <v>2.2000000000000002</v>
      </c>
      <c r="H280">
        <f t="shared" si="8"/>
        <v>0.92520000000000002</v>
      </c>
      <c r="I280">
        <f t="shared" si="9"/>
        <v>1.1308</v>
      </c>
    </row>
    <row r="281" spans="1:9">
      <c r="A281" t="s">
        <v>194</v>
      </c>
      <c r="B281" t="s">
        <v>221</v>
      </c>
      <c r="C281" t="s">
        <v>122</v>
      </c>
      <c r="D281" t="s">
        <v>131</v>
      </c>
      <c r="E281">
        <v>1</v>
      </c>
      <c r="F281">
        <v>2.5750000000000002</v>
      </c>
      <c r="G281">
        <v>4.2</v>
      </c>
      <c r="H281">
        <f t="shared" si="8"/>
        <v>1.3235500000000002</v>
      </c>
      <c r="I281">
        <f t="shared" si="9"/>
        <v>2.1588000000000003</v>
      </c>
    </row>
    <row r="282" spans="1:9">
      <c r="A282" t="s">
        <v>194</v>
      </c>
      <c r="B282" t="s">
        <v>221</v>
      </c>
      <c r="C282" t="s">
        <v>122</v>
      </c>
      <c r="D282" t="s">
        <v>131</v>
      </c>
      <c r="E282">
        <v>2</v>
      </c>
      <c r="F282">
        <v>2.75</v>
      </c>
      <c r="G282">
        <v>4.2</v>
      </c>
      <c r="H282">
        <f t="shared" si="8"/>
        <v>1.4135</v>
      </c>
      <c r="I282">
        <f t="shared" si="9"/>
        <v>2.1588000000000003</v>
      </c>
    </row>
    <row r="283" spans="1:9">
      <c r="A283" t="s">
        <v>194</v>
      </c>
      <c r="B283" t="s">
        <v>221</v>
      </c>
      <c r="C283" t="s">
        <v>122</v>
      </c>
      <c r="D283" t="s">
        <v>131</v>
      </c>
      <c r="E283">
        <v>3</v>
      </c>
      <c r="F283">
        <v>2.75</v>
      </c>
      <c r="G283">
        <v>3.9</v>
      </c>
      <c r="H283">
        <f t="shared" si="8"/>
        <v>1.4135</v>
      </c>
      <c r="I283">
        <f t="shared" si="9"/>
        <v>2.0045999999999999</v>
      </c>
    </row>
    <row r="284" spans="1:9">
      <c r="A284" t="s">
        <v>194</v>
      </c>
      <c r="B284" t="s">
        <v>221</v>
      </c>
      <c r="C284" t="s">
        <v>122</v>
      </c>
      <c r="D284" t="s">
        <v>131</v>
      </c>
      <c r="E284">
        <v>4</v>
      </c>
      <c r="F284">
        <v>2.6</v>
      </c>
      <c r="G284">
        <v>3.6</v>
      </c>
      <c r="H284">
        <f t="shared" si="8"/>
        <v>1.3364</v>
      </c>
      <c r="I284">
        <f t="shared" si="9"/>
        <v>1.8504</v>
      </c>
    </row>
    <row r="285" spans="1:9">
      <c r="A285" t="s">
        <v>194</v>
      </c>
      <c r="B285" t="s">
        <v>221</v>
      </c>
      <c r="C285" t="s">
        <v>122</v>
      </c>
      <c r="D285" t="s">
        <v>131</v>
      </c>
      <c r="E285">
        <v>5</v>
      </c>
      <c r="F285">
        <v>2.5750000000000002</v>
      </c>
      <c r="G285">
        <v>3.2</v>
      </c>
      <c r="H285">
        <f t="shared" si="8"/>
        <v>1.3235500000000002</v>
      </c>
      <c r="I285">
        <f t="shared" si="9"/>
        <v>1.6448</v>
      </c>
    </row>
    <row r="286" spans="1:9">
      <c r="A286" t="s">
        <v>194</v>
      </c>
      <c r="B286" t="s">
        <v>221</v>
      </c>
      <c r="C286" t="s">
        <v>122</v>
      </c>
      <c r="D286" t="s">
        <v>131</v>
      </c>
      <c r="E286">
        <v>6</v>
      </c>
      <c r="F286">
        <v>2.35</v>
      </c>
      <c r="G286">
        <v>3.2</v>
      </c>
      <c r="H286">
        <f t="shared" si="8"/>
        <v>1.2079</v>
      </c>
      <c r="I286">
        <f t="shared" si="9"/>
        <v>1.6448</v>
      </c>
    </row>
    <row r="287" spans="1:9">
      <c r="A287" t="s">
        <v>194</v>
      </c>
      <c r="B287" t="s">
        <v>221</v>
      </c>
      <c r="C287" t="s">
        <v>122</v>
      </c>
      <c r="D287" t="s">
        <v>131</v>
      </c>
      <c r="E287">
        <v>7</v>
      </c>
      <c r="F287">
        <v>2.0750000000000002</v>
      </c>
      <c r="G287">
        <v>3.2</v>
      </c>
      <c r="H287">
        <f t="shared" si="8"/>
        <v>1.0665500000000001</v>
      </c>
      <c r="I287">
        <f t="shared" si="9"/>
        <v>1.6448</v>
      </c>
    </row>
    <row r="288" spans="1:9">
      <c r="A288" t="s">
        <v>194</v>
      </c>
      <c r="B288" t="s">
        <v>221</v>
      </c>
      <c r="C288" t="s">
        <v>122</v>
      </c>
      <c r="D288" t="s">
        <v>131</v>
      </c>
      <c r="E288">
        <v>8</v>
      </c>
      <c r="F288">
        <v>1.8250000000000002</v>
      </c>
      <c r="G288">
        <v>3.2</v>
      </c>
      <c r="H288">
        <f t="shared" si="8"/>
        <v>0.93805000000000016</v>
      </c>
      <c r="I288">
        <f t="shared" si="9"/>
        <v>1.6448</v>
      </c>
    </row>
    <row r="289" spans="1:9">
      <c r="A289" t="s">
        <v>194</v>
      </c>
      <c r="B289" t="s">
        <v>221</v>
      </c>
      <c r="C289" t="s">
        <v>122</v>
      </c>
      <c r="D289" t="s">
        <v>131</v>
      </c>
      <c r="E289">
        <v>9</v>
      </c>
      <c r="F289">
        <v>1.575</v>
      </c>
      <c r="G289">
        <v>3.1</v>
      </c>
      <c r="H289">
        <f t="shared" si="8"/>
        <v>0.80954999999999999</v>
      </c>
      <c r="I289">
        <f t="shared" si="9"/>
        <v>1.5934000000000001</v>
      </c>
    </row>
    <row r="290" spans="1:9">
      <c r="A290" t="s">
        <v>194</v>
      </c>
      <c r="B290" t="s">
        <v>221</v>
      </c>
      <c r="C290" t="s">
        <v>122</v>
      </c>
      <c r="D290" t="s">
        <v>131</v>
      </c>
      <c r="E290">
        <v>10</v>
      </c>
      <c r="F290">
        <v>1.325</v>
      </c>
      <c r="G290">
        <v>2.9</v>
      </c>
      <c r="H290">
        <f t="shared" si="8"/>
        <v>0.68105000000000004</v>
      </c>
      <c r="I290">
        <f t="shared" si="9"/>
        <v>1.4905999999999999</v>
      </c>
    </row>
    <row r="291" spans="1:9">
      <c r="A291" t="s">
        <v>194</v>
      </c>
      <c r="B291" t="s">
        <v>221</v>
      </c>
      <c r="C291" t="s">
        <v>122</v>
      </c>
      <c r="D291" t="s">
        <v>131</v>
      </c>
      <c r="E291">
        <v>11</v>
      </c>
      <c r="F291">
        <v>1.2250000000000001</v>
      </c>
      <c r="G291">
        <v>2.9</v>
      </c>
      <c r="H291">
        <f t="shared" si="8"/>
        <v>0.62965000000000004</v>
      </c>
      <c r="I291">
        <f t="shared" si="9"/>
        <v>1.4905999999999999</v>
      </c>
    </row>
    <row r="292" spans="1:9">
      <c r="A292" t="s">
        <v>194</v>
      </c>
      <c r="B292" t="s">
        <v>221</v>
      </c>
      <c r="C292" t="s">
        <v>122</v>
      </c>
      <c r="D292" t="s">
        <v>131</v>
      </c>
      <c r="E292">
        <v>12</v>
      </c>
      <c r="F292">
        <v>1.325</v>
      </c>
      <c r="G292">
        <v>3.1</v>
      </c>
      <c r="H292">
        <f t="shared" si="8"/>
        <v>0.68105000000000004</v>
      </c>
      <c r="I292">
        <f t="shared" si="9"/>
        <v>1.5934000000000001</v>
      </c>
    </row>
    <row r="293" spans="1:9">
      <c r="A293" t="s">
        <v>194</v>
      </c>
      <c r="B293" t="s">
        <v>221</v>
      </c>
      <c r="C293" t="s">
        <v>122</v>
      </c>
      <c r="D293" t="s">
        <v>131</v>
      </c>
      <c r="E293">
        <v>13</v>
      </c>
      <c r="F293">
        <v>1.9666666666666668</v>
      </c>
      <c r="G293">
        <v>3.1</v>
      </c>
      <c r="H293">
        <f t="shared" si="8"/>
        <v>1.0108666666666668</v>
      </c>
      <c r="I293">
        <f t="shared" si="9"/>
        <v>1.5934000000000001</v>
      </c>
    </row>
    <row r="294" spans="1:9">
      <c r="A294" t="s">
        <v>194</v>
      </c>
      <c r="B294" t="s">
        <v>221</v>
      </c>
      <c r="C294" t="s">
        <v>122</v>
      </c>
      <c r="D294" t="s">
        <v>131</v>
      </c>
      <c r="E294">
        <v>14</v>
      </c>
      <c r="F294">
        <v>1.7000000000000002</v>
      </c>
      <c r="G294">
        <v>3.2</v>
      </c>
      <c r="H294">
        <f t="shared" si="8"/>
        <v>0.87380000000000013</v>
      </c>
      <c r="I294">
        <f t="shared" si="9"/>
        <v>1.6448</v>
      </c>
    </row>
    <row r="295" spans="1:9">
      <c r="A295" t="s">
        <v>194</v>
      </c>
      <c r="B295" t="s">
        <v>221</v>
      </c>
      <c r="C295" t="s">
        <v>122</v>
      </c>
      <c r="D295" t="s">
        <v>131</v>
      </c>
      <c r="E295">
        <v>15</v>
      </c>
      <c r="F295">
        <v>1.925</v>
      </c>
      <c r="G295">
        <v>3.2</v>
      </c>
      <c r="H295">
        <f t="shared" si="8"/>
        <v>0.98945000000000005</v>
      </c>
      <c r="I295">
        <f t="shared" si="9"/>
        <v>1.6448</v>
      </c>
    </row>
    <row r="296" spans="1:9">
      <c r="A296" t="s">
        <v>194</v>
      </c>
      <c r="B296" t="s">
        <v>221</v>
      </c>
      <c r="C296" t="s">
        <v>122</v>
      </c>
      <c r="D296" t="s">
        <v>131</v>
      </c>
      <c r="E296">
        <v>16</v>
      </c>
      <c r="F296">
        <v>2.1749999999999998</v>
      </c>
      <c r="G296">
        <v>3.4</v>
      </c>
      <c r="H296">
        <f t="shared" si="8"/>
        <v>1.11795</v>
      </c>
      <c r="I296">
        <f t="shared" si="9"/>
        <v>1.7476</v>
      </c>
    </row>
    <row r="297" spans="1:9">
      <c r="A297" t="s">
        <v>194</v>
      </c>
      <c r="B297" t="s">
        <v>221</v>
      </c>
      <c r="C297" t="s">
        <v>122</v>
      </c>
      <c r="D297" t="s">
        <v>131</v>
      </c>
      <c r="E297">
        <v>17</v>
      </c>
      <c r="F297">
        <v>2.4000000000000004</v>
      </c>
      <c r="G297">
        <v>3.4</v>
      </c>
      <c r="H297">
        <f t="shared" si="8"/>
        <v>1.2336000000000003</v>
      </c>
      <c r="I297">
        <f t="shared" si="9"/>
        <v>1.7476</v>
      </c>
    </row>
    <row r="298" spans="1:9">
      <c r="A298" t="s">
        <v>194</v>
      </c>
      <c r="B298" t="s">
        <v>221</v>
      </c>
      <c r="C298" t="s">
        <v>122</v>
      </c>
      <c r="D298" t="s">
        <v>131</v>
      </c>
      <c r="E298">
        <v>18</v>
      </c>
      <c r="F298">
        <v>2.5750000000000002</v>
      </c>
      <c r="G298">
        <v>3.4</v>
      </c>
      <c r="H298">
        <f t="shared" si="8"/>
        <v>1.3235500000000002</v>
      </c>
      <c r="I298">
        <f t="shared" si="9"/>
        <v>1.7476</v>
      </c>
    </row>
    <row r="299" spans="1:9">
      <c r="A299" t="s">
        <v>194</v>
      </c>
      <c r="B299" t="s">
        <v>221</v>
      </c>
      <c r="C299" t="s">
        <v>122</v>
      </c>
      <c r="D299" t="s">
        <v>131</v>
      </c>
      <c r="E299">
        <v>19</v>
      </c>
      <c r="F299">
        <v>2.625</v>
      </c>
      <c r="G299">
        <v>3.2</v>
      </c>
      <c r="H299">
        <f t="shared" si="8"/>
        <v>1.3492500000000001</v>
      </c>
      <c r="I299">
        <f t="shared" si="9"/>
        <v>1.6448</v>
      </c>
    </row>
    <row r="300" spans="1:9">
      <c r="A300" t="s">
        <v>194</v>
      </c>
      <c r="B300" t="s">
        <v>221</v>
      </c>
      <c r="C300" t="s">
        <v>122</v>
      </c>
      <c r="D300" t="s">
        <v>131</v>
      </c>
      <c r="E300">
        <v>20</v>
      </c>
      <c r="F300">
        <v>2.3333333333333335</v>
      </c>
      <c r="G300">
        <v>2.8</v>
      </c>
      <c r="H300">
        <f t="shared" si="8"/>
        <v>1.1993333333333334</v>
      </c>
      <c r="I300">
        <f t="shared" si="9"/>
        <v>1.4392</v>
      </c>
    </row>
    <row r="301" spans="1:9">
      <c r="A301" t="s">
        <v>194</v>
      </c>
      <c r="B301" t="s">
        <v>221</v>
      </c>
      <c r="C301" t="s">
        <v>122</v>
      </c>
      <c r="D301" t="s">
        <v>131</v>
      </c>
      <c r="E301">
        <v>21</v>
      </c>
      <c r="F301">
        <v>2.4749999999999996</v>
      </c>
      <c r="G301">
        <v>3.5</v>
      </c>
      <c r="H301">
        <f t="shared" si="8"/>
        <v>1.2721499999999999</v>
      </c>
      <c r="I301">
        <f t="shared" si="9"/>
        <v>1.7989999999999999</v>
      </c>
    </row>
    <row r="302" spans="1:9">
      <c r="A302" t="s">
        <v>194</v>
      </c>
      <c r="B302" t="s">
        <v>221</v>
      </c>
      <c r="C302" t="s">
        <v>122</v>
      </c>
      <c r="D302" t="s">
        <v>131</v>
      </c>
      <c r="E302">
        <v>22</v>
      </c>
      <c r="F302">
        <v>2.3499999999999996</v>
      </c>
      <c r="G302">
        <v>3.6</v>
      </c>
      <c r="H302">
        <f t="shared" si="8"/>
        <v>1.2078999999999998</v>
      </c>
      <c r="I302">
        <f t="shared" si="9"/>
        <v>1.8504</v>
      </c>
    </row>
    <row r="303" spans="1:9">
      <c r="A303" t="s">
        <v>194</v>
      </c>
      <c r="B303" t="s">
        <v>221</v>
      </c>
      <c r="C303" t="s">
        <v>122</v>
      </c>
      <c r="D303" t="s">
        <v>131</v>
      </c>
      <c r="E303">
        <v>23</v>
      </c>
      <c r="F303">
        <v>2.1749999999999998</v>
      </c>
      <c r="G303">
        <v>3.6</v>
      </c>
      <c r="H303">
        <f t="shared" si="8"/>
        <v>1.11795</v>
      </c>
      <c r="I303">
        <f t="shared" si="9"/>
        <v>1.8504</v>
      </c>
    </row>
    <row r="304" spans="1:9">
      <c r="A304" t="s">
        <v>194</v>
      </c>
      <c r="B304" t="s">
        <v>221</v>
      </c>
      <c r="C304" t="s">
        <v>122</v>
      </c>
      <c r="D304" t="s">
        <v>131</v>
      </c>
      <c r="E304">
        <v>24</v>
      </c>
      <c r="F304">
        <v>1.9749999999999999</v>
      </c>
      <c r="G304">
        <v>3.6</v>
      </c>
      <c r="H304">
        <f t="shared" si="8"/>
        <v>1.01515</v>
      </c>
      <c r="I304">
        <f t="shared" si="9"/>
        <v>1.8504</v>
      </c>
    </row>
    <row r="305" spans="1:9">
      <c r="A305" t="s">
        <v>194</v>
      </c>
      <c r="B305" t="s">
        <v>221</v>
      </c>
      <c r="C305" t="s">
        <v>122</v>
      </c>
      <c r="D305" t="s">
        <v>131</v>
      </c>
      <c r="E305">
        <v>25</v>
      </c>
      <c r="F305">
        <v>1.7249999999999999</v>
      </c>
      <c r="G305">
        <v>3.5</v>
      </c>
      <c r="H305">
        <f t="shared" si="8"/>
        <v>0.88664999999999994</v>
      </c>
      <c r="I305">
        <f t="shared" si="9"/>
        <v>1.7989999999999999</v>
      </c>
    </row>
    <row r="306" spans="1:9">
      <c r="A306" t="s">
        <v>194</v>
      </c>
      <c r="B306" t="s">
        <v>221</v>
      </c>
      <c r="C306" t="s">
        <v>122</v>
      </c>
      <c r="D306" t="s">
        <v>131</v>
      </c>
      <c r="E306">
        <v>26</v>
      </c>
      <c r="F306">
        <v>1.7249999999999999</v>
      </c>
      <c r="G306">
        <v>3.5</v>
      </c>
      <c r="H306">
        <f t="shared" si="8"/>
        <v>0.88664999999999994</v>
      </c>
      <c r="I306">
        <f t="shared" si="9"/>
        <v>1.7989999999999999</v>
      </c>
    </row>
    <row r="307" spans="1:9">
      <c r="A307" t="s">
        <v>194</v>
      </c>
      <c r="B307" t="s">
        <v>221</v>
      </c>
      <c r="C307" t="s">
        <v>122</v>
      </c>
      <c r="D307" t="s">
        <v>131</v>
      </c>
      <c r="E307">
        <v>27</v>
      </c>
      <c r="F307">
        <v>2.2666666666666666</v>
      </c>
      <c r="G307">
        <v>3.5</v>
      </c>
      <c r="H307">
        <f t="shared" si="8"/>
        <v>1.1650666666666667</v>
      </c>
      <c r="I307">
        <f t="shared" si="9"/>
        <v>1.7989999999999999</v>
      </c>
    </row>
    <row r="308" spans="1:9">
      <c r="A308" t="s">
        <v>194</v>
      </c>
      <c r="B308" t="s">
        <v>221</v>
      </c>
      <c r="C308" t="s">
        <v>122</v>
      </c>
      <c r="D308" t="s">
        <v>131</v>
      </c>
      <c r="E308">
        <v>28</v>
      </c>
      <c r="F308">
        <v>1.9749999999999999</v>
      </c>
      <c r="G308">
        <v>3.5</v>
      </c>
      <c r="H308">
        <f t="shared" si="8"/>
        <v>1.01515</v>
      </c>
      <c r="I308">
        <f t="shared" si="9"/>
        <v>1.7989999999999999</v>
      </c>
    </row>
    <row r="309" spans="1:9">
      <c r="A309" t="s">
        <v>194</v>
      </c>
      <c r="B309" t="s">
        <v>221</v>
      </c>
      <c r="C309" t="s">
        <v>122</v>
      </c>
      <c r="D309" t="s">
        <v>131</v>
      </c>
      <c r="E309">
        <v>29</v>
      </c>
      <c r="F309">
        <v>2.2250000000000001</v>
      </c>
      <c r="G309">
        <v>3.5</v>
      </c>
      <c r="H309">
        <f t="shared" si="8"/>
        <v>1.1436500000000001</v>
      </c>
      <c r="I309">
        <f t="shared" si="9"/>
        <v>1.7989999999999999</v>
      </c>
    </row>
    <row r="310" spans="1:9">
      <c r="A310" t="s">
        <v>194</v>
      </c>
      <c r="B310" t="s">
        <v>221</v>
      </c>
      <c r="C310" t="s">
        <v>122</v>
      </c>
      <c r="D310" t="s">
        <v>131</v>
      </c>
      <c r="E310">
        <v>30</v>
      </c>
      <c r="F310">
        <v>2.4500000000000002</v>
      </c>
      <c r="G310">
        <v>3.5</v>
      </c>
      <c r="H310">
        <f t="shared" si="8"/>
        <v>1.2593000000000001</v>
      </c>
      <c r="I310">
        <f t="shared" si="9"/>
        <v>1.7989999999999999</v>
      </c>
    </row>
    <row r="311" spans="1:9">
      <c r="A311" t="s">
        <v>194</v>
      </c>
      <c r="B311" t="s">
        <v>221</v>
      </c>
      <c r="C311" t="s">
        <v>122</v>
      </c>
      <c r="D311" t="s">
        <v>131</v>
      </c>
      <c r="E311">
        <v>31</v>
      </c>
      <c r="F311">
        <v>2.6500000000000004</v>
      </c>
      <c r="G311">
        <v>3.5</v>
      </c>
      <c r="H311">
        <f t="shared" si="8"/>
        <v>1.3621000000000003</v>
      </c>
      <c r="I311">
        <f t="shared" si="9"/>
        <v>1.7989999999999999</v>
      </c>
    </row>
    <row r="312" spans="1:9">
      <c r="A312" t="s">
        <v>137</v>
      </c>
      <c r="B312" t="s">
        <v>222</v>
      </c>
      <c r="C312" t="s">
        <v>18</v>
      </c>
      <c r="D312" t="s">
        <v>138</v>
      </c>
      <c r="E312">
        <v>1</v>
      </c>
      <c r="F312">
        <v>0.85</v>
      </c>
      <c r="G312">
        <v>1.2</v>
      </c>
      <c r="H312">
        <f t="shared" si="8"/>
        <v>0.43690000000000001</v>
      </c>
      <c r="I312">
        <f t="shared" si="9"/>
        <v>0.61680000000000001</v>
      </c>
    </row>
    <row r="313" spans="1:9">
      <c r="A313" t="s">
        <v>137</v>
      </c>
      <c r="B313" t="s">
        <v>222</v>
      </c>
      <c r="C313" t="s">
        <v>18</v>
      </c>
      <c r="D313" t="s">
        <v>138</v>
      </c>
      <c r="E313">
        <v>2</v>
      </c>
      <c r="F313">
        <v>0.82499999999999996</v>
      </c>
      <c r="G313">
        <v>1.1000000000000001</v>
      </c>
      <c r="H313">
        <f t="shared" si="8"/>
        <v>0.42404999999999998</v>
      </c>
      <c r="I313">
        <f t="shared" si="9"/>
        <v>0.56540000000000001</v>
      </c>
    </row>
    <row r="314" spans="1:9">
      <c r="A314" t="s">
        <v>137</v>
      </c>
      <c r="B314" t="s">
        <v>222</v>
      </c>
      <c r="C314" t="s">
        <v>18</v>
      </c>
      <c r="D314" t="s">
        <v>138</v>
      </c>
      <c r="E314">
        <v>3</v>
      </c>
      <c r="F314">
        <v>0.79999999999999993</v>
      </c>
      <c r="G314">
        <v>1.1000000000000001</v>
      </c>
      <c r="H314">
        <f t="shared" si="8"/>
        <v>0.41119999999999995</v>
      </c>
      <c r="I314">
        <f t="shared" si="9"/>
        <v>0.56540000000000001</v>
      </c>
    </row>
    <row r="315" spans="1:9">
      <c r="A315" t="s">
        <v>137</v>
      </c>
      <c r="B315" t="s">
        <v>222</v>
      </c>
      <c r="C315" t="s">
        <v>18</v>
      </c>
      <c r="D315" t="s">
        <v>138</v>
      </c>
      <c r="E315">
        <v>4</v>
      </c>
      <c r="F315">
        <v>0.72499999999999998</v>
      </c>
      <c r="G315">
        <v>0.9</v>
      </c>
      <c r="H315">
        <f t="shared" si="8"/>
        <v>0.37264999999999998</v>
      </c>
      <c r="I315">
        <f t="shared" si="9"/>
        <v>0.46260000000000001</v>
      </c>
    </row>
    <row r="316" spans="1:9">
      <c r="A316" t="s">
        <v>137</v>
      </c>
      <c r="B316" t="s">
        <v>222</v>
      </c>
      <c r="C316" t="s">
        <v>18</v>
      </c>
      <c r="D316" t="s">
        <v>138</v>
      </c>
      <c r="E316">
        <v>5</v>
      </c>
      <c r="F316">
        <v>0.65000000000000013</v>
      </c>
      <c r="G316">
        <v>0.8</v>
      </c>
      <c r="H316">
        <f t="shared" si="8"/>
        <v>0.33410000000000006</v>
      </c>
      <c r="I316">
        <f t="shared" si="9"/>
        <v>0.41120000000000001</v>
      </c>
    </row>
    <row r="317" spans="1:9">
      <c r="A317" t="s">
        <v>137</v>
      </c>
      <c r="B317" t="s">
        <v>222</v>
      </c>
      <c r="C317" t="s">
        <v>18</v>
      </c>
      <c r="D317" t="s">
        <v>138</v>
      </c>
      <c r="E317">
        <v>6</v>
      </c>
      <c r="F317">
        <v>0.5</v>
      </c>
      <c r="G317">
        <v>0.6</v>
      </c>
      <c r="H317">
        <f t="shared" si="8"/>
        <v>0.25700000000000001</v>
      </c>
      <c r="I317">
        <f t="shared" si="9"/>
        <v>0.30840000000000001</v>
      </c>
    </row>
    <row r="318" spans="1:9">
      <c r="A318" t="s">
        <v>137</v>
      </c>
      <c r="B318" t="s">
        <v>222</v>
      </c>
      <c r="C318" t="s">
        <v>18</v>
      </c>
      <c r="D318" t="s">
        <v>138</v>
      </c>
      <c r="E318">
        <v>7</v>
      </c>
      <c r="F318">
        <v>0.5</v>
      </c>
      <c r="G318">
        <v>0.8</v>
      </c>
      <c r="H318">
        <f t="shared" si="8"/>
        <v>0.25700000000000001</v>
      </c>
      <c r="I318">
        <f t="shared" si="9"/>
        <v>0.41120000000000001</v>
      </c>
    </row>
    <row r="319" spans="1:9">
      <c r="A319" t="s">
        <v>137</v>
      </c>
      <c r="B319" t="s">
        <v>222</v>
      </c>
      <c r="C319" t="s">
        <v>18</v>
      </c>
      <c r="D319" t="s">
        <v>138</v>
      </c>
      <c r="E319">
        <v>8</v>
      </c>
      <c r="F319">
        <v>0.45000000000000007</v>
      </c>
      <c r="G319">
        <v>0.8</v>
      </c>
      <c r="H319">
        <f t="shared" si="8"/>
        <v>0.23130000000000003</v>
      </c>
      <c r="I319">
        <f t="shared" si="9"/>
        <v>0.41120000000000001</v>
      </c>
    </row>
    <row r="320" spans="1:9">
      <c r="A320" t="s">
        <v>137</v>
      </c>
      <c r="B320" t="s">
        <v>222</v>
      </c>
      <c r="C320" t="s">
        <v>18</v>
      </c>
      <c r="D320" t="s">
        <v>138</v>
      </c>
      <c r="E320">
        <v>9</v>
      </c>
      <c r="F320">
        <v>0.4</v>
      </c>
      <c r="G320">
        <v>0.7</v>
      </c>
      <c r="H320">
        <f t="shared" si="8"/>
        <v>0.2056</v>
      </c>
      <c r="I320">
        <f t="shared" si="9"/>
        <v>0.35980000000000001</v>
      </c>
    </row>
    <row r="321" spans="1:9">
      <c r="A321" t="s">
        <v>137</v>
      </c>
      <c r="B321" t="s">
        <v>222</v>
      </c>
      <c r="C321" t="s">
        <v>18</v>
      </c>
      <c r="D321" t="s">
        <v>138</v>
      </c>
      <c r="E321">
        <v>10</v>
      </c>
      <c r="F321">
        <v>0.4</v>
      </c>
      <c r="G321">
        <v>0.7</v>
      </c>
      <c r="H321">
        <f t="shared" si="8"/>
        <v>0.2056</v>
      </c>
      <c r="I321">
        <f t="shared" si="9"/>
        <v>0.35980000000000001</v>
      </c>
    </row>
    <row r="322" spans="1:9">
      <c r="A322" t="s">
        <v>137</v>
      </c>
      <c r="B322" t="s">
        <v>222</v>
      </c>
      <c r="C322" t="s">
        <v>18</v>
      </c>
      <c r="D322" t="s">
        <v>138</v>
      </c>
      <c r="E322">
        <v>11</v>
      </c>
      <c r="F322">
        <v>0.42499999999999999</v>
      </c>
      <c r="G322">
        <v>0.7</v>
      </c>
      <c r="H322">
        <f t="shared" ref="H322:H385" si="10">F322*0.514</f>
        <v>0.21845000000000001</v>
      </c>
      <c r="I322">
        <f t="shared" ref="I322:I385" si="11">G322*0.514</f>
        <v>0.35980000000000001</v>
      </c>
    </row>
    <row r="323" spans="1:9">
      <c r="A323" t="s">
        <v>137</v>
      </c>
      <c r="B323" t="s">
        <v>222</v>
      </c>
      <c r="C323" t="s">
        <v>18</v>
      </c>
      <c r="D323" t="s">
        <v>138</v>
      </c>
      <c r="E323">
        <v>12</v>
      </c>
      <c r="F323">
        <v>0.49999999999999994</v>
      </c>
      <c r="G323">
        <v>0.8</v>
      </c>
      <c r="H323">
        <f t="shared" si="10"/>
        <v>0.25699999999999995</v>
      </c>
      <c r="I323">
        <f t="shared" si="11"/>
        <v>0.41120000000000001</v>
      </c>
    </row>
    <row r="324" spans="1:9">
      <c r="A324" t="s">
        <v>137</v>
      </c>
      <c r="B324" t="s">
        <v>222</v>
      </c>
      <c r="C324" t="s">
        <v>18</v>
      </c>
      <c r="D324" t="s">
        <v>138</v>
      </c>
      <c r="E324">
        <v>13</v>
      </c>
      <c r="F324">
        <v>0.6333333333333333</v>
      </c>
      <c r="G324">
        <v>0.8</v>
      </c>
      <c r="H324">
        <f t="shared" si="10"/>
        <v>0.32553333333333334</v>
      </c>
      <c r="I324">
        <f t="shared" si="11"/>
        <v>0.41120000000000001</v>
      </c>
    </row>
    <row r="325" spans="1:9">
      <c r="A325" t="s">
        <v>137</v>
      </c>
      <c r="B325" t="s">
        <v>222</v>
      </c>
      <c r="C325" t="s">
        <v>18</v>
      </c>
      <c r="D325" t="s">
        <v>138</v>
      </c>
      <c r="E325">
        <v>14</v>
      </c>
      <c r="F325">
        <v>0.6</v>
      </c>
      <c r="G325">
        <v>0.9</v>
      </c>
      <c r="H325">
        <f t="shared" si="10"/>
        <v>0.30840000000000001</v>
      </c>
      <c r="I325">
        <f t="shared" si="11"/>
        <v>0.46260000000000001</v>
      </c>
    </row>
    <row r="326" spans="1:9">
      <c r="A326" t="s">
        <v>137</v>
      </c>
      <c r="B326" t="s">
        <v>222</v>
      </c>
      <c r="C326" t="s">
        <v>18</v>
      </c>
      <c r="D326" t="s">
        <v>138</v>
      </c>
      <c r="E326">
        <v>15</v>
      </c>
      <c r="F326">
        <v>0.64999999999999991</v>
      </c>
      <c r="G326">
        <v>0.9</v>
      </c>
      <c r="H326">
        <f t="shared" si="10"/>
        <v>0.33409999999999995</v>
      </c>
      <c r="I326">
        <f t="shared" si="11"/>
        <v>0.46260000000000001</v>
      </c>
    </row>
    <row r="327" spans="1:9">
      <c r="A327" t="s">
        <v>137</v>
      </c>
      <c r="B327" t="s">
        <v>222</v>
      </c>
      <c r="C327" t="s">
        <v>18</v>
      </c>
      <c r="D327" t="s">
        <v>138</v>
      </c>
      <c r="E327">
        <v>16</v>
      </c>
      <c r="F327">
        <v>0.72500000000000009</v>
      </c>
      <c r="G327">
        <v>1</v>
      </c>
      <c r="H327">
        <f t="shared" si="10"/>
        <v>0.37265000000000004</v>
      </c>
      <c r="I327">
        <f t="shared" si="11"/>
        <v>0.51400000000000001</v>
      </c>
    </row>
    <row r="328" spans="1:9">
      <c r="A328" t="s">
        <v>137</v>
      </c>
      <c r="B328" t="s">
        <v>222</v>
      </c>
      <c r="C328" t="s">
        <v>18</v>
      </c>
      <c r="D328" t="s">
        <v>138</v>
      </c>
      <c r="E328">
        <v>17</v>
      </c>
      <c r="F328">
        <v>0.77500000000000002</v>
      </c>
      <c r="G328">
        <v>1</v>
      </c>
      <c r="H328">
        <f t="shared" si="10"/>
        <v>0.39835000000000004</v>
      </c>
      <c r="I328">
        <f t="shared" si="11"/>
        <v>0.51400000000000001</v>
      </c>
    </row>
    <row r="329" spans="1:9">
      <c r="A329" t="s">
        <v>137</v>
      </c>
      <c r="B329" t="s">
        <v>222</v>
      </c>
      <c r="C329" t="s">
        <v>18</v>
      </c>
      <c r="D329" t="s">
        <v>138</v>
      </c>
      <c r="E329">
        <v>18</v>
      </c>
      <c r="F329">
        <v>0.82499999999999996</v>
      </c>
      <c r="G329">
        <v>1</v>
      </c>
      <c r="H329">
        <f t="shared" si="10"/>
        <v>0.42404999999999998</v>
      </c>
      <c r="I329">
        <f t="shared" si="11"/>
        <v>0.51400000000000001</v>
      </c>
    </row>
    <row r="330" spans="1:9">
      <c r="A330" t="s">
        <v>137</v>
      </c>
      <c r="B330" t="s">
        <v>222</v>
      </c>
      <c r="C330" t="s">
        <v>18</v>
      </c>
      <c r="D330" t="s">
        <v>138</v>
      </c>
      <c r="E330">
        <v>19</v>
      </c>
      <c r="F330">
        <v>0.8</v>
      </c>
      <c r="G330">
        <v>1</v>
      </c>
      <c r="H330">
        <f t="shared" si="10"/>
        <v>0.41120000000000001</v>
      </c>
      <c r="I330">
        <f t="shared" si="11"/>
        <v>0.51400000000000001</v>
      </c>
    </row>
    <row r="331" spans="1:9">
      <c r="A331" t="s">
        <v>137</v>
      </c>
      <c r="B331" t="s">
        <v>222</v>
      </c>
      <c r="C331" t="s">
        <v>18</v>
      </c>
      <c r="D331" t="s">
        <v>138</v>
      </c>
      <c r="E331">
        <v>20</v>
      </c>
      <c r="F331">
        <v>0.75</v>
      </c>
      <c r="G331">
        <v>1</v>
      </c>
      <c r="H331">
        <f t="shared" si="10"/>
        <v>0.38550000000000001</v>
      </c>
      <c r="I331">
        <f t="shared" si="11"/>
        <v>0.51400000000000001</v>
      </c>
    </row>
    <row r="332" spans="1:9">
      <c r="A332" t="s">
        <v>137</v>
      </c>
      <c r="B332" t="s">
        <v>222</v>
      </c>
      <c r="C332" t="s">
        <v>18</v>
      </c>
      <c r="D332" t="s">
        <v>138</v>
      </c>
      <c r="E332">
        <v>21</v>
      </c>
      <c r="F332">
        <v>0.72499999999999998</v>
      </c>
      <c r="G332">
        <v>1</v>
      </c>
      <c r="H332">
        <f t="shared" si="10"/>
        <v>0.37264999999999998</v>
      </c>
      <c r="I332">
        <f t="shared" si="11"/>
        <v>0.51400000000000001</v>
      </c>
    </row>
    <row r="333" spans="1:9">
      <c r="A333" t="s">
        <v>137</v>
      </c>
      <c r="B333" t="s">
        <v>222</v>
      </c>
      <c r="C333" t="s">
        <v>18</v>
      </c>
      <c r="D333" t="s">
        <v>138</v>
      </c>
      <c r="E333">
        <v>22</v>
      </c>
      <c r="F333">
        <v>0.56666666666666665</v>
      </c>
      <c r="G333">
        <v>0.6</v>
      </c>
      <c r="H333">
        <f t="shared" si="10"/>
        <v>0.29126666666666667</v>
      </c>
      <c r="I333">
        <f t="shared" si="11"/>
        <v>0.30840000000000001</v>
      </c>
    </row>
    <row r="334" spans="1:9">
      <c r="A334" t="s">
        <v>137</v>
      </c>
      <c r="B334" t="s">
        <v>222</v>
      </c>
      <c r="C334" t="s">
        <v>18</v>
      </c>
      <c r="D334" t="s">
        <v>138</v>
      </c>
      <c r="E334">
        <v>23</v>
      </c>
      <c r="F334">
        <v>0.625</v>
      </c>
      <c r="G334">
        <v>1</v>
      </c>
      <c r="H334">
        <f t="shared" si="10"/>
        <v>0.32125000000000004</v>
      </c>
      <c r="I334">
        <f t="shared" si="11"/>
        <v>0.51400000000000001</v>
      </c>
    </row>
    <row r="335" spans="1:9">
      <c r="A335" t="s">
        <v>137</v>
      </c>
      <c r="B335" t="s">
        <v>222</v>
      </c>
      <c r="C335" t="s">
        <v>18</v>
      </c>
      <c r="D335" t="s">
        <v>138</v>
      </c>
      <c r="E335">
        <v>24</v>
      </c>
      <c r="F335">
        <v>0.54999999999999993</v>
      </c>
      <c r="G335">
        <v>0.9</v>
      </c>
      <c r="H335">
        <f t="shared" si="10"/>
        <v>0.28269999999999995</v>
      </c>
      <c r="I335">
        <f t="shared" si="11"/>
        <v>0.46260000000000001</v>
      </c>
    </row>
    <row r="336" spans="1:9">
      <c r="A336" t="s">
        <v>137</v>
      </c>
      <c r="B336" t="s">
        <v>222</v>
      </c>
      <c r="C336" t="s">
        <v>18</v>
      </c>
      <c r="D336" t="s">
        <v>138</v>
      </c>
      <c r="E336">
        <v>25</v>
      </c>
      <c r="F336">
        <v>0.55000000000000004</v>
      </c>
      <c r="G336">
        <v>0.9</v>
      </c>
      <c r="H336">
        <f t="shared" si="10"/>
        <v>0.28270000000000001</v>
      </c>
      <c r="I336">
        <f t="shared" si="11"/>
        <v>0.46260000000000001</v>
      </c>
    </row>
    <row r="337" spans="1:9">
      <c r="A337" t="s">
        <v>137</v>
      </c>
      <c r="B337" t="s">
        <v>222</v>
      </c>
      <c r="C337" t="s">
        <v>18</v>
      </c>
      <c r="D337" t="s">
        <v>138</v>
      </c>
      <c r="E337">
        <v>26</v>
      </c>
      <c r="F337">
        <v>0.625</v>
      </c>
      <c r="G337">
        <v>0.9</v>
      </c>
      <c r="H337">
        <f t="shared" si="10"/>
        <v>0.32125000000000004</v>
      </c>
      <c r="I337">
        <f t="shared" si="11"/>
        <v>0.46260000000000001</v>
      </c>
    </row>
    <row r="338" spans="1:9">
      <c r="A338" t="s">
        <v>137</v>
      </c>
      <c r="B338" t="s">
        <v>222</v>
      </c>
      <c r="C338" t="s">
        <v>18</v>
      </c>
      <c r="D338" t="s">
        <v>138</v>
      </c>
      <c r="E338">
        <v>27</v>
      </c>
      <c r="F338">
        <v>0.83333333333333337</v>
      </c>
      <c r="G338">
        <v>1</v>
      </c>
      <c r="H338">
        <f t="shared" si="10"/>
        <v>0.42833333333333334</v>
      </c>
      <c r="I338">
        <f t="shared" si="11"/>
        <v>0.51400000000000001</v>
      </c>
    </row>
    <row r="339" spans="1:9">
      <c r="A339" t="s">
        <v>137</v>
      </c>
      <c r="B339" t="s">
        <v>222</v>
      </c>
      <c r="C339" t="s">
        <v>18</v>
      </c>
      <c r="D339" t="s">
        <v>138</v>
      </c>
      <c r="E339">
        <v>28</v>
      </c>
      <c r="F339">
        <v>0.72500000000000009</v>
      </c>
      <c r="G339">
        <v>1</v>
      </c>
      <c r="H339">
        <f t="shared" si="10"/>
        <v>0.37265000000000004</v>
      </c>
      <c r="I339">
        <f t="shared" si="11"/>
        <v>0.51400000000000001</v>
      </c>
    </row>
    <row r="340" spans="1:9">
      <c r="A340" t="s">
        <v>137</v>
      </c>
      <c r="B340" t="s">
        <v>222</v>
      </c>
      <c r="C340" t="s">
        <v>18</v>
      </c>
      <c r="D340" t="s">
        <v>138</v>
      </c>
      <c r="E340">
        <v>29</v>
      </c>
      <c r="F340">
        <v>0.77500000000000002</v>
      </c>
      <c r="G340">
        <v>1</v>
      </c>
      <c r="H340">
        <f t="shared" si="10"/>
        <v>0.39835000000000004</v>
      </c>
      <c r="I340">
        <f t="shared" si="11"/>
        <v>0.51400000000000001</v>
      </c>
    </row>
    <row r="341" spans="1:9">
      <c r="A341" t="s">
        <v>137</v>
      </c>
      <c r="B341" t="s">
        <v>222</v>
      </c>
      <c r="C341" t="s">
        <v>18</v>
      </c>
      <c r="D341" t="s">
        <v>138</v>
      </c>
      <c r="E341">
        <v>30</v>
      </c>
      <c r="F341">
        <v>0.79999999999999993</v>
      </c>
      <c r="G341">
        <v>1</v>
      </c>
      <c r="H341">
        <f t="shared" si="10"/>
        <v>0.41119999999999995</v>
      </c>
      <c r="I341">
        <f t="shared" si="11"/>
        <v>0.51400000000000001</v>
      </c>
    </row>
    <row r="342" spans="1:9">
      <c r="A342" t="s">
        <v>137</v>
      </c>
      <c r="B342" t="s">
        <v>222</v>
      </c>
      <c r="C342" t="s">
        <v>18</v>
      </c>
      <c r="D342" t="s">
        <v>138</v>
      </c>
      <c r="E342">
        <v>31</v>
      </c>
      <c r="F342">
        <v>0.8</v>
      </c>
      <c r="G342">
        <v>1</v>
      </c>
      <c r="H342">
        <f t="shared" si="10"/>
        <v>0.41120000000000001</v>
      </c>
      <c r="I342">
        <f t="shared" si="11"/>
        <v>0.51400000000000001</v>
      </c>
    </row>
    <row r="343" spans="1:9">
      <c r="A343" t="s">
        <v>186</v>
      </c>
      <c r="B343" t="s">
        <v>223</v>
      </c>
      <c r="C343" t="s">
        <v>18</v>
      </c>
      <c r="D343" t="s">
        <v>131</v>
      </c>
      <c r="E343">
        <v>1</v>
      </c>
      <c r="F343">
        <v>0.87500000000000011</v>
      </c>
      <c r="G343">
        <v>1.3</v>
      </c>
      <c r="H343">
        <f t="shared" si="10"/>
        <v>0.44975000000000009</v>
      </c>
      <c r="I343">
        <f t="shared" si="11"/>
        <v>0.66820000000000002</v>
      </c>
    </row>
    <row r="344" spans="1:9">
      <c r="A344" t="s">
        <v>186</v>
      </c>
      <c r="B344" t="s">
        <v>223</v>
      </c>
      <c r="C344" t="s">
        <v>18</v>
      </c>
      <c r="D344" t="s">
        <v>131</v>
      </c>
      <c r="E344">
        <v>2</v>
      </c>
      <c r="F344">
        <v>0.92500000000000004</v>
      </c>
      <c r="G344">
        <v>1.3</v>
      </c>
      <c r="H344">
        <f t="shared" si="10"/>
        <v>0.47545000000000004</v>
      </c>
      <c r="I344">
        <f t="shared" si="11"/>
        <v>0.66820000000000002</v>
      </c>
    </row>
    <row r="345" spans="1:9">
      <c r="A345" t="s">
        <v>186</v>
      </c>
      <c r="B345" t="s">
        <v>223</v>
      </c>
      <c r="C345" t="s">
        <v>18</v>
      </c>
      <c r="D345" t="s">
        <v>131</v>
      </c>
      <c r="E345">
        <v>3</v>
      </c>
      <c r="F345">
        <v>0.92500000000000004</v>
      </c>
      <c r="G345">
        <v>1.3</v>
      </c>
      <c r="H345">
        <f t="shared" si="10"/>
        <v>0.47545000000000004</v>
      </c>
      <c r="I345">
        <f t="shared" si="11"/>
        <v>0.66820000000000002</v>
      </c>
    </row>
    <row r="346" spans="1:9">
      <c r="A346" t="s">
        <v>186</v>
      </c>
      <c r="B346" t="s">
        <v>223</v>
      </c>
      <c r="C346" t="s">
        <v>18</v>
      </c>
      <c r="D346" t="s">
        <v>131</v>
      </c>
      <c r="E346">
        <v>4</v>
      </c>
      <c r="F346">
        <v>0.93333333333333324</v>
      </c>
      <c r="G346">
        <v>1.3</v>
      </c>
      <c r="H346">
        <f t="shared" si="10"/>
        <v>0.47973333333333329</v>
      </c>
      <c r="I346">
        <f t="shared" si="11"/>
        <v>0.66820000000000002</v>
      </c>
    </row>
    <row r="347" spans="1:9">
      <c r="A347" t="s">
        <v>186</v>
      </c>
      <c r="B347" t="s">
        <v>223</v>
      </c>
      <c r="C347" t="s">
        <v>18</v>
      </c>
      <c r="D347" t="s">
        <v>131</v>
      </c>
      <c r="E347">
        <v>5</v>
      </c>
      <c r="F347">
        <v>0.85</v>
      </c>
      <c r="G347">
        <v>1.1000000000000001</v>
      </c>
      <c r="H347">
        <f t="shared" si="10"/>
        <v>0.43690000000000001</v>
      </c>
      <c r="I347">
        <f t="shared" si="11"/>
        <v>0.56540000000000001</v>
      </c>
    </row>
    <row r="348" spans="1:9">
      <c r="A348" t="s">
        <v>186</v>
      </c>
      <c r="B348" t="s">
        <v>223</v>
      </c>
      <c r="C348" t="s">
        <v>18</v>
      </c>
      <c r="D348" t="s">
        <v>131</v>
      </c>
      <c r="E348">
        <v>6</v>
      </c>
      <c r="F348">
        <v>0.77499999999999991</v>
      </c>
      <c r="G348">
        <v>1</v>
      </c>
      <c r="H348">
        <f t="shared" si="10"/>
        <v>0.39834999999999998</v>
      </c>
      <c r="I348">
        <f t="shared" si="11"/>
        <v>0.51400000000000001</v>
      </c>
    </row>
    <row r="349" spans="1:9">
      <c r="A349" t="s">
        <v>186</v>
      </c>
      <c r="B349" t="s">
        <v>223</v>
      </c>
      <c r="C349" t="s">
        <v>18</v>
      </c>
      <c r="D349" t="s">
        <v>131</v>
      </c>
      <c r="E349">
        <v>7</v>
      </c>
      <c r="F349">
        <v>0.67500000000000004</v>
      </c>
      <c r="G349">
        <v>0.9</v>
      </c>
      <c r="H349">
        <f t="shared" si="10"/>
        <v>0.34695000000000004</v>
      </c>
      <c r="I349">
        <f t="shared" si="11"/>
        <v>0.46260000000000001</v>
      </c>
    </row>
    <row r="350" spans="1:9">
      <c r="A350" t="s">
        <v>186</v>
      </c>
      <c r="B350" t="s">
        <v>223</v>
      </c>
      <c r="C350" t="s">
        <v>18</v>
      </c>
      <c r="D350" t="s">
        <v>131</v>
      </c>
      <c r="E350">
        <v>8</v>
      </c>
      <c r="F350">
        <v>0.625</v>
      </c>
      <c r="G350">
        <v>0.9</v>
      </c>
      <c r="H350">
        <f t="shared" si="10"/>
        <v>0.32125000000000004</v>
      </c>
      <c r="I350">
        <f t="shared" si="11"/>
        <v>0.46260000000000001</v>
      </c>
    </row>
    <row r="351" spans="1:9">
      <c r="A351" t="s">
        <v>186</v>
      </c>
      <c r="B351" t="s">
        <v>223</v>
      </c>
      <c r="C351" t="s">
        <v>18</v>
      </c>
      <c r="D351" t="s">
        <v>131</v>
      </c>
      <c r="E351">
        <v>9</v>
      </c>
      <c r="F351">
        <v>0.52499999999999991</v>
      </c>
      <c r="G351">
        <v>0.9</v>
      </c>
      <c r="H351">
        <f t="shared" si="10"/>
        <v>0.26984999999999998</v>
      </c>
      <c r="I351">
        <f t="shared" si="11"/>
        <v>0.46260000000000001</v>
      </c>
    </row>
    <row r="352" spans="1:9">
      <c r="A352" t="s">
        <v>186</v>
      </c>
      <c r="B352" t="s">
        <v>223</v>
      </c>
      <c r="C352" t="s">
        <v>18</v>
      </c>
      <c r="D352" t="s">
        <v>131</v>
      </c>
      <c r="E352">
        <v>10</v>
      </c>
      <c r="F352">
        <v>0.42500000000000004</v>
      </c>
      <c r="G352">
        <v>0.8</v>
      </c>
      <c r="H352">
        <f t="shared" si="10"/>
        <v>0.21845000000000003</v>
      </c>
      <c r="I352">
        <f t="shared" si="11"/>
        <v>0.41120000000000001</v>
      </c>
    </row>
    <row r="353" spans="1:9">
      <c r="A353" t="s">
        <v>186</v>
      </c>
      <c r="B353" t="s">
        <v>223</v>
      </c>
      <c r="C353" t="s">
        <v>18</v>
      </c>
      <c r="D353" t="s">
        <v>131</v>
      </c>
      <c r="E353">
        <v>11</v>
      </c>
      <c r="F353">
        <v>0.4</v>
      </c>
      <c r="G353">
        <v>0.8</v>
      </c>
      <c r="H353">
        <f t="shared" si="10"/>
        <v>0.2056</v>
      </c>
      <c r="I353">
        <f t="shared" si="11"/>
        <v>0.41120000000000001</v>
      </c>
    </row>
    <row r="354" spans="1:9">
      <c r="A354" t="s">
        <v>186</v>
      </c>
      <c r="B354" t="s">
        <v>223</v>
      </c>
      <c r="C354" t="s">
        <v>18</v>
      </c>
      <c r="D354" t="s">
        <v>131</v>
      </c>
      <c r="E354">
        <v>12</v>
      </c>
      <c r="F354">
        <v>0.56666666666666665</v>
      </c>
      <c r="G354">
        <v>0.9</v>
      </c>
      <c r="H354">
        <f t="shared" si="10"/>
        <v>0.29126666666666667</v>
      </c>
      <c r="I354">
        <f t="shared" si="11"/>
        <v>0.46260000000000001</v>
      </c>
    </row>
    <row r="355" spans="1:9">
      <c r="A355" t="s">
        <v>186</v>
      </c>
      <c r="B355" t="s">
        <v>223</v>
      </c>
      <c r="C355" t="s">
        <v>18</v>
      </c>
      <c r="D355" t="s">
        <v>131</v>
      </c>
      <c r="E355">
        <v>13</v>
      </c>
      <c r="F355">
        <v>0.52500000000000002</v>
      </c>
      <c r="G355">
        <v>0.9</v>
      </c>
      <c r="H355">
        <f t="shared" si="10"/>
        <v>0.26985000000000003</v>
      </c>
      <c r="I355">
        <f t="shared" si="11"/>
        <v>0.46260000000000001</v>
      </c>
    </row>
    <row r="356" spans="1:9">
      <c r="A356" t="s">
        <v>186</v>
      </c>
      <c r="B356" t="s">
        <v>223</v>
      </c>
      <c r="C356" t="s">
        <v>18</v>
      </c>
      <c r="D356" t="s">
        <v>131</v>
      </c>
      <c r="E356">
        <v>14</v>
      </c>
      <c r="F356">
        <v>0.57499999999999996</v>
      </c>
      <c r="G356">
        <v>0.9</v>
      </c>
      <c r="H356">
        <f t="shared" si="10"/>
        <v>0.29554999999999998</v>
      </c>
      <c r="I356">
        <f t="shared" si="11"/>
        <v>0.46260000000000001</v>
      </c>
    </row>
    <row r="357" spans="1:9">
      <c r="A357" t="s">
        <v>186</v>
      </c>
      <c r="B357" t="s">
        <v>223</v>
      </c>
      <c r="C357" t="s">
        <v>18</v>
      </c>
      <c r="D357" t="s">
        <v>131</v>
      </c>
      <c r="E357">
        <v>15</v>
      </c>
      <c r="F357">
        <v>0.625</v>
      </c>
      <c r="G357">
        <v>1</v>
      </c>
      <c r="H357">
        <f t="shared" si="10"/>
        <v>0.32125000000000004</v>
      </c>
      <c r="I357">
        <f t="shared" si="11"/>
        <v>0.51400000000000001</v>
      </c>
    </row>
    <row r="358" spans="1:9">
      <c r="A358" t="s">
        <v>186</v>
      </c>
      <c r="B358" t="s">
        <v>223</v>
      </c>
      <c r="C358" t="s">
        <v>18</v>
      </c>
      <c r="D358" t="s">
        <v>131</v>
      </c>
      <c r="E358">
        <v>16</v>
      </c>
      <c r="F358">
        <v>0.72499999999999998</v>
      </c>
      <c r="G358">
        <v>1.1000000000000001</v>
      </c>
      <c r="H358">
        <f t="shared" si="10"/>
        <v>0.37264999999999998</v>
      </c>
      <c r="I358">
        <f t="shared" si="11"/>
        <v>0.56540000000000001</v>
      </c>
    </row>
    <row r="359" spans="1:9">
      <c r="A359" t="s">
        <v>186</v>
      </c>
      <c r="B359" t="s">
        <v>223</v>
      </c>
      <c r="C359" t="s">
        <v>18</v>
      </c>
      <c r="D359" t="s">
        <v>131</v>
      </c>
      <c r="E359">
        <v>17</v>
      </c>
      <c r="F359">
        <v>0.82499999999999996</v>
      </c>
      <c r="G359">
        <v>1.1000000000000001</v>
      </c>
      <c r="H359">
        <f t="shared" si="10"/>
        <v>0.42404999999999998</v>
      </c>
      <c r="I359">
        <f t="shared" si="11"/>
        <v>0.56540000000000001</v>
      </c>
    </row>
    <row r="360" spans="1:9">
      <c r="A360" t="s">
        <v>186</v>
      </c>
      <c r="B360" t="s">
        <v>223</v>
      </c>
      <c r="C360" t="s">
        <v>18</v>
      </c>
      <c r="D360" t="s">
        <v>131</v>
      </c>
      <c r="E360">
        <v>18</v>
      </c>
      <c r="F360">
        <v>0.85000000000000009</v>
      </c>
      <c r="G360">
        <v>1.1000000000000001</v>
      </c>
      <c r="H360">
        <f t="shared" si="10"/>
        <v>0.43690000000000007</v>
      </c>
      <c r="I360">
        <f t="shared" si="11"/>
        <v>0.56540000000000001</v>
      </c>
    </row>
    <row r="361" spans="1:9">
      <c r="A361" t="s">
        <v>186</v>
      </c>
      <c r="B361" t="s">
        <v>223</v>
      </c>
      <c r="C361" t="s">
        <v>18</v>
      </c>
      <c r="D361" t="s">
        <v>131</v>
      </c>
      <c r="E361">
        <v>19</v>
      </c>
      <c r="F361">
        <v>0.875</v>
      </c>
      <c r="G361">
        <v>1.1000000000000001</v>
      </c>
      <c r="H361">
        <f t="shared" si="10"/>
        <v>0.44974999999999998</v>
      </c>
      <c r="I361">
        <f t="shared" si="11"/>
        <v>0.56540000000000001</v>
      </c>
    </row>
    <row r="362" spans="1:9">
      <c r="A362" t="s">
        <v>186</v>
      </c>
      <c r="B362" t="s">
        <v>223</v>
      </c>
      <c r="C362" t="s">
        <v>18</v>
      </c>
      <c r="D362" t="s">
        <v>131</v>
      </c>
      <c r="E362">
        <v>20</v>
      </c>
      <c r="F362">
        <v>0.8666666666666667</v>
      </c>
      <c r="G362">
        <v>1.1000000000000001</v>
      </c>
      <c r="H362">
        <f t="shared" si="10"/>
        <v>0.44546666666666668</v>
      </c>
      <c r="I362">
        <f t="shared" si="11"/>
        <v>0.56540000000000001</v>
      </c>
    </row>
    <row r="363" spans="1:9">
      <c r="A363" t="s">
        <v>186</v>
      </c>
      <c r="B363" t="s">
        <v>223</v>
      </c>
      <c r="C363" t="s">
        <v>18</v>
      </c>
      <c r="D363" t="s">
        <v>131</v>
      </c>
      <c r="E363">
        <v>21</v>
      </c>
      <c r="F363">
        <v>0.875</v>
      </c>
      <c r="G363">
        <v>1</v>
      </c>
      <c r="H363">
        <f t="shared" si="10"/>
        <v>0.44974999999999998</v>
      </c>
      <c r="I363">
        <f t="shared" si="11"/>
        <v>0.51400000000000001</v>
      </c>
    </row>
    <row r="364" spans="1:9">
      <c r="A364" t="s">
        <v>186</v>
      </c>
      <c r="B364" t="s">
        <v>223</v>
      </c>
      <c r="C364" t="s">
        <v>18</v>
      </c>
      <c r="D364" t="s">
        <v>131</v>
      </c>
      <c r="E364">
        <v>22</v>
      </c>
      <c r="F364">
        <v>0.77499999999999991</v>
      </c>
      <c r="G364">
        <v>1</v>
      </c>
      <c r="H364">
        <f t="shared" si="10"/>
        <v>0.39834999999999998</v>
      </c>
      <c r="I364">
        <f t="shared" si="11"/>
        <v>0.51400000000000001</v>
      </c>
    </row>
    <row r="365" spans="1:9">
      <c r="A365" t="s">
        <v>186</v>
      </c>
      <c r="B365" t="s">
        <v>223</v>
      </c>
      <c r="C365" t="s">
        <v>18</v>
      </c>
      <c r="D365" t="s">
        <v>131</v>
      </c>
      <c r="E365">
        <v>23</v>
      </c>
      <c r="F365">
        <v>0.72500000000000009</v>
      </c>
      <c r="G365">
        <v>1</v>
      </c>
      <c r="H365">
        <f t="shared" si="10"/>
        <v>0.37265000000000004</v>
      </c>
      <c r="I365">
        <f t="shared" si="11"/>
        <v>0.51400000000000001</v>
      </c>
    </row>
    <row r="366" spans="1:9">
      <c r="A366" t="s">
        <v>186</v>
      </c>
      <c r="B366" t="s">
        <v>223</v>
      </c>
      <c r="C366" t="s">
        <v>18</v>
      </c>
      <c r="D366" t="s">
        <v>131</v>
      </c>
      <c r="E366">
        <v>24</v>
      </c>
      <c r="F366">
        <v>0.65</v>
      </c>
      <c r="G366">
        <v>1</v>
      </c>
      <c r="H366">
        <f t="shared" si="10"/>
        <v>0.33410000000000001</v>
      </c>
      <c r="I366">
        <f t="shared" si="11"/>
        <v>0.51400000000000001</v>
      </c>
    </row>
    <row r="367" spans="1:9">
      <c r="A367" t="s">
        <v>186</v>
      </c>
      <c r="B367" t="s">
        <v>223</v>
      </c>
      <c r="C367" t="s">
        <v>18</v>
      </c>
      <c r="D367" t="s">
        <v>131</v>
      </c>
      <c r="E367">
        <v>25</v>
      </c>
      <c r="F367">
        <v>0.6</v>
      </c>
      <c r="G367">
        <v>1</v>
      </c>
      <c r="H367">
        <f t="shared" si="10"/>
        <v>0.30840000000000001</v>
      </c>
      <c r="I367">
        <f t="shared" si="11"/>
        <v>0.51400000000000001</v>
      </c>
    </row>
    <row r="368" spans="1:9">
      <c r="A368" t="s">
        <v>186</v>
      </c>
      <c r="B368" t="s">
        <v>223</v>
      </c>
      <c r="C368" t="s">
        <v>18</v>
      </c>
      <c r="D368" t="s">
        <v>131</v>
      </c>
      <c r="E368">
        <v>26</v>
      </c>
      <c r="F368">
        <v>0.57500000000000007</v>
      </c>
      <c r="G368">
        <v>1</v>
      </c>
      <c r="H368">
        <f t="shared" si="10"/>
        <v>0.29555000000000003</v>
      </c>
      <c r="I368">
        <f t="shared" si="11"/>
        <v>0.51400000000000001</v>
      </c>
    </row>
    <row r="369" spans="1:9">
      <c r="A369" t="s">
        <v>186</v>
      </c>
      <c r="B369" t="s">
        <v>223</v>
      </c>
      <c r="C369" t="s">
        <v>18</v>
      </c>
      <c r="D369" t="s">
        <v>131</v>
      </c>
      <c r="E369">
        <v>27</v>
      </c>
      <c r="F369">
        <v>0.73333333333333339</v>
      </c>
      <c r="G369">
        <v>1</v>
      </c>
      <c r="H369">
        <f t="shared" si="10"/>
        <v>0.3769333333333334</v>
      </c>
      <c r="I369">
        <f t="shared" si="11"/>
        <v>0.51400000000000001</v>
      </c>
    </row>
    <row r="370" spans="1:9">
      <c r="A370" t="s">
        <v>186</v>
      </c>
      <c r="B370" t="s">
        <v>223</v>
      </c>
      <c r="C370" t="s">
        <v>18</v>
      </c>
      <c r="D370" t="s">
        <v>131</v>
      </c>
      <c r="E370">
        <v>28</v>
      </c>
      <c r="F370">
        <v>0.67500000000000004</v>
      </c>
      <c r="G370">
        <v>1</v>
      </c>
      <c r="H370">
        <f t="shared" si="10"/>
        <v>0.34695000000000004</v>
      </c>
      <c r="I370">
        <f t="shared" si="11"/>
        <v>0.51400000000000001</v>
      </c>
    </row>
    <row r="371" spans="1:9">
      <c r="A371" t="s">
        <v>186</v>
      </c>
      <c r="B371" t="s">
        <v>223</v>
      </c>
      <c r="C371" t="s">
        <v>18</v>
      </c>
      <c r="D371" t="s">
        <v>131</v>
      </c>
      <c r="E371">
        <v>29</v>
      </c>
      <c r="F371">
        <v>0.75000000000000011</v>
      </c>
      <c r="G371">
        <v>1.1000000000000001</v>
      </c>
      <c r="H371">
        <f t="shared" si="10"/>
        <v>0.38550000000000006</v>
      </c>
      <c r="I371">
        <f t="shared" si="11"/>
        <v>0.56540000000000001</v>
      </c>
    </row>
    <row r="372" spans="1:9">
      <c r="A372" t="s">
        <v>186</v>
      </c>
      <c r="B372" t="s">
        <v>223</v>
      </c>
      <c r="C372" t="s">
        <v>18</v>
      </c>
      <c r="D372" t="s">
        <v>131</v>
      </c>
      <c r="E372">
        <v>30</v>
      </c>
      <c r="F372">
        <v>0.82499999999999996</v>
      </c>
      <c r="G372">
        <v>1.1000000000000001</v>
      </c>
      <c r="H372">
        <f t="shared" si="10"/>
        <v>0.42404999999999998</v>
      </c>
      <c r="I372">
        <f t="shared" si="11"/>
        <v>0.56540000000000001</v>
      </c>
    </row>
    <row r="373" spans="1:9">
      <c r="A373" t="s">
        <v>186</v>
      </c>
      <c r="B373" t="s">
        <v>223</v>
      </c>
      <c r="C373" t="s">
        <v>18</v>
      </c>
      <c r="D373" t="s">
        <v>131</v>
      </c>
      <c r="E373">
        <v>31</v>
      </c>
      <c r="F373">
        <v>0.9</v>
      </c>
      <c r="G373">
        <v>1.1000000000000001</v>
      </c>
      <c r="H373">
        <f t="shared" si="10"/>
        <v>0.46260000000000001</v>
      </c>
      <c r="I373">
        <f t="shared" si="11"/>
        <v>0.56540000000000001</v>
      </c>
    </row>
    <row r="374" spans="1:9">
      <c r="A374" t="s">
        <v>201</v>
      </c>
      <c r="B374" t="s">
        <v>224</v>
      </c>
      <c r="C374" t="s">
        <v>198</v>
      </c>
      <c r="D374" t="s">
        <v>151</v>
      </c>
      <c r="E374">
        <v>1</v>
      </c>
      <c r="F374">
        <v>0.77500000000000013</v>
      </c>
      <c r="G374">
        <v>1.1000000000000001</v>
      </c>
      <c r="H374">
        <f t="shared" si="10"/>
        <v>0.39835000000000009</v>
      </c>
      <c r="I374">
        <f t="shared" si="11"/>
        <v>0.56540000000000001</v>
      </c>
    </row>
    <row r="375" spans="1:9">
      <c r="A375" t="s">
        <v>201</v>
      </c>
      <c r="B375" t="s">
        <v>224</v>
      </c>
      <c r="C375" t="s">
        <v>198</v>
      </c>
      <c r="D375" t="s">
        <v>151</v>
      </c>
      <c r="E375">
        <v>2</v>
      </c>
      <c r="F375">
        <v>0.79249999999999998</v>
      </c>
      <c r="G375">
        <v>1.1000000000000001</v>
      </c>
      <c r="H375">
        <f t="shared" si="10"/>
        <v>0.40734500000000001</v>
      </c>
      <c r="I375">
        <f t="shared" si="11"/>
        <v>0.56540000000000001</v>
      </c>
    </row>
    <row r="376" spans="1:9">
      <c r="A376" t="s">
        <v>201</v>
      </c>
      <c r="B376" t="s">
        <v>224</v>
      </c>
      <c r="C376" t="s">
        <v>198</v>
      </c>
      <c r="D376" t="s">
        <v>151</v>
      </c>
      <c r="E376">
        <v>3</v>
      </c>
      <c r="F376">
        <v>0.7649999999999999</v>
      </c>
      <c r="G376">
        <v>1</v>
      </c>
      <c r="H376">
        <f t="shared" si="10"/>
        <v>0.39320999999999995</v>
      </c>
      <c r="I376">
        <f t="shared" si="11"/>
        <v>0.51400000000000001</v>
      </c>
    </row>
    <row r="377" spans="1:9">
      <c r="A377" t="s">
        <v>201</v>
      </c>
      <c r="B377" t="s">
        <v>224</v>
      </c>
      <c r="C377" t="s">
        <v>198</v>
      </c>
      <c r="D377" t="s">
        <v>151</v>
      </c>
      <c r="E377">
        <v>4</v>
      </c>
      <c r="F377">
        <v>0.72</v>
      </c>
      <c r="G377">
        <v>0.9</v>
      </c>
      <c r="H377">
        <f t="shared" si="10"/>
        <v>0.37008000000000002</v>
      </c>
      <c r="I377">
        <f t="shared" si="11"/>
        <v>0.46260000000000001</v>
      </c>
    </row>
    <row r="378" spans="1:9">
      <c r="A378" t="s">
        <v>201</v>
      </c>
      <c r="B378" t="s">
        <v>224</v>
      </c>
      <c r="C378" t="s">
        <v>198</v>
      </c>
      <c r="D378" t="s">
        <v>151</v>
      </c>
      <c r="E378">
        <v>5</v>
      </c>
      <c r="F378">
        <v>0.6725000000000001</v>
      </c>
      <c r="G378">
        <v>0.8</v>
      </c>
      <c r="H378">
        <f t="shared" si="10"/>
        <v>0.34566500000000006</v>
      </c>
      <c r="I378">
        <f t="shared" si="11"/>
        <v>0.41120000000000001</v>
      </c>
    </row>
    <row r="379" spans="1:9">
      <c r="A379" t="s">
        <v>201</v>
      </c>
      <c r="B379" t="s">
        <v>224</v>
      </c>
      <c r="C379" t="s">
        <v>198</v>
      </c>
      <c r="D379" t="s">
        <v>151</v>
      </c>
      <c r="E379">
        <v>6</v>
      </c>
      <c r="F379">
        <v>0.61250000000000004</v>
      </c>
      <c r="G379">
        <v>0.8</v>
      </c>
      <c r="H379">
        <f t="shared" si="10"/>
        <v>0.31482500000000002</v>
      </c>
      <c r="I379">
        <f t="shared" si="11"/>
        <v>0.41120000000000001</v>
      </c>
    </row>
    <row r="380" spans="1:9">
      <c r="A380" t="s">
        <v>201</v>
      </c>
      <c r="B380" t="s">
        <v>224</v>
      </c>
      <c r="C380" t="s">
        <v>198</v>
      </c>
      <c r="D380" t="s">
        <v>151</v>
      </c>
      <c r="E380">
        <v>7</v>
      </c>
      <c r="F380">
        <v>0.4366666666666667</v>
      </c>
      <c r="G380">
        <v>0.5</v>
      </c>
      <c r="H380">
        <f t="shared" si="10"/>
        <v>0.22444666666666668</v>
      </c>
      <c r="I380">
        <f t="shared" si="11"/>
        <v>0.25700000000000001</v>
      </c>
    </row>
    <row r="381" spans="1:9">
      <c r="A381" t="s">
        <v>201</v>
      </c>
      <c r="B381" t="s">
        <v>224</v>
      </c>
      <c r="C381" t="s">
        <v>198</v>
      </c>
      <c r="D381" t="s">
        <v>151</v>
      </c>
      <c r="E381">
        <v>8</v>
      </c>
      <c r="F381">
        <v>0.46499999999999997</v>
      </c>
      <c r="G381">
        <v>0.8</v>
      </c>
      <c r="H381">
        <f t="shared" si="10"/>
        <v>0.23901</v>
      </c>
      <c r="I381">
        <f t="shared" si="11"/>
        <v>0.41120000000000001</v>
      </c>
    </row>
    <row r="382" spans="1:9">
      <c r="A382" t="s">
        <v>201</v>
      </c>
      <c r="B382" t="s">
        <v>224</v>
      </c>
      <c r="C382" t="s">
        <v>198</v>
      </c>
      <c r="D382" t="s">
        <v>151</v>
      </c>
      <c r="E382">
        <v>9</v>
      </c>
      <c r="F382">
        <v>0.41250000000000003</v>
      </c>
      <c r="G382">
        <v>0.8</v>
      </c>
      <c r="H382">
        <f t="shared" si="10"/>
        <v>0.21202500000000002</v>
      </c>
      <c r="I382">
        <f t="shared" si="11"/>
        <v>0.41120000000000001</v>
      </c>
    </row>
    <row r="383" spans="1:9">
      <c r="A383" t="s">
        <v>201</v>
      </c>
      <c r="B383" t="s">
        <v>224</v>
      </c>
      <c r="C383" t="s">
        <v>198</v>
      </c>
      <c r="D383" t="s">
        <v>151</v>
      </c>
      <c r="E383">
        <v>10</v>
      </c>
      <c r="F383">
        <v>0.37250000000000005</v>
      </c>
      <c r="G383">
        <v>0.7</v>
      </c>
      <c r="H383">
        <f t="shared" si="10"/>
        <v>0.19146500000000002</v>
      </c>
      <c r="I383">
        <f t="shared" si="11"/>
        <v>0.35980000000000001</v>
      </c>
    </row>
    <row r="384" spans="1:9">
      <c r="A384" t="s">
        <v>201</v>
      </c>
      <c r="B384" t="s">
        <v>224</v>
      </c>
      <c r="C384" t="s">
        <v>198</v>
      </c>
      <c r="D384" t="s">
        <v>151</v>
      </c>
      <c r="E384">
        <v>11</v>
      </c>
      <c r="F384">
        <v>0.3725</v>
      </c>
      <c r="G384">
        <v>0.7</v>
      </c>
      <c r="H384">
        <f t="shared" si="10"/>
        <v>0.191465</v>
      </c>
      <c r="I384">
        <f t="shared" si="11"/>
        <v>0.35980000000000001</v>
      </c>
    </row>
    <row r="385" spans="1:9">
      <c r="A385" t="s">
        <v>201</v>
      </c>
      <c r="B385" t="s">
        <v>224</v>
      </c>
      <c r="C385" t="s">
        <v>198</v>
      </c>
      <c r="D385" t="s">
        <v>151</v>
      </c>
      <c r="E385">
        <v>12</v>
      </c>
      <c r="F385">
        <v>0.39</v>
      </c>
      <c r="G385">
        <v>0.7</v>
      </c>
      <c r="H385">
        <f t="shared" si="10"/>
        <v>0.20046</v>
      </c>
      <c r="I385">
        <f t="shared" si="11"/>
        <v>0.35980000000000001</v>
      </c>
    </row>
    <row r="386" spans="1:9">
      <c r="A386" t="s">
        <v>201</v>
      </c>
      <c r="B386" t="s">
        <v>224</v>
      </c>
      <c r="C386" t="s">
        <v>198</v>
      </c>
      <c r="D386" t="s">
        <v>151</v>
      </c>
      <c r="E386">
        <v>13</v>
      </c>
      <c r="F386">
        <v>0.46750000000000008</v>
      </c>
      <c r="G386">
        <v>0.8</v>
      </c>
      <c r="H386">
        <f t="shared" ref="H386:H435" si="12">F386*0.514</f>
        <v>0.24029500000000004</v>
      </c>
      <c r="I386">
        <f t="shared" ref="I386:I435" si="13">G386*0.514</f>
        <v>0.41120000000000001</v>
      </c>
    </row>
    <row r="387" spans="1:9">
      <c r="A387" t="s">
        <v>201</v>
      </c>
      <c r="B387" t="s">
        <v>224</v>
      </c>
      <c r="C387" t="s">
        <v>198</v>
      </c>
      <c r="D387" t="s">
        <v>151</v>
      </c>
      <c r="E387">
        <v>14</v>
      </c>
      <c r="F387">
        <v>0.64333333333333342</v>
      </c>
      <c r="G387">
        <v>0.8</v>
      </c>
      <c r="H387">
        <f t="shared" si="12"/>
        <v>0.33067333333333337</v>
      </c>
      <c r="I387">
        <f t="shared" si="13"/>
        <v>0.41120000000000001</v>
      </c>
    </row>
    <row r="388" spans="1:9">
      <c r="A388" t="s">
        <v>201</v>
      </c>
      <c r="B388" t="s">
        <v>224</v>
      </c>
      <c r="C388" t="s">
        <v>198</v>
      </c>
      <c r="D388" t="s">
        <v>151</v>
      </c>
      <c r="E388">
        <v>15</v>
      </c>
      <c r="F388">
        <v>0.58750000000000002</v>
      </c>
      <c r="G388">
        <v>0.9</v>
      </c>
      <c r="H388">
        <f t="shared" si="12"/>
        <v>0.30197499999999999</v>
      </c>
      <c r="I388">
        <f t="shared" si="13"/>
        <v>0.46260000000000001</v>
      </c>
    </row>
    <row r="389" spans="1:9">
      <c r="A389" t="s">
        <v>201</v>
      </c>
      <c r="B389" t="s">
        <v>224</v>
      </c>
      <c r="C389" t="s">
        <v>198</v>
      </c>
      <c r="D389" t="s">
        <v>151</v>
      </c>
      <c r="E389">
        <v>16</v>
      </c>
      <c r="F389">
        <v>0.64</v>
      </c>
      <c r="G389">
        <v>0.9</v>
      </c>
      <c r="H389">
        <f t="shared" si="12"/>
        <v>0.32896000000000003</v>
      </c>
      <c r="I389">
        <f t="shared" si="13"/>
        <v>0.46260000000000001</v>
      </c>
    </row>
    <row r="390" spans="1:9">
      <c r="A390" t="s">
        <v>201</v>
      </c>
      <c r="B390" t="s">
        <v>224</v>
      </c>
      <c r="C390" t="s">
        <v>198</v>
      </c>
      <c r="D390" t="s">
        <v>151</v>
      </c>
      <c r="E390">
        <v>17</v>
      </c>
      <c r="F390">
        <v>0.66500000000000004</v>
      </c>
      <c r="G390">
        <v>0.9</v>
      </c>
      <c r="H390">
        <f t="shared" si="12"/>
        <v>0.34181</v>
      </c>
      <c r="I390">
        <f t="shared" si="13"/>
        <v>0.46260000000000001</v>
      </c>
    </row>
    <row r="391" spans="1:9">
      <c r="A391" t="s">
        <v>201</v>
      </c>
      <c r="B391" t="s">
        <v>224</v>
      </c>
      <c r="C391" t="s">
        <v>198</v>
      </c>
      <c r="D391" t="s">
        <v>151</v>
      </c>
      <c r="E391">
        <v>18</v>
      </c>
      <c r="F391">
        <v>0.70750000000000002</v>
      </c>
      <c r="G391">
        <v>0.9</v>
      </c>
      <c r="H391">
        <f t="shared" si="12"/>
        <v>0.36365500000000001</v>
      </c>
      <c r="I391">
        <f t="shared" si="13"/>
        <v>0.46260000000000001</v>
      </c>
    </row>
    <row r="392" spans="1:9">
      <c r="A392" t="s">
        <v>201</v>
      </c>
      <c r="B392" t="s">
        <v>224</v>
      </c>
      <c r="C392" t="s">
        <v>198</v>
      </c>
      <c r="D392" t="s">
        <v>151</v>
      </c>
      <c r="E392">
        <v>19</v>
      </c>
      <c r="F392">
        <v>0.74</v>
      </c>
      <c r="G392">
        <v>0.9</v>
      </c>
      <c r="H392">
        <f t="shared" si="12"/>
        <v>0.38036000000000003</v>
      </c>
      <c r="I392">
        <f t="shared" si="13"/>
        <v>0.46260000000000001</v>
      </c>
    </row>
    <row r="393" spans="1:9">
      <c r="A393" t="s">
        <v>201</v>
      </c>
      <c r="B393" t="s">
        <v>224</v>
      </c>
      <c r="C393" t="s">
        <v>198</v>
      </c>
      <c r="D393" t="s">
        <v>151</v>
      </c>
      <c r="E393">
        <v>20</v>
      </c>
      <c r="F393">
        <v>0.71499999999999997</v>
      </c>
      <c r="G393">
        <v>0.9</v>
      </c>
      <c r="H393">
        <f t="shared" si="12"/>
        <v>0.36751</v>
      </c>
      <c r="I393">
        <f t="shared" si="13"/>
        <v>0.46260000000000001</v>
      </c>
    </row>
    <row r="394" spans="1:9">
      <c r="A394" t="s">
        <v>201</v>
      </c>
      <c r="B394" t="s">
        <v>224</v>
      </c>
      <c r="C394" t="s">
        <v>198</v>
      </c>
      <c r="D394" t="s">
        <v>151</v>
      </c>
      <c r="E394">
        <v>21</v>
      </c>
      <c r="F394">
        <v>0.70500000000000007</v>
      </c>
      <c r="G394">
        <v>1</v>
      </c>
      <c r="H394">
        <f t="shared" si="12"/>
        <v>0.36237000000000003</v>
      </c>
      <c r="I394">
        <f t="shared" si="13"/>
        <v>0.51400000000000001</v>
      </c>
    </row>
    <row r="395" spans="1:9">
      <c r="A395" t="s">
        <v>201</v>
      </c>
      <c r="B395" t="s">
        <v>224</v>
      </c>
      <c r="C395" t="s">
        <v>198</v>
      </c>
      <c r="D395" t="s">
        <v>151</v>
      </c>
      <c r="E395">
        <v>22</v>
      </c>
      <c r="F395">
        <v>0.54333333333333333</v>
      </c>
      <c r="G395">
        <v>0.6</v>
      </c>
      <c r="H395">
        <f t="shared" si="12"/>
        <v>0.27927333333333332</v>
      </c>
      <c r="I395">
        <f t="shared" si="13"/>
        <v>0.30840000000000001</v>
      </c>
    </row>
    <row r="396" spans="1:9">
      <c r="A396" t="s">
        <v>201</v>
      </c>
      <c r="B396" t="s">
        <v>224</v>
      </c>
      <c r="C396" t="s">
        <v>198</v>
      </c>
      <c r="D396" t="s">
        <v>151</v>
      </c>
      <c r="E396">
        <v>23</v>
      </c>
      <c r="F396">
        <v>0.61</v>
      </c>
      <c r="G396">
        <v>1</v>
      </c>
      <c r="H396">
        <f t="shared" si="12"/>
        <v>0.31353999999999999</v>
      </c>
      <c r="I396">
        <f t="shared" si="13"/>
        <v>0.51400000000000001</v>
      </c>
    </row>
    <row r="397" spans="1:9">
      <c r="A397" t="s">
        <v>201</v>
      </c>
      <c r="B397" t="s">
        <v>224</v>
      </c>
      <c r="C397" t="s">
        <v>198</v>
      </c>
      <c r="D397" t="s">
        <v>151</v>
      </c>
      <c r="E397">
        <v>24</v>
      </c>
      <c r="F397">
        <v>0.53499999999999992</v>
      </c>
      <c r="G397">
        <v>0.9</v>
      </c>
      <c r="H397">
        <f t="shared" si="12"/>
        <v>0.27498999999999996</v>
      </c>
      <c r="I397">
        <f t="shared" si="13"/>
        <v>0.46260000000000001</v>
      </c>
    </row>
    <row r="398" spans="1:9">
      <c r="A398" t="s">
        <v>201</v>
      </c>
      <c r="B398" t="s">
        <v>224</v>
      </c>
      <c r="C398" t="s">
        <v>198</v>
      </c>
      <c r="D398" t="s">
        <v>151</v>
      </c>
      <c r="E398">
        <v>25</v>
      </c>
      <c r="F398">
        <v>0.52</v>
      </c>
      <c r="G398">
        <v>0.9</v>
      </c>
      <c r="H398">
        <f t="shared" si="12"/>
        <v>0.26728000000000002</v>
      </c>
      <c r="I398">
        <f t="shared" si="13"/>
        <v>0.46260000000000001</v>
      </c>
    </row>
    <row r="399" spans="1:9">
      <c r="A399" t="s">
        <v>201</v>
      </c>
      <c r="B399" t="s">
        <v>224</v>
      </c>
      <c r="C399" t="s">
        <v>198</v>
      </c>
      <c r="D399" t="s">
        <v>151</v>
      </c>
      <c r="E399">
        <v>26</v>
      </c>
      <c r="F399">
        <v>0.53</v>
      </c>
      <c r="G399">
        <v>0.9</v>
      </c>
      <c r="H399">
        <f t="shared" si="12"/>
        <v>0.27242</v>
      </c>
      <c r="I399">
        <f t="shared" si="13"/>
        <v>0.46260000000000001</v>
      </c>
    </row>
    <row r="400" spans="1:9">
      <c r="A400" t="s">
        <v>201</v>
      </c>
      <c r="B400" t="s">
        <v>224</v>
      </c>
      <c r="C400" t="s">
        <v>198</v>
      </c>
      <c r="D400" t="s">
        <v>151</v>
      </c>
      <c r="E400">
        <v>27</v>
      </c>
      <c r="F400">
        <v>0.42499999999999999</v>
      </c>
      <c r="G400">
        <v>0.9</v>
      </c>
      <c r="H400">
        <f t="shared" si="12"/>
        <v>0.21845000000000001</v>
      </c>
      <c r="I400">
        <f t="shared" si="13"/>
        <v>0.46260000000000001</v>
      </c>
    </row>
    <row r="401" spans="1:9">
      <c r="A401" t="s">
        <v>201</v>
      </c>
      <c r="B401" t="s">
        <v>224</v>
      </c>
      <c r="C401" t="s">
        <v>198</v>
      </c>
      <c r="D401" t="s">
        <v>151</v>
      </c>
      <c r="E401">
        <v>28</v>
      </c>
      <c r="F401">
        <v>0.75</v>
      </c>
      <c r="G401">
        <v>0.9</v>
      </c>
      <c r="H401">
        <f t="shared" si="12"/>
        <v>0.38550000000000001</v>
      </c>
      <c r="I401">
        <f t="shared" si="13"/>
        <v>0.46260000000000001</v>
      </c>
    </row>
    <row r="402" spans="1:9">
      <c r="A402" t="s">
        <v>201</v>
      </c>
      <c r="B402" t="s">
        <v>224</v>
      </c>
      <c r="C402" t="s">
        <v>198</v>
      </c>
      <c r="D402" t="s">
        <v>151</v>
      </c>
      <c r="E402">
        <v>29</v>
      </c>
      <c r="F402">
        <v>0.69750000000000001</v>
      </c>
      <c r="G402">
        <v>1</v>
      </c>
      <c r="H402">
        <f t="shared" si="12"/>
        <v>0.35851500000000003</v>
      </c>
      <c r="I402">
        <f t="shared" si="13"/>
        <v>0.51400000000000001</v>
      </c>
    </row>
    <row r="403" spans="1:9">
      <c r="A403" t="s">
        <v>201</v>
      </c>
      <c r="B403" t="s">
        <v>224</v>
      </c>
      <c r="C403" t="s">
        <v>198</v>
      </c>
      <c r="D403" t="s">
        <v>151</v>
      </c>
      <c r="E403">
        <v>30</v>
      </c>
      <c r="F403">
        <v>0.74249999999999994</v>
      </c>
      <c r="G403">
        <v>1</v>
      </c>
      <c r="H403">
        <f t="shared" si="12"/>
        <v>0.38164499999999996</v>
      </c>
      <c r="I403">
        <f t="shared" si="13"/>
        <v>0.51400000000000001</v>
      </c>
    </row>
    <row r="404" spans="1:9">
      <c r="A404" t="s">
        <v>201</v>
      </c>
      <c r="B404" t="s">
        <v>224</v>
      </c>
      <c r="C404" t="s">
        <v>198</v>
      </c>
      <c r="D404" t="s">
        <v>151</v>
      </c>
      <c r="E404">
        <v>31</v>
      </c>
      <c r="F404">
        <v>0.75749999999999995</v>
      </c>
      <c r="G404">
        <v>0.9</v>
      </c>
      <c r="H404">
        <f t="shared" si="12"/>
        <v>0.38935500000000001</v>
      </c>
      <c r="I404">
        <f t="shared" si="13"/>
        <v>0.46260000000000001</v>
      </c>
    </row>
    <row r="405" spans="1:9">
      <c r="A405" t="s">
        <v>203</v>
      </c>
      <c r="B405" t="s">
        <v>225</v>
      </c>
      <c r="C405" t="s">
        <v>198</v>
      </c>
      <c r="D405" t="s">
        <v>151</v>
      </c>
      <c r="E405">
        <v>1</v>
      </c>
      <c r="F405">
        <v>0.62749999999999995</v>
      </c>
      <c r="G405">
        <v>0.93</v>
      </c>
      <c r="H405">
        <f t="shared" si="12"/>
        <v>0.32253499999999996</v>
      </c>
      <c r="I405">
        <f t="shared" si="13"/>
        <v>0.47802000000000006</v>
      </c>
    </row>
    <row r="406" spans="1:9">
      <c r="A406" t="s">
        <v>203</v>
      </c>
      <c r="B406" t="s">
        <v>225</v>
      </c>
      <c r="C406" t="s">
        <v>198</v>
      </c>
      <c r="D406" t="s">
        <v>151</v>
      </c>
      <c r="E406">
        <v>2</v>
      </c>
      <c r="F406">
        <v>0.64000000000000012</v>
      </c>
      <c r="G406">
        <v>0.91</v>
      </c>
      <c r="H406">
        <f t="shared" si="12"/>
        <v>0.32896000000000009</v>
      </c>
      <c r="I406">
        <f t="shared" si="13"/>
        <v>0.46774000000000004</v>
      </c>
    </row>
    <row r="407" spans="1:9">
      <c r="A407" t="s">
        <v>203</v>
      </c>
      <c r="B407" t="s">
        <v>225</v>
      </c>
      <c r="C407" t="s">
        <v>198</v>
      </c>
      <c r="D407" t="s">
        <v>151</v>
      </c>
      <c r="E407">
        <v>3</v>
      </c>
      <c r="F407">
        <v>0.38749999999999996</v>
      </c>
      <c r="G407">
        <v>0.86</v>
      </c>
      <c r="H407">
        <f t="shared" si="12"/>
        <v>0.19917499999999999</v>
      </c>
      <c r="I407">
        <f t="shared" si="13"/>
        <v>0.44203999999999999</v>
      </c>
    </row>
    <row r="408" spans="1:9">
      <c r="A408" t="s">
        <v>203</v>
      </c>
      <c r="B408" t="s">
        <v>225</v>
      </c>
      <c r="C408" t="s">
        <v>198</v>
      </c>
      <c r="D408" t="s">
        <v>151</v>
      </c>
      <c r="E408">
        <v>4</v>
      </c>
      <c r="F408">
        <v>0.6</v>
      </c>
      <c r="G408">
        <v>0.77</v>
      </c>
      <c r="H408">
        <f t="shared" si="12"/>
        <v>0.30840000000000001</v>
      </c>
      <c r="I408">
        <f t="shared" si="13"/>
        <v>0.39578000000000002</v>
      </c>
    </row>
    <row r="409" spans="1:9">
      <c r="A409" t="s">
        <v>203</v>
      </c>
      <c r="B409" t="s">
        <v>225</v>
      </c>
      <c r="C409" t="s">
        <v>198</v>
      </c>
      <c r="D409" t="s">
        <v>151</v>
      </c>
      <c r="E409">
        <v>5</v>
      </c>
      <c r="F409">
        <v>0.5575</v>
      </c>
      <c r="G409">
        <v>0.67</v>
      </c>
      <c r="H409">
        <f t="shared" si="12"/>
        <v>0.286555</v>
      </c>
      <c r="I409">
        <f t="shared" si="13"/>
        <v>0.34438000000000002</v>
      </c>
    </row>
    <row r="410" spans="1:9">
      <c r="A410" t="s">
        <v>203</v>
      </c>
      <c r="B410" t="s">
        <v>225</v>
      </c>
      <c r="C410" t="s">
        <v>198</v>
      </c>
      <c r="D410" t="s">
        <v>151</v>
      </c>
      <c r="E410">
        <v>6</v>
      </c>
      <c r="F410">
        <v>0.49750000000000005</v>
      </c>
      <c r="G410">
        <v>0.57999999999999996</v>
      </c>
      <c r="H410">
        <f t="shared" si="12"/>
        <v>0.25571500000000003</v>
      </c>
      <c r="I410">
        <f t="shared" si="13"/>
        <v>0.29812</v>
      </c>
    </row>
    <row r="411" spans="1:9">
      <c r="A411" t="s">
        <v>203</v>
      </c>
      <c r="B411" t="s">
        <v>225</v>
      </c>
      <c r="C411" t="s">
        <v>198</v>
      </c>
      <c r="D411" t="s">
        <v>151</v>
      </c>
      <c r="E411">
        <v>7</v>
      </c>
      <c r="F411">
        <v>0.39666666666666667</v>
      </c>
      <c r="G411">
        <v>0.43</v>
      </c>
      <c r="H411">
        <f t="shared" si="12"/>
        <v>0.20388666666666666</v>
      </c>
      <c r="I411">
        <f t="shared" si="13"/>
        <v>0.22101999999999999</v>
      </c>
    </row>
    <row r="412" spans="1:9">
      <c r="A412" t="s">
        <v>203</v>
      </c>
      <c r="B412" t="s">
        <v>225</v>
      </c>
      <c r="C412" t="s">
        <v>198</v>
      </c>
      <c r="D412" t="s">
        <v>151</v>
      </c>
      <c r="E412">
        <v>8</v>
      </c>
      <c r="F412">
        <v>0.3125</v>
      </c>
      <c r="G412">
        <v>0.56000000000000005</v>
      </c>
      <c r="H412">
        <f t="shared" si="12"/>
        <v>0.16062500000000002</v>
      </c>
      <c r="I412">
        <f t="shared" si="13"/>
        <v>0.28784000000000004</v>
      </c>
    </row>
    <row r="413" spans="1:9">
      <c r="A413" t="s">
        <v>203</v>
      </c>
      <c r="B413" t="s">
        <v>225</v>
      </c>
      <c r="C413" t="s">
        <v>198</v>
      </c>
      <c r="D413" t="s">
        <v>151</v>
      </c>
      <c r="E413">
        <v>9</v>
      </c>
      <c r="F413">
        <v>0.33250000000000002</v>
      </c>
      <c r="G413">
        <v>0.54</v>
      </c>
      <c r="H413">
        <f t="shared" si="12"/>
        <v>0.170905</v>
      </c>
      <c r="I413">
        <f t="shared" si="13"/>
        <v>0.27756000000000003</v>
      </c>
    </row>
    <row r="414" spans="1:9">
      <c r="A414" t="s">
        <v>203</v>
      </c>
      <c r="B414" t="s">
        <v>225</v>
      </c>
      <c r="C414" t="s">
        <v>198</v>
      </c>
      <c r="D414" t="s">
        <v>151</v>
      </c>
      <c r="E414">
        <v>10</v>
      </c>
      <c r="F414">
        <v>0.30500000000000005</v>
      </c>
      <c r="G414">
        <v>0.52</v>
      </c>
      <c r="H414">
        <f t="shared" si="12"/>
        <v>0.15677000000000002</v>
      </c>
      <c r="I414">
        <f t="shared" si="13"/>
        <v>0.26728000000000002</v>
      </c>
    </row>
    <row r="415" spans="1:9">
      <c r="A415" t="s">
        <v>203</v>
      </c>
      <c r="B415" t="s">
        <v>225</v>
      </c>
      <c r="C415" t="s">
        <v>198</v>
      </c>
      <c r="D415" t="s">
        <v>151</v>
      </c>
      <c r="E415">
        <v>11</v>
      </c>
      <c r="F415">
        <v>0.30499999999999999</v>
      </c>
      <c r="G415">
        <v>0.51</v>
      </c>
      <c r="H415">
        <f t="shared" si="12"/>
        <v>0.15676999999999999</v>
      </c>
      <c r="I415">
        <f t="shared" si="13"/>
        <v>0.26213999999999998</v>
      </c>
    </row>
    <row r="416" spans="1:9">
      <c r="A416" t="s">
        <v>203</v>
      </c>
      <c r="B416" t="s">
        <v>225</v>
      </c>
      <c r="C416" t="s">
        <v>198</v>
      </c>
      <c r="D416" t="s">
        <v>151</v>
      </c>
      <c r="E416">
        <v>12</v>
      </c>
      <c r="F416">
        <v>0.33250000000000002</v>
      </c>
      <c r="G416">
        <v>0.52</v>
      </c>
      <c r="H416">
        <f t="shared" si="12"/>
        <v>0.170905</v>
      </c>
      <c r="I416">
        <f t="shared" si="13"/>
        <v>0.26728000000000002</v>
      </c>
    </row>
    <row r="417" spans="1:9">
      <c r="A417" t="s">
        <v>203</v>
      </c>
      <c r="B417" t="s">
        <v>225</v>
      </c>
      <c r="C417" t="s">
        <v>198</v>
      </c>
      <c r="D417" t="s">
        <v>151</v>
      </c>
      <c r="E417">
        <v>13</v>
      </c>
      <c r="F417">
        <v>0.37750000000000006</v>
      </c>
      <c r="G417">
        <v>0.56000000000000005</v>
      </c>
      <c r="H417">
        <f t="shared" si="12"/>
        <v>0.19403500000000004</v>
      </c>
      <c r="I417">
        <f t="shared" si="13"/>
        <v>0.28784000000000004</v>
      </c>
    </row>
    <row r="418" spans="1:9">
      <c r="A418" t="s">
        <v>203</v>
      </c>
      <c r="B418" t="s">
        <v>225</v>
      </c>
      <c r="C418" t="s">
        <v>198</v>
      </c>
      <c r="D418" t="s">
        <v>151</v>
      </c>
      <c r="E418">
        <v>14</v>
      </c>
      <c r="F418">
        <v>0.52</v>
      </c>
      <c r="G418">
        <v>0.63</v>
      </c>
      <c r="H418">
        <f t="shared" si="12"/>
        <v>0.26728000000000002</v>
      </c>
      <c r="I418">
        <f t="shared" si="13"/>
        <v>0.32382</v>
      </c>
    </row>
    <row r="419" spans="1:9">
      <c r="A419" t="s">
        <v>203</v>
      </c>
      <c r="B419" t="s">
        <v>225</v>
      </c>
      <c r="C419" t="s">
        <v>198</v>
      </c>
      <c r="D419" t="s">
        <v>151</v>
      </c>
      <c r="E419">
        <v>15</v>
      </c>
      <c r="F419">
        <v>0.46499999999999997</v>
      </c>
      <c r="G419">
        <v>0.69</v>
      </c>
      <c r="H419">
        <f t="shared" si="12"/>
        <v>0.23901</v>
      </c>
      <c r="I419">
        <f t="shared" si="13"/>
        <v>0.35465999999999998</v>
      </c>
    </row>
    <row r="420" spans="1:9">
      <c r="A420" t="s">
        <v>203</v>
      </c>
      <c r="B420" t="s">
        <v>225</v>
      </c>
      <c r="C420" t="s">
        <v>198</v>
      </c>
      <c r="D420" t="s">
        <v>151</v>
      </c>
      <c r="E420">
        <v>16</v>
      </c>
      <c r="F420">
        <v>0.51249999999999996</v>
      </c>
      <c r="G420">
        <v>0.73</v>
      </c>
      <c r="H420">
        <f t="shared" si="12"/>
        <v>0.26342499999999996</v>
      </c>
      <c r="I420">
        <f t="shared" si="13"/>
        <v>0.37522</v>
      </c>
    </row>
    <row r="421" spans="1:9">
      <c r="A421" t="s">
        <v>203</v>
      </c>
      <c r="B421" t="s">
        <v>225</v>
      </c>
      <c r="C421" t="s">
        <v>198</v>
      </c>
      <c r="D421" t="s">
        <v>151</v>
      </c>
      <c r="E421">
        <v>17</v>
      </c>
      <c r="F421">
        <v>0.55249999999999999</v>
      </c>
      <c r="G421">
        <v>0.75</v>
      </c>
      <c r="H421">
        <f t="shared" si="12"/>
        <v>0.28398499999999999</v>
      </c>
      <c r="I421">
        <f t="shared" si="13"/>
        <v>0.38550000000000001</v>
      </c>
    </row>
    <row r="422" spans="1:9">
      <c r="A422" t="s">
        <v>203</v>
      </c>
      <c r="B422" t="s">
        <v>225</v>
      </c>
      <c r="C422" t="s">
        <v>198</v>
      </c>
      <c r="D422" t="s">
        <v>151</v>
      </c>
      <c r="E422">
        <v>18</v>
      </c>
      <c r="F422">
        <v>0.58250000000000002</v>
      </c>
      <c r="G422">
        <v>0.74</v>
      </c>
      <c r="H422">
        <f t="shared" si="12"/>
        <v>0.29940500000000003</v>
      </c>
      <c r="I422">
        <f t="shared" si="13"/>
        <v>0.38036000000000003</v>
      </c>
    </row>
    <row r="423" spans="1:9">
      <c r="A423" t="s">
        <v>203</v>
      </c>
      <c r="B423" t="s">
        <v>225</v>
      </c>
      <c r="C423" t="s">
        <v>198</v>
      </c>
      <c r="D423" t="s">
        <v>151</v>
      </c>
      <c r="E423">
        <v>19</v>
      </c>
      <c r="F423">
        <v>0.59499999999999997</v>
      </c>
      <c r="G423">
        <v>0.7</v>
      </c>
      <c r="H423">
        <f t="shared" si="12"/>
        <v>0.30582999999999999</v>
      </c>
      <c r="I423">
        <f t="shared" si="13"/>
        <v>0.35980000000000001</v>
      </c>
    </row>
    <row r="424" spans="1:9">
      <c r="A424" t="s">
        <v>203</v>
      </c>
      <c r="B424" t="s">
        <v>225</v>
      </c>
      <c r="C424" t="s">
        <v>198</v>
      </c>
      <c r="D424" t="s">
        <v>151</v>
      </c>
      <c r="E424">
        <v>20</v>
      </c>
      <c r="F424">
        <v>0.59250000000000003</v>
      </c>
      <c r="G424">
        <v>0.65</v>
      </c>
      <c r="H424">
        <f t="shared" si="12"/>
        <v>0.30454500000000001</v>
      </c>
      <c r="I424">
        <f t="shared" si="13"/>
        <v>0.33410000000000001</v>
      </c>
    </row>
    <row r="425" spans="1:9">
      <c r="A425" t="s">
        <v>203</v>
      </c>
      <c r="B425" t="s">
        <v>225</v>
      </c>
      <c r="C425" t="s">
        <v>198</v>
      </c>
      <c r="D425" t="s">
        <v>151</v>
      </c>
      <c r="E425">
        <v>21</v>
      </c>
      <c r="F425">
        <v>0.57250000000000001</v>
      </c>
      <c r="G425">
        <v>0.67</v>
      </c>
      <c r="H425">
        <f t="shared" si="12"/>
        <v>0.294265</v>
      </c>
      <c r="I425">
        <f t="shared" si="13"/>
        <v>0.34438000000000002</v>
      </c>
    </row>
    <row r="426" spans="1:9">
      <c r="A426" t="s">
        <v>203</v>
      </c>
      <c r="B426" t="s">
        <v>225</v>
      </c>
      <c r="C426" t="s">
        <v>198</v>
      </c>
      <c r="D426" t="s">
        <v>151</v>
      </c>
      <c r="E426">
        <v>22</v>
      </c>
      <c r="F426">
        <v>0.48666666666666664</v>
      </c>
      <c r="G426">
        <v>0.56999999999999995</v>
      </c>
      <c r="H426">
        <f t="shared" si="12"/>
        <v>0.25014666666666668</v>
      </c>
      <c r="I426">
        <f t="shared" si="13"/>
        <v>0.29297999999999996</v>
      </c>
    </row>
    <row r="427" spans="1:9">
      <c r="A427" t="s">
        <v>203</v>
      </c>
      <c r="B427" t="s">
        <v>225</v>
      </c>
      <c r="C427" t="s">
        <v>198</v>
      </c>
      <c r="D427" t="s">
        <v>151</v>
      </c>
      <c r="E427">
        <v>23</v>
      </c>
      <c r="F427">
        <v>0.49249999999999994</v>
      </c>
      <c r="G427">
        <v>0.67</v>
      </c>
      <c r="H427">
        <f t="shared" si="12"/>
        <v>0.25314499999999995</v>
      </c>
      <c r="I427">
        <f t="shared" si="13"/>
        <v>0.34438000000000002</v>
      </c>
    </row>
    <row r="428" spans="1:9">
      <c r="A428" t="s">
        <v>203</v>
      </c>
      <c r="B428" t="s">
        <v>225</v>
      </c>
      <c r="C428" t="s">
        <v>198</v>
      </c>
      <c r="D428" t="s">
        <v>151</v>
      </c>
      <c r="E428">
        <v>24</v>
      </c>
      <c r="F428">
        <v>0.45250000000000001</v>
      </c>
      <c r="G428">
        <v>0.66</v>
      </c>
      <c r="H428">
        <f t="shared" si="12"/>
        <v>0.23258500000000001</v>
      </c>
      <c r="I428">
        <f t="shared" si="13"/>
        <v>0.33924000000000004</v>
      </c>
    </row>
    <row r="429" spans="1:9">
      <c r="A429" t="s">
        <v>203</v>
      </c>
      <c r="B429" t="s">
        <v>225</v>
      </c>
      <c r="C429" t="s">
        <v>198</v>
      </c>
      <c r="D429" t="s">
        <v>151</v>
      </c>
      <c r="E429">
        <v>25</v>
      </c>
      <c r="F429">
        <v>0.42749999999999999</v>
      </c>
      <c r="G429">
        <v>0.64</v>
      </c>
      <c r="H429">
        <f t="shared" si="12"/>
        <v>0.21973500000000001</v>
      </c>
      <c r="I429">
        <f t="shared" si="13"/>
        <v>0.32896000000000003</v>
      </c>
    </row>
    <row r="430" spans="1:9">
      <c r="A430" t="s">
        <v>203</v>
      </c>
      <c r="B430" t="s">
        <v>225</v>
      </c>
      <c r="C430" t="s">
        <v>198</v>
      </c>
      <c r="D430" t="s">
        <v>151</v>
      </c>
      <c r="E430">
        <v>26</v>
      </c>
      <c r="F430">
        <v>0.4425</v>
      </c>
      <c r="G430">
        <v>0.64</v>
      </c>
      <c r="H430">
        <f t="shared" si="12"/>
        <v>0.22744500000000001</v>
      </c>
      <c r="I430">
        <f t="shared" si="13"/>
        <v>0.32896000000000003</v>
      </c>
    </row>
    <row r="431" spans="1:9">
      <c r="A431" t="s">
        <v>203</v>
      </c>
      <c r="B431" t="s">
        <v>225</v>
      </c>
      <c r="C431" t="s">
        <v>198</v>
      </c>
      <c r="D431" t="s">
        <v>151</v>
      </c>
      <c r="E431">
        <v>27</v>
      </c>
      <c r="F431">
        <v>0.32999999999999996</v>
      </c>
      <c r="G431">
        <v>0.64</v>
      </c>
      <c r="H431">
        <f t="shared" si="12"/>
        <v>0.16961999999999999</v>
      </c>
      <c r="I431">
        <f t="shared" si="13"/>
        <v>0.32896000000000003</v>
      </c>
    </row>
    <row r="432" spans="1:9">
      <c r="A432" t="s">
        <v>203</v>
      </c>
      <c r="B432" t="s">
        <v>225</v>
      </c>
      <c r="C432" t="s">
        <v>198</v>
      </c>
      <c r="D432" t="s">
        <v>151</v>
      </c>
      <c r="E432">
        <v>28</v>
      </c>
      <c r="F432">
        <v>0.53999999999999992</v>
      </c>
      <c r="G432">
        <v>0.75</v>
      </c>
      <c r="H432">
        <f t="shared" si="12"/>
        <v>0.27755999999999997</v>
      </c>
      <c r="I432">
        <f t="shared" si="13"/>
        <v>0.38550000000000001</v>
      </c>
    </row>
    <row r="433" spans="1:9">
      <c r="A433" t="s">
        <v>203</v>
      </c>
      <c r="B433" t="s">
        <v>225</v>
      </c>
      <c r="C433" t="s">
        <v>198</v>
      </c>
      <c r="D433" t="s">
        <v>151</v>
      </c>
      <c r="E433">
        <v>29</v>
      </c>
      <c r="F433">
        <v>0.65333333333333332</v>
      </c>
      <c r="G433">
        <v>0.78</v>
      </c>
      <c r="H433">
        <f t="shared" si="12"/>
        <v>0.33581333333333335</v>
      </c>
      <c r="I433">
        <f t="shared" si="13"/>
        <v>0.40092</v>
      </c>
    </row>
    <row r="434" spans="1:9">
      <c r="A434" t="s">
        <v>203</v>
      </c>
      <c r="B434" t="s">
        <v>225</v>
      </c>
      <c r="C434" t="s">
        <v>198</v>
      </c>
      <c r="D434" t="s">
        <v>151</v>
      </c>
      <c r="E434">
        <v>30</v>
      </c>
      <c r="F434">
        <v>0.6</v>
      </c>
      <c r="G434">
        <v>0.78</v>
      </c>
      <c r="H434">
        <f t="shared" si="12"/>
        <v>0.30840000000000001</v>
      </c>
      <c r="I434">
        <f t="shared" si="13"/>
        <v>0.40092</v>
      </c>
    </row>
    <row r="435" spans="1:9">
      <c r="A435" t="s">
        <v>203</v>
      </c>
      <c r="B435" t="s">
        <v>225</v>
      </c>
      <c r="C435" t="s">
        <v>198</v>
      </c>
      <c r="D435" t="s">
        <v>151</v>
      </c>
      <c r="E435">
        <v>31</v>
      </c>
      <c r="F435">
        <v>0.48250000000000004</v>
      </c>
      <c r="G435">
        <v>0.75</v>
      </c>
      <c r="H435">
        <f t="shared" si="12"/>
        <v>0.24800500000000003</v>
      </c>
      <c r="I435">
        <f t="shared" si="13"/>
        <v>0.38550000000000001</v>
      </c>
    </row>
    <row r="436" spans="1:9">
      <c r="A436" t="s">
        <v>267</v>
      </c>
      <c r="B436" t="s">
        <v>268</v>
      </c>
      <c r="C436" t="s">
        <v>13</v>
      </c>
      <c r="D436" t="s">
        <v>138</v>
      </c>
      <c r="E436">
        <v>1</v>
      </c>
      <c r="F436">
        <v>3.15</v>
      </c>
      <c r="G436">
        <v>4.7</v>
      </c>
      <c r="H436">
        <f t="shared" ref="H436:H466" si="14">F436*0.514</f>
        <v>1.6191</v>
      </c>
      <c r="I436">
        <f t="shared" ref="I436:I466" si="15">G436*0.514</f>
        <v>2.4157999999999999</v>
      </c>
    </row>
    <row r="437" spans="1:9">
      <c r="A437" t="s">
        <v>267</v>
      </c>
      <c r="B437" t="s">
        <v>268</v>
      </c>
      <c r="C437" t="s">
        <v>13</v>
      </c>
      <c r="D437" t="s">
        <v>138</v>
      </c>
      <c r="E437">
        <v>2</v>
      </c>
      <c r="F437">
        <v>3.15</v>
      </c>
      <c r="G437">
        <v>4.5999999999999996</v>
      </c>
      <c r="H437">
        <f t="shared" si="14"/>
        <v>1.6191</v>
      </c>
      <c r="I437">
        <f t="shared" si="15"/>
        <v>2.3643999999999998</v>
      </c>
    </row>
    <row r="438" spans="1:9">
      <c r="A438" t="s">
        <v>267</v>
      </c>
      <c r="B438" t="s">
        <v>268</v>
      </c>
      <c r="C438" t="s">
        <v>13</v>
      </c>
      <c r="D438" t="s">
        <v>138</v>
      </c>
      <c r="E438">
        <v>3</v>
      </c>
      <c r="F438">
        <v>3.0249999999999999</v>
      </c>
      <c r="G438">
        <v>4.2</v>
      </c>
      <c r="H438">
        <f t="shared" si="14"/>
        <v>1.5548500000000001</v>
      </c>
      <c r="I438">
        <f t="shared" si="15"/>
        <v>2.1588000000000003</v>
      </c>
    </row>
    <row r="439" spans="1:9">
      <c r="A439" t="s">
        <v>267</v>
      </c>
      <c r="B439" t="s">
        <v>268</v>
      </c>
      <c r="C439" t="s">
        <v>13</v>
      </c>
      <c r="D439" t="s">
        <v>138</v>
      </c>
      <c r="E439">
        <v>4</v>
      </c>
      <c r="F439">
        <v>2.8250000000000002</v>
      </c>
      <c r="G439">
        <v>3.7</v>
      </c>
      <c r="H439">
        <f t="shared" si="14"/>
        <v>1.4520500000000001</v>
      </c>
      <c r="I439">
        <f t="shared" si="15"/>
        <v>1.9018000000000002</v>
      </c>
    </row>
    <row r="440" spans="1:9">
      <c r="A440" t="s">
        <v>267</v>
      </c>
      <c r="B440" t="s">
        <v>268</v>
      </c>
      <c r="C440" t="s">
        <v>13</v>
      </c>
      <c r="D440" t="s">
        <v>138</v>
      </c>
      <c r="E440">
        <v>5</v>
      </c>
      <c r="F440">
        <v>2.5499999999999998</v>
      </c>
      <c r="G440">
        <v>3.4</v>
      </c>
      <c r="H440">
        <f t="shared" si="14"/>
        <v>1.3107</v>
      </c>
      <c r="I440">
        <f t="shared" si="15"/>
        <v>1.7476</v>
      </c>
    </row>
    <row r="441" spans="1:9">
      <c r="A441" t="s">
        <v>267</v>
      </c>
      <c r="B441" t="s">
        <v>268</v>
      </c>
      <c r="C441" t="s">
        <v>13</v>
      </c>
      <c r="D441" t="s">
        <v>138</v>
      </c>
      <c r="E441">
        <v>6</v>
      </c>
      <c r="F441">
        <v>1.9000000000000001</v>
      </c>
      <c r="G441">
        <v>2.4</v>
      </c>
      <c r="H441">
        <f t="shared" si="14"/>
        <v>0.97660000000000013</v>
      </c>
      <c r="I441">
        <f t="shared" si="15"/>
        <v>1.2336</v>
      </c>
    </row>
    <row r="442" spans="1:9">
      <c r="A442" t="s">
        <v>267</v>
      </c>
      <c r="B442" t="s">
        <v>268</v>
      </c>
      <c r="C442" t="s">
        <v>13</v>
      </c>
      <c r="D442" t="s">
        <v>138</v>
      </c>
      <c r="E442">
        <v>7</v>
      </c>
      <c r="F442">
        <v>1.9749999999999999</v>
      </c>
      <c r="G442">
        <v>3.2</v>
      </c>
      <c r="H442">
        <f t="shared" si="14"/>
        <v>1.01515</v>
      </c>
      <c r="I442">
        <f t="shared" si="15"/>
        <v>1.6448</v>
      </c>
    </row>
    <row r="443" spans="1:9">
      <c r="A443" t="s">
        <v>267</v>
      </c>
      <c r="B443" t="s">
        <v>268</v>
      </c>
      <c r="C443" t="s">
        <v>13</v>
      </c>
      <c r="D443" t="s">
        <v>138</v>
      </c>
      <c r="E443">
        <v>8</v>
      </c>
      <c r="F443">
        <v>1.7000000000000002</v>
      </c>
      <c r="G443">
        <v>3</v>
      </c>
      <c r="H443">
        <f t="shared" si="14"/>
        <v>0.87380000000000013</v>
      </c>
      <c r="I443">
        <f t="shared" si="15"/>
        <v>1.542</v>
      </c>
    </row>
    <row r="444" spans="1:9">
      <c r="A444" t="s">
        <v>267</v>
      </c>
      <c r="B444" t="s">
        <v>268</v>
      </c>
      <c r="C444" t="s">
        <v>13</v>
      </c>
      <c r="D444" t="s">
        <v>138</v>
      </c>
      <c r="E444">
        <v>9</v>
      </c>
      <c r="F444">
        <v>1.55</v>
      </c>
      <c r="G444">
        <v>2.9</v>
      </c>
      <c r="H444">
        <f t="shared" si="14"/>
        <v>0.79670000000000007</v>
      </c>
      <c r="I444">
        <f t="shared" si="15"/>
        <v>1.4905999999999999</v>
      </c>
    </row>
    <row r="445" spans="1:9">
      <c r="A445" t="s">
        <v>267</v>
      </c>
      <c r="B445" t="s">
        <v>268</v>
      </c>
      <c r="C445" t="s">
        <v>13</v>
      </c>
      <c r="D445" t="s">
        <v>138</v>
      </c>
      <c r="E445">
        <v>10</v>
      </c>
      <c r="F445">
        <v>1.5249999999999999</v>
      </c>
      <c r="G445">
        <v>2.9</v>
      </c>
      <c r="H445">
        <f t="shared" si="14"/>
        <v>0.78384999999999994</v>
      </c>
      <c r="I445">
        <f t="shared" si="15"/>
        <v>1.4905999999999999</v>
      </c>
    </row>
    <row r="446" spans="1:9">
      <c r="A446" t="s">
        <v>267</v>
      </c>
      <c r="B446" t="s">
        <v>268</v>
      </c>
      <c r="C446" t="s">
        <v>13</v>
      </c>
      <c r="D446" t="s">
        <v>138</v>
      </c>
      <c r="E446">
        <v>11</v>
      </c>
      <c r="F446">
        <v>1.6249999999999998</v>
      </c>
      <c r="G446">
        <v>2.9</v>
      </c>
      <c r="H446">
        <f t="shared" si="14"/>
        <v>0.83524999999999994</v>
      </c>
      <c r="I446">
        <f t="shared" si="15"/>
        <v>1.4905999999999999</v>
      </c>
    </row>
    <row r="447" spans="1:9">
      <c r="A447" t="s">
        <v>267</v>
      </c>
      <c r="B447" t="s">
        <v>268</v>
      </c>
      <c r="C447" t="s">
        <v>13</v>
      </c>
      <c r="D447" t="s">
        <v>138</v>
      </c>
      <c r="E447">
        <v>12</v>
      </c>
      <c r="F447">
        <v>1.7999999999999998</v>
      </c>
      <c r="G447">
        <v>3</v>
      </c>
      <c r="H447">
        <f t="shared" si="14"/>
        <v>0.92519999999999991</v>
      </c>
      <c r="I447">
        <f t="shared" si="15"/>
        <v>1.542</v>
      </c>
    </row>
    <row r="448" spans="1:9">
      <c r="A448" t="s">
        <v>267</v>
      </c>
      <c r="B448" t="s">
        <v>268</v>
      </c>
      <c r="C448" t="s">
        <v>13</v>
      </c>
      <c r="D448" t="s">
        <v>138</v>
      </c>
      <c r="E448">
        <v>13</v>
      </c>
      <c r="F448">
        <v>2.0500000000000003</v>
      </c>
      <c r="G448">
        <v>3.2</v>
      </c>
      <c r="H448">
        <f t="shared" si="14"/>
        <v>1.0537000000000001</v>
      </c>
      <c r="I448">
        <f t="shared" si="15"/>
        <v>1.6448</v>
      </c>
    </row>
    <row r="449" spans="1:9">
      <c r="A449" t="s">
        <v>267</v>
      </c>
      <c r="B449" t="s">
        <v>268</v>
      </c>
      <c r="C449" t="s">
        <v>13</v>
      </c>
      <c r="D449" t="s">
        <v>138</v>
      </c>
      <c r="E449">
        <v>14</v>
      </c>
      <c r="F449">
        <v>2.7666666666666671</v>
      </c>
      <c r="G449">
        <v>3.5</v>
      </c>
      <c r="H449">
        <f t="shared" si="14"/>
        <v>1.4220666666666668</v>
      </c>
      <c r="I449">
        <f t="shared" si="15"/>
        <v>1.7989999999999999</v>
      </c>
    </row>
    <row r="450" spans="1:9">
      <c r="A450" t="s">
        <v>267</v>
      </c>
      <c r="B450" t="s">
        <v>268</v>
      </c>
      <c r="C450" t="s">
        <v>13</v>
      </c>
      <c r="D450" t="s">
        <v>138</v>
      </c>
      <c r="E450">
        <v>15</v>
      </c>
      <c r="F450">
        <v>2.5250000000000004</v>
      </c>
      <c r="G450">
        <v>3.7</v>
      </c>
      <c r="H450">
        <f t="shared" si="14"/>
        <v>1.2978500000000002</v>
      </c>
      <c r="I450">
        <f t="shared" si="15"/>
        <v>1.9018000000000002</v>
      </c>
    </row>
    <row r="451" spans="1:9">
      <c r="A451" t="s">
        <v>267</v>
      </c>
      <c r="B451" t="s">
        <v>268</v>
      </c>
      <c r="C451" t="s">
        <v>13</v>
      </c>
      <c r="D451" t="s">
        <v>138</v>
      </c>
      <c r="E451">
        <v>16</v>
      </c>
      <c r="F451">
        <v>2.7</v>
      </c>
      <c r="G451">
        <v>3.8</v>
      </c>
      <c r="H451">
        <f t="shared" si="14"/>
        <v>1.3878000000000001</v>
      </c>
      <c r="I451">
        <f t="shared" si="15"/>
        <v>1.9532</v>
      </c>
    </row>
    <row r="452" spans="1:9">
      <c r="A452" t="s">
        <v>267</v>
      </c>
      <c r="B452" t="s">
        <v>268</v>
      </c>
      <c r="C452" t="s">
        <v>13</v>
      </c>
      <c r="D452" t="s">
        <v>138</v>
      </c>
      <c r="E452">
        <v>17</v>
      </c>
      <c r="F452">
        <v>2.9000000000000004</v>
      </c>
      <c r="G452">
        <v>4</v>
      </c>
      <c r="H452">
        <f t="shared" si="14"/>
        <v>1.4906000000000001</v>
      </c>
      <c r="I452">
        <f t="shared" si="15"/>
        <v>2.056</v>
      </c>
    </row>
    <row r="453" spans="1:9">
      <c r="A453" t="s">
        <v>267</v>
      </c>
      <c r="B453" t="s">
        <v>268</v>
      </c>
      <c r="C453" t="s">
        <v>13</v>
      </c>
      <c r="D453" t="s">
        <v>138</v>
      </c>
      <c r="E453">
        <v>18</v>
      </c>
      <c r="F453">
        <v>3.0250000000000004</v>
      </c>
      <c r="G453">
        <v>4</v>
      </c>
      <c r="H453">
        <f t="shared" si="14"/>
        <v>1.5548500000000003</v>
      </c>
      <c r="I453">
        <f t="shared" si="15"/>
        <v>2.056</v>
      </c>
    </row>
    <row r="454" spans="1:9">
      <c r="A454" t="s">
        <v>267</v>
      </c>
      <c r="B454" t="s">
        <v>268</v>
      </c>
      <c r="C454" t="s">
        <v>13</v>
      </c>
      <c r="D454" t="s">
        <v>138</v>
      </c>
      <c r="E454">
        <v>19</v>
      </c>
      <c r="F454">
        <v>3</v>
      </c>
      <c r="G454">
        <v>4</v>
      </c>
      <c r="H454">
        <f t="shared" si="14"/>
        <v>1.542</v>
      </c>
      <c r="I454">
        <f t="shared" si="15"/>
        <v>2.056</v>
      </c>
    </row>
    <row r="455" spans="1:9">
      <c r="A455" t="s">
        <v>267</v>
      </c>
      <c r="B455" t="s">
        <v>268</v>
      </c>
      <c r="C455" t="s">
        <v>13</v>
      </c>
      <c r="D455" t="s">
        <v>138</v>
      </c>
      <c r="E455">
        <v>20</v>
      </c>
      <c r="F455">
        <v>2.9249999999999998</v>
      </c>
      <c r="G455">
        <v>4.0999999999999996</v>
      </c>
      <c r="H455">
        <f t="shared" si="14"/>
        <v>1.50345</v>
      </c>
      <c r="I455">
        <f t="shared" si="15"/>
        <v>2.1073999999999997</v>
      </c>
    </row>
    <row r="456" spans="1:9">
      <c r="A456" t="s">
        <v>267</v>
      </c>
      <c r="B456" t="s">
        <v>268</v>
      </c>
      <c r="C456" t="s">
        <v>13</v>
      </c>
      <c r="D456" t="s">
        <v>138</v>
      </c>
      <c r="E456">
        <v>21</v>
      </c>
      <c r="F456">
        <v>2.3000000000000003</v>
      </c>
      <c r="G456">
        <v>3</v>
      </c>
      <c r="H456">
        <f t="shared" si="14"/>
        <v>1.1822000000000001</v>
      </c>
      <c r="I456">
        <f t="shared" si="15"/>
        <v>1.542</v>
      </c>
    </row>
    <row r="457" spans="1:9">
      <c r="A457" t="s">
        <v>267</v>
      </c>
      <c r="B457" t="s">
        <v>268</v>
      </c>
      <c r="C457" t="s">
        <v>13</v>
      </c>
      <c r="D457" t="s">
        <v>138</v>
      </c>
      <c r="E457">
        <v>22</v>
      </c>
      <c r="F457">
        <v>2.5249999999999999</v>
      </c>
      <c r="G457">
        <v>4</v>
      </c>
      <c r="H457">
        <f t="shared" si="14"/>
        <v>1.2978499999999999</v>
      </c>
      <c r="I457">
        <f t="shared" si="15"/>
        <v>2.056</v>
      </c>
    </row>
    <row r="458" spans="1:9">
      <c r="A458" t="s">
        <v>267</v>
      </c>
      <c r="B458" t="s">
        <v>268</v>
      </c>
      <c r="C458" t="s">
        <v>13</v>
      </c>
      <c r="D458" t="s">
        <v>138</v>
      </c>
      <c r="E458">
        <v>23</v>
      </c>
      <c r="F458">
        <v>2.3250000000000002</v>
      </c>
      <c r="G458">
        <v>3.8</v>
      </c>
      <c r="H458">
        <f t="shared" si="14"/>
        <v>1.1950500000000002</v>
      </c>
      <c r="I458">
        <f t="shared" si="15"/>
        <v>1.9532</v>
      </c>
    </row>
    <row r="459" spans="1:9">
      <c r="A459" t="s">
        <v>267</v>
      </c>
      <c r="B459" t="s">
        <v>268</v>
      </c>
      <c r="C459" t="s">
        <v>13</v>
      </c>
      <c r="D459" t="s">
        <v>138</v>
      </c>
      <c r="E459">
        <v>24</v>
      </c>
      <c r="F459">
        <v>2.15</v>
      </c>
      <c r="G459">
        <v>3.7</v>
      </c>
      <c r="H459">
        <f t="shared" si="14"/>
        <v>1.1051</v>
      </c>
      <c r="I459">
        <f t="shared" si="15"/>
        <v>1.9018000000000002</v>
      </c>
    </row>
    <row r="460" spans="1:9">
      <c r="A460" t="s">
        <v>267</v>
      </c>
      <c r="B460" t="s">
        <v>268</v>
      </c>
      <c r="C460" t="s">
        <v>13</v>
      </c>
      <c r="D460" t="s">
        <v>138</v>
      </c>
      <c r="E460">
        <v>25</v>
      </c>
      <c r="F460">
        <v>2.1750000000000003</v>
      </c>
      <c r="G460">
        <v>3.7</v>
      </c>
      <c r="H460">
        <f t="shared" si="14"/>
        <v>1.1179500000000002</v>
      </c>
      <c r="I460">
        <f t="shared" si="15"/>
        <v>1.9018000000000002</v>
      </c>
    </row>
    <row r="461" spans="1:9">
      <c r="A461" t="s">
        <v>267</v>
      </c>
      <c r="B461" t="s">
        <v>268</v>
      </c>
      <c r="C461" t="s">
        <v>13</v>
      </c>
      <c r="D461" t="s">
        <v>138</v>
      </c>
      <c r="E461">
        <v>26</v>
      </c>
      <c r="F461">
        <v>2.3249999999999997</v>
      </c>
      <c r="G461">
        <v>3.7</v>
      </c>
      <c r="H461">
        <f t="shared" si="14"/>
        <v>1.1950499999999999</v>
      </c>
      <c r="I461">
        <f t="shared" si="15"/>
        <v>1.9018000000000002</v>
      </c>
    </row>
    <row r="462" spans="1:9">
      <c r="A462" t="s">
        <v>267</v>
      </c>
      <c r="B462" t="s">
        <v>268</v>
      </c>
      <c r="C462" t="s">
        <v>13</v>
      </c>
      <c r="D462" t="s">
        <v>138</v>
      </c>
      <c r="E462">
        <v>27</v>
      </c>
      <c r="F462">
        <v>2.6</v>
      </c>
      <c r="G462">
        <v>3.8</v>
      </c>
      <c r="H462">
        <f t="shared" si="14"/>
        <v>1.3364</v>
      </c>
      <c r="I462">
        <f t="shared" si="15"/>
        <v>1.9532</v>
      </c>
    </row>
    <row r="463" spans="1:9">
      <c r="A463" t="s">
        <v>267</v>
      </c>
      <c r="B463" t="s">
        <v>268</v>
      </c>
      <c r="C463" t="s">
        <v>13</v>
      </c>
      <c r="D463" t="s">
        <v>138</v>
      </c>
      <c r="E463">
        <v>28</v>
      </c>
      <c r="F463">
        <v>3.3000000000000003</v>
      </c>
      <c r="G463">
        <v>4</v>
      </c>
      <c r="H463">
        <f t="shared" si="14"/>
        <v>1.6962000000000002</v>
      </c>
      <c r="I463">
        <f t="shared" si="15"/>
        <v>2.056</v>
      </c>
    </row>
    <row r="464" spans="1:9">
      <c r="A464" t="s">
        <v>267</v>
      </c>
      <c r="B464" t="s">
        <v>268</v>
      </c>
      <c r="C464" t="s">
        <v>13</v>
      </c>
      <c r="D464" t="s">
        <v>138</v>
      </c>
      <c r="E464">
        <v>29</v>
      </c>
      <c r="F464">
        <v>2.95</v>
      </c>
      <c r="G464">
        <v>4.0999999999999996</v>
      </c>
      <c r="H464">
        <f t="shared" si="14"/>
        <v>1.5163000000000002</v>
      </c>
      <c r="I464">
        <f t="shared" si="15"/>
        <v>2.1073999999999997</v>
      </c>
    </row>
    <row r="465" spans="1:9">
      <c r="A465" t="s">
        <v>267</v>
      </c>
      <c r="B465" t="s">
        <v>268</v>
      </c>
      <c r="C465" t="s">
        <v>13</v>
      </c>
      <c r="D465" t="s">
        <v>138</v>
      </c>
      <c r="E465">
        <v>30</v>
      </c>
      <c r="F465">
        <v>3.0249999999999995</v>
      </c>
      <c r="G465">
        <v>4.0999999999999996</v>
      </c>
      <c r="H465">
        <f t="shared" si="14"/>
        <v>1.5548499999999998</v>
      </c>
      <c r="I465">
        <f t="shared" si="15"/>
        <v>2.1073999999999997</v>
      </c>
    </row>
    <row r="466" spans="1:9">
      <c r="A466" t="s">
        <v>267</v>
      </c>
      <c r="B466" t="s">
        <v>268</v>
      </c>
      <c r="C466" t="s">
        <v>13</v>
      </c>
      <c r="D466" t="s">
        <v>138</v>
      </c>
      <c r="E466">
        <v>31</v>
      </c>
      <c r="F466">
        <v>3.0250000000000004</v>
      </c>
      <c r="G466">
        <v>4</v>
      </c>
      <c r="H466">
        <f t="shared" si="14"/>
        <v>1.5548500000000003</v>
      </c>
      <c r="I466">
        <f t="shared" si="15"/>
        <v>2.056</v>
      </c>
    </row>
  </sheetData>
  <sortState ref="A2:I435">
    <sortCondition ref="B2:B435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0"/>
  <sheetViews>
    <sheetView tabSelected="1" topLeftCell="A9" workbookViewId="0">
      <selection activeCell="D27" sqref="D27"/>
    </sheetView>
  </sheetViews>
  <sheetFormatPr baseColWidth="10" defaultRowHeight="15" x14ac:dyDescent="0"/>
  <cols>
    <col min="1" max="1" width="28.1640625" customWidth="1"/>
    <col min="2" max="2" width="18.83203125" bestFit="1" customWidth="1"/>
    <col min="3" max="3" width="17.6640625" bestFit="1" customWidth="1"/>
    <col min="4" max="4" width="18" bestFit="1" customWidth="1"/>
    <col min="5" max="5" width="16.83203125" bestFit="1" customWidth="1"/>
    <col min="6" max="11" width="12.1640625" bestFit="1" customWidth="1"/>
    <col min="12" max="12" width="11.1640625" bestFit="1" customWidth="1"/>
    <col min="13" max="15" width="12.1640625" bestFit="1" customWidth="1"/>
    <col min="16" max="16" width="17.6640625" bestFit="1" customWidth="1"/>
    <col min="17" max="29" width="12.1640625" bestFit="1" customWidth="1"/>
    <col min="30" max="30" width="23.33203125" bestFit="1" customWidth="1"/>
    <col min="31" max="31" width="22.1640625" bestFit="1" customWidth="1"/>
  </cols>
  <sheetData>
    <row r="3" spans="1:5">
      <c r="B3" s="12" t="s">
        <v>103</v>
      </c>
    </row>
    <row r="4" spans="1:5">
      <c r="A4" s="12" t="s">
        <v>100</v>
      </c>
      <c r="B4" t="s">
        <v>226</v>
      </c>
      <c r="C4" t="s">
        <v>227</v>
      </c>
      <c r="D4" t="s">
        <v>234</v>
      </c>
      <c r="E4" t="s">
        <v>235</v>
      </c>
    </row>
    <row r="5" spans="1:5">
      <c r="A5" s="13" t="s">
        <v>182</v>
      </c>
      <c r="B5" s="14">
        <v>1.5822580645161293</v>
      </c>
      <c r="C5" s="14">
        <v>2.7258064516129026</v>
      </c>
      <c r="D5" s="14">
        <v>0.36253826065955302</v>
      </c>
      <c r="E5" s="14">
        <v>0.43047860336722316</v>
      </c>
    </row>
    <row r="6" spans="1:5">
      <c r="A6" s="13" t="s">
        <v>181</v>
      </c>
      <c r="B6" s="14">
        <v>1.428494623655914</v>
      </c>
      <c r="C6" s="14">
        <v>1.9064516129032261</v>
      </c>
      <c r="D6" s="14">
        <v>0.2725715518832762</v>
      </c>
      <c r="E6" s="14">
        <v>0.23371704241235297</v>
      </c>
    </row>
    <row r="7" spans="1:5">
      <c r="A7" s="13" t="s">
        <v>186</v>
      </c>
      <c r="B7" s="14">
        <v>0.72419354838709671</v>
      </c>
      <c r="C7" s="14">
        <v>1.0354838709677425</v>
      </c>
      <c r="D7" s="14">
        <v>0.15170870660806776</v>
      </c>
      <c r="E7" s="14">
        <v>0.13551970852185621</v>
      </c>
    </row>
    <row r="8" spans="1:5">
      <c r="A8" s="13" t="s">
        <v>137</v>
      </c>
      <c r="B8" s="14">
        <v>0.6567204301075269</v>
      </c>
      <c r="C8" s="14">
        <v>0.90645161290322573</v>
      </c>
      <c r="D8" s="14">
        <v>0.14157545028801205</v>
      </c>
      <c r="E8" s="14">
        <v>0.14591203713417622</v>
      </c>
    </row>
    <row r="9" spans="1:5">
      <c r="A9" s="13" t="s">
        <v>201</v>
      </c>
      <c r="B9" s="14">
        <v>0.60543010752688176</v>
      </c>
      <c r="C9" s="14">
        <v>0.86774193548387069</v>
      </c>
      <c r="D9" s="14">
        <v>0.13526241145347914</v>
      </c>
      <c r="E9" s="14">
        <v>0.13263256707710527</v>
      </c>
    </row>
    <row r="10" spans="1:5">
      <c r="A10" s="13" t="s">
        <v>180</v>
      </c>
      <c r="B10" s="14">
        <v>1.8497311827956988</v>
      </c>
      <c r="C10" s="14">
        <v>2.4806451612903224</v>
      </c>
      <c r="D10" s="14">
        <v>0.35516352435499121</v>
      </c>
      <c r="E10" s="14">
        <v>0.26884860031711666</v>
      </c>
    </row>
    <row r="11" spans="1:5">
      <c r="A11" s="13" t="s">
        <v>190</v>
      </c>
      <c r="B11" s="14">
        <v>1.4620967741935484</v>
      </c>
      <c r="C11" s="14">
        <v>2.0967741935483875</v>
      </c>
      <c r="D11" s="14">
        <v>0.30662317558211749</v>
      </c>
      <c r="E11" s="14">
        <v>0.2613858845560712</v>
      </c>
    </row>
    <row r="12" spans="1:5">
      <c r="A12" s="13" t="s">
        <v>185</v>
      </c>
      <c r="B12" s="14">
        <v>1.1739247311827956</v>
      </c>
      <c r="C12" s="14">
        <v>1.5225806451612909</v>
      </c>
      <c r="D12" s="14">
        <v>0.22926757309241283</v>
      </c>
      <c r="E12" s="14">
        <v>0.20609007321937939</v>
      </c>
    </row>
    <row r="13" spans="1:5">
      <c r="A13" s="13" t="s">
        <v>183</v>
      </c>
      <c r="B13" s="14">
        <v>1.0459677419354838</v>
      </c>
      <c r="C13" s="14">
        <v>1.3483870967741935</v>
      </c>
      <c r="D13" s="14">
        <v>0.22294193488919697</v>
      </c>
      <c r="E13" s="14">
        <v>0.24340770700197145</v>
      </c>
    </row>
    <row r="14" spans="1:5">
      <c r="A14" s="13" t="s">
        <v>194</v>
      </c>
      <c r="B14" s="14">
        <v>2.1497311827956995</v>
      </c>
      <c r="C14" s="14">
        <v>3.3935483870967738</v>
      </c>
      <c r="D14" s="14">
        <v>0.43589777445290634</v>
      </c>
      <c r="E14" s="14">
        <v>0.32551035198180378</v>
      </c>
    </row>
    <row r="15" spans="1:5">
      <c r="A15" s="13" t="s">
        <v>187</v>
      </c>
      <c r="B15" s="14">
        <v>1.1053763440860218</v>
      </c>
      <c r="C15" s="14">
        <v>1.7193548387096773</v>
      </c>
      <c r="D15" s="14">
        <v>0.20391479233458057</v>
      </c>
      <c r="E15" s="14">
        <v>0.21820381120825147</v>
      </c>
    </row>
    <row r="16" spans="1:5">
      <c r="A16" s="13" t="s">
        <v>203</v>
      </c>
      <c r="B16" s="14">
        <v>0.48295698924731184</v>
      </c>
      <c r="C16" s="14">
        <v>0.67096774193548403</v>
      </c>
      <c r="D16" s="14">
        <v>0.1088385311651567</v>
      </c>
      <c r="E16" s="14">
        <v>0.11785173846008486</v>
      </c>
    </row>
    <row r="17" spans="1:5">
      <c r="A17" s="13" t="s">
        <v>179</v>
      </c>
      <c r="B17" s="14">
        <v>1.1072580645161292</v>
      </c>
      <c r="C17" s="14">
        <v>1.854838709677419</v>
      </c>
      <c r="D17" s="14">
        <v>0.19532430221210897</v>
      </c>
      <c r="E17" s="14">
        <v>0.19293990373070599</v>
      </c>
    </row>
    <row r="18" spans="1:5">
      <c r="A18" s="13" t="s">
        <v>184</v>
      </c>
      <c r="B18" s="14">
        <v>1.1706989247311828</v>
      </c>
      <c r="C18" s="14">
        <v>1.5129032258064523</v>
      </c>
      <c r="D18" s="14">
        <v>0.23114921194758764</v>
      </c>
      <c r="E18" s="14">
        <v>0.22322176638770252</v>
      </c>
    </row>
    <row r="19" spans="1:5">
      <c r="A19" s="13" t="s">
        <v>267</v>
      </c>
      <c r="B19" s="14">
        <v>2.4956989247311832</v>
      </c>
      <c r="C19" s="14">
        <v>3.6483870967741927</v>
      </c>
      <c r="D19" s="14">
        <v>0.5331287410000366</v>
      </c>
      <c r="E19" s="14">
        <v>0.53967333807402695</v>
      </c>
    </row>
    <row r="20" spans="1:5">
      <c r="A20" s="13" t="s">
        <v>101</v>
      </c>
      <c r="B20" s="14">
        <v>1.2693691756272401</v>
      </c>
      <c r="C20" s="14">
        <v>1.846021505376346</v>
      </c>
      <c r="D20" s="14">
        <v>0.62247391275479402</v>
      </c>
      <c r="E20" s="14">
        <v>0.90628545089393941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36"/>
  <sheetViews>
    <sheetView topLeftCell="H1" zoomScale="150" zoomScaleNormal="150" zoomScalePageLayoutView="150" workbookViewId="0">
      <selection activeCell="L18" sqref="L18"/>
    </sheetView>
  </sheetViews>
  <sheetFormatPr baseColWidth="10" defaultRowHeight="12" x14ac:dyDescent="0"/>
  <cols>
    <col min="1" max="1" width="6" style="17" bestFit="1" customWidth="1"/>
    <col min="2" max="2" width="25" style="18" bestFit="1" customWidth="1"/>
    <col min="3" max="3" width="9.6640625" style="18" bestFit="1" customWidth="1"/>
    <col min="4" max="4" width="11.33203125" style="18" bestFit="1" customWidth="1"/>
    <col min="5" max="5" width="6.83203125" style="17" bestFit="1" customWidth="1"/>
    <col min="6" max="6" width="24.5" style="17" bestFit="1" customWidth="1"/>
    <col min="7" max="7" width="7.1640625" style="17" bestFit="1" customWidth="1"/>
    <col min="8" max="8" width="6.33203125" style="18" customWidth="1"/>
    <col min="9" max="9" width="28.1640625" style="18" bestFit="1" customWidth="1"/>
    <col min="10" max="12" width="10.83203125" style="18"/>
    <col min="13" max="13" width="14.6640625" style="18" bestFit="1" customWidth="1"/>
    <col min="14" max="14" width="15.6640625" style="18" bestFit="1" customWidth="1"/>
    <col min="15" max="15" width="14.1640625" style="18" bestFit="1" customWidth="1"/>
    <col min="16" max="16" width="13.1640625" style="18" bestFit="1" customWidth="1"/>
    <col min="17" max="17" width="13.1640625" style="18" customWidth="1"/>
    <col min="18" max="18" width="13.1640625" style="18" bestFit="1" customWidth="1"/>
    <col min="19" max="16384" width="10.83203125" style="18"/>
  </cols>
  <sheetData>
    <row r="2" spans="1:20" ht="25" thickBot="1">
      <c r="A2" s="20" t="s">
        <v>232</v>
      </c>
      <c r="B2" s="21" t="s">
        <v>233</v>
      </c>
      <c r="C2" s="21" t="s">
        <v>236</v>
      </c>
      <c r="D2" s="21" t="s">
        <v>237</v>
      </c>
      <c r="E2" s="21" t="s">
        <v>12</v>
      </c>
      <c r="F2" s="21" t="s">
        <v>178</v>
      </c>
      <c r="G2" s="20" t="s">
        <v>228</v>
      </c>
      <c r="K2" s="17" t="s">
        <v>236</v>
      </c>
      <c r="L2" s="17" t="s">
        <v>237</v>
      </c>
      <c r="M2" s="17" t="s">
        <v>236</v>
      </c>
      <c r="N2" s="17" t="s">
        <v>237</v>
      </c>
      <c r="O2" s="18" t="s">
        <v>297</v>
      </c>
      <c r="P2" s="18" t="s">
        <v>298</v>
      </c>
      <c r="Q2" s="18" t="s">
        <v>315</v>
      </c>
      <c r="R2" s="18" t="s">
        <v>299</v>
      </c>
      <c r="S2" s="18" t="s">
        <v>313</v>
      </c>
      <c r="T2" s="18" t="s">
        <v>314</v>
      </c>
    </row>
    <row r="3" spans="1:20">
      <c r="A3" s="17" t="s">
        <v>212</v>
      </c>
      <c r="B3" s="17" t="s">
        <v>179</v>
      </c>
      <c r="C3" s="17" t="s">
        <v>269</v>
      </c>
      <c r="D3" s="17" t="s">
        <v>283</v>
      </c>
      <c r="E3" s="17" t="s">
        <v>150</v>
      </c>
      <c r="F3" s="17" t="s">
        <v>151</v>
      </c>
      <c r="G3" s="17">
        <v>1</v>
      </c>
      <c r="I3" s="18" t="s">
        <v>179</v>
      </c>
      <c r="J3" s="17" t="s">
        <v>144</v>
      </c>
      <c r="K3" s="19">
        <v>48.695300000000003</v>
      </c>
      <c r="L3" s="19">
        <v>123.2355</v>
      </c>
      <c r="M3" s="18" t="s">
        <v>238</v>
      </c>
      <c r="N3" s="18" t="s">
        <v>239</v>
      </c>
      <c r="O3" s="18">
        <v>0.7</v>
      </c>
      <c r="P3" s="18">
        <v>1.6</v>
      </c>
      <c r="Q3" s="18">
        <f>1.6</f>
        <v>1.6</v>
      </c>
      <c r="R3" s="18">
        <f>AVERAGE(O3:P3)</f>
        <v>1.1499999999999999</v>
      </c>
      <c r="S3" s="23">
        <f>R3*0.514</f>
        <v>0.59109999999999996</v>
      </c>
      <c r="T3" s="23">
        <f>Q3*0.514</f>
        <v>0.82240000000000002</v>
      </c>
    </row>
    <row r="4" spans="1:20">
      <c r="A4" s="17" t="s">
        <v>213</v>
      </c>
      <c r="B4" s="17" t="s">
        <v>180</v>
      </c>
      <c r="C4" s="17" t="s">
        <v>274</v>
      </c>
      <c r="D4" s="17" t="s">
        <v>284</v>
      </c>
      <c r="E4" s="17" t="s">
        <v>150</v>
      </c>
      <c r="F4" s="17" t="s">
        <v>151</v>
      </c>
      <c r="G4" s="17">
        <v>2</v>
      </c>
      <c r="I4" s="18" t="s">
        <v>180</v>
      </c>
      <c r="J4" s="17" t="s">
        <v>145</v>
      </c>
      <c r="K4" s="19">
        <v>48.589199999999998</v>
      </c>
      <c r="L4" s="19">
        <v>123.22499999999999</v>
      </c>
      <c r="M4" s="18" t="s">
        <v>241</v>
      </c>
      <c r="N4" s="18" t="s">
        <v>242</v>
      </c>
      <c r="O4" s="18">
        <v>1.6</v>
      </c>
      <c r="P4" s="18">
        <v>2.1</v>
      </c>
      <c r="Q4" s="18">
        <v>2.1</v>
      </c>
      <c r="R4" s="18">
        <f t="shared" ref="R4:R14" si="0">AVERAGE(O4:P4)</f>
        <v>1.85</v>
      </c>
      <c r="S4" s="23">
        <f t="shared" ref="S4:S14" si="1">R4*0.514</f>
        <v>0.95090000000000008</v>
      </c>
      <c r="T4" s="23">
        <f t="shared" ref="T4:T14" si="2">Q4*0.514</f>
        <v>1.0794000000000001</v>
      </c>
    </row>
    <row r="5" spans="1:20">
      <c r="A5" s="17" t="s">
        <v>214</v>
      </c>
      <c r="B5" s="17" t="s">
        <v>181</v>
      </c>
      <c r="C5" s="17" t="s">
        <v>270</v>
      </c>
      <c r="D5" s="17" t="s">
        <v>285</v>
      </c>
      <c r="E5" s="17" t="s">
        <v>150</v>
      </c>
      <c r="F5" s="17" t="s">
        <v>151</v>
      </c>
      <c r="G5" s="17">
        <v>3</v>
      </c>
      <c r="I5" s="18" t="s">
        <v>181</v>
      </c>
      <c r="J5" s="17" t="s">
        <v>146</v>
      </c>
      <c r="K5" s="19">
        <v>48.45</v>
      </c>
      <c r="L5" s="19">
        <v>123.15</v>
      </c>
      <c r="M5" s="18" t="s">
        <v>243</v>
      </c>
      <c r="N5" s="18" t="s">
        <v>244</v>
      </c>
      <c r="O5" s="18">
        <v>1.3</v>
      </c>
      <c r="P5" s="18">
        <v>1.6</v>
      </c>
      <c r="Q5" s="18">
        <v>1.6</v>
      </c>
      <c r="R5" s="18">
        <f t="shared" si="0"/>
        <v>1.4500000000000002</v>
      </c>
      <c r="S5" s="23">
        <f t="shared" si="1"/>
        <v>0.74530000000000007</v>
      </c>
      <c r="T5" s="23">
        <f t="shared" si="2"/>
        <v>0.82240000000000002</v>
      </c>
    </row>
    <row r="6" spans="1:20">
      <c r="A6" s="17" t="s">
        <v>215</v>
      </c>
      <c r="B6" s="17" t="s">
        <v>182</v>
      </c>
      <c r="C6" s="17" t="s">
        <v>271</v>
      </c>
      <c r="D6" s="17" t="s">
        <v>286</v>
      </c>
      <c r="E6" s="17" t="s">
        <v>150</v>
      </c>
      <c r="F6" s="17" t="s">
        <v>138</v>
      </c>
      <c r="G6" s="17">
        <v>4</v>
      </c>
      <c r="I6" s="18" t="s">
        <v>182</v>
      </c>
      <c r="J6" s="17" t="s">
        <v>147</v>
      </c>
      <c r="K6" s="19">
        <v>48.433799999999998</v>
      </c>
      <c r="L6" s="19">
        <v>122.947</v>
      </c>
      <c r="M6" s="18" t="s">
        <v>245</v>
      </c>
      <c r="N6" s="18" t="s">
        <v>246</v>
      </c>
      <c r="O6" s="18">
        <v>0.8</v>
      </c>
      <c r="P6" s="18">
        <v>2.4</v>
      </c>
      <c r="Q6" s="18">
        <v>2.4</v>
      </c>
      <c r="R6" s="18">
        <f>AVERAGE(O6:P6)</f>
        <v>1.6</v>
      </c>
      <c r="S6" s="23">
        <f t="shared" si="1"/>
        <v>0.82240000000000002</v>
      </c>
      <c r="T6" s="23">
        <f t="shared" si="2"/>
        <v>1.2336</v>
      </c>
    </row>
    <row r="7" spans="1:20">
      <c r="A7" s="17" t="s">
        <v>216</v>
      </c>
      <c r="B7" s="17" t="s">
        <v>183</v>
      </c>
      <c r="C7" s="17" t="s">
        <v>272</v>
      </c>
      <c r="D7" s="17" t="s">
        <v>287</v>
      </c>
      <c r="E7" s="17" t="s">
        <v>13</v>
      </c>
      <c r="F7" s="17" t="s">
        <v>138</v>
      </c>
      <c r="G7" s="17">
        <v>5</v>
      </c>
      <c r="I7" s="18" t="s">
        <v>183</v>
      </c>
      <c r="J7" s="17" t="s">
        <v>148</v>
      </c>
      <c r="K7" s="19">
        <v>48.6113</v>
      </c>
      <c r="L7" s="19">
        <v>123.0342</v>
      </c>
      <c r="M7" s="18" t="s">
        <v>247</v>
      </c>
      <c r="N7" s="18" t="s">
        <v>248</v>
      </c>
      <c r="O7" s="18">
        <v>0.9</v>
      </c>
      <c r="P7" s="18">
        <v>1</v>
      </c>
      <c r="Q7" s="18">
        <v>1</v>
      </c>
      <c r="R7" s="18">
        <f t="shared" si="0"/>
        <v>0.95</v>
      </c>
      <c r="S7" s="23">
        <f t="shared" si="1"/>
        <v>0.48830000000000001</v>
      </c>
      <c r="T7" s="23">
        <f t="shared" si="2"/>
        <v>0.51400000000000001</v>
      </c>
    </row>
    <row r="8" spans="1:20">
      <c r="A8" s="17" t="s">
        <v>217</v>
      </c>
      <c r="B8" s="17" t="s">
        <v>184</v>
      </c>
      <c r="C8" s="17" t="s">
        <v>273</v>
      </c>
      <c r="D8" s="17" t="s">
        <v>288</v>
      </c>
      <c r="E8" s="17" t="s">
        <v>13</v>
      </c>
      <c r="F8" s="17" t="s">
        <v>138</v>
      </c>
      <c r="G8" s="17" t="s">
        <v>229</v>
      </c>
      <c r="I8" s="18" t="s">
        <v>184</v>
      </c>
      <c r="J8" s="17" t="s">
        <v>155</v>
      </c>
      <c r="K8" s="19">
        <v>48.556699999999999</v>
      </c>
      <c r="L8" s="19">
        <v>122.9983</v>
      </c>
      <c r="M8" s="18" t="s">
        <v>249</v>
      </c>
      <c r="N8" s="18" t="s">
        <v>250</v>
      </c>
      <c r="O8" s="18">
        <v>0.9</v>
      </c>
      <c r="P8" s="18">
        <v>1.3</v>
      </c>
      <c r="Q8" s="18">
        <v>1.3</v>
      </c>
      <c r="R8" s="18">
        <f t="shared" si="0"/>
        <v>1.1000000000000001</v>
      </c>
      <c r="S8" s="23">
        <f t="shared" si="1"/>
        <v>0.56540000000000001</v>
      </c>
      <c r="T8" s="23">
        <f t="shared" si="2"/>
        <v>0.66820000000000002</v>
      </c>
    </row>
    <row r="9" spans="1:20">
      <c r="A9" s="17" t="s">
        <v>218</v>
      </c>
      <c r="B9" s="17" t="s">
        <v>185</v>
      </c>
      <c r="C9" s="17" t="s">
        <v>275</v>
      </c>
      <c r="D9" s="17" t="s">
        <v>289</v>
      </c>
      <c r="E9" s="17" t="s">
        <v>13</v>
      </c>
      <c r="F9" s="17" t="s">
        <v>138</v>
      </c>
      <c r="G9" s="17">
        <v>8</v>
      </c>
      <c r="I9" s="18" t="s">
        <v>185</v>
      </c>
      <c r="J9" s="17" t="s">
        <v>156</v>
      </c>
      <c r="K9" s="19">
        <v>48.511299999999999</v>
      </c>
      <c r="L9" s="19">
        <v>122.9528</v>
      </c>
      <c r="M9" s="18" t="s">
        <v>251</v>
      </c>
      <c r="N9" s="18" t="s">
        <v>252</v>
      </c>
      <c r="O9" s="18">
        <v>1</v>
      </c>
      <c r="P9" s="18">
        <v>1.4</v>
      </c>
      <c r="Q9" s="18">
        <v>1.4</v>
      </c>
      <c r="R9" s="18">
        <f t="shared" si="0"/>
        <v>1.2</v>
      </c>
      <c r="S9" s="23">
        <f t="shared" si="1"/>
        <v>0.61680000000000001</v>
      </c>
      <c r="T9" s="23">
        <f t="shared" si="2"/>
        <v>0.71960000000000002</v>
      </c>
    </row>
    <row r="10" spans="1:20">
      <c r="A10" s="17" t="s">
        <v>219</v>
      </c>
      <c r="B10" s="17" t="s">
        <v>187</v>
      </c>
      <c r="C10" s="17" t="s">
        <v>276</v>
      </c>
      <c r="D10" s="17" t="s">
        <v>290</v>
      </c>
      <c r="E10" s="17" t="s">
        <v>122</v>
      </c>
      <c r="F10" s="17" t="s">
        <v>161</v>
      </c>
      <c r="G10" s="17">
        <v>13</v>
      </c>
      <c r="I10" s="18" t="s">
        <v>187</v>
      </c>
      <c r="J10" s="17" t="s">
        <v>157</v>
      </c>
      <c r="K10" s="19">
        <v>48.7667</v>
      </c>
      <c r="L10" s="19">
        <v>122.9333</v>
      </c>
      <c r="M10" s="18" t="s">
        <v>253</v>
      </c>
      <c r="N10" s="18" t="s">
        <v>254</v>
      </c>
      <c r="O10" s="18">
        <v>0.8</v>
      </c>
      <c r="P10" s="18">
        <v>1.4</v>
      </c>
      <c r="Q10" s="18">
        <v>1.4</v>
      </c>
      <c r="R10" s="18">
        <f t="shared" si="0"/>
        <v>1.1000000000000001</v>
      </c>
      <c r="S10" s="23">
        <f t="shared" si="1"/>
        <v>0.56540000000000001</v>
      </c>
      <c r="T10" s="23">
        <f t="shared" si="2"/>
        <v>0.71960000000000002</v>
      </c>
    </row>
    <row r="11" spans="1:20">
      <c r="A11" s="17" t="s">
        <v>220</v>
      </c>
      <c r="B11" s="17" t="s">
        <v>190</v>
      </c>
      <c r="C11" s="17" t="s">
        <v>277</v>
      </c>
      <c r="D11" s="17" t="s">
        <v>291</v>
      </c>
      <c r="E11" s="17" t="s">
        <v>122</v>
      </c>
      <c r="F11" s="17" t="s">
        <v>131</v>
      </c>
      <c r="G11" s="17">
        <v>14</v>
      </c>
      <c r="I11" s="18" t="s">
        <v>190</v>
      </c>
      <c r="J11" s="17" t="s">
        <v>158</v>
      </c>
      <c r="K11" s="19">
        <v>48.6783</v>
      </c>
      <c r="L11" s="19">
        <v>122.7145</v>
      </c>
      <c r="M11" s="18" t="s">
        <v>255</v>
      </c>
      <c r="N11" s="18" t="s">
        <v>256</v>
      </c>
      <c r="O11" s="18">
        <v>1.4</v>
      </c>
      <c r="P11" s="18">
        <v>1.4</v>
      </c>
      <c r="Q11" s="18">
        <v>1.4</v>
      </c>
      <c r="R11" s="18">
        <f>AVERAGE(O11:P11)</f>
        <v>1.4</v>
      </c>
      <c r="S11" s="23">
        <f t="shared" si="1"/>
        <v>0.71960000000000002</v>
      </c>
      <c r="T11" s="23">
        <f t="shared" si="2"/>
        <v>0.71960000000000002</v>
      </c>
    </row>
    <row r="12" spans="1:20">
      <c r="A12" s="17" t="s">
        <v>221</v>
      </c>
      <c r="B12" s="17" t="s">
        <v>194</v>
      </c>
      <c r="C12" s="17" t="s">
        <v>278</v>
      </c>
      <c r="D12" s="17" t="s">
        <v>292</v>
      </c>
      <c r="E12" s="17" t="s">
        <v>122</v>
      </c>
      <c r="F12" s="17" t="s">
        <v>131</v>
      </c>
      <c r="G12" s="17">
        <v>15</v>
      </c>
      <c r="I12" s="18" t="s">
        <v>194</v>
      </c>
      <c r="J12" s="17" t="s">
        <v>160</v>
      </c>
      <c r="K12" s="19">
        <v>48.561199999999999</v>
      </c>
      <c r="L12" s="19">
        <v>122.7542</v>
      </c>
      <c r="M12" s="18" t="s">
        <v>257</v>
      </c>
      <c r="N12" s="18" t="s">
        <v>258</v>
      </c>
      <c r="O12" s="18">
        <v>1.5</v>
      </c>
      <c r="P12" s="18">
        <v>2.6</v>
      </c>
      <c r="Q12" s="18">
        <v>2.6</v>
      </c>
      <c r="R12" s="18">
        <f t="shared" si="0"/>
        <v>2.0499999999999998</v>
      </c>
      <c r="S12" s="23">
        <f t="shared" si="1"/>
        <v>1.0536999999999999</v>
      </c>
      <c r="T12" s="23">
        <f t="shared" si="2"/>
        <v>1.3364</v>
      </c>
    </row>
    <row r="13" spans="1:20">
      <c r="A13" s="17" t="s">
        <v>222</v>
      </c>
      <c r="B13" s="17" t="s">
        <v>137</v>
      </c>
      <c r="C13" s="17" t="s">
        <v>279</v>
      </c>
      <c r="D13" s="17" t="s">
        <v>293</v>
      </c>
      <c r="E13" s="17" t="s">
        <v>18</v>
      </c>
      <c r="F13" s="17" t="s">
        <v>138</v>
      </c>
      <c r="G13" s="17" t="s">
        <v>230</v>
      </c>
      <c r="I13" s="18" t="s">
        <v>137</v>
      </c>
      <c r="J13" s="17" t="s">
        <v>189</v>
      </c>
      <c r="K13" s="19">
        <v>48.590800000000002</v>
      </c>
      <c r="L13" s="19">
        <v>122.9205</v>
      </c>
      <c r="M13" s="18" t="s">
        <v>259</v>
      </c>
      <c r="N13" s="18" t="s">
        <v>260</v>
      </c>
      <c r="O13" s="18">
        <v>0.6</v>
      </c>
      <c r="P13" s="18">
        <v>0.7</v>
      </c>
      <c r="Q13" s="18">
        <v>0.7</v>
      </c>
      <c r="R13" s="18">
        <f t="shared" si="0"/>
        <v>0.64999999999999991</v>
      </c>
      <c r="S13" s="23">
        <f t="shared" si="1"/>
        <v>0.33409999999999995</v>
      </c>
      <c r="T13" s="23">
        <f t="shared" si="2"/>
        <v>0.35980000000000001</v>
      </c>
    </row>
    <row r="14" spans="1:20">
      <c r="A14" s="17" t="s">
        <v>223</v>
      </c>
      <c r="B14" s="17" t="s">
        <v>186</v>
      </c>
      <c r="C14" s="17" t="s">
        <v>280</v>
      </c>
      <c r="D14" s="17" t="s">
        <v>294</v>
      </c>
      <c r="E14" s="17" t="s">
        <v>18</v>
      </c>
      <c r="F14" s="17" t="s">
        <v>131</v>
      </c>
      <c r="G14" s="17" t="s">
        <v>231</v>
      </c>
      <c r="I14" s="18" t="s">
        <v>186</v>
      </c>
      <c r="J14" s="17" t="s">
        <v>191</v>
      </c>
      <c r="K14" s="19">
        <v>48.539200000000001</v>
      </c>
      <c r="L14" s="19">
        <v>122.8308</v>
      </c>
      <c r="M14" s="18" t="s">
        <v>261</v>
      </c>
      <c r="N14" s="18" t="s">
        <v>262</v>
      </c>
      <c r="O14" s="18">
        <v>0.6</v>
      </c>
      <c r="P14" s="18">
        <v>0.8</v>
      </c>
      <c r="Q14" s="18">
        <v>0.8</v>
      </c>
      <c r="R14" s="18">
        <f t="shared" si="0"/>
        <v>0.7</v>
      </c>
      <c r="S14" s="23">
        <f t="shared" si="1"/>
        <v>0.35980000000000001</v>
      </c>
      <c r="T14" s="23">
        <f t="shared" si="2"/>
        <v>0.41120000000000001</v>
      </c>
    </row>
    <row r="15" spans="1:20">
      <c r="A15" s="17" t="s">
        <v>224</v>
      </c>
      <c r="B15" s="17" t="s">
        <v>201</v>
      </c>
      <c r="C15" s="17" t="s">
        <v>281</v>
      </c>
      <c r="D15" s="17" t="s">
        <v>295</v>
      </c>
      <c r="E15" s="17" t="s">
        <v>198</v>
      </c>
      <c r="F15" s="17" t="s">
        <v>151</v>
      </c>
      <c r="G15" s="17">
        <v>16</v>
      </c>
      <c r="I15" s="18" t="s">
        <v>201</v>
      </c>
      <c r="J15" s="17" t="s">
        <v>193</v>
      </c>
      <c r="K15" s="19">
        <v>47.816699999999997</v>
      </c>
      <c r="L15" s="19">
        <v>122.6833</v>
      </c>
      <c r="M15" s="18" t="s">
        <v>263</v>
      </c>
      <c r="N15" s="18" t="s">
        <v>264</v>
      </c>
    </row>
    <row r="16" spans="1:20">
      <c r="A16" s="22" t="s">
        <v>225</v>
      </c>
      <c r="B16" s="22" t="s">
        <v>203</v>
      </c>
      <c r="C16" s="22" t="s">
        <v>282</v>
      </c>
      <c r="D16" s="22" t="s">
        <v>296</v>
      </c>
      <c r="E16" s="22" t="s">
        <v>198</v>
      </c>
      <c r="F16" s="22" t="s">
        <v>151</v>
      </c>
      <c r="G16" s="22">
        <v>18</v>
      </c>
      <c r="I16" s="18" t="s">
        <v>203</v>
      </c>
      <c r="J16" s="17" t="s">
        <v>195</v>
      </c>
      <c r="K16" s="19">
        <v>47.7</v>
      </c>
      <c r="L16" s="19">
        <v>122.7667</v>
      </c>
      <c r="M16" s="18" t="s">
        <v>265</v>
      </c>
      <c r="N16" s="18" t="s">
        <v>266</v>
      </c>
    </row>
    <row r="17" spans="9:17">
      <c r="I17" s="18" t="s">
        <v>267</v>
      </c>
      <c r="J17" s="17" t="s">
        <v>197</v>
      </c>
      <c r="K17" s="18">
        <v>48.626300999999998</v>
      </c>
      <c r="L17" s="18">
        <v>123.1092</v>
      </c>
    </row>
    <row r="22" spans="9:17">
      <c r="I22" s="18" t="s">
        <v>240</v>
      </c>
    </row>
    <row r="24" spans="9:17">
      <c r="I24" s="18" t="s">
        <v>300</v>
      </c>
      <c r="J24" s="18" t="s">
        <v>301</v>
      </c>
      <c r="K24" s="18" t="s">
        <v>302</v>
      </c>
      <c r="L24" s="18" t="s">
        <v>303</v>
      </c>
      <c r="M24" s="18" t="s">
        <v>304</v>
      </c>
      <c r="N24" s="18" t="s">
        <v>305</v>
      </c>
      <c r="O24" s="18" t="s">
        <v>306</v>
      </c>
      <c r="P24" s="18" t="s">
        <v>313</v>
      </c>
      <c r="Q24" s="18" t="s">
        <v>314</v>
      </c>
    </row>
    <row r="25" spans="9:17">
      <c r="I25" s="18" t="s">
        <v>16</v>
      </c>
      <c r="J25" s="18">
        <v>11</v>
      </c>
      <c r="K25" s="18" t="s">
        <v>307</v>
      </c>
      <c r="L25" s="24">
        <v>6.5</v>
      </c>
      <c r="M25" s="24">
        <v>32</v>
      </c>
      <c r="N25" s="24">
        <v>35.1</v>
      </c>
      <c r="O25" s="18">
        <v>0.92329033299999996</v>
      </c>
      <c r="P25" s="23">
        <v>0.36</v>
      </c>
      <c r="Q25" s="23">
        <v>0.41</v>
      </c>
    </row>
    <row r="26" spans="9:17">
      <c r="I26" s="18" t="s">
        <v>17</v>
      </c>
      <c r="J26" s="18">
        <v>10</v>
      </c>
      <c r="K26" s="18" t="s">
        <v>307</v>
      </c>
      <c r="L26" s="24">
        <v>4.4000000000000004</v>
      </c>
      <c r="M26" s="24">
        <v>22</v>
      </c>
      <c r="N26" s="24">
        <v>23.5</v>
      </c>
      <c r="O26" s="18">
        <v>0.72485666699999995</v>
      </c>
      <c r="P26" s="18">
        <v>0.33</v>
      </c>
      <c r="Q26" s="18">
        <v>0.36</v>
      </c>
    </row>
    <row r="27" spans="9:17">
      <c r="I27" s="18" t="s">
        <v>8</v>
      </c>
      <c r="J27" s="18">
        <v>5</v>
      </c>
      <c r="K27" s="18" t="s">
        <v>308</v>
      </c>
      <c r="L27" s="24">
        <v>10.199999999999999</v>
      </c>
      <c r="M27" s="24">
        <v>45</v>
      </c>
      <c r="N27" s="24">
        <v>53.1</v>
      </c>
      <c r="O27" s="18">
        <v>0.90836399999999995</v>
      </c>
      <c r="P27" s="18">
        <v>0.49</v>
      </c>
      <c r="Q27" s="18">
        <v>0.51</v>
      </c>
    </row>
    <row r="28" spans="9:17">
      <c r="I28" s="18" t="s">
        <v>10</v>
      </c>
      <c r="J28" s="18">
        <v>7</v>
      </c>
      <c r="K28" s="18" t="s">
        <v>308</v>
      </c>
      <c r="L28" s="24">
        <v>9.1999999999999993</v>
      </c>
      <c r="M28" s="24">
        <v>41</v>
      </c>
      <c r="N28" s="24">
        <v>73</v>
      </c>
      <c r="O28" s="25">
        <v>1.6430336670000001</v>
      </c>
      <c r="P28" s="18">
        <v>0.56999999999999995</v>
      </c>
      <c r="Q28" s="18">
        <v>0.67</v>
      </c>
    </row>
    <row r="29" spans="9:17">
      <c r="I29" s="18" t="s">
        <v>14</v>
      </c>
      <c r="J29" s="18">
        <v>9</v>
      </c>
      <c r="K29" s="18" t="s">
        <v>307</v>
      </c>
      <c r="L29" s="24">
        <v>6.4</v>
      </c>
      <c r="M29" s="24">
        <v>29</v>
      </c>
      <c r="N29" s="24">
        <v>35.299999999999997</v>
      </c>
      <c r="O29" s="18">
        <v>0.62075666699999998</v>
      </c>
      <c r="P29" s="18">
        <v>0.33</v>
      </c>
      <c r="Q29" s="18">
        <v>0.36</v>
      </c>
    </row>
    <row r="30" spans="9:17">
      <c r="I30" s="18" t="s">
        <v>9</v>
      </c>
      <c r="J30" s="18">
        <v>6</v>
      </c>
      <c r="K30" s="18" t="s">
        <v>308</v>
      </c>
      <c r="L30" s="24">
        <v>12.4</v>
      </c>
      <c r="M30" s="24">
        <v>56</v>
      </c>
      <c r="N30" s="24">
        <v>58.3</v>
      </c>
      <c r="O30" s="18">
        <v>1.117181333</v>
      </c>
      <c r="P30" s="18">
        <v>0.56999999999999995</v>
      </c>
      <c r="Q30" s="18">
        <v>0.67</v>
      </c>
    </row>
    <row r="31" spans="9:17">
      <c r="I31" s="18" t="s">
        <v>11</v>
      </c>
      <c r="J31" s="18">
        <v>8</v>
      </c>
      <c r="K31" s="18" t="s">
        <v>308</v>
      </c>
      <c r="L31" s="24">
        <v>15.3</v>
      </c>
      <c r="M31" s="24">
        <v>59</v>
      </c>
      <c r="N31" s="24">
        <v>63</v>
      </c>
      <c r="O31" s="18">
        <v>1.164864667</v>
      </c>
      <c r="P31" s="18">
        <v>0.62</v>
      </c>
      <c r="Q31" s="18">
        <v>0.72</v>
      </c>
    </row>
    <row r="32" spans="9:17">
      <c r="I32" s="18" t="s">
        <v>15</v>
      </c>
      <c r="J32" s="18">
        <v>12</v>
      </c>
      <c r="K32" s="18" t="s">
        <v>307</v>
      </c>
      <c r="L32" s="24">
        <v>8.8000000000000007</v>
      </c>
      <c r="M32" s="24">
        <v>41</v>
      </c>
      <c r="N32" s="24">
        <v>45.9</v>
      </c>
      <c r="O32" s="18">
        <v>0.77137366699999999</v>
      </c>
      <c r="P32" s="23">
        <v>0.36</v>
      </c>
      <c r="Q32" s="23">
        <v>0.41</v>
      </c>
    </row>
    <row r="34" spans="14:15">
      <c r="N34" s="18" t="s">
        <v>309</v>
      </c>
      <c r="O34" s="18" t="s">
        <v>310</v>
      </c>
    </row>
    <row r="35" spans="14:15">
      <c r="N35" s="25">
        <v>1.45</v>
      </c>
      <c r="O35" s="25">
        <v>1.6430336670000001</v>
      </c>
    </row>
    <row r="36" spans="14:15">
      <c r="N36" s="18" t="s">
        <v>312</v>
      </c>
      <c r="O36" s="18" t="s">
        <v>311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raw</vt:lpstr>
      <vt:lpstr>dissolution.R</vt:lpstr>
      <vt:lpstr>field notes</vt:lpstr>
      <vt:lpstr>tidal flux</vt:lpstr>
      <vt:lpstr>tidal data_raw</vt:lpstr>
      <vt:lpstr>tidal data_edit</vt:lpstr>
      <vt:lpstr>noaa raw_aug 2012</vt:lpstr>
      <vt:lpstr>noaa.R</vt:lpstr>
      <vt:lpstr>noaa.R (2)</vt:lpstr>
      <vt:lpstr>noaa.R (3)</vt:lpstr>
      <vt:lpstr>noaa PT</vt:lpstr>
      <vt:lpstr>station table</vt:lpstr>
    </vt:vector>
  </TitlesOfParts>
  <Company>University of Washington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 Elahi</dc:creator>
  <cp:lastModifiedBy>Robin Elahi</cp:lastModifiedBy>
  <cp:lastPrinted>2012-08-04T18:20:59Z</cp:lastPrinted>
  <dcterms:created xsi:type="dcterms:W3CDTF">2012-07-28T16:08:45Z</dcterms:created>
  <dcterms:modified xsi:type="dcterms:W3CDTF">2013-06-10T20:31:10Z</dcterms:modified>
</cp:coreProperties>
</file>