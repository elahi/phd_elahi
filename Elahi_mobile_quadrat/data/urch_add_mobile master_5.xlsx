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date1904="1" showInkAnnotation="0" autoCompressPictures="0"/>
  <bookViews>
    <workbookView xWindow="660" yWindow="1680" windowWidth="30600" windowHeight="18780" tabRatio="500" firstSheet="1" activeTab="5"/>
  </bookViews>
  <sheets>
    <sheet name="Sheet2" sheetId="2" r:id="rId1"/>
    <sheet name="Sheet3" sheetId="3" r:id="rId2"/>
    <sheet name="all_raw" sheetId="1" r:id="rId3"/>
    <sheet name="all_edit" sheetId="8" r:id="rId4"/>
    <sheet name="all_edit_cons" sheetId="9" r:id="rId5"/>
    <sheet name="all_edit_graz" sheetId="10" r:id="rId6"/>
  </sheets>
  <externalReferences>
    <externalReference r:id="rId7"/>
  </externalReferences>
  <calcPr calcId="140001" concurrentCalc="0"/>
  <pivotCaches>
    <pivotCache cacheId="5" r:id="rId8"/>
  </pivotCaches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E49" i="10" l="1"/>
  <c r="BE3" i="10"/>
  <c r="BE4" i="10"/>
  <c r="BE5" i="10"/>
  <c r="BE6" i="10"/>
  <c r="BE7" i="10"/>
  <c r="BE8" i="10"/>
  <c r="BE9" i="10"/>
  <c r="BE10" i="10"/>
  <c r="BE11" i="10"/>
  <c r="BE12" i="10"/>
  <c r="BE13" i="10"/>
  <c r="BE14" i="10"/>
  <c r="BE15" i="10"/>
  <c r="BE16" i="10"/>
  <c r="BE17" i="10"/>
  <c r="BE18" i="10"/>
  <c r="BE19" i="10"/>
  <c r="BE20" i="10"/>
  <c r="BE21" i="10"/>
  <c r="BE22" i="10"/>
  <c r="BE23" i="10"/>
  <c r="BE24" i="10"/>
  <c r="BE25" i="10"/>
  <c r="BE26" i="10"/>
  <c r="BE27" i="10"/>
  <c r="BE28" i="10"/>
  <c r="BE29" i="10"/>
  <c r="BE30" i="10"/>
  <c r="BE31" i="10"/>
  <c r="BE32" i="10"/>
  <c r="BE33" i="10"/>
  <c r="BE34" i="10"/>
  <c r="BE35" i="10"/>
  <c r="BE36" i="10"/>
  <c r="BE37" i="10"/>
  <c r="BE38" i="10"/>
  <c r="BE39" i="10"/>
  <c r="BE40" i="10"/>
  <c r="BE41" i="10"/>
  <c r="BE42" i="10"/>
  <c r="BE43" i="10"/>
  <c r="BE44" i="10"/>
  <c r="BE45" i="10"/>
  <c r="BE46" i="10"/>
  <c r="BE47" i="10"/>
  <c r="BE48" i="10"/>
  <c r="BE50" i="10"/>
  <c r="BE51" i="10"/>
  <c r="BE52" i="10"/>
  <c r="BE53" i="10"/>
  <c r="BE54" i="10"/>
  <c r="BE55" i="10"/>
  <c r="BE56" i="10"/>
  <c r="BE57" i="10"/>
  <c r="BE58" i="10"/>
  <c r="BE59" i="10"/>
  <c r="BE60" i="10"/>
  <c r="BE61" i="10"/>
  <c r="BE62" i="10"/>
  <c r="BE63" i="10"/>
  <c r="BE64" i="10"/>
  <c r="BE65" i="10"/>
  <c r="BE66" i="10"/>
  <c r="BE67" i="10"/>
  <c r="BE68" i="10"/>
  <c r="BE69" i="10"/>
  <c r="BE70" i="10"/>
  <c r="BE71" i="10"/>
  <c r="BE72" i="10"/>
  <c r="BE73" i="10"/>
  <c r="BE74" i="10"/>
  <c r="BE75" i="10"/>
  <c r="BE76" i="10"/>
  <c r="BE77" i="10"/>
  <c r="BE78" i="10"/>
  <c r="BE79" i="10"/>
  <c r="BE80" i="10"/>
  <c r="BE81" i="10"/>
  <c r="BE82" i="10"/>
  <c r="BE83" i="10"/>
  <c r="BE84" i="10"/>
  <c r="BE85" i="10"/>
  <c r="BE86" i="10"/>
  <c r="BE87" i="10"/>
  <c r="BE88" i="10"/>
  <c r="BE89" i="10"/>
  <c r="BE90" i="10"/>
  <c r="BE91" i="10"/>
  <c r="BE92" i="10"/>
  <c r="BE93" i="10"/>
  <c r="BE94" i="10"/>
  <c r="BE95" i="10"/>
  <c r="BE96" i="10"/>
  <c r="BE97" i="10"/>
  <c r="BE98" i="10"/>
  <c r="BE99" i="10"/>
  <c r="BE100" i="10"/>
  <c r="BE101" i="10"/>
  <c r="BE102" i="10"/>
  <c r="BE103" i="10"/>
  <c r="BE104" i="10"/>
  <c r="BE105" i="10"/>
  <c r="BE106" i="10"/>
  <c r="BE107" i="10"/>
  <c r="BE108" i="10"/>
  <c r="BE109" i="10"/>
  <c r="BE110" i="10"/>
  <c r="BE111" i="10"/>
  <c r="BE112" i="10"/>
  <c r="BE113" i="10"/>
  <c r="BE114" i="10"/>
  <c r="BE115" i="10"/>
  <c r="BE116" i="10"/>
  <c r="BE117" i="10"/>
  <c r="BE118" i="10"/>
  <c r="BE119" i="10"/>
  <c r="BE120" i="10"/>
  <c r="BE121" i="10"/>
  <c r="BE122" i="10"/>
  <c r="BE123" i="10"/>
  <c r="BE124" i="10"/>
  <c r="BE125" i="10"/>
  <c r="BE126" i="10"/>
  <c r="BE127" i="10"/>
  <c r="BE128" i="10"/>
  <c r="BE129" i="10"/>
  <c r="BE130" i="10"/>
  <c r="BE131" i="10"/>
  <c r="BE132" i="10"/>
  <c r="BE133" i="10"/>
  <c r="BE134" i="10"/>
  <c r="BE135" i="10"/>
  <c r="BE136" i="10"/>
  <c r="BE137" i="10"/>
  <c r="BE138" i="10"/>
  <c r="BE139" i="10"/>
  <c r="BE140" i="10"/>
  <c r="BE141" i="10"/>
  <c r="BE142" i="10"/>
  <c r="BE143" i="10"/>
  <c r="BE144" i="10"/>
  <c r="BE145" i="10"/>
  <c r="BE146" i="10"/>
  <c r="BE147" i="10"/>
  <c r="BE148" i="10"/>
  <c r="BE149" i="10"/>
  <c r="BE150" i="10"/>
  <c r="BE151" i="10"/>
  <c r="BE152" i="10"/>
  <c r="BE153" i="10"/>
  <c r="BE154" i="10"/>
  <c r="BE155" i="10"/>
  <c r="BE156" i="10"/>
  <c r="BE157" i="10"/>
  <c r="BE158" i="10"/>
  <c r="BE159" i="10"/>
  <c r="BE160" i="10"/>
  <c r="BE161" i="10"/>
  <c r="BE162" i="10"/>
  <c r="BE163" i="10"/>
  <c r="BE164" i="10"/>
  <c r="BE165" i="10"/>
  <c r="BE166" i="10"/>
  <c r="BE167" i="10"/>
  <c r="BE168" i="10"/>
  <c r="BE169" i="10"/>
  <c r="BE170" i="10"/>
  <c r="BE171" i="10"/>
  <c r="BE172" i="10"/>
  <c r="BE173" i="10"/>
  <c r="BE174" i="10"/>
  <c r="BE175" i="10"/>
  <c r="BE176" i="10"/>
  <c r="BE177" i="10"/>
  <c r="BE178" i="10"/>
  <c r="BE179" i="10"/>
  <c r="BE180" i="10"/>
  <c r="BE181" i="10"/>
  <c r="BE182" i="10"/>
  <c r="BE183" i="10"/>
  <c r="BE184" i="10"/>
  <c r="BE185" i="10"/>
  <c r="BE186" i="10"/>
  <c r="BE187" i="10"/>
  <c r="BE188" i="10"/>
  <c r="BE189" i="10"/>
  <c r="BE190" i="10"/>
  <c r="BE191" i="10"/>
  <c r="BE192" i="10"/>
  <c r="BE193" i="10"/>
  <c r="BE194" i="10"/>
  <c r="BE195" i="10"/>
  <c r="BE196" i="10"/>
  <c r="BE197" i="10"/>
  <c r="BE198" i="10"/>
  <c r="BE199" i="10"/>
  <c r="BE200" i="10"/>
  <c r="BE201" i="10"/>
  <c r="BE202" i="10"/>
  <c r="BE203" i="10"/>
  <c r="BE204" i="10"/>
  <c r="BE205" i="10"/>
  <c r="BE206" i="10"/>
  <c r="BE207" i="10"/>
  <c r="BE208" i="10"/>
  <c r="BE209" i="10"/>
  <c r="BE210" i="10"/>
  <c r="BE211" i="10"/>
  <c r="BE212" i="10"/>
  <c r="BE213" i="10"/>
  <c r="BE214" i="10"/>
  <c r="BE215" i="10"/>
  <c r="BE216" i="10"/>
  <c r="BE217" i="10"/>
  <c r="BE2" i="10"/>
  <c r="BC49" i="10"/>
  <c r="BC2" i="10"/>
  <c r="BD217" i="10"/>
  <c r="BC217" i="10"/>
  <c r="BD216" i="10"/>
  <c r="BC216" i="10"/>
  <c r="BC215" i="10"/>
  <c r="BD214" i="10"/>
  <c r="BC214" i="10"/>
  <c r="BD213" i="10"/>
  <c r="BC213" i="10"/>
  <c r="BD212" i="10"/>
  <c r="BC212" i="10"/>
  <c r="BD211" i="10"/>
  <c r="BC211" i="10"/>
  <c r="BD210" i="10"/>
  <c r="BC210" i="10"/>
  <c r="BC209" i="10"/>
  <c r="BD208" i="10"/>
  <c r="BC208" i="10"/>
  <c r="BC207" i="10"/>
  <c r="BD206" i="10"/>
  <c r="BC206" i="10"/>
  <c r="BD205" i="10"/>
  <c r="BC205" i="10"/>
  <c r="BD204" i="10"/>
  <c r="BC204" i="10"/>
  <c r="BC203" i="10"/>
  <c r="BD202" i="10"/>
  <c r="BC202" i="10"/>
  <c r="BD201" i="10"/>
  <c r="BC201" i="10"/>
  <c r="BD200" i="10"/>
  <c r="BC200" i="10"/>
  <c r="BD199" i="10"/>
  <c r="BC199" i="10"/>
  <c r="BD198" i="10"/>
  <c r="BC198" i="10"/>
  <c r="BD197" i="10"/>
  <c r="BC197" i="10"/>
  <c r="BD196" i="10"/>
  <c r="BC196" i="10"/>
  <c r="BD195" i="10"/>
  <c r="BC195" i="10"/>
  <c r="BD194" i="10"/>
  <c r="BC194" i="10"/>
  <c r="BD193" i="10"/>
  <c r="BC193" i="10"/>
  <c r="BD192" i="10"/>
  <c r="BC192" i="10"/>
  <c r="BD191" i="10"/>
  <c r="BC191" i="10"/>
  <c r="BD190" i="10"/>
  <c r="BC190" i="10"/>
  <c r="BD189" i="10"/>
  <c r="BC189" i="10"/>
  <c r="BD188" i="10"/>
  <c r="BC188" i="10"/>
  <c r="BD187" i="10"/>
  <c r="BC187" i="10"/>
  <c r="BD186" i="10"/>
  <c r="BC186" i="10"/>
  <c r="BD185" i="10"/>
  <c r="BC185" i="10"/>
  <c r="BD184" i="10"/>
  <c r="BC184" i="10"/>
  <c r="BD183" i="10"/>
  <c r="BC183" i="10"/>
  <c r="BC182" i="10"/>
  <c r="BD181" i="10"/>
  <c r="BC181" i="10"/>
  <c r="BD180" i="10"/>
  <c r="BC180" i="10"/>
  <c r="BC179" i="10"/>
  <c r="BD178" i="10"/>
  <c r="BC178" i="10"/>
  <c r="BD177" i="10"/>
  <c r="BC177" i="10"/>
  <c r="BC176" i="10"/>
  <c r="BC175" i="10"/>
  <c r="BD174" i="10"/>
  <c r="BC174" i="10"/>
  <c r="BD173" i="10"/>
  <c r="BC173" i="10"/>
  <c r="BD172" i="10"/>
  <c r="BC172" i="10"/>
  <c r="BD171" i="10"/>
  <c r="BC171" i="10"/>
  <c r="BD170" i="10"/>
  <c r="BC170" i="10"/>
  <c r="BD169" i="10"/>
  <c r="BC169" i="10"/>
  <c r="BD168" i="10"/>
  <c r="BC168" i="10"/>
  <c r="BD167" i="10"/>
  <c r="BC167" i="10"/>
  <c r="BC166" i="10"/>
  <c r="BD165" i="10"/>
  <c r="BC165" i="10"/>
  <c r="BD164" i="10"/>
  <c r="BC164" i="10"/>
  <c r="BD163" i="10"/>
  <c r="BC163" i="10"/>
  <c r="BD162" i="10"/>
  <c r="BC162" i="10"/>
  <c r="BD161" i="10"/>
  <c r="BC161" i="10"/>
  <c r="BC160" i="10"/>
  <c r="BD159" i="10"/>
  <c r="BC159" i="10"/>
  <c r="BD158" i="10"/>
  <c r="BC158" i="10"/>
  <c r="BD157" i="10"/>
  <c r="BC157" i="10"/>
  <c r="BD156" i="10"/>
  <c r="BC156" i="10"/>
  <c r="BD155" i="10"/>
  <c r="BC155" i="10"/>
  <c r="BD154" i="10"/>
  <c r="BC154" i="10"/>
  <c r="BD153" i="10"/>
  <c r="BC153" i="10"/>
  <c r="BC152" i="10"/>
  <c r="BD151" i="10"/>
  <c r="BC151" i="10"/>
  <c r="BD150" i="10"/>
  <c r="BC150" i="10"/>
  <c r="BD149" i="10"/>
  <c r="BC149" i="10"/>
  <c r="BD148" i="10"/>
  <c r="BC148" i="10"/>
  <c r="BD147" i="10"/>
  <c r="BC147" i="10"/>
  <c r="BD146" i="10"/>
  <c r="BC146" i="10"/>
  <c r="BD145" i="10"/>
  <c r="BC145" i="10"/>
  <c r="BD144" i="10"/>
  <c r="BC144" i="10"/>
  <c r="BD143" i="10"/>
  <c r="BC143" i="10"/>
  <c r="BD142" i="10"/>
  <c r="BC142" i="10"/>
  <c r="BD141" i="10"/>
  <c r="BC141" i="10"/>
  <c r="BD140" i="10"/>
  <c r="BC140" i="10"/>
  <c r="BD139" i="10"/>
  <c r="BC139" i="10"/>
  <c r="BD138" i="10"/>
  <c r="BC138" i="10"/>
  <c r="BD137" i="10"/>
  <c r="BC137" i="10"/>
  <c r="BD136" i="10"/>
  <c r="BC136" i="10"/>
  <c r="BD135" i="10"/>
  <c r="BC135" i="10"/>
  <c r="BD134" i="10"/>
  <c r="BC134" i="10"/>
  <c r="BD133" i="10"/>
  <c r="BC133" i="10"/>
  <c r="BD132" i="10"/>
  <c r="BC132" i="10"/>
  <c r="BD131" i="10"/>
  <c r="BC131" i="10"/>
  <c r="BD130" i="10"/>
  <c r="BC130" i="10"/>
  <c r="BD129" i="10"/>
  <c r="BC129" i="10"/>
  <c r="BD128" i="10"/>
  <c r="BC128" i="10"/>
  <c r="BD127" i="10"/>
  <c r="BC127" i="10"/>
  <c r="BD126" i="10"/>
  <c r="BC126" i="10"/>
  <c r="BD125" i="10"/>
  <c r="BC125" i="10"/>
  <c r="BD124" i="10"/>
  <c r="BC124" i="10"/>
  <c r="BD123" i="10"/>
  <c r="BC123" i="10"/>
  <c r="BD122" i="10"/>
  <c r="BC122" i="10"/>
  <c r="BD121" i="10"/>
  <c r="BC121" i="10"/>
  <c r="BD120" i="10"/>
  <c r="BC120" i="10"/>
  <c r="BD119" i="10"/>
  <c r="BC119" i="10"/>
  <c r="BD118" i="10"/>
  <c r="BC118" i="10"/>
  <c r="BD117" i="10"/>
  <c r="BC117" i="10"/>
  <c r="BD116" i="10"/>
  <c r="BC116" i="10"/>
  <c r="BD115" i="10"/>
  <c r="BC115" i="10"/>
  <c r="BD114" i="10"/>
  <c r="BC114" i="10"/>
  <c r="BD113" i="10"/>
  <c r="BC113" i="10"/>
  <c r="BD112" i="10"/>
  <c r="BC112" i="10"/>
  <c r="BD111" i="10"/>
  <c r="BC111" i="10"/>
  <c r="BD110" i="10"/>
  <c r="BC110" i="10"/>
  <c r="BD109" i="10"/>
  <c r="BC109" i="10"/>
  <c r="BD108" i="10"/>
  <c r="BC108" i="10"/>
  <c r="BD107" i="10"/>
  <c r="BC107" i="10"/>
  <c r="BD106" i="10"/>
  <c r="BC106" i="10"/>
  <c r="BD105" i="10"/>
  <c r="BC105" i="10"/>
  <c r="BD104" i="10"/>
  <c r="BC104" i="10"/>
  <c r="BD103" i="10"/>
  <c r="BC103" i="10"/>
  <c r="BD102" i="10"/>
  <c r="BC102" i="10"/>
  <c r="BD101" i="10"/>
  <c r="BC101" i="10"/>
  <c r="BD100" i="10"/>
  <c r="BC100" i="10"/>
  <c r="BD99" i="10"/>
  <c r="BC99" i="10"/>
  <c r="BD98" i="10"/>
  <c r="BC98" i="10"/>
  <c r="BD97" i="10"/>
  <c r="BC97" i="10"/>
  <c r="BD96" i="10"/>
  <c r="BC96" i="10"/>
  <c r="BD95" i="10"/>
  <c r="BC95" i="10"/>
  <c r="BD94" i="10"/>
  <c r="BC94" i="10"/>
  <c r="BD93" i="10"/>
  <c r="BC93" i="10"/>
  <c r="BD92" i="10"/>
  <c r="BC92" i="10"/>
  <c r="BD91" i="10"/>
  <c r="BC91" i="10"/>
  <c r="BD90" i="10"/>
  <c r="BC90" i="10"/>
  <c r="BD89" i="10"/>
  <c r="BC89" i="10"/>
  <c r="BD88" i="10"/>
  <c r="BC88" i="10"/>
  <c r="BD87" i="10"/>
  <c r="BC87" i="10"/>
  <c r="BD86" i="10"/>
  <c r="BC86" i="10"/>
  <c r="BD85" i="10"/>
  <c r="BC85" i="10"/>
  <c r="BD84" i="10"/>
  <c r="BC84" i="10"/>
  <c r="BD83" i="10"/>
  <c r="BC83" i="10"/>
  <c r="BD82" i="10"/>
  <c r="BC82" i="10"/>
  <c r="BD81" i="10"/>
  <c r="BC81" i="10"/>
  <c r="BD80" i="10"/>
  <c r="BC80" i="10"/>
  <c r="BD79" i="10"/>
  <c r="BC79" i="10"/>
  <c r="BD78" i="10"/>
  <c r="BC78" i="10"/>
  <c r="BD77" i="10"/>
  <c r="BC77" i="10"/>
  <c r="BD76" i="10"/>
  <c r="BC76" i="10"/>
  <c r="BD75" i="10"/>
  <c r="BC75" i="10"/>
  <c r="BD74" i="10"/>
  <c r="BC74" i="10"/>
  <c r="BD73" i="10"/>
  <c r="BC73" i="10"/>
  <c r="BD72" i="10"/>
  <c r="BC72" i="10"/>
  <c r="BD71" i="10"/>
  <c r="BC71" i="10"/>
  <c r="BD70" i="10"/>
  <c r="BC70" i="10"/>
  <c r="BD69" i="10"/>
  <c r="BC69" i="10"/>
  <c r="BD68" i="10"/>
  <c r="BC68" i="10"/>
  <c r="BD67" i="10"/>
  <c r="BC67" i="10"/>
  <c r="BD66" i="10"/>
  <c r="BC66" i="10"/>
  <c r="BD65" i="10"/>
  <c r="BC65" i="10"/>
  <c r="BD64" i="10"/>
  <c r="BC64" i="10"/>
  <c r="BD63" i="10"/>
  <c r="BC63" i="10"/>
  <c r="BD62" i="10"/>
  <c r="BC62" i="10"/>
  <c r="BD61" i="10"/>
  <c r="BC61" i="10"/>
  <c r="BD60" i="10"/>
  <c r="BC60" i="10"/>
  <c r="BD59" i="10"/>
  <c r="BC59" i="10"/>
  <c r="BD58" i="10"/>
  <c r="BC58" i="10"/>
  <c r="BD57" i="10"/>
  <c r="BC57" i="10"/>
  <c r="BD56" i="10"/>
  <c r="BC56" i="10"/>
  <c r="BD55" i="10"/>
  <c r="BC55" i="10"/>
  <c r="BD54" i="10"/>
  <c r="BC54" i="10"/>
  <c r="BD53" i="10"/>
  <c r="BC53" i="10"/>
  <c r="BD52" i="10"/>
  <c r="BC52" i="10"/>
  <c r="BD51" i="10"/>
  <c r="BC51" i="10"/>
  <c r="BD50" i="10"/>
  <c r="BC50" i="10"/>
  <c r="BD49" i="10"/>
  <c r="BD48" i="10"/>
  <c r="BC48" i="10"/>
  <c r="BD47" i="10"/>
  <c r="BC47" i="10"/>
  <c r="BD46" i="10"/>
  <c r="BC46" i="10"/>
  <c r="BD45" i="10"/>
  <c r="BC45" i="10"/>
  <c r="BD44" i="10"/>
  <c r="BC44" i="10"/>
  <c r="BD43" i="10"/>
  <c r="BC43" i="10"/>
  <c r="BD42" i="10"/>
  <c r="BC42" i="10"/>
  <c r="BD41" i="10"/>
  <c r="BC41" i="10"/>
  <c r="BD40" i="10"/>
  <c r="BC40" i="10"/>
  <c r="BD39" i="10"/>
  <c r="BC39" i="10"/>
  <c r="BD38" i="10"/>
  <c r="BC38" i="10"/>
  <c r="BD37" i="10"/>
  <c r="BC37" i="10"/>
  <c r="BD36" i="10"/>
  <c r="BC36" i="10"/>
  <c r="BD35" i="10"/>
  <c r="BC35" i="10"/>
  <c r="BD34" i="10"/>
  <c r="BC34" i="10"/>
  <c r="BD33" i="10"/>
  <c r="BC33" i="10"/>
  <c r="BD32" i="10"/>
  <c r="BC32" i="10"/>
  <c r="BD31" i="10"/>
  <c r="BC31" i="10"/>
  <c r="BD30" i="10"/>
  <c r="BC30" i="10"/>
  <c r="BD29" i="10"/>
  <c r="BC29" i="10"/>
  <c r="BC28" i="10"/>
  <c r="BD27" i="10"/>
  <c r="BC27" i="10"/>
  <c r="BC26" i="10"/>
  <c r="BD25" i="10"/>
  <c r="BC25" i="10"/>
  <c r="BD24" i="10"/>
  <c r="BC24" i="10"/>
  <c r="BD23" i="10"/>
  <c r="BC23" i="10"/>
  <c r="BD22" i="10"/>
  <c r="BC22" i="10"/>
  <c r="BD21" i="10"/>
  <c r="BC21" i="10"/>
  <c r="BD20" i="10"/>
  <c r="BC20" i="10"/>
  <c r="BD19" i="10"/>
  <c r="BC19" i="10"/>
  <c r="BD18" i="10"/>
  <c r="BC18" i="10"/>
  <c r="BD17" i="10"/>
  <c r="BC17" i="10"/>
  <c r="BD16" i="10"/>
  <c r="BC16" i="10"/>
  <c r="BD15" i="10"/>
  <c r="BC15" i="10"/>
  <c r="BD14" i="10"/>
  <c r="BC14" i="10"/>
  <c r="BD13" i="10"/>
  <c r="BC13" i="10"/>
  <c r="BD12" i="10"/>
  <c r="BC12" i="10"/>
  <c r="BD11" i="10"/>
  <c r="BC11" i="10"/>
  <c r="BD10" i="10"/>
  <c r="BC10" i="10"/>
  <c r="BD9" i="10"/>
  <c r="BC9" i="10"/>
  <c r="BD8" i="10"/>
  <c r="BC8" i="10"/>
  <c r="BD7" i="10"/>
  <c r="BC7" i="10"/>
  <c r="BD6" i="10"/>
  <c r="BC6" i="10"/>
  <c r="BD5" i="10"/>
  <c r="BC5" i="10"/>
  <c r="BD4" i="10"/>
  <c r="BC4" i="10"/>
  <c r="BD3" i="10"/>
  <c r="BC3" i="10"/>
  <c r="BD2" i="10"/>
  <c r="BD217" i="9"/>
  <c r="BC217" i="9"/>
  <c r="BD216" i="9"/>
  <c r="BC216" i="9"/>
  <c r="BC215" i="9"/>
  <c r="BD214" i="9"/>
  <c r="BC214" i="9"/>
  <c r="BD213" i="9"/>
  <c r="BC213" i="9"/>
  <c r="BD212" i="9"/>
  <c r="BC212" i="9"/>
  <c r="BD211" i="9"/>
  <c r="BC211" i="9"/>
  <c r="BD210" i="9"/>
  <c r="BC210" i="9"/>
  <c r="BC209" i="9"/>
  <c r="BD208" i="9"/>
  <c r="BC208" i="9"/>
  <c r="BC207" i="9"/>
  <c r="BD206" i="9"/>
  <c r="BC206" i="9"/>
  <c r="BD205" i="9"/>
  <c r="BC205" i="9"/>
  <c r="BD204" i="9"/>
  <c r="BC204" i="9"/>
  <c r="BC203" i="9"/>
  <c r="BD202" i="9"/>
  <c r="BC202" i="9"/>
  <c r="BD201" i="9"/>
  <c r="BC201" i="9"/>
  <c r="BD200" i="9"/>
  <c r="BC200" i="9"/>
  <c r="BD199" i="9"/>
  <c r="BC199" i="9"/>
  <c r="BD198" i="9"/>
  <c r="BC198" i="9"/>
  <c r="BD197" i="9"/>
  <c r="BC197" i="9"/>
  <c r="BD196" i="9"/>
  <c r="BC196" i="9"/>
  <c r="BD195" i="9"/>
  <c r="BC195" i="9"/>
  <c r="BD194" i="9"/>
  <c r="BC194" i="9"/>
  <c r="BD193" i="9"/>
  <c r="BC193" i="9"/>
  <c r="BD192" i="9"/>
  <c r="BC192" i="9"/>
  <c r="BD191" i="9"/>
  <c r="BC191" i="9"/>
  <c r="BD190" i="9"/>
  <c r="BC190" i="9"/>
  <c r="BD189" i="9"/>
  <c r="BC189" i="9"/>
  <c r="BD188" i="9"/>
  <c r="BC188" i="9"/>
  <c r="BD187" i="9"/>
  <c r="BC187" i="9"/>
  <c r="BD186" i="9"/>
  <c r="BC186" i="9"/>
  <c r="BD185" i="9"/>
  <c r="BC185" i="9"/>
  <c r="BD184" i="9"/>
  <c r="BC184" i="9"/>
  <c r="BD183" i="9"/>
  <c r="BC183" i="9"/>
  <c r="BC182" i="9"/>
  <c r="BD181" i="9"/>
  <c r="BC181" i="9"/>
  <c r="BD180" i="9"/>
  <c r="BC180" i="9"/>
  <c r="BC179" i="9"/>
  <c r="BD178" i="9"/>
  <c r="BC178" i="9"/>
  <c r="BD177" i="9"/>
  <c r="BC177" i="9"/>
  <c r="BC176" i="9"/>
  <c r="BC175" i="9"/>
  <c r="BD174" i="9"/>
  <c r="BC174" i="9"/>
  <c r="BD173" i="9"/>
  <c r="BC173" i="9"/>
  <c r="BD172" i="9"/>
  <c r="BC172" i="9"/>
  <c r="BD171" i="9"/>
  <c r="BC171" i="9"/>
  <c r="BD170" i="9"/>
  <c r="BC170" i="9"/>
  <c r="BD169" i="9"/>
  <c r="BC169" i="9"/>
  <c r="BD168" i="9"/>
  <c r="BC168" i="9"/>
  <c r="BD167" i="9"/>
  <c r="BC167" i="9"/>
  <c r="BC166" i="9"/>
  <c r="BD165" i="9"/>
  <c r="BC165" i="9"/>
  <c r="BD164" i="9"/>
  <c r="BC164" i="9"/>
  <c r="BD163" i="9"/>
  <c r="BC163" i="9"/>
  <c r="BD162" i="9"/>
  <c r="BC162" i="9"/>
  <c r="BD161" i="9"/>
  <c r="BC161" i="9"/>
  <c r="BC160" i="9"/>
  <c r="BD159" i="9"/>
  <c r="BC159" i="9"/>
  <c r="BD158" i="9"/>
  <c r="BC158" i="9"/>
  <c r="BD157" i="9"/>
  <c r="BC157" i="9"/>
  <c r="BD156" i="9"/>
  <c r="BC156" i="9"/>
  <c r="BD155" i="9"/>
  <c r="BC155" i="9"/>
  <c r="BD154" i="9"/>
  <c r="BC154" i="9"/>
  <c r="BD153" i="9"/>
  <c r="BC153" i="9"/>
  <c r="BC152" i="9"/>
  <c r="BD151" i="9"/>
  <c r="BC151" i="9"/>
  <c r="BD150" i="9"/>
  <c r="BC150" i="9"/>
  <c r="BD149" i="9"/>
  <c r="BC149" i="9"/>
  <c r="BD148" i="9"/>
  <c r="BC148" i="9"/>
  <c r="BD147" i="9"/>
  <c r="BC147" i="9"/>
  <c r="BD146" i="9"/>
  <c r="BC146" i="9"/>
  <c r="BD145" i="9"/>
  <c r="BC145" i="9"/>
  <c r="BD144" i="9"/>
  <c r="BC144" i="9"/>
  <c r="BD143" i="9"/>
  <c r="BC143" i="9"/>
  <c r="BD142" i="9"/>
  <c r="BC142" i="9"/>
  <c r="BD141" i="9"/>
  <c r="BC141" i="9"/>
  <c r="BD140" i="9"/>
  <c r="BC140" i="9"/>
  <c r="BD139" i="9"/>
  <c r="BC139" i="9"/>
  <c r="BD138" i="9"/>
  <c r="BC138" i="9"/>
  <c r="BD137" i="9"/>
  <c r="BC137" i="9"/>
  <c r="BD136" i="9"/>
  <c r="BC136" i="9"/>
  <c r="BD135" i="9"/>
  <c r="BC135" i="9"/>
  <c r="BD134" i="9"/>
  <c r="BC134" i="9"/>
  <c r="BD133" i="9"/>
  <c r="BC133" i="9"/>
  <c r="BD132" i="9"/>
  <c r="BC132" i="9"/>
  <c r="BD131" i="9"/>
  <c r="BC131" i="9"/>
  <c r="BD130" i="9"/>
  <c r="BC130" i="9"/>
  <c r="BD129" i="9"/>
  <c r="BC129" i="9"/>
  <c r="BD128" i="9"/>
  <c r="BC128" i="9"/>
  <c r="BD127" i="9"/>
  <c r="BC127" i="9"/>
  <c r="BD126" i="9"/>
  <c r="BC126" i="9"/>
  <c r="BD125" i="9"/>
  <c r="BC125" i="9"/>
  <c r="BD124" i="9"/>
  <c r="BC124" i="9"/>
  <c r="BD123" i="9"/>
  <c r="BC123" i="9"/>
  <c r="BD122" i="9"/>
  <c r="BC122" i="9"/>
  <c r="BD121" i="9"/>
  <c r="BC121" i="9"/>
  <c r="BD120" i="9"/>
  <c r="BC120" i="9"/>
  <c r="BD119" i="9"/>
  <c r="BC119" i="9"/>
  <c r="BD118" i="9"/>
  <c r="BC118" i="9"/>
  <c r="BD117" i="9"/>
  <c r="BC117" i="9"/>
  <c r="BD116" i="9"/>
  <c r="BC116" i="9"/>
  <c r="BD115" i="9"/>
  <c r="BC115" i="9"/>
  <c r="BD114" i="9"/>
  <c r="BC114" i="9"/>
  <c r="BD113" i="9"/>
  <c r="BC113" i="9"/>
  <c r="BD112" i="9"/>
  <c r="BC112" i="9"/>
  <c r="BD111" i="9"/>
  <c r="BC111" i="9"/>
  <c r="BD110" i="9"/>
  <c r="BC110" i="9"/>
  <c r="BD109" i="9"/>
  <c r="BC109" i="9"/>
  <c r="BD108" i="9"/>
  <c r="BC108" i="9"/>
  <c r="BD107" i="9"/>
  <c r="BC107" i="9"/>
  <c r="BD106" i="9"/>
  <c r="BC106" i="9"/>
  <c r="BD105" i="9"/>
  <c r="BC105" i="9"/>
  <c r="BD104" i="9"/>
  <c r="BC104" i="9"/>
  <c r="BD103" i="9"/>
  <c r="BC103" i="9"/>
  <c r="BD102" i="9"/>
  <c r="BC102" i="9"/>
  <c r="BD101" i="9"/>
  <c r="BC101" i="9"/>
  <c r="BD100" i="9"/>
  <c r="BC100" i="9"/>
  <c r="BD99" i="9"/>
  <c r="BC99" i="9"/>
  <c r="BD98" i="9"/>
  <c r="BC98" i="9"/>
  <c r="BD97" i="9"/>
  <c r="BC97" i="9"/>
  <c r="BD96" i="9"/>
  <c r="BC96" i="9"/>
  <c r="BD95" i="9"/>
  <c r="BC95" i="9"/>
  <c r="BD94" i="9"/>
  <c r="BC94" i="9"/>
  <c r="BD93" i="9"/>
  <c r="BC93" i="9"/>
  <c r="BD92" i="9"/>
  <c r="BC92" i="9"/>
  <c r="BD91" i="9"/>
  <c r="BC91" i="9"/>
  <c r="BD90" i="9"/>
  <c r="BC90" i="9"/>
  <c r="BD89" i="9"/>
  <c r="BC89" i="9"/>
  <c r="BD88" i="9"/>
  <c r="BC88" i="9"/>
  <c r="BD87" i="9"/>
  <c r="BC87" i="9"/>
  <c r="BD86" i="9"/>
  <c r="BC86" i="9"/>
  <c r="BD85" i="9"/>
  <c r="BC85" i="9"/>
  <c r="BD84" i="9"/>
  <c r="BC84" i="9"/>
  <c r="BD83" i="9"/>
  <c r="BC83" i="9"/>
  <c r="BD82" i="9"/>
  <c r="BC82" i="9"/>
  <c r="BD81" i="9"/>
  <c r="BC81" i="9"/>
  <c r="BD80" i="9"/>
  <c r="BC80" i="9"/>
  <c r="BD79" i="9"/>
  <c r="BC79" i="9"/>
  <c r="BD78" i="9"/>
  <c r="BC78" i="9"/>
  <c r="BD77" i="9"/>
  <c r="BC77" i="9"/>
  <c r="BD76" i="9"/>
  <c r="BC76" i="9"/>
  <c r="BD75" i="9"/>
  <c r="BC75" i="9"/>
  <c r="BD74" i="9"/>
  <c r="BC74" i="9"/>
  <c r="BD73" i="9"/>
  <c r="BC73" i="9"/>
  <c r="BD72" i="9"/>
  <c r="BC72" i="9"/>
  <c r="BD71" i="9"/>
  <c r="BC71" i="9"/>
  <c r="BD70" i="9"/>
  <c r="BC70" i="9"/>
  <c r="BD69" i="9"/>
  <c r="BC69" i="9"/>
  <c r="BD68" i="9"/>
  <c r="BC68" i="9"/>
  <c r="BD67" i="9"/>
  <c r="BC67" i="9"/>
  <c r="BD66" i="9"/>
  <c r="BC66" i="9"/>
  <c r="BD65" i="9"/>
  <c r="BC65" i="9"/>
  <c r="BD64" i="9"/>
  <c r="BC64" i="9"/>
  <c r="BD63" i="9"/>
  <c r="BC63" i="9"/>
  <c r="BD62" i="9"/>
  <c r="BC62" i="9"/>
  <c r="BD61" i="9"/>
  <c r="BC61" i="9"/>
  <c r="BD60" i="9"/>
  <c r="BC60" i="9"/>
  <c r="BD59" i="9"/>
  <c r="BC59" i="9"/>
  <c r="BD58" i="9"/>
  <c r="BC58" i="9"/>
  <c r="BD57" i="9"/>
  <c r="BC57" i="9"/>
  <c r="BD56" i="9"/>
  <c r="BC56" i="9"/>
  <c r="BD55" i="9"/>
  <c r="BC55" i="9"/>
  <c r="BD54" i="9"/>
  <c r="BC54" i="9"/>
  <c r="BD53" i="9"/>
  <c r="BC53" i="9"/>
  <c r="BD52" i="9"/>
  <c r="BC52" i="9"/>
  <c r="BD51" i="9"/>
  <c r="BC51" i="9"/>
  <c r="BD50" i="9"/>
  <c r="BC50" i="9"/>
  <c r="BD49" i="9"/>
  <c r="BC49" i="9"/>
  <c r="BD48" i="9"/>
  <c r="BC48" i="9"/>
  <c r="BD47" i="9"/>
  <c r="BC47" i="9"/>
  <c r="BD46" i="9"/>
  <c r="BC46" i="9"/>
  <c r="BD45" i="9"/>
  <c r="BC45" i="9"/>
  <c r="BD44" i="9"/>
  <c r="BC44" i="9"/>
  <c r="BD43" i="9"/>
  <c r="BC43" i="9"/>
  <c r="BD42" i="9"/>
  <c r="BC42" i="9"/>
  <c r="BD41" i="9"/>
  <c r="BC41" i="9"/>
  <c r="BD40" i="9"/>
  <c r="BC40" i="9"/>
  <c r="BD39" i="9"/>
  <c r="BC39" i="9"/>
  <c r="BD38" i="9"/>
  <c r="BC38" i="9"/>
  <c r="BD37" i="9"/>
  <c r="BC37" i="9"/>
  <c r="BD36" i="9"/>
  <c r="BC36" i="9"/>
  <c r="BD35" i="9"/>
  <c r="BC35" i="9"/>
  <c r="BD34" i="9"/>
  <c r="BC34" i="9"/>
  <c r="BD33" i="9"/>
  <c r="BC33" i="9"/>
  <c r="BD32" i="9"/>
  <c r="BC32" i="9"/>
  <c r="BD31" i="9"/>
  <c r="BC31" i="9"/>
  <c r="BD30" i="9"/>
  <c r="BC30" i="9"/>
  <c r="BD29" i="9"/>
  <c r="BC29" i="9"/>
  <c r="BC28" i="9"/>
  <c r="BD27" i="9"/>
  <c r="BC27" i="9"/>
  <c r="BC26" i="9"/>
  <c r="BD25" i="9"/>
  <c r="BC25" i="9"/>
  <c r="BD24" i="9"/>
  <c r="BC24" i="9"/>
  <c r="BD23" i="9"/>
  <c r="BC23" i="9"/>
  <c r="BD22" i="9"/>
  <c r="BC22" i="9"/>
  <c r="BD21" i="9"/>
  <c r="BC21" i="9"/>
  <c r="BD20" i="9"/>
  <c r="BC20" i="9"/>
  <c r="BD19" i="9"/>
  <c r="BC19" i="9"/>
  <c r="BD18" i="9"/>
  <c r="BC18" i="9"/>
  <c r="BD17" i="9"/>
  <c r="BC17" i="9"/>
  <c r="BD16" i="9"/>
  <c r="BC16" i="9"/>
  <c r="BD15" i="9"/>
  <c r="BC15" i="9"/>
  <c r="BD14" i="9"/>
  <c r="BC14" i="9"/>
  <c r="BD13" i="9"/>
  <c r="BC13" i="9"/>
  <c r="BD12" i="9"/>
  <c r="BC12" i="9"/>
  <c r="BD11" i="9"/>
  <c r="BC11" i="9"/>
  <c r="BD10" i="9"/>
  <c r="BC10" i="9"/>
  <c r="BD9" i="9"/>
  <c r="BC9" i="9"/>
  <c r="BD8" i="9"/>
  <c r="BC8" i="9"/>
  <c r="BD7" i="9"/>
  <c r="BC7" i="9"/>
  <c r="BD6" i="9"/>
  <c r="BC6" i="9"/>
  <c r="BD5" i="9"/>
  <c r="BC5" i="9"/>
  <c r="BD4" i="9"/>
  <c r="BC4" i="9"/>
  <c r="BD3" i="9"/>
  <c r="BC3" i="9"/>
  <c r="BD2" i="9"/>
  <c r="BC2" i="9"/>
  <c r="BO2" i="8"/>
  <c r="BP2" i="8"/>
  <c r="BQ2" i="8"/>
  <c r="BR2" i="8"/>
  <c r="BS2" i="8"/>
  <c r="BT2" i="8"/>
  <c r="BU2" i="8"/>
  <c r="BV2" i="8"/>
  <c r="BW2" i="8"/>
  <c r="BX2" i="8"/>
  <c r="BY2" i="8"/>
  <c r="BZ2" i="8"/>
  <c r="CA2" i="8"/>
  <c r="CB2" i="8"/>
  <c r="CC2" i="8"/>
  <c r="CD2" i="8"/>
  <c r="CE2" i="8"/>
  <c r="CF2" i="8"/>
  <c r="CG2" i="8"/>
  <c r="CH2" i="8"/>
  <c r="CI2" i="8"/>
  <c r="CJ2" i="8"/>
  <c r="CK2" i="8"/>
  <c r="CL2" i="8"/>
  <c r="CM2" i="8"/>
  <c r="CN2" i="8"/>
  <c r="CO2" i="8"/>
  <c r="CP2" i="8"/>
  <c r="CQ2" i="8"/>
  <c r="CR2" i="8"/>
  <c r="CS2" i="8"/>
  <c r="CT2" i="8"/>
  <c r="CU2" i="8"/>
  <c r="CV2" i="8"/>
  <c r="CW2" i="8"/>
  <c r="CX2" i="8"/>
  <c r="CY2" i="8"/>
  <c r="CZ2" i="8"/>
  <c r="DA2" i="8"/>
  <c r="DB2" i="8"/>
  <c r="DC2" i="8"/>
  <c r="DD2" i="8"/>
  <c r="DE2" i="8"/>
  <c r="DF2" i="8"/>
  <c r="DG2" i="8"/>
  <c r="BO3" i="8"/>
  <c r="BP3" i="8"/>
  <c r="BQ3" i="8"/>
  <c r="BR3" i="8"/>
  <c r="BS3" i="8"/>
  <c r="BT3" i="8"/>
  <c r="BU3" i="8"/>
  <c r="BV3" i="8"/>
  <c r="BW3" i="8"/>
  <c r="BX3" i="8"/>
  <c r="BY3" i="8"/>
  <c r="BZ3" i="8"/>
  <c r="CA3" i="8"/>
  <c r="CB3" i="8"/>
  <c r="CC3" i="8"/>
  <c r="CD3" i="8"/>
  <c r="CE3" i="8"/>
  <c r="CF3" i="8"/>
  <c r="CG3" i="8"/>
  <c r="CH3" i="8"/>
  <c r="CI3" i="8"/>
  <c r="CJ3" i="8"/>
  <c r="CK3" i="8"/>
  <c r="CL3" i="8"/>
  <c r="CM3" i="8"/>
  <c r="CN3" i="8"/>
  <c r="CO3" i="8"/>
  <c r="CP3" i="8"/>
  <c r="CQ3" i="8"/>
  <c r="CR3" i="8"/>
  <c r="CS3" i="8"/>
  <c r="CT3" i="8"/>
  <c r="CU3" i="8"/>
  <c r="CV3" i="8"/>
  <c r="CW3" i="8"/>
  <c r="CX3" i="8"/>
  <c r="CY3" i="8"/>
  <c r="CZ3" i="8"/>
  <c r="DA3" i="8"/>
  <c r="DB3" i="8"/>
  <c r="DC3" i="8"/>
  <c r="DD3" i="8"/>
  <c r="DE3" i="8"/>
  <c r="DF3" i="8"/>
  <c r="DG3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  <c r="CG4" i="8"/>
  <c r="CH4" i="8"/>
  <c r="CI4" i="8"/>
  <c r="CJ4" i="8"/>
  <c r="CK4" i="8"/>
  <c r="CL4" i="8"/>
  <c r="CM4" i="8"/>
  <c r="CN4" i="8"/>
  <c r="CO4" i="8"/>
  <c r="CP4" i="8"/>
  <c r="CQ4" i="8"/>
  <c r="CR4" i="8"/>
  <c r="CS4" i="8"/>
  <c r="CT4" i="8"/>
  <c r="CU4" i="8"/>
  <c r="CV4" i="8"/>
  <c r="CW4" i="8"/>
  <c r="CX4" i="8"/>
  <c r="CY4" i="8"/>
  <c r="CZ4" i="8"/>
  <c r="DA4" i="8"/>
  <c r="DB4" i="8"/>
  <c r="DC4" i="8"/>
  <c r="DD4" i="8"/>
  <c r="DE4" i="8"/>
  <c r="DF4" i="8"/>
  <c r="DG4" i="8"/>
  <c r="BO5" i="8"/>
  <c r="BP5" i="8"/>
  <c r="BQ5" i="8"/>
  <c r="BR5" i="8"/>
  <c r="BS5" i="8"/>
  <c r="BT5" i="8"/>
  <c r="BU5" i="8"/>
  <c r="BV5" i="8"/>
  <c r="BW5" i="8"/>
  <c r="BX5" i="8"/>
  <c r="BY5" i="8"/>
  <c r="BZ5" i="8"/>
  <c r="CA5" i="8"/>
  <c r="CB5" i="8"/>
  <c r="CC5" i="8"/>
  <c r="CD5" i="8"/>
  <c r="CE5" i="8"/>
  <c r="CF5" i="8"/>
  <c r="CG5" i="8"/>
  <c r="CH5" i="8"/>
  <c r="CI5" i="8"/>
  <c r="CJ5" i="8"/>
  <c r="CK5" i="8"/>
  <c r="CL5" i="8"/>
  <c r="CM5" i="8"/>
  <c r="CN5" i="8"/>
  <c r="CO5" i="8"/>
  <c r="CP5" i="8"/>
  <c r="CQ5" i="8"/>
  <c r="CR5" i="8"/>
  <c r="CS5" i="8"/>
  <c r="CT5" i="8"/>
  <c r="CU5" i="8"/>
  <c r="CV5" i="8"/>
  <c r="CW5" i="8"/>
  <c r="CX5" i="8"/>
  <c r="CY5" i="8"/>
  <c r="CZ5" i="8"/>
  <c r="DA5" i="8"/>
  <c r="DB5" i="8"/>
  <c r="DC5" i="8"/>
  <c r="DD5" i="8"/>
  <c r="DE5" i="8"/>
  <c r="DF5" i="8"/>
  <c r="DG5" i="8"/>
  <c r="BO6" i="8"/>
  <c r="BP6" i="8"/>
  <c r="BQ6" i="8"/>
  <c r="BR6" i="8"/>
  <c r="BS6" i="8"/>
  <c r="BT6" i="8"/>
  <c r="BU6" i="8"/>
  <c r="BV6" i="8"/>
  <c r="BW6" i="8"/>
  <c r="BX6" i="8"/>
  <c r="BY6" i="8"/>
  <c r="BZ6" i="8"/>
  <c r="CA6" i="8"/>
  <c r="CB6" i="8"/>
  <c r="CC6" i="8"/>
  <c r="CD6" i="8"/>
  <c r="CE6" i="8"/>
  <c r="CF6" i="8"/>
  <c r="CG6" i="8"/>
  <c r="CH6" i="8"/>
  <c r="CI6" i="8"/>
  <c r="CJ6" i="8"/>
  <c r="CK6" i="8"/>
  <c r="CL6" i="8"/>
  <c r="CM6" i="8"/>
  <c r="CN6" i="8"/>
  <c r="CO6" i="8"/>
  <c r="CP6" i="8"/>
  <c r="CQ6" i="8"/>
  <c r="CR6" i="8"/>
  <c r="CS6" i="8"/>
  <c r="CT6" i="8"/>
  <c r="CU6" i="8"/>
  <c r="CV6" i="8"/>
  <c r="CW6" i="8"/>
  <c r="CX6" i="8"/>
  <c r="CY6" i="8"/>
  <c r="CZ6" i="8"/>
  <c r="DA6" i="8"/>
  <c r="DB6" i="8"/>
  <c r="DC6" i="8"/>
  <c r="DD6" i="8"/>
  <c r="DE6" i="8"/>
  <c r="DF6" i="8"/>
  <c r="DG6" i="8"/>
  <c r="BO7" i="8"/>
  <c r="BP7" i="8"/>
  <c r="BQ7" i="8"/>
  <c r="BR7" i="8"/>
  <c r="BS7" i="8"/>
  <c r="BT7" i="8"/>
  <c r="BU7" i="8"/>
  <c r="BV7" i="8"/>
  <c r="BW7" i="8"/>
  <c r="BX7" i="8"/>
  <c r="BY7" i="8"/>
  <c r="BZ7" i="8"/>
  <c r="CA7" i="8"/>
  <c r="CB7" i="8"/>
  <c r="CC7" i="8"/>
  <c r="CD7" i="8"/>
  <c r="CE7" i="8"/>
  <c r="CF7" i="8"/>
  <c r="CG7" i="8"/>
  <c r="CH7" i="8"/>
  <c r="CI7" i="8"/>
  <c r="CJ7" i="8"/>
  <c r="CK7" i="8"/>
  <c r="CL7" i="8"/>
  <c r="CM7" i="8"/>
  <c r="CN7" i="8"/>
  <c r="CO7" i="8"/>
  <c r="CP7" i="8"/>
  <c r="CQ7" i="8"/>
  <c r="CR7" i="8"/>
  <c r="CS7" i="8"/>
  <c r="CT7" i="8"/>
  <c r="CU7" i="8"/>
  <c r="CV7" i="8"/>
  <c r="CW7" i="8"/>
  <c r="CX7" i="8"/>
  <c r="CY7" i="8"/>
  <c r="CZ7" i="8"/>
  <c r="DA7" i="8"/>
  <c r="DB7" i="8"/>
  <c r="DC7" i="8"/>
  <c r="DD7" i="8"/>
  <c r="DE7" i="8"/>
  <c r="DF7" i="8"/>
  <c r="DG7" i="8"/>
  <c r="BO8" i="8"/>
  <c r="BP8" i="8"/>
  <c r="BQ8" i="8"/>
  <c r="BR8" i="8"/>
  <c r="BS8" i="8"/>
  <c r="BT8" i="8"/>
  <c r="BU8" i="8"/>
  <c r="BV8" i="8"/>
  <c r="BW8" i="8"/>
  <c r="BX8" i="8"/>
  <c r="BY8" i="8"/>
  <c r="BZ8" i="8"/>
  <c r="CA8" i="8"/>
  <c r="CB8" i="8"/>
  <c r="CC8" i="8"/>
  <c r="CD8" i="8"/>
  <c r="CE8" i="8"/>
  <c r="CF8" i="8"/>
  <c r="CG8" i="8"/>
  <c r="CH8" i="8"/>
  <c r="CI8" i="8"/>
  <c r="CJ8" i="8"/>
  <c r="CK8" i="8"/>
  <c r="CL8" i="8"/>
  <c r="CM8" i="8"/>
  <c r="CN8" i="8"/>
  <c r="CO8" i="8"/>
  <c r="CP8" i="8"/>
  <c r="CQ8" i="8"/>
  <c r="CR8" i="8"/>
  <c r="CS8" i="8"/>
  <c r="CT8" i="8"/>
  <c r="CU8" i="8"/>
  <c r="CV8" i="8"/>
  <c r="CW8" i="8"/>
  <c r="CX8" i="8"/>
  <c r="CY8" i="8"/>
  <c r="CZ8" i="8"/>
  <c r="DA8" i="8"/>
  <c r="DB8" i="8"/>
  <c r="DC8" i="8"/>
  <c r="DD8" i="8"/>
  <c r="DE8" i="8"/>
  <c r="DF8" i="8"/>
  <c r="DG8" i="8"/>
  <c r="BO9" i="8"/>
  <c r="BP9" i="8"/>
  <c r="BQ9" i="8"/>
  <c r="BR9" i="8"/>
  <c r="BS9" i="8"/>
  <c r="BT9" i="8"/>
  <c r="BU9" i="8"/>
  <c r="BV9" i="8"/>
  <c r="BW9" i="8"/>
  <c r="BX9" i="8"/>
  <c r="BY9" i="8"/>
  <c r="BZ9" i="8"/>
  <c r="CA9" i="8"/>
  <c r="CB9" i="8"/>
  <c r="CC9" i="8"/>
  <c r="CD9" i="8"/>
  <c r="CE9" i="8"/>
  <c r="CF9" i="8"/>
  <c r="CG9" i="8"/>
  <c r="CH9" i="8"/>
  <c r="CI9" i="8"/>
  <c r="CJ9" i="8"/>
  <c r="CK9" i="8"/>
  <c r="CL9" i="8"/>
  <c r="CM9" i="8"/>
  <c r="CN9" i="8"/>
  <c r="CO9" i="8"/>
  <c r="CP9" i="8"/>
  <c r="CQ9" i="8"/>
  <c r="CR9" i="8"/>
  <c r="CS9" i="8"/>
  <c r="CT9" i="8"/>
  <c r="CU9" i="8"/>
  <c r="CV9" i="8"/>
  <c r="CW9" i="8"/>
  <c r="CX9" i="8"/>
  <c r="CY9" i="8"/>
  <c r="CZ9" i="8"/>
  <c r="DA9" i="8"/>
  <c r="DB9" i="8"/>
  <c r="DC9" i="8"/>
  <c r="DD9" i="8"/>
  <c r="DE9" i="8"/>
  <c r="DF9" i="8"/>
  <c r="DG9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CA10" i="8"/>
  <c r="CB10" i="8"/>
  <c r="CC10" i="8"/>
  <c r="CD10" i="8"/>
  <c r="CE10" i="8"/>
  <c r="CF10" i="8"/>
  <c r="CG10" i="8"/>
  <c r="CH10" i="8"/>
  <c r="CI10" i="8"/>
  <c r="CJ10" i="8"/>
  <c r="CK10" i="8"/>
  <c r="CL10" i="8"/>
  <c r="CM10" i="8"/>
  <c r="CN10" i="8"/>
  <c r="CO10" i="8"/>
  <c r="CP10" i="8"/>
  <c r="CQ10" i="8"/>
  <c r="CR10" i="8"/>
  <c r="CS10" i="8"/>
  <c r="CT10" i="8"/>
  <c r="CU10" i="8"/>
  <c r="CV10" i="8"/>
  <c r="CW10" i="8"/>
  <c r="CX10" i="8"/>
  <c r="CY10" i="8"/>
  <c r="CZ10" i="8"/>
  <c r="DA10" i="8"/>
  <c r="DB10" i="8"/>
  <c r="DC10" i="8"/>
  <c r="DD10" i="8"/>
  <c r="DE10" i="8"/>
  <c r="DF10" i="8"/>
  <c r="DG10" i="8"/>
  <c r="BO11" i="8"/>
  <c r="BP11" i="8"/>
  <c r="BQ11" i="8"/>
  <c r="BR11" i="8"/>
  <c r="BS11" i="8"/>
  <c r="BT11" i="8"/>
  <c r="BU11" i="8"/>
  <c r="BV11" i="8"/>
  <c r="BW11" i="8"/>
  <c r="BX11" i="8"/>
  <c r="BY11" i="8"/>
  <c r="BZ11" i="8"/>
  <c r="CA11" i="8"/>
  <c r="CB11" i="8"/>
  <c r="CC11" i="8"/>
  <c r="CD11" i="8"/>
  <c r="CE11" i="8"/>
  <c r="CF11" i="8"/>
  <c r="CG11" i="8"/>
  <c r="CH11" i="8"/>
  <c r="CI11" i="8"/>
  <c r="CJ11" i="8"/>
  <c r="CK11" i="8"/>
  <c r="CL11" i="8"/>
  <c r="CM11" i="8"/>
  <c r="CN11" i="8"/>
  <c r="CO11" i="8"/>
  <c r="CP11" i="8"/>
  <c r="CQ11" i="8"/>
  <c r="CR11" i="8"/>
  <c r="CS11" i="8"/>
  <c r="CT11" i="8"/>
  <c r="CU11" i="8"/>
  <c r="CV11" i="8"/>
  <c r="CW11" i="8"/>
  <c r="CX11" i="8"/>
  <c r="CY11" i="8"/>
  <c r="CZ11" i="8"/>
  <c r="DA11" i="8"/>
  <c r="DB11" i="8"/>
  <c r="DC11" i="8"/>
  <c r="DD11" i="8"/>
  <c r="DE11" i="8"/>
  <c r="DF11" i="8"/>
  <c r="DG11" i="8"/>
  <c r="BO12" i="8"/>
  <c r="BP12" i="8"/>
  <c r="BQ12" i="8"/>
  <c r="BR12" i="8"/>
  <c r="BS12" i="8"/>
  <c r="BT12" i="8"/>
  <c r="BU12" i="8"/>
  <c r="BV12" i="8"/>
  <c r="BW12" i="8"/>
  <c r="BX12" i="8"/>
  <c r="BY12" i="8"/>
  <c r="BZ12" i="8"/>
  <c r="CA12" i="8"/>
  <c r="CB12" i="8"/>
  <c r="CC12" i="8"/>
  <c r="CD12" i="8"/>
  <c r="CE12" i="8"/>
  <c r="CF12" i="8"/>
  <c r="CG12" i="8"/>
  <c r="CH12" i="8"/>
  <c r="CI12" i="8"/>
  <c r="CJ12" i="8"/>
  <c r="CK12" i="8"/>
  <c r="CL12" i="8"/>
  <c r="CM12" i="8"/>
  <c r="CN12" i="8"/>
  <c r="CO12" i="8"/>
  <c r="CP12" i="8"/>
  <c r="CQ12" i="8"/>
  <c r="CR12" i="8"/>
  <c r="CS12" i="8"/>
  <c r="CT12" i="8"/>
  <c r="CU12" i="8"/>
  <c r="CV12" i="8"/>
  <c r="CW12" i="8"/>
  <c r="CX12" i="8"/>
  <c r="CY12" i="8"/>
  <c r="CZ12" i="8"/>
  <c r="DA12" i="8"/>
  <c r="DB12" i="8"/>
  <c r="DC12" i="8"/>
  <c r="DD12" i="8"/>
  <c r="DE12" i="8"/>
  <c r="DF12" i="8"/>
  <c r="DG12" i="8"/>
  <c r="BO13" i="8"/>
  <c r="BP13" i="8"/>
  <c r="BQ13" i="8"/>
  <c r="BR13" i="8"/>
  <c r="BS13" i="8"/>
  <c r="BT13" i="8"/>
  <c r="BU13" i="8"/>
  <c r="BV13" i="8"/>
  <c r="BW13" i="8"/>
  <c r="BX13" i="8"/>
  <c r="BY13" i="8"/>
  <c r="BZ13" i="8"/>
  <c r="CA13" i="8"/>
  <c r="CB13" i="8"/>
  <c r="CC13" i="8"/>
  <c r="CD13" i="8"/>
  <c r="CE13" i="8"/>
  <c r="CF13" i="8"/>
  <c r="CG13" i="8"/>
  <c r="CH13" i="8"/>
  <c r="CI13" i="8"/>
  <c r="CJ13" i="8"/>
  <c r="CK13" i="8"/>
  <c r="CL13" i="8"/>
  <c r="CM13" i="8"/>
  <c r="CN13" i="8"/>
  <c r="CO13" i="8"/>
  <c r="CP13" i="8"/>
  <c r="CQ13" i="8"/>
  <c r="CR13" i="8"/>
  <c r="CS13" i="8"/>
  <c r="CT13" i="8"/>
  <c r="CU13" i="8"/>
  <c r="CV13" i="8"/>
  <c r="CW13" i="8"/>
  <c r="CX13" i="8"/>
  <c r="CY13" i="8"/>
  <c r="CZ13" i="8"/>
  <c r="DA13" i="8"/>
  <c r="DB13" i="8"/>
  <c r="DC13" i="8"/>
  <c r="DD13" i="8"/>
  <c r="DE13" i="8"/>
  <c r="DF13" i="8"/>
  <c r="DG13" i="8"/>
  <c r="BO14" i="8"/>
  <c r="BP14" i="8"/>
  <c r="BQ14" i="8"/>
  <c r="BR14" i="8"/>
  <c r="BS14" i="8"/>
  <c r="BT14" i="8"/>
  <c r="BU14" i="8"/>
  <c r="BV14" i="8"/>
  <c r="BW14" i="8"/>
  <c r="BX14" i="8"/>
  <c r="BY14" i="8"/>
  <c r="BZ14" i="8"/>
  <c r="CA14" i="8"/>
  <c r="CB14" i="8"/>
  <c r="CC14" i="8"/>
  <c r="CD14" i="8"/>
  <c r="CE14" i="8"/>
  <c r="CF14" i="8"/>
  <c r="CG14" i="8"/>
  <c r="CH14" i="8"/>
  <c r="CI14" i="8"/>
  <c r="CJ14" i="8"/>
  <c r="CK14" i="8"/>
  <c r="CL14" i="8"/>
  <c r="CM14" i="8"/>
  <c r="CN14" i="8"/>
  <c r="CO14" i="8"/>
  <c r="CP14" i="8"/>
  <c r="CQ14" i="8"/>
  <c r="CR14" i="8"/>
  <c r="CS14" i="8"/>
  <c r="CT14" i="8"/>
  <c r="CU14" i="8"/>
  <c r="CV14" i="8"/>
  <c r="CW14" i="8"/>
  <c r="CX14" i="8"/>
  <c r="CY14" i="8"/>
  <c r="CZ14" i="8"/>
  <c r="DA14" i="8"/>
  <c r="DB14" i="8"/>
  <c r="DC14" i="8"/>
  <c r="DD14" i="8"/>
  <c r="DE14" i="8"/>
  <c r="DF14" i="8"/>
  <c r="DG14" i="8"/>
  <c r="BO15" i="8"/>
  <c r="BP15" i="8"/>
  <c r="BQ15" i="8"/>
  <c r="BR15" i="8"/>
  <c r="BS15" i="8"/>
  <c r="BT15" i="8"/>
  <c r="BU15" i="8"/>
  <c r="BV15" i="8"/>
  <c r="BW15" i="8"/>
  <c r="BX15" i="8"/>
  <c r="BY15" i="8"/>
  <c r="BZ15" i="8"/>
  <c r="CA15" i="8"/>
  <c r="CB15" i="8"/>
  <c r="CC15" i="8"/>
  <c r="CD15" i="8"/>
  <c r="CE15" i="8"/>
  <c r="CF15" i="8"/>
  <c r="CG15" i="8"/>
  <c r="CH15" i="8"/>
  <c r="CI15" i="8"/>
  <c r="CJ15" i="8"/>
  <c r="CK15" i="8"/>
  <c r="CL15" i="8"/>
  <c r="CM15" i="8"/>
  <c r="CN15" i="8"/>
  <c r="CO15" i="8"/>
  <c r="CP15" i="8"/>
  <c r="CQ15" i="8"/>
  <c r="CR15" i="8"/>
  <c r="CS15" i="8"/>
  <c r="CT15" i="8"/>
  <c r="CU15" i="8"/>
  <c r="CV15" i="8"/>
  <c r="CW15" i="8"/>
  <c r="CX15" i="8"/>
  <c r="CY15" i="8"/>
  <c r="CZ15" i="8"/>
  <c r="DA15" i="8"/>
  <c r="DB15" i="8"/>
  <c r="DC15" i="8"/>
  <c r="DD15" i="8"/>
  <c r="DE15" i="8"/>
  <c r="DF15" i="8"/>
  <c r="DG15" i="8"/>
  <c r="BO16" i="8"/>
  <c r="BP16" i="8"/>
  <c r="BQ16" i="8"/>
  <c r="BR16" i="8"/>
  <c r="BS16" i="8"/>
  <c r="BT16" i="8"/>
  <c r="BU16" i="8"/>
  <c r="BV16" i="8"/>
  <c r="BW16" i="8"/>
  <c r="BX16" i="8"/>
  <c r="BY16" i="8"/>
  <c r="BZ16" i="8"/>
  <c r="CA16" i="8"/>
  <c r="CB16" i="8"/>
  <c r="CC16" i="8"/>
  <c r="CD16" i="8"/>
  <c r="CE16" i="8"/>
  <c r="CF16" i="8"/>
  <c r="CG16" i="8"/>
  <c r="CH16" i="8"/>
  <c r="CI16" i="8"/>
  <c r="CJ16" i="8"/>
  <c r="CK16" i="8"/>
  <c r="CL16" i="8"/>
  <c r="CM16" i="8"/>
  <c r="CN16" i="8"/>
  <c r="CO16" i="8"/>
  <c r="CP16" i="8"/>
  <c r="CQ16" i="8"/>
  <c r="CR16" i="8"/>
  <c r="CS16" i="8"/>
  <c r="CT16" i="8"/>
  <c r="CU16" i="8"/>
  <c r="CV16" i="8"/>
  <c r="CW16" i="8"/>
  <c r="CX16" i="8"/>
  <c r="CY16" i="8"/>
  <c r="CZ16" i="8"/>
  <c r="DA16" i="8"/>
  <c r="DB16" i="8"/>
  <c r="DC16" i="8"/>
  <c r="DD16" i="8"/>
  <c r="DE16" i="8"/>
  <c r="DF16" i="8"/>
  <c r="DG16" i="8"/>
  <c r="BO17" i="8"/>
  <c r="BP17" i="8"/>
  <c r="BQ17" i="8"/>
  <c r="BR17" i="8"/>
  <c r="BS17" i="8"/>
  <c r="BT17" i="8"/>
  <c r="BU17" i="8"/>
  <c r="BV17" i="8"/>
  <c r="BW17" i="8"/>
  <c r="BX17" i="8"/>
  <c r="BY17" i="8"/>
  <c r="BZ17" i="8"/>
  <c r="CA17" i="8"/>
  <c r="CB17" i="8"/>
  <c r="CC17" i="8"/>
  <c r="CD17" i="8"/>
  <c r="CE17" i="8"/>
  <c r="CF17" i="8"/>
  <c r="CG17" i="8"/>
  <c r="CH17" i="8"/>
  <c r="CI17" i="8"/>
  <c r="CJ17" i="8"/>
  <c r="CK17" i="8"/>
  <c r="CL17" i="8"/>
  <c r="CM17" i="8"/>
  <c r="CN17" i="8"/>
  <c r="CO17" i="8"/>
  <c r="CP17" i="8"/>
  <c r="CQ17" i="8"/>
  <c r="CR17" i="8"/>
  <c r="CS17" i="8"/>
  <c r="CT17" i="8"/>
  <c r="CU17" i="8"/>
  <c r="CV17" i="8"/>
  <c r="CW17" i="8"/>
  <c r="CX17" i="8"/>
  <c r="CY17" i="8"/>
  <c r="CZ17" i="8"/>
  <c r="DA17" i="8"/>
  <c r="DB17" i="8"/>
  <c r="DC17" i="8"/>
  <c r="DD17" i="8"/>
  <c r="DE17" i="8"/>
  <c r="DF17" i="8"/>
  <c r="DG17" i="8"/>
  <c r="BO18" i="8"/>
  <c r="BP18" i="8"/>
  <c r="BQ18" i="8"/>
  <c r="BR18" i="8"/>
  <c r="BS18" i="8"/>
  <c r="BT18" i="8"/>
  <c r="BU18" i="8"/>
  <c r="BV18" i="8"/>
  <c r="BW18" i="8"/>
  <c r="BX18" i="8"/>
  <c r="BY18" i="8"/>
  <c r="BZ18" i="8"/>
  <c r="CA18" i="8"/>
  <c r="CB18" i="8"/>
  <c r="CC18" i="8"/>
  <c r="CD18" i="8"/>
  <c r="CE18" i="8"/>
  <c r="CF18" i="8"/>
  <c r="CG18" i="8"/>
  <c r="CH18" i="8"/>
  <c r="CI18" i="8"/>
  <c r="CJ18" i="8"/>
  <c r="CK18" i="8"/>
  <c r="CL18" i="8"/>
  <c r="CM18" i="8"/>
  <c r="CN18" i="8"/>
  <c r="CO18" i="8"/>
  <c r="CP18" i="8"/>
  <c r="CQ18" i="8"/>
  <c r="CR18" i="8"/>
  <c r="CS18" i="8"/>
  <c r="CT18" i="8"/>
  <c r="CU18" i="8"/>
  <c r="CV18" i="8"/>
  <c r="CW18" i="8"/>
  <c r="CX18" i="8"/>
  <c r="CY18" i="8"/>
  <c r="CZ18" i="8"/>
  <c r="DA18" i="8"/>
  <c r="DB18" i="8"/>
  <c r="DC18" i="8"/>
  <c r="DD18" i="8"/>
  <c r="DE18" i="8"/>
  <c r="DF18" i="8"/>
  <c r="DG18" i="8"/>
  <c r="BO19" i="8"/>
  <c r="BP19" i="8"/>
  <c r="BQ19" i="8"/>
  <c r="BR19" i="8"/>
  <c r="BS19" i="8"/>
  <c r="BT19" i="8"/>
  <c r="BU19" i="8"/>
  <c r="BV19" i="8"/>
  <c r="BW19" i="8"/>
  <c r="BX19" i="8"/>
  <c r="BY19" i="8"/>
  <c r="BZ19" i="8"/>
  <c r="CA19" i="8"/>
  <c r="CB19" i="8"/>
  <c r="CC19" i="8"/>
  <c r="CD19" i="8"/>
  <c r="CE19" i="8"/>
  <c r="CF19" i="8"/>
  <c r="CG19" i="8"/>
  <c r="CH19" i="8"/>
  <c r="CI19" i="8"/>
  <c r="CJ19" i="8"/>
  <c r="CK19" i="8"/>
  <c r="CL19" i="8"/>
  <c r="CM19" i="8"/>
  <c r="CN19" i="8"/>
  <c r="CO19" i="8"/>
  <c r="CP19" i="8"/>
  <c r="CQ19" i="8"/>
  <c r="CR19" i="8"/>
  <c r="CS19" i="8"/>
  <c r="CT19" i="8"/>
  <c r="CU19" i="8"/>
  <c r="CV19" i="8"/>
  <c r="CW19" i="8"/>
  <c r="CX19" i="8"/>
  <c r="CY19" i="8"/>
  <c r="CZ19" i="8"/>
  <c r="DA19" i="8"/>
  <c r="DB19" i="8"/>
  <c r="DC19" i="8"/>
  <c r="DD19" i="8"/>
  <c r="DE19" i="8"/>
  <c r="DF19" i="8"/>
  <c r="DG19" i="8"/>
  <c r="BO20" i="8"/>
  <c r="BP20" i="8"/>
  <c r="BQ20" i="8"/>
  <c r="BR20" i="8"/>
  <c r="BS20" i="8"/>
  <c r="BT20" i="8"/>
  <c r="BU20" i="8"/>
  <c r="BV20" i="8"/>
  <c r="BW20" i="8"/>
  <c r="BX20" i="8"/>
  <c r="BY20" i="8"/>
  <c r="BZ20" i="8"/>
  <c r="CA20" i="8"/>
  <c r="CB20" i="8"/>
  <c r="CC20" i="8"/>
  <c r="CD20" i="8"/>
  <c r="CE20" i="8"/>
  <c r="CF20" i="8"/>
  <c r="CG20" i="8"/>
  <c r="CH20" i="8"/>
  <c r="CI20" i="8"/>
  <c r="CJ20" i="8"/>
  <c r="CK20" i="8"/>
  <c r="CL20" i="8"/>
  <c r="CM20" i="8"/>
  <c r="CN20" i="8"/>
  <c r="CO20" i="8"/>
  <c r="CP20" i="8"/>
  <c r="CQ20" i="8"/>
  <c r="CR20" i="8"/>
  <c r="CS20" i="8"/>
  <c r="CT20" i="8"/>
  <c r="CU20" i="8"/>
  <c r="CV20" i="8"/>
  <c r="CW20" i="8"/>
  <c r="CX20" i="8"/>
  <c r="CY20" i="8"/>
  <c r="CZ20" i="8"/>
  <c r="DA20" i="8"/>
  <c r="DB20" i="8"/>
  <c r="DC20" i="8"/>
  <c r="DD20" i="8"/>
  <c r="DE20" i="8"/>
  <c r="DF20" i="8"/>
  <c r="DG20" i="8"/>
  <c r="BO21" i="8"/>
  <c r="BP21" i="8"/>
  <c r="BQ21" i="8"/>
  <c r="BR21" i="8"/>
  <c r="BS21" i="8"/>
  <c r="BT21" i="8"/>
  <c r="BU21" i="8"/>
  <c r="BV21" i="8"/>
  <c r="BW21" i="8"/>
  <c r="BX21" i="8"/>
  <c r="BY21" i="8"/>
  <c r="BZ21" i="8"/>
  <c r="CA21" i="8"/>
  <c r="CB21" i="8"/>
  <c r="CC21" i="8"/>
  <c r="CD21" i="8"/>
  <c r="CE21" i="8"/>
  <c r="CF21" i="8"/>
  <c r="CG21" i="8"/>
  <c r="CH21" i="8"/>
  <c r="CI21" i="8"/>
  <c r="CJ21" i="8"/>
  <c r="CK21" i="8"/>
  <c r="CL21" i="8"/>
  <c r="CM21" i="8"/>
  <c r="CN21" i="8"/>
  <c r="CO21" i="8"/>
  <c r="CP21" i="8"/>
  <c r="CQ21" i="8"/>
  <c r="CR21" i="8"/>
  <c r="CS21" i="8"/>
  <c r="CT21" i="8"/>
  <c r="CU21" i="8"/>
  <c r="CV21" i="8"/>
  <c r="CW21" i="8"/>
  <c r="CX21" i="8"/>
  <c r="CY21" i="8"/>
  <c r="CZ21" i="8"/>
  <c r="DA21" i="8"/>
  <c r="DB21" i="8"/>
  <c r="DC21" i="8"/>
  <c r="DD21" i="8"/>
  <c r="DE21" i="8"/>
  <c r="DF21" i="8"/>
  <c r="DG21" i="8"/>
  <c r="BO22" i="8"/>
  <c r="BP22" i="8"/>
  <c r="BQ22" i="8"/>
  <c r="BR22" i="8"/>
  <c r="BS22" i="8"/>
  <c r="BT22" i="8"/>
  <c r="BU22" i="8"/>
  <c r="BV22" i="8"/>
  <c r="BW22" i="8"/>
  <c r="BX22" i="8"/>
  <c r="BY22" i="8"/>
  <c r="BZ22" i="8"/>
  <c r="CA22" i="8"/>
  <c r="CB22" i="8"/>
  <c r="CC22" i="8"/>
  <c r="CD22" i="8"/>
  <c r="CE22" i="8"/>
  <c r="CF22" i="8"/>
  <c r="CG22" i="8"/>
  <c r="CH22" i="8"/>
  <c r="CI22" i="8"/>
  <c r="CJ22" i="8"/>
  <c r="CK22" i="8"/>
  <c r="CL22" i="8"/>
  <c r="CM22" i="8"/>
  <c r="CN22" i="8"/>
  <c r="CO22" i="8"/>
  <c r="CP22" i="8"/>
  <c r="CQ22" i="8"/>
  <c r="CR22" i="8"/>
  <c r="CS22" i="8"/>
  <c r="CT22" i="8"/>
  <c r="CU22" i="8"/>
  <c r="CV22" i="8"/>
  <c r="CW22" i="8"/>
  <c r="CX22" i="8"/>
  <c r="CY22" i="8"/>
  <c r="CZ22" i="8"/>
  <c r="DA22" i="8"/>
  <c r="DB22" i="8"/>
  <c r="DC22" i="8"/>
  <c r="DD22" i="8"/>
  <c r="DE22" i="8"/>
  <c r="DF22" i="8"/>
  <c r="DG22" i="8"/>
  <c r="BO23" i="8"/>
  <c r="BP23" i="8"/>
  <c r="BQ23" i="8"/>
  <c r="BR23" i="8"/>
  <c r="BS23" i="8"/>
  <c r="BT23" i="8"/>
  <c r="BU23" i="8"/>
  <c r="BV23" i="8"/>
  <c r="BW23" i="8"/>
  <c r="BX23" i="8"/>
  <c r="BY23" i="8"/>
  <c r="BZ23" i="8"/>
  <c r="CA23" i="8"/>
  <c r="CB23" i="8"/>
  <c r="CC23" i="8"/>
  <c r="CD23" i="8"/>
  <c r="CE23" i="8"/>
  <c r="CF23" i="8"/>
  <c r="CG23" i="8"/>
  <c r="CH23" i="8"/>
  <c r="CI23" i="8"/>
  <c r="CJ23" i="8"/>
  <c r="CK23" i="8"/>
  <c r="CL23" i="8"/>
  <c r="CM23" i="8"/>
  <c r="CN23" i="8"/>
  <c r="CO23" i="8"/>
  <c r="CP23" i="8"/>
  <c r="CQ23" i="8"/>
  <c r="CR23" i="8"/>
  <c r="CS23" i="8"/>
  <c r="CT23" i="8"/>
  <c r="CU23" i="8"/>
  <c r="CV23" i="8"/>
  <c r="CW23" i="8"/>
  <c r="CX23" i="8"/>
  <c r="CY23" i="8"/>
  <c r="CZ23" i="8"/>
  <c r="DA23" i="8"/>
  <c r="DB23" i="8"/>
  <c r="DC23" i="8"/>
  <c r="DD23" i="8"/>
  <c r="DE23" i="8"/>
  <c r="DF23" i="8"/>
  <c r="DG23" i="8"/>
  <c r="BO24" i="8"/>
  <c r="BP24" i="8"/>
  <c r="BQ24" i="8"/>
  <c r="BR24" i="8"/>
  <c r="BS24" i="8"/>
  <c r="BT24" i="8"/>
  <c r="BU24" i="8"/>
  <c r="BV24" i="8"/>
  <c r="BW24" i="8"/>
  <c r="BX24" i="8"/>
  <c r="BY24" i="8"/>
  <c r="BZ24" i="8"/>
  <c r="CA24" i="8"/>
  <c r="CB24" i="8"/>
  <c r="CC24" i="8"/>
  <c r="CD24" i="8"/>
  <c r="CE24" i="8"/>
  <c r="CF24" i="8"/>
  <c r="CG24" i="8"/>
  <c r="CH24" i="8"/>
  <c r="CI24" i="8"/>
  <c r="CJ24" i="8"/>
  <c r="CK24" i="8"/>
  <c r="CL24" i="8"/>
  <c r="CM24" i="8"/>
  <c r="CN24" i="8"/>
  <c r="CO24" i="8"/>
  <c r="CP24" i="8"/>
  <c r="CQ24" i="8"/>
  <c r="CR24" i="8"/>
  <c r="CS24" i="8"/>
  <c r="CT24" i="8"/>
  <c r="CU24" i="8"/>
  <c r="CV24" i="8"/>
  <c r="CW24" i="8"/>
  <c r="CX24" i="8"/>
  <c r="CY24" i="8"/>
  <c r="CZ24" i="8"/>
  <c r="DA24" i="8"/>
  <c r="DB24" i="8"/>
  <c r="DC24" i="8"/>
  <c r="DD24" i="8"/>
  <c r="DE24" i="8"/>
  <c r="DF24" i="8"/>
  <c r="DG24" i="8"/>
  <c r="BO25" i="8"/>
  <c r="BP25" i="8"/>
  <c r="BQ25" i="8"/>
  <c r="BR25" i="8"/>
  <c r="BS25" i="8"/>
  <c r="BT25" i="8"/>
  <c r="BU25" i="8"/>
  <c r="BV25" i="8"/>
  <c r="BW25" i="8"/>
  <c r="BX25" i="8"/>
  <c r="BY25" i="8"/>
  <c r="BZ25" i="8"/>
  <c r="CA25" i="8"/>
  <c r="CB25" i="8"/>
  <c r="CC25" i="8"/>
  <c r="CD25" i="8"/>
  <c r="CE25" i="8"/>
  <c r="CF25" i="8"/>
  <c r="CG25" i="8"/>
  <c r="CH25" i="8"/>
  <c r="CI25" i="8"/>
  <c r="CJ25" i="8"/>
  <c r="CK25" i="8"/>
  <c r="CL25" i="8"/>
  <c r="CM25" i="8"/>
  <c r="CN25" i="8"/>
  <c r="CO25" i="8"/>
  <c r="CP25" i="8"/>
  <c r="CQ25" i="8"/>
  <c r="CR25" i="8"/>
  <c r="CS25" i="8"/>
  <c r="CT25" i="8"/>
  <c r="CU25" i="8"/>
  <c r="CV25" i="8"/>
  <c r="CW25" i="8"/>
  <c r="CX25" i="8"/>
  <c r="CY25" i="8"/>
  <c r="CZ25" i="8"/>
  <c r="DA25" i="8"/>
  <c r="DB25" i="8"/>
  <c r="DC25" i="8"/>
  <c r="DD25" i="8"/>
  <c r="DE25" i="8"/>
  <c r="DF25" i="8"/>
  <c r="DG25" i="8"/>
  <c r="BO26" i="8"/>
  <c r="BP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CE26" i="8"/>
  <c r="CF26" i="8"/>
  <c r="CG26" i="8"/>
  <c r="CH26" i="8"/>
  <c r="CI26" i="8"/>
  <c r="CJ26" i="8"/>
  <c r="CK26" i="8"/>
  <c r="CL26" i="8"/>
  <c r="CM26" i="8"/>
  <c r="CN26" i="8"/>
  <c r="CO26" i="8"/>
  <c r="CP26" i="8"/>
  <c r="CQ26" i="8"/>
  <c r="CR26" i="8"/>
  <c r="CS26" i="8"/>
  <c r="CT26" i="8"/>
  <c r="CU26" i="8"/>
  <c r="CV26" i="8"/>
  <c r="CW26" i="8"/>
  <c r="CX26" i="8"/>
  <c r="CY26" i="8"/>
  <c r="CZ26" i="8"/>
  <c r="DA26" i="8"/>
  <c r="DB26" i="8"/>
  <c r="DC26" i="8"/>
  <c r="DD26" i="8"/>
  <c r="DE26" i="8"/>
  <c r="DF26" i="8"/>
  <c r="DG26" i="8"/>
  <c r="BO27" i="8"/>
  <c r="BP27" i="8"/>
  <c r="BQ27" i="8"/>
  <c r="BR27" i="8"/>
  <c r="BS27" i="8"/>
  <c r="BT27" i="8"/>
  <c r="BU27" i="8"/>
  <c r="BV27" i="8"/>
  <c r="BW27" i="8"/>
  <c r="BX27" i="8"/>
  <c r="BY27" i="8"/>
  <c r="BZ27" i="8"/>
  <c r="CA27" i="8"/>
  <c r="CB27" i="8"/>
  <c r="CC27" i="8"/>
  <c r="CD27" i="8"/>
  <c r="CE27" i="8"/>
  <c r="CF27" i="8"/>
  <c r="CG27" i="8"/>
  <c r="CH27" i="8"/>
  <c r="CI27" i="8"/>
  <c r="CJ27" i="8"/>
  <c r="CK27" i="8"/>
  <c r="CL27" i="8"/>
  <c r="CM27" i="8"/>
  <c r="CN27" i="8"/>
  <c r="CO27" i="8"/>
  <c r="CP27" i="8"/>
  <c r="CQ27" i="8"/>
  <c r="CR27" i="8"/>
  <c r="CS27" i="8"/>
  <c r="CT27" i="8"/>
  <c r="CU27" i="8"/>
  <c r="CV27" i="8"/>
  <c r="CW27" i="8"/>
  <c r="CX27" i="8"/>
  <c r="CY27" i="8"/>
  <c r="CZ27" i="8"/>
  <c r="DA27" i="8"/>
  <c r="DB27" i="8"/>
  <c r="DC27" i="8"/>
  <c r="DD27" i="8"/>
  <c r="DE27" i="8"/>
  <c r="DF27" i="8"/>
  <c r="DG27" i="8"/>
  <c r="BO28" i="8"/>
  <c r="BP28" i="8"/>
  <c r="BR28" i="8"/>
  <c r="BS28" i="8"/>
  <c r="BT28" i="8"/>
  <c r="BU28" i="8"/>
  <c r="BV28" i="8"/>
  <c r="BW28" i="8"/>
  <c r="BX28" i="8"/>
  <c r="BY28" i="8"/>
  <c r="BZ28" i="8"/>
  <c r="CA28" i="8"/>
  <c r="CB28" i="8"/>
  <c r="CC28" i="8"/>
  <c r="CD28" i="8"/>
  <c r="CE28" i="8"/>
  <c r="CF28" i="8"/>
  <c r="CG28" i="8"/>
  <c r="CH28" i="8"/>
  <c r="CI28" i="8"/>
  <c r="CJ28" i="8"/>
  <c r="CK28" i="8"/>
  <c r="CL28" i="8"/>
  <c r="CM28" i="8"/>
  <c r="CN28" i="8"/>
  <c r="CO28" i="8"/>
  <c r="CP28" i="8"/>
  <c r="CQ28" i="8"/>
  <c r="CR28" i="8"/>
  <c r="CS28" i="8"/>
  <c r="CT28" i="8"/>
  <c r="CU28" i="8"/>
  <c r="CV28" i="8"/>
  <c r="CW28" i="8"/>
  <c r="CX28" i="8"/>
  <c r="CY28" i="8"/>
  <c r="CZ28" i="8"/>
  <c r="DA28" i="8"/>
  <c r="DB28" i="8"/>
  <c r="DC28" i="8"/>
  <c r="DD28" i="8"/>
  <c r="DE28" i="8"/>
  <c r="DF28" i="8"/>
  <c r="DG28" i="8"/>
  <c r="BO29" i="8"/>
  <c r="BP29" i="8"/>
  <c r="BQ29" i="8"/>
  <c r="BR29" i="8"/>
  <c r="BS29" i="8"/>
  <c r="BT29" i="8"/>
  <c r="BU29" i="8"/>
  <c r="BV29" i="8"/>
  <c r="BW29" i="8"/>
  <c r="BX29" i="8"/>
  <c r="BY29" i="8"/>
  <c r="BZ29" i="8"/>
  <c r="CA29" i="8"/>
  <c r="CB29" i="8"/>
  <c r="CC29" i="8"/>
  <c r="CD29" i="8"/>
  <c r="CE29" i="8"/>
  <c r="CF29" i="8"/>
  <c r="CG29" i="8"/>
  <c r="CH29" i="8"/>
  <c r="CI29" i="8"/>
  <c r="CJ29" i="8"/>
  <c r="CK29" i="8"/>
  <c r="CL29" i="8"/>
  <c r="CM29" i="8"/>
  <c r="CN29" i="8"/>
  <c r="CO29" i="8"/>
  <c r="CP29" i="8"/>
  <c r="CQ29" i="8"/>
  <c r="CR29" i="8"/>
  <c r="CS29" i="8"/>
  <c r="CT29" i="8"/>
  <c r="CU29" i="8"/>
  <c r="CV29" i="8"/>
  <c r="CW29" i="8"/>
  <c r="CX29" i="8"/>
  <c r="CY29" i="8"/>
  <c r="CZ29" i="8"/>
  <c r="DA29" i="8"/>
  <c r="DB29" i="8"/>
  <c r="DC29" i="8"/>
  <c r="DD29" i="8"/>
  <c r="DE29" i="8"/>
  <c r="DF29" i="8"/>
  <c r="DG29" i="8"/>
  <c r="BO30" i="8"/>
  <c r="BP30" i="8"/>
  <c r="BQ30" i="8"/>
  <c r="BR30" i="8"/>
  <c r="BS30" i="8"/>
  <c r="BT30" i="8"/>
  <c r="BU30" i="8"/>
  <c r="BV30" i="8"/>
  <c r="BW30" i="8"/>
  <c r="BX30" i="8"/>
  <c r="BY30" i="8"/>
  <c r="BZ30" i="8"/>
  <c r="CA30" i="8"/>
  <c r="CB30" i="8"/>
  <c r="CC30" i="8"/>
  <c r="CD30" i="8"/>
  <c r="CE30" i="8"/>
  <c r="CF30" i="8"/>
  <c r="CG30" i="8"/>
  <c r="CH30" i="8"/>
  <c r="CI30" i="8"/>
  <c r="CJ30" i="8"/>
  <c r="CK30" i="8"/>
  <c r="CL30" i="8"/>
  <c r="CM30" i="8"/>
  <c r="CN30" i="8"/>
  <c r="CO30" i="8"/>
  <c r="CP30" i="8"/>
  <c r="CQ30" i="8"/>
  <c r="CR30" i="8"/>
  <c r="CS30" i="8"/>
  <c r="CT30" i="8"/>
  <c r="CU30" i="8"/>
  <c r="CV30" i="8"/>
  <c r="CW30" i="8"/>
  <c r="CX30" i="8"/>
  <c r="CY30" i="8"/>
  <c r="CZ30" i="8"/>
  <c r="DA30" i="8"/>
  <c r="DB30" i="8"/>
  <c r="DC30" i="8"/>
  <c r="DD30" i="8"/>
  <c r="DE30" i="8"/>
  <c r="DF30" i="8"/>
  <c r="DG30" i="8"/>
  <c r="BO31" i="8"/>
  <c r="BP31" i="8"/>
  <c r="BQ31" i="8"/>
  <c r="BR31" i="8"/>
  <c r="BS31" i="8"/>
  <c r="BT31" i="8"/>
  <c r="BU31" i="8"/>
  <c r="BV31" i="8"/>
  <c r="BW31" i="8"/>
  <c r="BX31" i="8"/>
  <c r="BY31" i="8"/>
  <c r="BZ31" i="8"/>
  <c r="CA31" i="8"/>
  <c r="CB31" i="8"/>
  <c r="CC31" i="8"/>
  <c r="CD31" i="8"/>
  <c r="CE31" i="8"/>
  <c r="CF31" i="8"/>
  <c r="CG31" i="8"/>
  <c r="CH31" i="8"/>
  <c r="CI31" i="8"/>
  <c r="CJ31" i="8"/>
  <c r="CK31" i="8"/>
  <c r="CL31" i="8"/>
  <c r="CM31" i="8"/>
  <c r="CN31" i="8"/>
  <c r="CO31" i="8"/>
  <c r="CP31" i="8"/>
  <c r="CQ31" i="8"/>
  <c r="CR31" i="8"/>
  <c r="CS31" i="8"/>
  <c r="CT31" i="8"/>
  <c r="CU31" i="8"/>
  <c r="CV31" i="8"/>
  <c r="CW31" i="8"/>
  <c r="CX31" i="8"/>
  <c r="CY31" i="8"/>
  <c r="CZ31" i="8"/>
  <c r="DA31" i="8"/>
  <c r="DB31" i="8"/>
  <c r="DC31" i="8"/>
  <c r="DD31" i="8"/>
  <c r="DE31" i="8"/>
  <c r="DF31" i="8"/>
  <c r="DG31" i="8"/>
  <c r="BO32" i="8"/>
  <c r="BP32" i="8"/>
  <c r="BQ32" i="8"/>
  <c r="BR32" i="8"/>
  <c r="BS32" i="8"/>
  <c r="BT32" i="8"/>
  <c r="BU32" i="8"/>
  <c r="BV32" i="8"/>
  <c r="BW32" i="8"/>
  <c r="BX32" i="8"/>
  <c r="BY32" i="8"/>
  <c r="BZ32" i="8"/>
  <c r="CA32" i="8"/>
  <c r="CB32" i="8"/>
  <c r="CC32" i="8"/>
  <c r="CD32" i="8"/>
  <c r="CE32" i="8"/>
  <c r="CF32" i="8"/>
  <c r="CG32" i="8"/>
  <c r="CH32" i="8"/>
  <c r="CI32" i="8"/>
  <c r="CJ32" i="8"/>
  <c r="CK32" i="8"/>
  <c r="CL32" i="8"/>
  <c r="CM32" i="8"/>
  <c r="CN32" i="8"/>
  <c r="CO32" i="8"/>
  <c r="CP32" i="8"/>
  <c r="CQ32" i="8"/>
  <c r="CR32" i="8"/>
  <c r="CS32" i="8"/>
  <c r="CT32" i="8"/>
  <c r="CU32" i="8"/>
  <c r="CV32" i="8"/>
  <c r="CW32" i="8"/>
  <c r="CX32" i="8"/>
  <c r="CY32" i="8"/>
  <c r="CZ32" i="8"/>
  <c r="DA32" i="8"/>
  <c r="DB32" i="8"/>
  <c r="DC32" i="8"/>
  <c r="DD32" i="8"/>
  <c r="DE32" i="8"/>
  <c r="DF32" i="8"/>
  <c r="DG32" i="8"/>
  <c r="BO33" i="8"/>
  <c r="BP33" i="8"/>
  <c r="BQ33" i="8"/>
  <c r="BR33" i="8"/>
  <c r="BS33" i="8"/>
  <c r="BT33" i="8"/>
  <c r="BU33" i="8"/>
  <c r="BV33" i="8"/>
  <c r="BW33" i="8"/>
  <c r="BX33" i="8"/>
  <c r="BY33" i="8"/>
  <c r="BZ33" i="8"/>
  <c r="CA33" i="8"/>
  <c r="CB33" i="8"/>
  <c r="CC33" i="8"/>
  <c r="CD33" i="8"/>
  <c r="CE33" i="8"/>
  <c r="CF33" i="8"/>
  <c r="CG33" i="8"/>
  <c r="CH33" i="8"/>
  <c r="CI33" i="8"/>
  <c r="CJ33" i="8"/>
  <c r="CK33" i="8"/>
  <c r="CL33" i="8"/>
  <c r="CM33" i="8"/>
  <c r="CN33" i="8"/>
  <c r="CO33" i="8"/>
  <c r="CP33" i="8"/>
  <c r="CQ33" i="8"/>
  <c r="CR33" i="8"/>
  <c r="CS33" i="8"/>
  <c r="CT33" i="8"/>
  <c r="CU33" i="8"/>
  <c r="CV33" i="8"/>
  <c r="CW33" i="8"/>
  <c r="CX33" i="8"/>
  <c r="CY33" i="8"/>
  <c r="CZ33" i="8"/>
  <c r="DA33" i="8"/>
  <c r="DB33" i="8"/>
  <c r="DC33" i="8"/>
  <c r="DD33" i="8"/>
  <c r="DE33" i="8"/>
  <c r="DF33" i="8"/>
  <c r="DG33" i="8"/>
  <c r="BO34" i="8"/>
  <c r="BP34" i="8"/>
  <c r="BQ34" i="8"/>
  <c r="BR34" i="8"/>
  <c r="BS34" i="8"/>
  <c r="BT34" i="8"/>
  <c r="BU34" i="8"/>
  <c r="BV34" i="8"/>
  <c r="BW34" i="8"/>
  <c r="BX34" i="8"/>
  <c r="BY34" i="8"/>
  <c r="BZ34" i="8"/>
  <c r="CA34" i="8"/>
  <c r="CB34" i="8"/>
  <c r="CC34" i="8"/>
  <c r="CD34" i="8"/>
  <c r="CE34" i="8"/>
  <c r="CF34" i="8"/>
  <c r="CG34" i="8"/>
  <c r="CH34" i="8"/>
  <c r="CI34" i="8"/>
  <c r="CJ34" i="8"/>
  <c r="CK34" i="8"/>
  <c r="CL34" i="8"/>
  <c r="CM34" i="8"/>
  <c r="CN34" i="8"/>
  <c r="CO34" i="8"/>
  <c r="CP34" i="8"/>
  <c r="CQ34" i="8"/>
  <c r="CR34" i="8"/>
  <c r="CS34" i="8"/>
  <c r="CT34" i="8"/>
  <c r="CU34" i="8"/>
  <c r="CV34" i="8"/>
  <c r="CW34" i="8"/>
  <c r="CX34" i="8"/>
  <c r="CY34" i="8"/>
  <c r="CZ34" i="8"/>
  <c r="DA34" i="8"/>
  <c r="DB34" i="8"/>
  <c r="DC34" i="8"/>
  <c r="DD34" i="8"/>
  <c r="DE34" i="8"/>
  <c r="DF34" i="8"/>
  <c r="DG34" i="8"/>
  <c r="BO35" i="8"/>
  <c r="BP35" i="8"/>
  <c r="BQ35" i="8"/>
  <c r="BR35" i="8"/>
  <c r="BS35" i="8"/>
  <c r="BT35" i="8"/>
  <c r="BU35" i="8"/>
  <c r="BV35" i="8"/>
  <c r="BW35" i="8"/>
  <c r="BX35" i="8"/>
  <c r="BY35" i="8"/>
  <c r="BZ35" i="8"/>
  <c r="CA35" i="8"/>
  <c r="CB35" i="8"/>
  <c r="CC35" i="8"/>
  <c r="CD35" i="8"/>
  <c r="CE35" i="8"/>
  <c r="CF35" i="8"/>
  <c r="CG35" i="8"/>
  <c r="CH35" i="8"/>
  <c r="CI35" i="8"/>
  <c r="CJ35" i="8"/>
  <c r="CK35" i="8"/>
  <c r="CL35" i="8"/>
  <c r="CM35" i="8"/>
  <c r="CN35" i="8"/>
  <c r="CO35" i="8"/>
  <c r="CP35" i="8"/>
  <c r="CQ35" i="8"/>
  <c r="CR35" i="8"/>
  <c r="CS35" i="8"/>
  <c r="CT35" i="8"/>
  <c r="CU35" i="8"/>
  <c r="CV35" i="8"/>
  <c r="CW35" i="8"/>
  <c r="CX35" i="8"/>
  <c r="CY35" i="8"/>
  <c r="CZ35" i="8"/>
  <c r="DA35" i="8"/>
  <c r="DB35" i="8"/>
  <c r="DC35" i="8"/>
  <c r="DD35" i="8"/>
  <c r="DE35" i="8"/>
  <c r="DF35" i="8"/>
  <c r="DG35" i="8"/>
  <c r="BO36" i="8"/>
  <c r="BP36" i="8"/>
  <c r="BQ36" i="8"/>
  <c r="BR36" i="8"/>
  <c r="BS36" i="8"/>
  <c r="BT36" i="8"/>
  <c r="BU36" i="8"/>
  <c r="BV36" i="8"/>
  <c r="BW36" i="8"/>
  <c r="BX36" i="8"/>
  <c r="BY36" i="8"/>
  <c r="BZ36" i="8"/>
  <c r="CA36" i="8"/>
  <c r="CB36" i="8"/>
  <c r="CC36" i="8"/>
  <c r="CD36" i="8"/>
  <c r="CE36" i="8"/>
  <c r="CF36" i="8"/>
  <c r="CG36" i="8"/>
  <c r="CH36" i="8"/>
  <c r="CI36" i="8"/>
  <c r="CJ36" i="8"/>
  <c r="CK36" i="8"/>
  <c r="CL36" i="8"/>
  <c r="CM36" i="8"/>
  <c r="CN36" i="8"/>
  <c r="CO36" i="8"/>
  <c r="CP36" i="8"/>
  <c r="CQ36" i="8"/>
  <c r="CR36" i="8"/>
  <c r="CS36" i="8"/>
  <c r="CT36" i="8"/>
  <c r="CU36" i="8"/>
  <c r="CV36" i="8"/>
  <c r="CW36" i="8"/>
  <c r="CX36" i="8"/>
  <c r="CY36" i="8"/>
  <c r="CZ36" i="8"/>
  <c r="DA36" i="8"/>
  <c r="DB36" i="8"/>
  <c r="DC36" i="8"/>
  <c r="DD36" i="8"/>
  <c r="DE36" i="8"/>
  <c r="DF36" i="8"/>
  <c r="DG36" i="8"/>
  <c r="BO37" i="8"/>
  <c r="BP37" i="8"/>
  <c r="BQ37" i="8"/>
  <c r="BR37" i="8"/>
  <c r="BS37" i="8"/>
  <c r="BT37" i="8"/>
  <c r="BU37" i="8"/>
  <c r="BV37" i="8"/>
  <c r="BW37" i="8"/>
  <c r="BX37" i="8"/>
  <c r="BY37" i="8"/>
  <c r="BZ37" i="8"/>
  <c r="CA37" i="8"/>
  <c r="CB37" i="8"/>
  <c r="CC37" i="8"/>
  <c r="CD37" i="8"/>
  <c r="CE37" i="8"/>
  <c r="CF37" i="8"/>
  <c r="CG37" i="8"/>
  <c r="CH37" i="8"/>
  <c r="CI37" i="8"/>
  <c r="CJ37" i="8"/>
  <c r="CK37" i="8"/>
  <c r="CL37" i="8"/>
  <c r="CM37" i="8"/>
  <c r="CN37" i="8"/>
  <c r="CO37" i="8"/>
  <c r="CP37" i="8"/>
  <c r="CQ37" i="8"/>
  <c r="CR37" i="8"/>
  <c r="CS37" i="8"/>
  <c r="CT37" i="8"/>
  <c r="CU37" i="8"/>
  <c r="CV37" i="8"/>
  <c r="CW37" i="8"/>
  <c r="CX37" i="8"/>
  <c r="CY37" i="8"/>
  <c r="CZ37" i="8"/>
  <c r="DA37" i="8"/>
  <c r="DB37" i="8"/>
  <c r="DC37" i="8"/>
  <c r="DD37" i="8"/>
  <c r="DE37" i="8"/>
  <c r="DF37" i="8"/>
  <c r="DG37" i="8"/>
  <c r="BO38" i="8"/>
  <c r="BP38" i="8"/>
  <c r="BQ38" i="8"/>
  <c r="BR38" i="8"/>
  <c r="BS38" i="8"/>
  <c r="BT38" i="8"/>
  <c r="BU38" i="8"/>
  <c r="BV38" i="8"/>
  <c r="BW38" i="8"/>
  <c r="BX38" i="8"/>
  <c r="BY38" i="8"/>
  <c r="BZ38" i="8"/>
  <c r="CA38" i="8"/>
  <c r="CB38" i="8"/>
  <c r="CC38" i="8"/>
  <c r="CD38" i="8"/>
  <c r="CE38" i="8"/>
  <c r="CF38" i="8"/>
  <c r="CG38" i="8"/>
  <c r="CH38" i="8"/>
  <c r="CI38" i="8"/>
  <c r="CJ38" i="8"/>
  <c r="CK38" i="8"/>
  <c r="CL38" i="8"/>
  <c r="CM38" i="8"/>
  <c r="CN38" i="8"/>
  <c r="CO38" i="8"/>
  <c r="CP38" i="8"/>
  <c r="CQ38" i="8"/>
  <c r="CR38" i="8"/>
  <c r="CS38" i="8"/>
  <c r="CT38" i="8"/>
  <c r="CU38" i="8"/>
  <c r="CV38" i="8"/>
  <c r="CW38" i="8"/>
  <c r="CX38" i="8"/>
  <c r="CY38" i="8"/>
  <c r="CZ38" i="8"/>
  <c r="DA38" i="8"/>
  <c r="DB38" i="8"/>
  <c r="DC38" i="8"/>
  <c r="DD38" i="8"/>
  <c r="DE38" i="8"/>
  <c r="DF38" i="8"/>
  <c r="DG38" i="8"/>
  <c r="BO39" i="8"/>
  <c r="BP39" i="8"/>
  <c r="BQ39" i="8"/>
  <c r="BR39" i="8"/>
  <c r="BS39" i="8"/>
  <c r="BT39" i="8"/>
  <c r="BU39" i="8"/>
  <c r="BV39" i="8"/>
  <c r="BW39" i="8"/>
  <c r="BX39" i="8"/>
  <c r="BY39" i="8"/>
  <c r="BZ39" i="8"/>
  <c r="CA39" i="8"/>
  <c r="CB39" i="8"/>
  <c r="CC39" i="8"/>
  <c r="CD39" i="8"/>
  <c r="CE39" i="8"/>
  <c r="CF39" i="8"/>
  <c r="CG39" i="8"/>
  <c r="CH39" i="8"/>
  <c r="CI39" i="8"/>
  <c r="CJ39" i="8"/>
  <c r="CK39" i="8"/>
  <c r="CL39" i="8"/>
  <c r="CM39" i="8"/>
  <c r="CN39" i="8"/>
  <c r="CO39" i="8"/>
  <c r="CP39" i="8"/>
  <c r="CQ39" i="8"/>
  <c r="CR39" i="8"/>
  <c r="CS39" i="8"/>
  <c r="CT39" i="8"/>
  <c r="CU39" i="8"/>
  <c r="CV39" i="8"/>
  <c r="CW39" i="8"/>
  <c r="CX39" i="8"/>
  <c r="CY39" i="8"/>
  <c r="CZ39" i="8"/>
  <c r="DA39" i="8"/>
  <c r="DB39" i="8"/>
  <c r="DC39" i="8"/>
  <c r="DD39" i="8"/>
  <c r="DE39" i="8"/>
  <c r="DF39" i="8"/>
  <c r="DG39" i="8"/>
  <c r="BO40" i="8"/>
  <c r="BP40" i="8"/>
  <c r="BQ40" i="8"/>
  <c r="BR40" i="8"/>
  <c r="BS40" i="8"/>
  <c r="BT40" i="8"/>
  <c r="BU40" i="8"/>
  <c r="BV40" i="8"/>
  <c r="BW40" i="8"/>
  <c r="BX40" i="8"/>
  <c r="BY40" i="8"/>
  <c r="BZ40" i="8"/>
  <c r="CA40" i="8"/>
  <c r="CB40" i="8"/>
  <c r="CC40" i="8"/>
  <c r="CD40" i="8"/>
  <c r="CE40" i="8"/>
  <c r="CF40" i="8"/>
  <c r="CG40" i="8"/>
  <c r="CH40" i="8"/>
  <c r="CI40" i="8"/>
  <c r="CJ40" i="8"/>
  <c r="CK40" i="8"/>
  <c r="CL40" i="8"/>
  <c r="CM40" i="8"/>
  <c r="CN40" i="8"/>
  <c r="CO40" i="8"/>
  <c r="CP40" i="8"/>
  <c r="CQ40" i="8"/>
  <c r="CR40" i="8"/>
  <c r="CS40" i="8"/>
  <c r="CT40" i="8"/>
  <c r="CU40" i="8"/>
  <c r="CV40" i="8"/>
  <c r="CW40" i="8"/>
  <c r="CX40" i="8"/>
  <c r="CY40" i="8"/>
  <c r="CZ40" i="8"/>
  <c r="DA40" i="8"/>
  <c r="DB40" i="8"/>
  <c r="DC40" i="8"/>
  <c r="DD40" i="8"/>
  <c r="DE40" i="8"/>
  <c r="DF40" i="8"/>
  <c r="DG40" i="8"/>
  <c r="BO41" i="8"/>
  <c r="BP41" i="8"/>
  <c r="BQ41" i="8"/>
  <c r="BR41" i="8"/>
  <c r="BS41" i="8"/>
  <c r="BT41" i="8"/>
  <c r="BU41" i="8"/>
  <c r="BV41" i="8"/>
  <c r="BW41" i="8"/>
  <c r="BX41" i="8"/>
  <c r="BY41" i="8"/>
  <c r="BZ41" i="8"/>
  <c r="CA41" i="8"/>
  <c r="CB41" i="8"/>
  <c r="CC41" i="8"/>
  <c r="CD41" i="8"/>
  <c r="CE41" i="8"/>
  <c r="CF41" i="8"/>
  <c r="CG41" i="8"/>
  <c r="CH41" i="8"/>
  <c r="CI41" i="8"/>
  <c r="CJ41" i="8"/>
  <c r="CK41" i="8"/>
  <c r="CL41" i="8"/>
  <c r="CM41" i="8"/>
  <c r="CN41" i="8"/>
  <c r="CO41" i="8"/>
  <c r="CP41" i="8"/>
  <c r="CQ41" i="8"/>
  <c r="CR41" i="8"/>
  <c r="CS41" i="8"/>
  <c r="CT41" i="8"/>
  <c r="CU41" i="8"/>
  <c r="CV41" i="8"/>
  <c r="CW41" i="8"/>
  <c r="CX41" i="8"/>
  <c r="CY41" i="8"/>
  <c r="CZ41" i="8"/>
  <c r="DA41" i="8"/>
  <c r="DB41" i="8"/>
  <c r="DC41" i="8"/>
  <c r="DD41" i="8"/>
  <c r="DE41" i="8"/>
  <c r="DF41" i="8"/>
  <c r="DG41" i="8"/>
  <c r="BO42" i="8"/>
  <c r="BP42" i="8"/>
  <c r="BQ42" i="8"/>
  <c r="BR42" i="8"/>
  <c r="BS42" i="8"/>
  <c r="BT42" i="8"/>
  <c r="BU42" i="8"/>
  <c r="BV42" i="8"/>
  <c r="BW42" i="8"/>
  <c r="BX42" i="8"/>
  <c r="BY42" i="8"/>
  <c r="BZ42" i="8"/>
  <c r="CA42" i="8"/>
  <c r="CB42" i="8"/>
  <c r="CC42" i="8"/>
  <c r="CD42" i="8"/>
  <c r="CE42" i="8"/>
  <c r="CF42" i="8"/>
  <c r="CG42" i="8"/>
  <c r="CH42" i="8"/>
  <c r="CI42" i="8"/>
  <c r="CJ42" i="8"/>
  <c r="CK42" i="8"/>
  <c r="CL42" i="8"/>
  <c r="CM42" i="8"/>
  <c r="CN42" i="8"/>
  <c r="CO42" i="8"/>
  <c r="CP42" i="8"/>
  <c r="CQ42" i="8"/>
  <c r="CR42" i="8"/>
  <c r="CS42" i="8"/>
  <c r="CT42" i="8"/>
  <c r="CU42" i="8"/>
  <c r="CV42" i="8"/>
  <c r="CW42" i="8"/>
  <c r="CX42" i="8"/>
  <c r="CY42" i="8"/>
  <c r="CZ42" i="8"/>
  <c r="DA42" i="8"/>
  <c r="DB42" i="8"/>
  <c r="DC42" i="8"/>
  <c r="DD42" i="8"/>
  <c r="DE42" i="8"/>
  <c r="DF42" i="8"/>
  <c r="DG42" i="8"/>
  <c r="BO43" i="8"/>
  <c r="BP43" i="8"/>
  <c r="BQ43" i="8"/>
  <c r="BR43" i="8"/>
  <c r="BS43" i="8"/>
  <c r="BT43" i="8"/>
  <c r="BU43" i="8"/>
  <c r="BV43" i="8"/>
  <c r="BW43" i="8"/>
  <c r="BX43" i="8"/>
  <c r="BY43" i="8"/>
  <c r="BZ43" i="8"/>
  <c r="CA43" i="8"/>
  <c r="CB43" i="8"/>
  <c r="CC43" i="8"/>
  <c r="CD43" i="8"/>
  <c r="CE43" i="8"/>
  <c r="CF43" i="8"/>
  <c r="CG43" i="8"/>
  <c r="CH43" i="8"/>
  <c r="CI43" i="8"/>
  <c r="CJ43" i="8"/>
  <c r="CK43" i="8"/>
  <c r="CL43" i="8"/>
  <c r="CM43" i="8"/>
  <c r="CN43" i="8"/>
  <c r="CO43" i="8"/>
  <c r="CP43" i="8"/>
  <c r="CQ43" i="8"/>
  <c r="CR43" i="8"/>
  <c r="CS43" i="8"/>
  <c r="CT43" i="8"/>
  <c r="CU43" i="8"/>
  <c r="CV43" i="8"/>
  <c r="CW43" i="8"/>
  <c r="CX43" i="8"/>
  <c r="CY43" i="8"/>
  <c r="CZ43" i="8"/>
  <c r="DA43" i="8"/>
  <c r="DB43" i="8"/>
  <c r="DC43" i="8"/>
  <c r="DD43" i="8"/>
  <c r="DE43" i="8"/>
  <c r="DF43" i="8"/>
  <c r="DG43" i="8"/>
  <c r="BO44" i="8"/>
  <c r="BP44" i="8"/>
  <c r="BQ44" i="8"/>
  <c r="BR44" i="8"/>
  <c r="BS44" i="8"/>
  <c r="BT44" i="8"/>
  <c r="BU44" i="8"/>
  <c r="BV44" i="8"/>
  <c r="BW44" i="8"/>
  <c r="BX44" i="8"/>
  <c r="BY44" i="8"/>
  <c r="BZ44" i="8"/>
  <c r="CA44" i="8"/>
  <c r="CB44" i="8"/>
  <c r="CC44" i="8"/>
  <c r="CD44" i="8"/>
  <c r="CE44" i="8"/>
  <c r="CF44" i="8"/>
  <c r="CG44" i="8"/>
  <c r="CH44" i="8"/>
  <c r="CI44" i="8"/>
  <c r="CJ44" i="8"/>
  <c r="CK44" i="8"/>
  <c r="CL44" i="8"/>
  <c r="CM44" i="8"/>
  <c r="CN44" i="8"/>
  <c r="CO44" i="8"/>
  <c r="CP44" i="8"/>
  <c r="CQ44" i="8"/>
  <c r="CR44" i="8"/>
  <c r="CS44" i="8"/>
  <c r="CT44" i="8"/>
  <c r="CU44" i="8"/>
  <c r="CV44" i="8"/>
  <c r="CW44" i="8"/>
  <c r="CX44" i="8"/>
  <c r="CY44" i="8"/>
  <c r="CZ44" i="8"/>
  <c r="DA44" i="8"/>
  <c r="DB44" i="8"/>
  <c r="DC44" i="8"/>
  <c r="DD44" i="8"/>
  <c r="DE44" i="8"/>
  <c r="DF44" i="8"/>
  <c r="DG44" i="8"/>
  <c r="BO45" i="8"/>
  <c r="BP45" i="8"/>
  <c r="BQ45" i="8"/>
  <c r="BR45" i="8"/>
  <c r="BS45" i="8"/>
  <c r="BT45" i="8"/>
  <c r="BU45" i="8"/>
  <c r="BV45" i="8"/>
  <c r="BW45" i="8"/>
  <c r="BX45" i="8"/>
  <c r="BY45" i="8"/>
  <c r="BZ45" i="8"/>
  <c r="CA45" i="8"/>
  <c r="CB45" i="8"/>
  <c r="CC45" i="8"/>
  <c r="CD45" i="8"/>
  <c r="CE45" i="8"/>
  <c r="CF45" i="8"/>
  <c r="CG45" i="8"/>
  <c r="CH45" i="8"/>
  <c r="CI45" i="8"/>
  <c r="CJ45" i="8"/>
  <c r="CK45" i="8"/>
  <c r="CL45" i="8"/>
  <c r="CM45" i="8"/>
  <c r="CN45" i="8"/>
  <c r="CO45" i="8"/>
  <c r="CP45" i="8"/>
  <c r="CQ45" i="8"/>
  <c r="CR45" i="8"/>
  <c r="CS45" i="8"/>
  <c r="CT45" i="8"/>
  <c r="CU45" i="8"/>
  <c r="CV45" i="8"/>
  <c r="CW45" i="8"/>
  <c r="CX45" i="8"/>
  <c r="CY45" i="8"/>
  <c r="CZ45" i="8"/>
  <c r="DA45" i="8"/>
  <c r="DB45" i="8"/>
  <c r="DC45" i="8"/>
  <c r="DD45" i="8"/>
  <c r="DE45" i="8"/>
  <c r="DF45" i="8"/>
  <c r="DG45" i="8"/>
  <c r="BO46" i="8"/>
  <c r="BP46" i="8"/>
  <c r="BQ46" i="8"/>
  <c r="BR46" i="8"/>
  <c r="BS46" i="8"/>
  <c r="BT46" i="8"/>
  <c r="BU46" i="8"/>
  <c r="BV46" i="8"/>
  <c r="BW46" i="8"/>
  <c r="BX46" i="8"/>
  <c r="BY46" i="8"/>
  <c r="BZ46" i="8"/>
  <c r="CA46" i="8"/>
  <c r="CB46" i="8"/>
  <c r="CC46" i="8"/>
  <c r="CD46" i="8"/>
  <c r="CE46" i="8"/>
  <c r="CF46" i="8"/>
  <c r="CG46" i="8"/>
  <c r="CH46" i="8"/>
  <c r="CI46" i="8"/>
  <c r="CJ46" i="8"/>
  <c r="CK46" i="8"/>
  <c r="CL46" i="8"/>
  <c r="CM46" i="8"/>
  <c r="CN46" i="8"/>
  <c r="CO46" i="8"/>
  <c r="CP46" i="8"/>
  <c r="CQ46" i="8"/>
  <c r="CR46" i="8"/>
  <c r="CS46" i="8"/>
  <c r="CT46" i="8"/>
  <c r="CU46" i="8"/>
  <c r="CV46" i="8"/>
  <c r="CW46" i="8"/>
  <c r="CX46" i="8"/>
  <c r="CY46" i="8"/>
  <c r="CZ46" i="8"/>
  <c r="DA46" i="8"/>
  <c r="DB46" i="8"/>
  <c r="DC46" i="8"/>
  <c r="DD46" i="8"/>
  <c r="DE46" i="8"/>
  <c r="DF46" i="8"/>
  <c r="DG46" i="8"/>
  <c r="BO47" i="8"/>
  <c r="BP47" i="8"/>
  <c r="BQ47" i="8"/>
  <c r="BR47" i="8"/>
  <c r="BS47" i="8"/>
  <c r="BT47" i="8"/>
  <c r="BU47" i="8"/>
  <c r="BV47" i="8"/>
  <c r="BW47" i="8"/>
  <c r="BX47" i="8"/>
  <c r="BY47" i="8"/>
  <c r="BZ47" i="8"/>
  <c r="CA47" i="8"/>
  <c r="CB47" i="8"/>
  <c r="CC47" i="8"/>
  <c r="CD47" i="8"/>
  <c r="CE47" i="8"/>
  <c r="CF47" i="8"/>
  <c r="CG47" i="8"/>
  <c r="CH47" i="8"/>
  <c r="CI47" i="8"/>
  <c r="CJ47" i="8"/>
  <c r="CK47" i="8"/>
  <c r="CL47" i="8"/>
  <c r="CM47" i="8"/>
  <c r="CN47" i="8"/>
  <c r="CO47" i="8"/>
  <c r="CP47" i="8"/>
  <c r="CQ47" i="8"/>
  <c r="CR47" i="8"/>
  <c r="CS47" i="8"/>
  <c r="CT47" i="8"/>
  <c r="CU47" i="8"/>
  <c r="CV47" i="8"/>
  <c r="CW47" i="8"/>
  <c r="CX47" i="8"/>
  <c r="CY47" i="8"/>
  <c r="CZ47" i="8"/>
  <c r="DA47" i="8"/>
  <c r="DB47" i="8"/>
  <c r="DC47" i="8"/>
  <c r="DD47" i="8"/>
  <c r="DE47" i="8"/>
  <c r="DF47" i="8"/>
  <c r="DG47" i="8"/>
  <c r="BO48" i="8"/>
  <c r="BP48" i="8"/>
  <c r="BQ48" i="8"/>
  <c r="BR48" i="8"/>
  <c r="BS48" i="8"/>
  <c r="BT48" i="8"/>
  <c r="BU48" i="8"/>
  <c r="BV48" i="8"/>
  <c r="BW48" i="8"/>
  <c r="BX48" i="8"/>
  <c r="BY48" i="8"/>
  <c r="BZ48" i="8"/>
  <c r="CA48" i="8"/>
  <c r="CB48" i="8"/>
  <c r="CC48" i="8"/>
  <c r="CD48" i="8"/>
  <c r="CE48" i="8"/>
  <c r="CF48" i="8"/>
  <c r="CG48" i="8"/>
  <c r="CH48" i="8"/>
  <c r="CI48" i="8"/>
  <c r="CJ48" i="8"/>
  <c r="CK48" i="8"/>
  <c r="CL48" i="8"/>
  <c r="CM48" i="8"/>
  <c r="CN48" i="8"/>
  <c r="CO48" i="8"/>
  <c r="CP48" i="8"/>
  <c r="CQ48" i="8"/>
  <c r="CR48" i="8"/>
  <c r="CS48" i="8"/>
  <c r="CT48" i="8"/>
  <c r="CU48" i="8"/>
  <c r="CV48" i="8"/>
  <c r="CW48" i="8"/>
  <c r="CX48" i="8"/>
  <c r="CY48" i="8"/>
  <c r="CZ48" i="8"/>
  <c r="DA48" i="8"/>
  <c r="DB48" i="8"/>
  <c r="DC48" i="8"/>
  <c r="DD48" i="8"/>
  <c r="DE48" i="8"/>
  <c r="DF48" i="8"/>
  <c r="DG48" i="8"/>
  <c r="BO49" i="8"/>
  <c r="BP49" i="8"/>
  <c r="BQ49" i="8"/>
  <c r="BR49" i="8"/>
  <c r="BS49" i="8"/>
  <c r="BT49" i="8"/>
  <c r="BU49" i="8"/>
  <c r="BV49" i="8"/>
  <c r="BW49" i="8"/>
  <c r="BX49" i="8"/>
  <c r="BY49" i="8"/>
  <c r="BZ49" i="8"/>
  <c r="CA49" i="8"/>
  <c r="CB49" i="8"/>
  <c r="CC49" i="8"/>
  <c r="CD49" i="8"/>
  <c r="CE49" i="8"/>
  <c r="CF49" i="8"/>
  <c r="CG49" i="8"/>
  <c r="CH49" i="8"/>
  <c r="CI49" i="8"/>
  <c r="CJ49" i="8"/>
  <c r="CK49" i="8"/>
  <c r="CL49" i="8"/>
  <c r="CM49" i="8"/>
  <c r="CN49" i="8"/>
  <c r="CO49" i="8"/>
  <c r="CP49" i="8"/>
  <c r="CQ49" i="8"/>
  <c r="CR49" i="8"/>
  <c r="CS49" i="8"/>
  <c r="CT49" i="8"/>
  <c r="CU49" i="8"/>
  <c r="CV49" i="8"/>
  <c r="CW49" i="8"/>
  <c r="CX49" i="8"/>
  <c r="CY49" i="8"/>
  <c r="CZ49" i="8"/>
  <c r="DA49" i="8"/>
  <c r="DB49" i="8"/>
  <c r="DC49" i="8"/>
  <c r="DD49" i="8"/>
  <c r="DE49" i="8"/>
  <c r="DF49" i="8"/>
  <c r="DG49" i="8"/>
  <c r="BO50" i="8"/>
  <c r="BP50" i="8"/>
  <c r="BQ50" i="8"/>
  <c r="BR50" i="8"/>
  <c r="BS50" i="8"/>
  <c r="BT50" i="8"/>
  <c r="BU50" i="8"/>
  <c r="BV50" i="8"/>
  <c r="BW50" i="8"/>
  <c r="BX50" i="8"/>
  <c r="BY50" i="8"/>
  <c r="BZ50" i="8"/>
  <c r="CA50" i="8"/>
  <c r="CB50" i="8"/>
  <c r="CC50" i="8"/>
  <c r="CD50" i="8"/>
  <c r="CE50" i="8"/>
  <c r="CF50" i="8"/>
  <c r="CG50" i="8"/>
  <c r="CH50" i="8"/>
  <c r="CI50" i="8"/>
  <c r="CJ50" i="8"/>
  <c r="CK50" i="8"/>
  <c r="CL50" i="8"/>
  <c r="CM50" i="8"/>
  <c r="CN50" i="8"/>
  <c r="CO50" i="8"/>
  <c r="CP50" i="8"/>
  <c r="CQ50" i="8"/>
  <c r="CR50" i="8"/>
  <c r="CS50" i="8"/>
  <c r="CT50" i="8"/>
  <c r="CU50" i="8"/>
  <c r="CV50" i="8"/>
  <c r="CW50" i="8"/>
  <c r="CX50" i="8"/>
  <c r="CY50" i="8"/>
  <c r="CZ50" i="8"/>
  <c r="DA50" i="8"/>
  <c r="DB50" i="8"/>
  <c r="DC50" i="8"/>
  <c r="DD50" i="8"/>
  <c r="DE50" i="8"/>
  <c r="DF50" i="8"/>
  <c r="DG50" i="8"/>
  <c r="BO51" i="8"/>
  <c r="BP51" i="8"/>
  <c r="BQ51" i="8"/>
  <c r="BR51" i="8"/>
  <c r="BS51" i="8"/>
  <c r="BT51" i="8"/>
  <c r="BU51" i="8"/>
  <c r="BV51" i="8"/>
  <c r="BW51" i="8"/>
  <c r="BX51" i="8"/>
  <c r="BY51" i="8"/>
  <c r="BZ51" i="8"/>
  <c r="CA51" i="8"/>
  <c r="CB51" i="8"/>
  <c r="CC51" i="8"/>
  <c r="CD51" i="8"/>
  <c r="CE51" i="8"/>
  <c r="CF51" i="8"/>
  <c r="CG51" i="8"/>
  <c r="CH51" i="8"/>
  <c r="CI51" i="8"/>
  <c r="CJ51" i="8"/>
  <c r="CK51" i="8"/>
  <c r="CL51" i="8"/>
  <c r="CM51" i="8"/>
  <c r="CN51" i="8"/>
  <c r="CO51" i="8"/>
  <c r="CP51" i="8"/>
  <c r="CQ51" i="8"/>
  <c r="CR51" i="8"/>
  <c r="CS51" i="8"/>
  <c r="CT51" i="8"/>
  <c r="CU51" i="8"/>
  <c r="CV51" i="8"/>
  <c r="CW51" i="8"/>
  <c r="CX51" i="8"/>
  <c r="CY51" i="8"/>
  <c r="CZ51" i="8"/>
  <c r="DA51" i="8"/>
  <c r="DB51" i="8"/>
  <c r="DC51" i="8"/>
  <c r="DD51" i="8"/>
  <c r="DE51" i="8"/>
  <c r="DF51" i="8"/>
  <c r="DG51" i="8"/>
  <c r="BO52" i="8"/>
  <c r="BP52" i="8"/>
  <c r="BQ52" i="8"/>
  <c r="BR52" i="8"/>
  <c r="BS52" i="8"/>
  <c r="BT52" i="8"/>
  <c r="BU52" i="8"/>
  <c r="BV52" i="8"/>
  <c r="BW52" i="8"/>
  <c r="BX52" i="8"/>
  <c r="BY52" i="8"/>
  <c r="BZ52" i="8"/>
  <c r="CA52" i="8"/>
  <c r="CB52" i="8"/>
  <c r="CC52" i="8"/>
  <c r="CD52" i="8"/>
  <c r="CE52" i="8"/>
  <c r="CF52" i="8"/>
  <c r="CG52" i="8"/>
  <c r="CH52" i="8"/>
  <c r="CI52" i="8"/>
  <c r="CJ52" i="8"/>
  <c r="CK52" i="8"/>
  <c r="CL52" i="8"/>
  <c r="CM52" i="8"/>
  <c r="CN52" i="8"/>
  <c r="CO52" i="8"/>
  <c r="CP52" i="8"/>
  <c r="CQ52" i="8"/>
  <c r="CR52" i="8"/>
  <c r="CS52" i="8"/>
  <c r="CT52" i="8"/>
  <c r="CU52" i="8"/>
  <c r="CV52" i="8"/>
  <c r="CW52" i="8"/>
  <c r="CX52" i="8"/>
  <c r="CY52" i="8"/>
  <c r="CZ52" i="8"/>
  <c r="DA52" i="8"/>
  <c r="DB52" i="8"/>
  <c r="DC52" i="8"/>
  <c r="DD52" i="8"/>
  <c r="DE52" i="8"/>
  <c r="DF52" i="8"/>
  <c r="DG52" i="8"/>
  <c r="BO53" i="8"/>
  <c r="BP53" i="8"/>
  <c r="BQ53" i="8"/>
  <c r="BR53" i="8"/>
  <c r="BS53" i="8"/>
  <c r="BT53" i="8"/>
  <c r="BU53" i="8"/>
  <c r="BV53" i="8"/>
  <c r="BW53" i="8"/>
  <c r="BX53" i="8"/>
  <c r="BY53" i="8"/>
  <c r="BZ53" i="8"/>
  <c r="CA53" i="8"/>
  <c r="CB53" i="8"/>
  <c r="CC53" i="8"/>
  <c r="CD53" i="8"/>
  <c r="CE53" i="8"/>
  <c r="CF53" i="8"/>
  <c r="CG53" i="8"/>
  <c r="CH53" i="8"/>
  <c r="CI53" i="8"/>
  <c r="CJ53" i="8"/>
  <c r="CK53" i="8"/>
  <c r="CL53" i="8"/>
  <c r="CM53" i="8"/>
  <c r="CN53" i="8"/>
  <c r="CO53" i="8"/>
  <c r="CP53" i="8"/>
  <c r="CQ53" i="8"/>
  <c r="CR53" i="8"/>
  <c r="CS53" i="8"/>
  <c r="CT53" i="8"/>
  <c r="CU53" i="8"/>
  <c r="CV53" i="8"/>
  <c r="CW53" i="8"/>
  <c r="CX53" i="8"/>
  <c r="CY53" i="8"/>
  <c r="CZ53" i="8"/>
  <c r="DA53" i="8"/>
  <c r="DB53" i="8"/>
  <c r="DC53" i="8"/>
  <c r="DD53" i="8"/>
  <c r="DE53" i="8"/>
  <c r="DF53" i="8"/>
  <c r="DG53" i="8"/>
  <c r="BO54" i="8"/>
  <c r="BP54" i="8"/>
  <c r="BQ54" i="8"/>
  <c r="BR54" i="8"/>
  <c r="BS54" i="8"/>
  <c r="BT54" i="8"/>
  <c r="BU54" i="8"/>
  <c r="BV54" i="8"/>
  <c r="BW54" i="8"/>
  <c r="BX54" i="8"/>
  <c r="BY54" i="8"/>
  <c r="BZ54" i="8"/>
  <c r="CA54" i="8"/>
  <c r="CB54" i="8"/>
  <c r="CC54" i="8"/>
  <c r="CD54" i="8"/>
  <c r="CE54" i="8"/>
  <c r="CF54" i="8"/>
  <c r="CG54" i="8"/>
  <c r="CH54" i="8"/>
  <c r="CI54" i="8"/>
  <c r="CJ54" i="8"/>
  <c r="CK54" i="8"/>
  <c r="CL54" i="8"/>
  <c r="CM54" i="8"/>
  <c r="CN54" i="8"/>
  <c r="CO54" i="8"/>
  <c r="CP54" i="8"/>
  <c r="CQ54" i="8"/>
  <c r="CR54" i="8"/>
  <c r="CS54" i="8"/>
  <c r="CT54" i="8"/>
  <c r="CU54" i="8"/>
  <c r="CV54" i="8"/>
  <c r="CW54" i="8"/>
  <c r="CX54" i="8"/>
  <c r="CY54" i="8"/>
  <c r="CZ54" i="8"/>
  <c r="DA54" i="8"/>
  <c r="DB54" i="8"/>
  <c r="DC54" i="8"/>
  <c r="DD54" i="8"/>
  <c r="DE54" i="8"/>
  <c r="DF54" i="8"/>
  <c r="DG54" i="8"/>
  <c r="BO55" i="8"/>
  <c r="BP55" i="8"/>
  <c r="BQ55" i="8"/>
  <c r="BR55" i="8"/>
  <c r="BS55" i="8"/>
  <c r="BT55" i="8"/>
  <c r="BU55" i="8"/>
  <c r="BV55" i="8"/>
  <c r="BW55" i="8"/>
  <c r="BX55" i="8"/>
  <c r="BY55" i="8"/>
  <c r="BZ55" i="8"/>
  <c r="CA55" i="8"/>
  <c r="CB55" i="8"/>
  <c r="CC55" i="8"/>
  <c r="CD55" i="8"/>
  <c r="CE55" i="8"/>
  <c r="CF55" i="8"/>
  <c r="CG55" i="8"/>
  <c r="CH55" i="8"/>
  <c r="CI55" i="8"/>
  <c r="CJ55" i="8"/>
  <c r="CK55" i="8"/>
  <c r="CL55" i="8"/>
  <c r="CM55" i="8"/>
  <c r="CN55" i="8"/>
  <c r="CO55" i="8"/>
  <c r="CP55" i="8"/>
  <c r="CQ55" i="8"/>
  <c r="CR55" i="8"/>
  <c r="CS55" i="8"/>
  <c r="CT55" i="8"/>
  <c r="CU55" i="8"/>
  <c r="CV55" i="8"/>
  <c r="CW55" i="8"/>
  <c r="CX55" i="8"/>
  <c r="CY55" i="8"/>
  <c r="CZ55" i="8"/>
  <c r="DA55" i="8"/>
  <c r="DB55" i="8"/>
  <c r="DC55" i="8"/>
  <c r="DD55" i="8"/>
  <c r="DE55" i="8"/>
  <c r="DF55" i="8"/>
  <c r="DG55" i="8"/>
  <c r="BO56" i="8"/>
  <c r="BP56" i="8"/>
  <c r="BQ56" i="8"/>
  <c r="BR56" i="8"/>
  <c r="BS56" i="8"/>
  <c r="BT56" i="8"/>
  <c r="BU56" i="8"/>
  <c r="BV56" i="8"/>
  <c r="BW56" i="8"/>
  <c r="BX56" i="8"/>
  <c r="BY56" i="8"/>
  <c r="BZ56" i="8"/>
  <c r="CA56" i="8"/>
  <c r="CB56" i="8"/>
  <c r="CC56" i="8"/>
  <c r="CD56" i="8"/>
  <c r="CE56" i="8"/>
  <c r="CF56" i="8"/>
  <c r="CG56" i="8"/>
  <c r="CH56" i="8"/>
  <c r="CI56" i="8"/>
  <c r="CJ56" i="8"/>
  <c r="CK56" i="8"/>
  <c r="CL56" i="8"/>
  <c r="CM56" i="8"/>
  <c r="CN56" i="8"/>
  <c r="CO56" i="8"/>
  <c r="CP56" i="8"/>
  <c r="CQ56" i="8"/>
  <c r="CR56" i="8"/>
  <c r="CS56" i="8"/>
  <c r="CT56" i="8"/>
  <c r="CU56" i="8"/>
  <c r="CV56" i="8"/>
  <c r="CW56" i="8"/>
  <c r="CX56" i="8"/>
  <c r="CY56" i="8"/>
  <c r="CZ56" i="8"/>
  <c r="DA56" i="8"/>
  <c r="DB56" i="8"/>
  <c r="DC56" i="8"/>
  <c r="DD56" i="8"/>
  <c r="DE56" i="8"/>
  <c r="DF56" i="8"/>
  <c r="DG56" i="8"/>
  <c r="BO57" i="8"/>
  <c r="BP57" i="8"/>
  <c r="BQ57" i="8"/>
  <c r="BR57" i="8"/>
  <c r="BS57" i="8"/>
  <c r="BT57" i="8"/>
  <c r="BU57" i="8"/>
  <c r="BV57" i="8"/>
  <c r="BW57" i="8"/>
  <c r="BX57" i="8"/>
  <c r="BY57" i="8"/>
  <c r="BZ57" i="8"/>
  <c r="CA57" i="8"/>
  <c r="CB57" i="8"/>
  <c r="CC57" i="8"/>
  <c r="CD57" i="8"/>
  <c r="CE57" i="8"/>
  <c r="CF57" i="8"/>
  <c r="CG57" i="8"/>
  <c r="CH57" i="8"/>
  <c r="CI57" i="8"/>
  <c r="CJ57" i="8"/>
  <c r="CK57" i="8"/>
  <c r="CL57" i="8"/>
  <c r="CM57" i="8"/>
  <c r="CN57" i="8"/>
  <c r="CO57" i="8"/>
  <c r="CP57" i="8"/>
  <c r="CQ57" i="8"/>
  <c r="CR57" i="8"/>
  <c r="CS57" i="8"/>
  <c r="CT57" i="8"/>
  <c r="CU57" i="8"/>
  <c r="CV57" i="8"/>
  <c r="CW57" i="8"/>
  <c r="CX57" i="8"/>
  <c r="CY57" i="8"/>
  <c r="CZ57" i="8"/>
  <c r="DA57" i="8"/>
  <c r="DB57" i="8"/>
  <c r="DC57" i="8"/>
  <c r="DD57" i="8"/>
  <c r="DE57" i="8"/>
  <c r="DF57" i="8"/>
  <c r="DG57" i="8"/>
  <c r="BO58" i="8"/>
  <c r="BP58" i="8"/>
  <c r="BQ58" i="8"/>
  <c r="BR58" i="8"/>
  <c r="BS58" i="8"/>
  <c r="BT58" i="8"/>
  <c r="BU58" i="8"/>
  <c r="BV58" i="8"/>
  <c r="BW58" i="8"/>
  <c r="BX58" i="8"/>
  <c r="BY58" i="8"/>
  <c r="BZ58" i="8"/>
  <c r="CA58" i="8"/>
  <c r="CB58" i="8"/>
  <c r="CC58" i="8"/>
  <c r="CD58" i="8"/>
  <c r="CE58" i="8"/>
  <c r="CF58" i="8"/>
  <c r="CG58" i="8"/>
  <c r="CH58" i="8"/>
  <c r="CI58" i="8"/>
  <c r="CJ58" i="8"/>
  <c r="CK58" i="8"/>
  <c r="CL58" i="8"/>
  <c r="CM58" i="8"/>
  <c r="CN58" i="8"/>
  <c r="CO58" i="8"/>
  <c r="CP58" i="8"/>
  <c r="CQ58" i="8"/>
  <c r="CR58" i="8"/>
  <c r="CS58" i="8"/>
  <c r="CT58" i="8"/>
  <c r="CU58" i="8"/>
  <c r="CV58" i="8"/>
  <c r="CW58" i="8"/>
  <c r="CX58" i="8"/>
  <c r="CY58" i="8"/>
  <c r="CZ58" i="8"/>
  <c r="DA58" i="8"/>
  <c r="DB58" i="8"/>
  <c r="DC58" i="8"/>
  <c r="DD58" i="8"/>
  <c r="DE58" i="8"/>
  <c r="DF58" i="8"/>
  <c r="DG58" i="8"/>
  <c r="BO59" i="8"/>
  <c r="BP59" i="8"/>
  <c r="BQ59" i="8"/>
  <c r="BR59" i="8"/>
  <c r="BS59" i="8"/>
  <c r="BT59" i="8"/>
  <c r="BU59" i="8"/>
  <c r="BV59" i="8"/>
  <c r="BW59" i="8"/>
  <c r="BX59" i="8"/>
  <c r="BY59" i="8"/>
  <c r="BZ59" i="8"/>
  <c r="CA59" i="8"/>
  <c r="CB59" i="8"/>
  <c r="CC59" i="8"/>
  <c r="CD59" i="8"/>
  <c r="CE59" i="8"/>
  <c r="CF59" i="8"/>
  <c r="CG59" i="8"/>
  <c r="CH59" i="8"/>
  <c r="CI59" i="8"/>
  <c r="CJ59" i="8"/>
  <c r="CK59" i="8"/>
  <c r="CL59" i="8"/>
  <c r="CM59" i="8"/>
  <c r="CN59" i="8"/>
  <c r="CO59" i="8"/>
  <c r="CP59" i="8"/>
  <c r="CQ59" i="8"/>
  <c r="CR59" i="8"/>
  <c r="CS59" i="8"/>
  <c r="CT59" i="8"/>
  <c r="CU59" i="8"/>
  <c r="CV59" i="8"/>
  <c r="CW59" i="8"/>
  <c r="CX59" i="8"/>
  <c r="CY59" i="8"/>
  <c r="CZ59" i="8"/>
  <c r="DA59" i="8"/>
  <c r="DB59" i="8"/>
  <c r="DC59" i="8"/>
  <c r="DD59" i="8"/>
  <c r="DE59" i="8"/>
  <c r="DF59" i="8"/>
  <c r="DG59" i="8"/>
  <c r="BO60" i="8"/>
  <c r="BP60" i="8"/>
  <c r="BQ60" i="8"/>
  <c r="BR60" i="8"/>
  <c r="BS60" i="8"/>
  <c r="BT60" i="8"/>
  <c r="BU60" i="8"/>
  <c r="BV60" i="8"/>
  <c r="BW60" i="8"/>
  <c r="BX60" i="8"/>
  <c r="BY60" i="8"/>
  <c r="BZ60" i="8"/>
  <c r="CA60" i="8"/>
  <c r="CB60" i="8"/>
  <c r="CC60" i="8"/>
  <c r="CD60" i="8"/>
  <c r="CE60" i="8"/>
  <c r="CF60" i="8"/>
  <c r="CG60" i="8"/>
  <c r="CH60" i="8"/>
  <c r="CI60" i="8"/>
  <c r="CJ60" i="8"/>
  <c r="CK60" i="8"/>
  <c r="CL60" i="8"/>
  <c r="CM60" i="8"/>
  <c r="CN60" i="8"/>
  <c r="CO60" i="8"/>
  <c r="CP60" i="8"/>
  <c r="CQ60" i="8"/>
  <c r="CR60" i="8"/>
  <c r="CS60" i="8"/>
  <c r="CT60" i="8"/>
  <c r="CU60" i="8"/>
  <c r="CV60" i="8"/>
  <c r="CW60" i="8"/>
  <c r="CX60" i="8"/>
  <c r="CY60" i="8"/>
  <c r="CZ60" i="8"/>
  <c r="DA60" i="8"/>
  <c r="DB60" i="8"/>
  <c r="DC60" i="8"/>
  <c r="DD60" i="8"/>
  <c r="DE60" i="8"/>
  <c r="DF60" i="8"/>
  <c r="DG60" i="8"/>
  <c r="BO61" i="8"/>
  <c r="BP61" i="8"/>
  <c r="BQ61" i="8"/>
  <c r="BR61" i="8"/>
  <c r="BS61" i="8"/>
  <c r="BT61" i="8"/>
  <c r="BU61" i="8"/>
  <c r="BV61" i="8"/>
  <c r="BW61" i="8"/>
  <c r="BX61" i="8"/>
  <c r="BY61" i="8"/>
  <c r="BZ61" i="8"/>
  <c r="CA61" i="8"/>
  <c r="CB61" i="8"/>
  <c r="CC61" i="8"/>
  <c r="CD61" i="8"/>
  <c r="CE61" i="8"/>
  <c r="CF61" i="8"/>
  <c r="CG61" i="8"/>
  <c r="CH61" i="8"/>
  <c r="CI61" i="8"/>
  <c r="CJ61" i="8"/>
  <c r="CK61" i="8"/>
  <c r="CL61" i="8"/>
  <c r="CM61" i="8"/>
  <c r="CN61" i="8"/>
  <c r="CO61" i="8"/>
  <c r="CP61" i="8"/>
  <c r="CQ61" i="8"/>
  <c r="CR61" i="8"/>
  <c r="CS61" i="8"/>
  <c r="CT61" i="8"/>
  <c r="CU61" i="8"/>
  <c r="CV61" i="8"/>
  <c r="CW61" i="8"/>
  <c r="CX61" i="8"/>
  <c r="CY61" i="8"/>
  <c r="CZ61" i="8"/>
  <c r="DA61" i="8"/>
  <c r="DB61" i="8"/>
  <c r="DC61" i="8"/>
  <c r="DD61" i="8"/>
  <c r="DE61" i="8"/>
  <c r="DF61" i="8"/>
  <c r="DG61" i="8"/>
  <c r="BO62" i="8"/>
  <c r="BP62" i="8"/>
  <c r="BQ62" i="8"/>
  <c r="BR62" i="8"/>
  <c r="BS62" i="8"/>
  <c r="BT62" i="8"/>
  <c r="BU62" i="8"/>
  <c r="BV62" i="8"/>
  <c r="BW62" i="8"/>
  <c r="BX62" i="8"/>
  <c r="BY62" i="8"/>
  <c r="BZ62" i="8"/>
  <c r="CA62" i="8"/>
  <c r="CB62" i="8"/>
  <c r="CC62" i="8"/>
  <c r="CD62" i="8"/>
  <c r="CE62" i="8"/>
  <c r="CF62" i="8"/>
  <c r="CG62" i="8"/>
  <c r="CH62" i="8"/>
  <c r="CI62" i="8"/>
  <c r="CJ62" i="8"/>
  <c r="CK62" i="8"/>
  <c r="CL62" i="8"/>
  <c r="CM62" i="8"/>
  <c r="CN62" i="8"/>
  <c r="CO62" i="8"/>
  <c r="CP62" i="8"/>
  <c r="CQ62" i="8"/>
  <c r="CR62" i="8"/>
  <c r="CS62" i="8"/>
  <c r="CT62" i="8"/>
  <c r="CU62" i="8"/>
  <c r="CV62" i="8"/>
  <c r="CW62" i="8"/>
  <c r="CX62" i="8"/>
  <c r="CY62" i="8"/>
  <c r="CZ62" i="8"/>
  <c r="DA62" i="8"/>
  <c r="DB62" i="8"/>
  <c r="DC62" i="8"/>
  <c r="DD62" i="8"/>
  <c r="DE62" i="8"/>
  <c r="DF62" i="8"/>
  <c r="DG62" i="8"/>
  <c r="BO63" i="8"/>
  <c r="BP63" i="8"/>
  <c r="BQ63" i="8"/>
  <c r="BR63" i="8"/>
  <c r="BS63" i="8"/>
  <c r="BT63" i="8"/>
  <c r="BU63" i="8"/>
  <c r="BV63" i="8"/>
  <c r="BW63" i="8"/>
  <c r="BX63" i="8"/>
  <c r="BY63" i="8"/>
  <c r="BZ63" i="8"/>
  <c r="CA63" i="8"/>
  <c r="CB63" i="8"/>
  <c r="CC63" i="8"/>
  <c r="CD63" i="8"/>
  <c r="CE63" i="8"/>
  <c r="CF63" i="8"/>
  <c r="CG63" i="8"/>
  <c r="CH63" i="8"/>
  <c r="CI63" i="8"/>
  <c r="CJ63" i="8"/>
  <c r="CK63" i="8"/>
  <c r="CL63" i="8"/>
  <c r="CM63" i="8"/>
  <c r="CN63" i="8"/>
  <c r="CO63" i="8"/>
  <c r="CP63" i="8"/>
  <c r="CQ63" i="8"/>
  <c r="CR63" i="8"/>
  <c r="CS63" i="8"/>
  <c r="CT63" i="8"/>
  <c r="CU63" i="8"/>
  <c r="CV63" i="8"/>
  <c r="CW63" i="8"/>
  <c r="CX63" i="8"/>
  <c r="CY63" i="8"/>
  <c r="CZ63" i="8"/>
  <c r="DA63" i="8"/>
  <c r="DB63" i="8"/>
  <c r="DC63" i="8"/>
  <c r="DD63" i="8"/>
  <c r="DE63" i="8"/>
  <c r="DF63" i="8"/>
  <c r="DG63" i="8"/>
  <c r="BO64" i="8"/>
  <c r="BP64" i="8"/>
  <c r="BQ64" i="8"/>
  <c r="BR64" i="8"/>
  <c r="BS64" i="8"/>
  <c r="BT64" i="8"/>
  <c r="BU64" i="8"/>
  <c r="BV64" i="8"/>
  <c r="BW64" i="8"/>
  <c r="BX64" i="8"/>
  <c r="BY64" i="8"/>
  <c r="BZ64" i="8"/>
  <c r="CA64" i="8"/>
  <c r="CB64" i="8"/>
  <c r="CC64" i="8"/>
  <c r="CD64" i="8"/>
  <c r="CE64" i="8"/>
  <c r="CF64" i="8"/>
  <c r="CG64" i="8"/>
  <c r="CH64" i="8"/>
  <c r="CI64" i="8"/>
  <c r="CJ64" i="8"/>
  <c r="CK64" i="8"/>
  <c r="CL64" i="8"/>
  <c r="CM64" i="8"/>
  <c r="CN64" i="8"/>
  <c r="CO64" i="8"/>
  <c r="CP64" i="8"/>
  <c r="CQ64" i="8"/>
  <c r="CR64" i="8"/>
  <c r="CS64" i="8"/>
  <c r="CT64" i="8"/>
  <c r="CU64" i="8"/>
  <c r="CV64" i="8"/>
  <c r="CW64" i="8"/>
  <c r="CX64" i="8"/>
  <c r="CY64" i="8"/>
  <c r="CZ64" i="8"/>
  <c r="DA64" i="8"/>
  <c r="DB64" i="8"/>
  <c r="DC64" i="8"/>
  <c r="DD64" i="8"/>
  <c r="DE64" i="8"/>
  <c r="DF64" i="8"/>
  <c r="DG64" i="8"/>
  <c r="BO65" i="8"/>
  <c r="BP65" i="8"/>
  <c r="BQ65" i="8"/>
  <c r="BR65" i="8"/>
  <c r="BS65" i="8"/>
  <c r="BT65" i="8"/>
  <c r="BU65" i="8"/>
  <c r="BV65" i="8"/>
  <c r="BW65" i="8"/>
  <c r="BX65" i="8"/>
  <c r="BY65" i="8"/>
  <c r="BZ65" i="8"/>
  <c r="CA65" i="8"/>
  <c r="CB65" i="8"/>
  <c r="CC65" i="8"/>
  <c r="CD65" i="8"/>
  <c r="CE65" i="8"/>
  <c r="CF65" i="8"/>
  <c r="CG65" i="8"/>
  <c r="CH65" i="8"/>
  <c r="CI65" i="8"/>
  <c r="CJ65" i="8"/>
  <c r="CK65" i="8"/>
  <c r="CL65" i="8"/>
  <c r="CM65" i="8"/>
  <c r="CN65" i="8"/>
  <c r="CO65" i="8"/>
  <c r="CP65" i="8"/>
  <c r="CQ65" i="8"/>
  <c r="CR65" i="8"/>
  <c r="CS65" i="8"/>
  <c r="CT65" i="8"/>
  <c r="CU65" i="8"/>
  <c r="CV65" i="8"/>
  <c r="CW65" i="8"/>
  <c r="CX65" i="8"/>
  <c r="CY65" i="8"/>
  <c r="CZ65" i="8"/>
  <c r="DA65" i="8"/>
  <c r="DB65" i="8"/>
  <c r="DC65" i="8"/>
  <c r="DD65" i="8"/>
  <c r="DE65" i="8"/>
  <c r="DF65" i="8"/>
  <c r="DG65" i="8"/>
  <c r="BO66" i="8"/>
  <c r="BP66" i="8"/>
  <c r="BQ66" i="8"/>
  <c r="BR66" i="8"/>
  <c r="BS66" i="8"/>
  <c r="BT66" i="8"/>
  <c r="BU66" i="8"/>
  <c r="BV66" i="8"/>
  <c r="BW66" i="8"/>
  <c r="BX66" i="8"/>
  <c r="BY66" i="8"/>
  <c r="BZ66" i="8"/>
  <c r="CA66" i="8"/>
  <c r="CB66" i="8"/>
  <c r="CC66" i="8"/>
  <c r="CD66" i="8"/>
  <c r="CE66" i="8"/>
  <c r="CF66" i="8"/>
  <c r="CG66" i="8"/>
  <c r="CH66" i="8"/>
  <c r="CI66" i="8"/>
  <c r="CJ66" i="8"/>
  <c r="CK66" i="8"/>
  <c r="CL66" i="8"/>
  <c r="CM66" i="8"/>
  <c r="CN66" i="8"/>
  <c r="CO66" i="8"/>
  <c r="CP66" i="8"/>
  <c r="CQ66" i="8"/>
  <c r="CR66" i="8"/>
  <c r="CS66" i="8"/>
  <c r="CT66" i="8"/>
  <c r="CU66" i="8"/>
  <c r="CV66" i="8"/>
  <c r="CW66" i="8"/>
  <c r="CX66" i="8"/>
  <c r="CY66" i="8"/>
  <c r="CZ66" i="8"/>
  <c r="DA66" i="8"/>
  <c r="DB66" i="8"/>
  <c r="DC66" i="8"/>
  <c r="DD66" i="8"/>
  <c r="DE66" i="8"/>
  <c r="DF66" i="8"/>
  <c r="DG66" i="8"/>
  <c r="BO67" i="8"/>
  <c r="BP67" i="8"/>
  <c r="BQ67" i="8"/>
  <c r="BR67" i="8"/>
  <c r="BS67" i="8"/>
  <c r="BT67" i="8"/>
  <c r="BU67" i="8"/>
  <c r="BV67" i="8"/>
  <c r="BW67" i="8"/>
  <c r="BX67" i="8"/>
  <c r="BY67" i="8"/>
  <c r="BZ67" i="8"/>
  <c r="CA67" i="8"/>
  <c r="CB67" i="8"/>
  <c r="CC67" i="8"/>
  <c r="CD67" i="8"/>
  <c r="CE67" i="8"/>
  <c r="CF67" i="8"/>
  <c r="CG67" i="8"/>
  <c r="CH67" i="8"/>
  <c r="CI67" i="8"/>
  <c r="CJ67" i="8"/>
  <c r="CK67" i="8"/>
  <c r="CL67" i="8"/>
  <c r="CM67" i="8"/>
  <c r="CN67" i="8"/>
  <c r="CO67" i="8"/>
  <c r="CP67" i="8"/>
  <c r="CQ67" i="8"/>
  <c r="CR67" i="8"/>
  <c r="CS67" i="8"/>
  <c r="CT67" i="8"/>
  <c r="CU67" i="8"/>
  <c r="CV67" i="8"/>
  <c r="CW67" i="8"/>
  <c r="CX67" i="8"/>
  <c r="CY67" i="8"/>
  <c r="CZ67" i="8"/>
  <c r="DA67" i="8"/>
  <c r="DB67" i="8"/>
  <c r="DC67" i="8"/>
  <c r="DD67" i="8"/>
  <c r="DE67" i="8"/>
  <c r="DF67" i="8"/>
  <c r="DG67" i="8"/>
  <c r="BO68" i="8"/>
  <c r="BP68" i="8"/>
  <c r="BQ68" i="8"/>
  <c r="BR68" i="8"/>
  <c r="BS68" i="8"/>
  <c r="BT68" i="8"/>
  <c r="BU68" i="8"/>
  <c r="BV68" i="8"/>
  <c r="BW68" i="8"/>
  <c r="BX68" i="8"/>
  <c r="BY68" i="8"/>
  <c r="BZ68" i="8"/>
  <c r="CA68" i="8"/>
  <c r="CB68" i="8"/>
  <c r="CC68" i="8"/>
  <c r="CD68" i="8"/>
  <c r="CE68" i="8"/>
  <c r="CF68" i="8"/>
  <c r="CG68" i="8"/>
  <c r="CH68" i="8"/>
  <c r="CI68" i="8"/>
  <c r="CJ68" i="8"/>
  <c r="CK68" i="8"/>
  <c r="CL68" i="8"/>
  <c r="CM68" i="8"/>
  <c r="CN68" i="8"/>
  <c r="CO68" i="8"/>
  <c r="CP68" i="8"/>
  <c r="CQ68" i="8"/>
  <c r="CR68" i="8"/>
  <c r="CS68" i="8"/>
  <c r="CT68" i="8"/>
  <c r="CU68" i="8"/>
  <c r="CV68" i="8"/>
  <c r="CW68" i="8"/>
  <c r="CX68" i="8"/>
  <c r="CY68" i="8"/>
  <c r="CZ68" i="8"/>
  <c r="DA68" i="8"/>
  <c r="DB68" i="8"/>
  <c r="DC68" i="8"/>
  <c r="DD68" i="8"/>
  <c r="DE68" i="8"/>
  <c r="DF68" i="8"/>
  <c r="DG68" i="8"/>
  <c r="BO69" i="8"/>
  <c r="BP69" i="8"/>
  <c r="BQ69" i="8"/>
  <c r="BR69" i="8"/>
  <c r="BS69" i="8"/>
  <c r="BT69" i="8"/>
  <c r="BU69" i="8"/>
  <c r="BV69" i="8"/>
  <c r="BW69" i="8"/>
  <c r="BX69" i="8"/>
  <c r="BY69" i="8"/>
  <c r="BZ69" i="8"/>
  <c r="CA69" i="8"/>
  <c r="CB69" i="8"/>
  <c r="CC69" i="8"/>
  <c r="CD69" i="8"/>
  <c r="CE69" i="8"/>
  <c r="CF69" i="8"/>
  <c r="CG69" i="8"/>
  <c r="CH69" i="8"/>
  <c r="CI69" i="8"/>
  <c r="CJ69" i="8"/>
  <c r="CK69" i="8"/>
  <c r="CL69" i="8"/>
  <c r="CM69" i="8"/>
  <c r="CN69" i="8"/>
  <c r="CO69" i="8"/>
  <c r="CP69" i="8"/>
  <c r="CQ69" i="8"/>
  <c r="CR69" i="8"/>
  <c r="CS69" i="8"/>
  <c r="CT69" i="8"/>
  <c r="CU69" i="8"/>
  <c r="CV69" i="8"/>
  <c r="CW69" i="8"/>
  <c r="CX69" i="8"/>
  <c r="CY69" i="8"/>
  <c r="CZ69" i="8"/>
  <c r="DA69" i="8"/>
  <c r="DB69" i="8"/>
  <c r="DC69" i="8"/>
  <c r="DD69" i="8"/>
  <c r="DE69" i="8"/>
  <c r="DF69" i="8"/>
  <c r="DG69" i="8"/>
  <c r="BO70" i="8"/>
  <c r="BP70" i="8"/>
  <c r="BQ70" i="8"/>
  <c r="BR70" i="8"/>
  <c r="BS70" i="8"/>
  <c r="BT70" i="8"/>
  <c r="BU70" i="8"/>
  <c r="BV70" i="8"/>
  <c r="BW70" i="8"/>
  <c r="BX70" i="8"/>
  <c r="BY70" i="8"/>
  <c r="BZ70" i="8"/>
  <c r="CA70" i="8"/>
  <c r="CB70" i="8"/>
  <c r="CC70" i="8"/>
  <c r="CD70" i="8"/>
  <c r="CE70" i="8"/>
  <c r="CF70" i="8"/>
  <c r="CG70" i="8"/>
  <c r="CH70" i="8"/>
  <c r="CI70" i="8"/>
  <c r="CJ70" i="8"/>
  <c r="CK70" i="8"/>
  <c r="CL70" i="8"/>
  <c r="CM70" i="8"/>
  <c r="CN70" i="8"/>
  <c r="CO70" i="8"/>
  <c r="CP70" i="8"/>
  <c r="CQ70" i="8"/>
  <c r="CR70" i="8"/>
  <c r="CS70" i="8"/>
  <c r="CT70" i="8"/>
  <c r="CU70" i="8"/>
  <c r="CV70" i="8"/>
  <c r="CW70" i="8"/>
  <c r="CX70" i="8"/>
  <c r="CY70" i="8"/>
  <c r="CZ70" i="8"/>
  <c r="DA70" i="8"/>
  <c r="DB70" i="8"/>
  <c r="DC70" i="8"/>
  <c r="DD70" i="8"/>
  <c r="DE70" i="8"/>
  <c r="DF70" i="8"/>
  <c r="DG70" i="8"/>
  <c r="BO71" i="8"/>
  <c r="BP71" i="8"/>
  <c r="BQ71" i="8"/>
  <c r="BR71" i="8"/>
  <c r="BS71" i="8"/>
  <c r="BT71" i="8"/>
  <c r="BU71" i="8"/>
  <c r="BV71" i="8"/>
  <c r="BW71" i="8"/>
  <c r="BX71" i="8"/>
  <c r="BY71" i="8"/>
  <c r="BZ71" i="8"/>
  <c r="CA71" i="8"/>
  <c r="CB71" i="8"/>
  <c r="CC71" i="8"/>
  <c r="CD71" i="8"/>
  <c r="CE71" i="8"/>
  <c r="CF71" i="8"/>
  <c r="CG71" i="8"/>
  <c r="CH71" i="8"/>
  <c r="CI71" i="8"/>
  <c r="CJ71" i="8"/>
  <c r="CK71" i="8"/>
  <c r="CL71" i="8"/>
  <c r="CM71" i="8"/>
  <c r="CN71" i="8"/>
  <c r="CO71" i="8"/>
  <c r="CP71" i="8"/>
  <c r="CQ71" i="8"/>
  <c r="CR71" i="8"/>
  <c r="CS71" i="8"/>
  <c r="CT71" i="8"/>
  <c r="CU71" i="8"/>
  <c r="CV71" i="8"/>
  <c r="CW71" i="8"/>
  <c r="CX71" i="8"/>
  <c r="CY71" i="8"/>
  <c r="CZ71" i="8"/>
  <c r="DA71" i="8"/>
  <c r="DB71" i="8"/>
  <c r="DC71" i="8"/>
  <c r="DD71" i="8"/>
  <c r="DE71" i="8"/>
  <c r="DF71" i="8"/>
  <c r="DG71" i="8"/>
  <c r="BO72" i="8"/>
  <c r="BP72" i="8"/>
  <c r="BQ72" i="8"/>
  <c r="BR72" i="8"/>
  <c r="BS72" i="8"/>
  <c r="BT72" i="8"/>
  <c r="BU72" i="8"/>
  <c r="BV72" i="8"/>
  <c r="BW72" i="8"/>
  <c r="BX72" i="8"/>
  <c r="BY72" i="8"/>
  <c r="BZ72" i="8"/>
  <c r="CA72" i="8"/>
  <c r="CB72" i="8"/>
  <c r="CC72" i="8"/>
  <c r="CD72" i="8"/>
  <c r="CE72" i="8"/>
  <c r="CF72" i="8"/>
  <c r="CG72" i="8"/>
  <c r="CH72" i="8"/>
  <c r="CI72" i="8"/>
  <c r="CJ72" i="8"/>
  <c r="CK72" i="8"/>
  <c r="CL72" i="8"/>
  <c r="CM72" i="8"/>
  <c r="CN72" i="8"/>
  <c r="CO72" i="8"/>
  <c r="CP72" i="8"/>
  <c r="CQ72" i="8"/>
  <c r="CR72" i="8"/>
  <c r="CS72" i="8"/>
  <c r="CT72" i="8"/>
  <c r="CU72" i="8"/>
  <c r="CV72" i="8"/>
  <c r="CW72" i="8"/>
  <c r="CX72" i="8"/>
  <c r="CY72" i="8"/>
  <c r="CZ72" i="8"/>
  <c r="DA72" i="8"/>
  <c r="DB72" i="8"/>
  <c r="DC72" i="8"/>
  <c r="DD72" i="8"/>
  <c r="DE72" i="8"/>
  <c r="DF72" i="8"/>
  <c r="DG72" i="8"/>
  <c r="BO73" i="8"/>
  <c r="BP73" i="8"/>
  <c r="BQ73" i="8"/>
  <c r="BR73" i="8"/>
  <c r="BS73" i="8"/>
  <c r="BT73" i="8"/>
  <c r="BU73" i="8"/>
  <c r="BV73" i="8"/>
  <c r="BW73" i="8"/>
  <c r="BX73" i="8"/>
  <c r="BY73" i="8"/>
  <c r="BZ73" i="8"/>
  <c r="CA73" i="8"/>
  <c r="CB73" i="8"/>
  <c r="CC73" i="8"/>
  <c r="CD73" i="8"/>
  <c r="CE73" i="8"/>
  <c r="CF73" i="8"/>
  <c r="CG73" i="8"/>
  <c r="CH73" i="8"/>
  <c r="CI73" i="8"/>
  <c r="CJ73" i="8"/>
  <c r="CK73" i="8"/>
  <c r="CL73" i="8"/>
  <c r="CM73" i="8"/>
  <c r="CN73" i="8"/>
  <c r="CO73" i="8"/>
  <c r="CP73" i="8"/>
  <c r="CQ73" i="8"/>
  <c r="CR73" i="8"/>
  <c r="CS73" i="8"/>
  <c r="CT73" i="8"/>
  <c r="CU73" i="8"/>
  <c r="CV73" i="8"/>
  <c r="CW73" i="8"/>
  <c r="CX73" i="8"/>
  <c r="CY73" i="8"/>
  <c r="CZ73" i="8"/>
  <c r="DA73" i="8"/>
  <c r="DB73" i="8"/>
  <c r="DC73" i="8"/>
  <c r="DD73" i="8"/>
  <c r="DE73" i="8"/>
  <c r="DF73" i="8"/>
  <c r="DG73" i="8"/>
  <c r="BO74" i="8"/>
  <c r="BP74" i="8"/>
  <c r="BQ74" i="8"/>
  <c r="BR74" i="8"/>
  <c r="BS74" i="8"/>
  <c r="BT74" i="8"/>
  <c r="BU74" i="8"/>
  <c r="BV74" i="8"/>
  <c r="BW74" i="8"/>
  <c r="BX74" i="8"/>
  <c r="BY74" i="8"/>
  <c r="BZ74" i="8"/>
  <c r="CA74" i="8"/>
  <c r="CB74" i="8"/>
  <c r="CC74" i="8"/>
  <c r="CD74" i="8"/>
  <c r="CE74" i="8"/>
  <c r="CF74" i="8"/>
  <c r="CG74" i="8"/>
  <c r="CH74" i="8"/>
  <c r="CI74" i="8"/>
  <c r="CJ74" i="8"/>
  <c r="CK74" i="8"/>
  <c r="CL74" i="8"/>
  <c r="CM74" i="8"/>
  <c r="CN74" i="8"/>
  <c r="CO74" i="8"/>
  <c r="CP74" i="8"/>
  <c r="CQ74" i="8"/>
  <c r="CR74" i="8"/>
  <c r="CS74" i="8"/>
  <c r="CT74" i="8"/>
  <c r="CU74" i="8"/>
  <c r="CV74" i="8"/>
  <c r="CW74" i="8"/>
  <c r="CX74" i="8"/>
  <c r="CY74" i="8"/>
  <c r="CZ74" i="8"/>
  <c r="DA74" i="8"/>
  <c r="DB74" i="8"/>
  <c r="DC74" i="8"/>
  <c r="DD74" i="8"/>
  <c r="DE74" i="8"/>
  <c r="DF74" i="8"/>
  <c r="DG74" i="8"/>
  <c r="BO75" i="8"/>
  <c r="BP75" i="8"/>
  <c r="BQ75" i="8"/>
  <c r="BR75" i="8"/>
  <c r="BS75" i="8"/>
  <c r="BT75" i="8"/>
  <c r="BU75" i="8"/>
  <c r="BV75" i="8"/>
  <c r="BW75" i="8"/>
  <c r="BX75" i="8"/>
  <c r="BY75" i="8"/>
  <c r="BZ75" i="8"/>
  <c r="CA75" i="8"/>
  <c r="CB75" i="8"/>
  <c r="CC75" i="8"/>
  <c r="CD75" i="8"/>
  <c r="CE75" i="8"/>
  <c r="CF75" i="8"/>
  <c r="CG75" i="8"/>
  <c r="CH75" i="8"/>
  <c r="CI75" i="8"/>
  <c r="CJ75" i="8"/>
  <c r="CK75" i="8"/>
  <c r="CL75" i="8"/>
  <c r="CM75" i="8"/>
  <c r="CN75" i="8"/>
  <c r="CO75" i="8"/>
  <c r="CP75" i="8"/>
  <c r="CQ75" i="8"/>
  <c r="CR75" i="8"/>
  <c r="CS75" i="8"/>
  <c r="CT75" i="8"/>
  <c r="CU75" i="8"/>
  <c r="CV75" i="8"/>
  <c r="CW75" i="8"/>
  <c r="CX75" i="8"/>
  <c r="CY75" i="8"/>
  <c r="CZ75" i="8"/>
  <c r="DA75" i="8"/>
  <c r="DB75" i="8"/>
  <c r="DC75" i="8"/>
  <c r="DD75" i="8"/>
  <c r="DE75" i="8"/>
  <c r="DF75" i="8"/>
  <c r="DG75" i="8"/>
  <c r="BO76" i="8"/>
  <c r="BP76" i="8"/>
  <c r="BQ76" i="8"/>
  <c r="BR76" i="8"/>
  <c r="BS76" i="8"/>
  <c r="BT76" i="8"/>
  <c r="BU76" i="8"/>
  <c r="BV76" i="8"/>
  <c r="BW76" i="8"/>
  <c r="BX76" i="8"/>
  <c r="BY76" i="8"/>
  <c r="BZ76" i="8"/>
  <c r="CA76" i="8"/>
  <c r="CB76" i="8"/>
  <c r="CC76" i="8"/>
  <c r="CD76" i="8"/>
  <c r="CE76" i="8"/>
  <c r="CF76" i="8"/>
  <c r="CG76" i="8"/>
  <c r="CH76" i="8"/>
  <c r="CI76" i="8"/>
  <c r="CJ76" i="8"/>
  <c r="CK76" i="8"/>
  <c r="CL76" i="8"/>
  <c r="CM76" i="8"/>
  <c r="CN76" i="8"/>
  <c r="CO76" i="8"/>
  <c r="CP76" i="8"/>
  <c r="CQ76" i="8"/>
  <c r="CR76" i="8"/>
  <c r="CS76" i="8"/>
  <c r="CT76" i="8"/>
  <c r="CU76" i="8"/>
  <c r="CV76" i="8"/>
  <c r="CW76" i="8"/>
  <c r="CX76" i="8"/>
  <c r="CY76" i="8"/>
  <c r="CZ76" i="8"/>
  <c r="DA76" i="8"/>
  <c r="DB76" i="8"/>
  <c r="DC76" i="8"/>
  <c r="DD76" i="8"/>
  <c r="DE76" i="8"/>
  <c r="DF76" i="8"/>
  <c r="DG76" i="8"/>
  <c r="BO77" i="8"/>
  <c r="BP77" i="8"/>
  <c r="BQ77" i="8"/>
  <c r="BR77" i="8"/>
  <c r="BS77" i="8"/>
  <c r="BT77" i="8"/>
  <c r="BU77" i="8"/>
  <c r="BV77" i="8"/>
  <c r="BW77" i="8"/>
  <c r="BX77" i="8"/>
  <c r="BY77" i="8"/>
  <c r="BZ77" i="8"/>
  <c r="CA77" i="8"/>
  <c r="CB77" i="8"/>
  <c r="CC77" i="8"/>
  <c r="CD77" i="8"/>
  <c r="CE77" i="8"/>
  <c r="CF77" i="8"/>
  <c r="CG77" i="8"/>
  <c r="CH77" i="8"/>
  <c r="CI77" i="8"/>
  <c r="CJ77" i="8"/>
  <c r="CK77" i="8"/>
  <c r="CL77" i="8"/>
  <c r="CM77" i="8"/>
  <c r="CN77" i="8"/>
  <c r="CO77" i="8"/>
  <c r="CP77" i="8"/>
  <c r="CQ77" i="8"/>
  <c r="CR77" i="8"/>
  <c r="CS77" i="8"/>
  <c r="CT77" i="8"/>
  <c r="CU77" i="8"/>
  <c r="CV77" i="8"/>
  <c r="CW77" i="8"/>
  <c r="CX77" i="8"/>
  <c r="CY77" i="8"/>
  <c r="CZ77" i="8"/>
  <c r="DA77" i="8"/>
  <c r="DB77" i="8"/>
  <c r="DC77" i="8"/>
  <c r="DD77" i="8"/>
  <c r="DE77" i="8"/>
  <c r="DF77" i="8"/>
  <c r="DG77" i="8"/>
  <c r="BO78" i="8"/>
  <c r="BP78" i="8"/>
  <c r="BQ78" i="8"/>
  <c r="BR78" i="8"/>
  <c r="BS78" i="8"/>
  <c r="BT78" i="8"/>
  <c r="BU78" i="8"/>
  <c r="BV78" i="8"/>
  <c r="BW78" i="8"/>
  <c r="BX78" i="8"/>
  <c r="BY78" i="8"/>
  <c r="BZ78" i="8"/>
  <c r="CA78" i="8"/>
  <c r="CB78" i="8"/>
  <c r="CC78" i="8"/>
  <c r="CD78" i="8"/>
  <c r="CE78" i="8"/>
  <c r="CF78" i="8"/>
  <c r="CG78" i="8"/>
  <c r="CH78" i="8"/>
  <c r="CI78" i="8"/>
  <c r="CJ78" i="8"/>
  <c r="CK78" i="8"/>
  <c r="CL78" i="8"/>
  <c r="CM78" i="8"/>
  <c r="CN78" i="8"/>
  <c r="CO78" i="8"/>
  <c r="CP78" i="8"/>
  <c r="CQ78" i="8"/>
  <c r="CR78" i="8"/>
  <c r="CS78" i="8"/>
  <c r="CT78" i="8"/>
  <c r="CU78" i="8"/>
  <c r="CV78" i="8"/>
  <c r="CW78" i="8"/>
  <c r="CX78" i="8"/>
  <c r="CY78" i="8"/>
  <c r="CZ78" i="8"/>
  <c r="DA78" i="8"/>
  <c r="DB78" i="8"/>
  <c r="DC78" i="8"/>
  <c r="DD78" i="8"/>
  <c r="DE78" i="8"/>
  <c r="DF78" i="8"/>
  <c r="DG78" i="8"/>
  <c r="BO79" i="8"/>
  <c r="BP79" i="8"/>
  <c r="BQ79" i="8"/>
  <c r="BR79" i="8"/>
  <c r="BS79" i="8"/>
  <c r="BT79" i="8"/>
  <c r="BU79" i="8"/>
  <c r="BV79" i="8"/>
  <c r="BW79" i="8"/>
  <c r="BX79" i="8"/>
  <c r="BY79" i="8"/>
  <c r="BZ79" i="8"/>
  <c r="CA79" i="8"/>
  <c r="CB79" i="8"/>
  <c r="CC79" i="8"/>
  <c r="CD79" i="8"/>
  <c r="CE79" i="8"/>
  <c r="CF79" i="8"/>
  <c r="CG79" i="8"/>
  <c r="CH79" i="8"/>
  <c r="CI79" i="8"/>
  <c r="CJ79" i="8"/>
  <c r="CK79" i="8"/>
  <c r="CL79" i="8"/>
  <c r="CM79" i="8"/>
  <c r="CN79" i="8"/>
  <c r="CO79" i="8"/>
  <c r="CP79" i="8"/>
  <c r="CQ79" i="8"/>
  <c r="CR79" i="8"/>
  <c r="CS79" i="8"/>
  <c r="CT79" i="8"/>
  <c r="CU79" i="8"/>
  <c r="CV79" i="8"/>
  <c r="CW79" i="8"/>
  <c r="CX79" i="8"/>
  <c r="CY79" i="8"/>
  <c r="CZ79" i="8"/>
  <c r="DA79" i="8"/>
  <c r="DB79" i="8"/>
  <c r="DC79" i="8"/>
  <c r="DD79" i="8"/>
  <c r="DE79" i="8"/>
  <c r="DF79" i="8"/>
  <c r="DG79" i="8"/>
  <c r="BO80" i="8"/>
  <c r="BP80" i="8"/>
  <c r="BQ80" i="8"/>
  <c r="BR80" i="8"/>
  <c r="BS80" i="8"/>
  <c r="BT80" i="8"/>
  <c r="BU80" i="8"/>
  <c r="BV80" i="8"/>
  <c r="BW80" i="8"/>
  <c r="BX80" i="8"/>
  <c r="BY80" i="8"/>
  <c r="BZ80" i="8"/>
  <c r="CA80" i="8"/>
  <c r="CB80" i="8"/>
  <c r="CC80" i="8"/>
  <c r="CD80" i="8"/>
  <c r="CE80" i="8"/>
  <c r="CF80" i="8"/>
  <c r="CG80" i="8"/>
  <c r="CH80" i="8"/>
  <c r="CI80" i="8"/>
  <c r="CJ80" i="8"/>
  <c r="CK80" i="8"/>
  <c r="CL80" i="8"/>
  <c r="CM80" i="8"/>
  <c r="CN80" i="8"/>
  <c r="CO80" i="8"/>
  <c r="CP80" i="8"/>
  <c r="CQ80" i="8"/>
  <c r="CR80" i="8"/>
  <c r="CS80" i="8"/>
  <c r="CT80" i="8"/>
  <c r="CU80" i="8"/>
  <c r="CV80" i="8"/>
  <c r="CW80" i="8"/>
  <c r="CX80" i="8"/>
  <c r="CY80" i="8"/>
  <c r="CZ80" i="8"/>
  <c r="DA80" i="8"/>
  <c r="DB80" i="8"/>
  <c r="DC80" i="8"/>
  <c r="DD80" i="8"/>
  <c r="DE80" i="8"/>
  <c r="DF80" i="8"/>
  <c r="DG80" i="8"/>
  <c r="BO81" i="8"/>
  <c r="BP81" i="8"/>
  <c r="BQ81" i="8"/>
  <c r="BR81" i="8"/>
  <c r="BS81" i="8"/>
  <c r="BT81" i="8"/>
  <c r="BU81" i="8"/>
  <c r="BV81" i="8"/>
  <c r="BW81" i="8"/>
  <c r="BX81" i="8"/>
  <c r="BY81" i="8"/>
  <c r="BZ81" i="8"/>
  <c r="CA81" i="8"/>
  <c r="CB81" i="8"/>
  <c r="CC81" i="8"/>
  <c r="CD81" i="8"/>
  <c r="CE81" i="8"/>
  <c r="CF81" i="8"/>
  <c r="CG81" i="8"/>
  <c r="CH81" i="8"/>
  <c r="CI81" i="8"/>
  <c r="CJ81" i="8"/>
  <c r="CK81" i="8"/>
  <c r="CL81" i="8"/>
  <c r="CM81" i="8"/>
  <c r="CN81" i="8"/>
  <c r="CO81" i="8"/>
  <c r="CP81" i="8"/>
  <c r="CQ81" i="8"/>
  <c r="CR81" i="8"/>
  <c r="CS81" i="8"/>
  <c r="CT81" i="8"/>
  <c r="CU81" i="8"/>
  <c r="CV81" i="8"/>
  <c r="CW81" i="8"/>
  <c r="CX81" i="8"/>
  <c r="CY81" i="8"/>
  <c r="CZ81" i="8"/>
  <c r="DA81" i="8"/>
  <c r="DB81" i="8"/>
  <c r="DC81" i="8"/>
  <c r="DD81" i="8"/>
  <c r="DE81" i="8"/>
  <c r="DF81" i="8"/>
  <c r="DG81" i="8"/>
  <c r="BO82" i="8"/>
  <c r="BP82" i="8"/>
  <c r="BQ82" i="8"/>
  <c r="BR82" i="8"/>
  <c r="BS82" i="8"/>
  <c r="BT82" i="8"/>
  <c r="BU82" i="8"/>
  <c r="BV82" i="8"/>
  <c r="BW82" i="8"/>
  <c r="BX82" i="8"/>
  <c r="BY82" i="8"/>
  <c r="BZ82" i="8"/>
  <c r="CA82" i="8"/>
  <c r="CB82" i="8"/>
  <c r="CC82" i="8"/>
  <c r="CD82" i="8"/>
  <c r="CE82" i="8"/>
  <c r="CF82" i="8"/>
  <c r="CG82" i="8"/>
  <c r="CH82" i="8"/>
  <c r="CI82" i="8"/>
  <c r="CJ82" i="8"/>
  <c r="CK82" i="8"/>
  <c r="CL82" i="8"/>
  <c r="CM82" i="8"/>
  <c r="CN82" i="8"/>
  <c r="CO82" i="8"/>
  <c r="CP82" i="8"/>
  <c r="CQ82" i="8"/>
  <c r="CR82" i="8"/>
  <c r="CS82" i="8"/>
  <c r="CT82" i="8"/>
  <c r="CU82" i="8"/>
  <c r="CV82" i="8"/>
  <c r="CW82" i="8"/>
  <c r="CX82" i="8"/>
  <c r="CY82" i="8"/>
  <c r="CZ82" i="8"/>
  <c r="DA82" i="8"/>
  <c r="DB82" i="8"/>
  <c r="DC82" i="8"/>
  <c r="DD82" i="8"/>
  <c r="DE82" i="8"/>
  <c r="DF82" i="8"/>
  <c r="DG82" i="8"/>
  <c r="BO83" i="8"/>
  <c r="BP83" i="8"/>
  <c r="BQ83" i="8"/>
  <c r="BR83" i="8"/>
  <c r="BS83" i="8"/>
  <c r="BT83" i="8"/>
  <c r="BU83" i="8"/>
  <c r="BV83" i="8"/>
  <c r="BW83" i="8"/>
  <c r="BX83" i="8"/>
  <c r="BY83" i="8"/>
  <c r="BZ83" i="8"/>
  <c r="CA83" i="8"/>
  <c r="CB83" i="8"/>
  <c r="CC83" i="8"/>
  <c r="CD83" i="8"/>
  <c r="CE83" i="8"/>
  <c r="CF83" i="8"/>
  <c r="CG83" i="8"/>
  <c r="CH83" i="8"/>
  <c r="CI83" i="8"/>
  <c r="CJ83" i="8"/>
  <c r="CK83" i="8"/>
  <c r="CL83" i="8"/>
  <c r="CM83" i="8"/>
  <c r="CN83" i="8"/>
  <c r="CO83" i="8"/>
  <c r="CP83" i="8"/>
  <c r="CQ83" i="8"/>
  <c r="CR83" i="8"/>
  <c r="CS83" i="8"/>
  <c r="CT83" i="8"/>
  <c r="CU83" i="8"/>
  <c r="CV83" i="8"/>
  <c r="CW83" i="8"/>
  <c r="CX83" i="8"/>
  <c r="CY83" i="8"/>
  <c r="CZ83" i="8"/>
  <c r="DA83" i="8"/>
  <c r="DB83" i="8"/>
  <c r="DC83" i="8"/>
  <c r="DD83" i="8"/>
  <c r="DE83" i="8"/>
  <c r="DF83" i="8"/>
  <c r="DG83" i="8"/>
  <c r="BO84" i="8"/>
  <c r="BP84" i="8"/>
  <c r="BQ84" i="8"/>
  <c r="BR84" i="8"/>
  <c r="BS84" i="8"/>
  <c r="BT84" i="8"/>
  <c r="BU84" i="8"/>
  <c r="BV84" i="8"/>
  <c r="BW84" i="8"/>
  <c r="BX84" i="8"/>
  <c r="BY84" i="8"/>
  <c r="BZ84" i="8"/>
  <c r="CA84" i="8"/>
  <c r="CB84" i="8"/>
  <c r="CC84" i="8"/>
  <c r="CD84" i="8"/>
  <c r="CE84" i="8"/>
  <c r="CF84" i="8"/>
  <c r="CG84" i="8"/>
  <c r="CH84" i="8"/>
  <c r="CI84" i="8"/>
  <c r="CJ84" i="8"/>
  <c r="CK84" i="8"/>
  <c r="CL84" i="8"/>
  <c r="CM84" i="8"/>
  <c r="CN84" i="8"/>
  <c r="CO84" i="8"/>
  <c r="CP84" i="8"/>
  <c r="CQ84" i="8"/>
  <c r="CR84" i="8"/>
  <c r="CS84" i="8"/>
  <c r="CT84" i="8"/>
  <c r="CU84" i="8"/>
  <c r="CV84" i="8"/>
  <c r="CW84" i="8"/>
  <c r="CX84" i="8"/>
  <c r="CY84" i="8"/>
  <c r="CZ84" i="8"/>
  <c r="DA84" i="8"/>
  <c r="DB84" i="8"/>
  <c r="DC84" i="8"/>
  <c r="DD84" i="8"/>
  <c r="DE84" i="8"/>
  <c r="DF84" i="8"/>
  <c r="DG84" i="8"/>
  <c r="BO85" i="8"/>
  <c r="BP85" i="8"/>
  <c r="BQ85" i="8"/>
  <c r="BR85" i="8"/>
  <c r="BS85" i="8"/>
  <c r="BT85" i="8"/>
  <c r="BU85" i="8"/>
  <c r="BV85" i="8"/>
  <c r="BW85" i="8"/>
  <c r="BX85" i="8"/>
  <c r="BY85" i="8"/>
  <c r="BZ85" i="8"/>
  <c r="CA85" i="8"/>
  <c r="CB85" i="8"/>
  <c r="CC85" i="8"/>
  <c r="CD85" i="8"/>
  <c r="CE85" i="8"/>
  <c r="CF85" i="8"/>
  <c r="CG85" i="8"/>
  <c r="CH85" i="8"/>
  <c r="CI85" i="8"/>
  <c r="CJ85" i="8"/>
  <c r="CK85" i="8"/>
  <c r="CL85" i="8"/>
  <c r="CM85" i="8"/>
  <c r="CN85" i="8"/>
  <c r="CO85" i="8"/>
  <c r="CP85" i="8"/>
  <c r="CQ85" i="8"/>
  <c r="CR85" i="8"/>
  <c r="CS85" i="8"/>
  <c r="CT85" i="8"/>
  <c r="CU85" i="8"/>
  <c r="CV85" i="8"/>
  <c r="CW85" i="8"/>
  <c r="CX85" i="8"/>
  <c r="CY85" i="8"/>
  <c r="CZ85" i="8"/>
  <c r="DA85" i="8"/>
  <c r="DB85" i="8"/>
  <c r="DC85" i="8"/>
  <c r="DD85" i="8"/>
  <c r="DE85" i="8"/>
  <c r="DF85" i="8"/>
  <c r="DG85" i="8"/>
  <c r="BO86" i="8"/>
  <c r="BP86" i="8"/>
  <c r="BQ86" i="8"/>
  <c r="BR86" i="8"/>
  <c r="BS86" i="8"/>
  <c r="BT86" i="8"/>
  <c r="BU86" i="8"/>
  <c r="BV86" i="8"/>
  <c r="BW86" i="8"/>
  <c r="BX86" i="8"/>
  <c r="BY86" i="8"/>
  <c r="BZ86" i="8"/>
  <c r="CA86" i="8"/>
  <c r="CB86" i="8"/>
  <c r="CC86" i="8"/>
  <c r="CD86" i="8"/>
  <c r="CE86" i="8"/>
  <c r="CF86" i="8"/>
  <c r="CG86" i="8"/>
  <c r="CH86" i="8"/>
  <c r="CI86" i="8"/>
  <c r="CJ86" i="8"/>
  <c r="CK86" i="8"/>
  <c r="CL86" i="8"/>
  <c r="CM86" i="8"/>
  <c r="CN86" i="8"/>
  <c r="CO86" i="8"/>
  <c r="CP86" i="8"/>
  <c r="CQ86" i="8"/>
  <c r="CR86" i="8"/>
  <c r="CS86" i="8"/>
  <c r="CT86" i="8"/>
  <c r="CU86" i="8"/>
  <c r="CV86" i="8"/>
  <c r="CW86" i="8"/>
  <c r="CX86" i="8"/>
  <c r="CY86" i="8"/>
  <c r="CZ86" i="8"/>
  <c r="DA86" i="8"/>
  <c r="DB86" i="8"/>
  <c r="DC86" i="8"/>
  <c r="DD86" i="8"/>
  <c r="DE86" i="8"/>
  <c r="DF86" i="8"/>
  <c r="DG86" i="8"/>
  <c r="BO87" i="8"/>
  <c r="BP87" i="8"/>
  <c r="BQ87" i="8"/>
  <c r="BR87" i="8"/>
  <c r="BS87" i="8"/>
  <c r="BT87" i="8"/>
  <c r="BU87" i="8"/>
  <c r="BV87" i="8"/>
  <c r="BW87" i="8"/>
  <c r="BX87" i="8"/>
  <c r="BY87" i="8"/>
  <c r="BZ87" i="8"/>
  <c r="CA87" i="8"/>
  <c r="CB87" i="8"/>
  <c r="CC87" i="8"/>
  <c r="CD87" i="8"/>
  <c r="CE87" i="8"/>
  <c r="CF87" i="8"/>
  <c r="CG87" i="8"/>
  <c r="CH87" i="8"/>
  <c r="CI87" i="8"/>
  <c r="CJ87" i="8"/>
  <c r="CK87" i="8"/>
  <c r="CL87" i="8"/>
  <c r="CM87" i="8"/>
  <c r="CN87" i="8"/>
  <c r="CO87" i="8"/>
  <c r="CP87" i="8"/>
  <c r="CQ87" i="8"/>
  <c r="CR87" i="8"/>
  <c r="CS87" i="8"/>
  <c r="CT87" i="8"/>
  <c r="CU87" i="8"/>
  <c r="CV87" i="8"/>
  <c r="CW87" i="8"/>
  <c r="CX87" i="8"/>
  <c r="CY87" i="8"/>
  <c r="CZ87" i="8"/>
  <c r="DA87" i="8"/>
  <c r="DB87" i="8"/>
  <c r="DC87" i="8"/>
  <c r="DD87" i="8"/>
  <c r="DE87" i="8"/>
  <c r="DF87" i="8"/>
  <c r="DG87" i="8"/>
  <c r="BO88" i="8"/>
  <c r="BP88" i="8"/>
  <c r="BQ88" i="8"/>
  <c r="BR88" i="8"/>
  <c r="BS88" i="8"/>
  <c r="BT88" i="8"/>
  <c r="BU88" i="8"/>
  <c r="BV88" i="8"/>
  <c r="BW88" i="8"/>
  <c r="BX88" i="8"/>
  <c r="BY88" i="8"/>
  <c r="BZ88" i="8"/>
  <c r="CA88" i="8"/>
  <c r="CB88" i="8"/>
  <c r="CC88" i="8"/>
  <c r="CD88" i="8"/>
  <c r="CE88" i="8"/>
  <c r="CF88" i="8"/>
  <c r="CG88" i="8"/>
  <c r="CH88" i="8"/>
  <c r="CI88" i="8"/>
  <c r="CJ88" i="8"/>
  <c r="CK88" i="8"/>
  <c r="CL88" i="8"/>
  <c r="CM88" i="8"/>
  <c r="CN88" i="8"/>
  <c r="CO88" i="8"/>
  <c r="CP88" i="8"/>
  <c r="CQ88" i="8"/>
  <c r="CR88" i="8"/>
  <c r="CS88" i="8"/>
  <c r="CT88" i="8"/>
  <c r="CU88" i="8"/>
  <c r="CV88" i="8"/>
  <c r="CW88" i="8"/>
  <c r="CX88" i="8"/>
  <c r="CY88" i="8"/>
  <c r="CZ88" i="8"/>
  <c r="DA88" i="8"/>
  <c r="DB88" i="8"/>
  <c r="DC88" i="8"/>
  <c r="DD88" i="8"/>
  <c r="DE88" i="8"/>
  <c r="DF88" i="8"/>
  <c r="DG88" i="8"/>
  <c r="BO89" i="8"/>
  <c r="BP89" i="8"/>
  <c r="BQ89" i="8"/>
  <c r="BR89" i="8"/>
  <c r="BS89" i="8"/>
  <c r="BT89" i="8"/>
  <c r="BU89" i="8"/>
  <c r="BV89" i="8"/>
  <c r="BW89" i="8"/>
  <c r="BX89" i="8"/>
  <c r="BY89" i="8"/>
  <c r="BZ89" i="8"/>
  <c r="CA89" i="8"/>
  <c r="CB89" i="8"/>
  <c r="CC89" i="8"/>
  <c r="CD89" i="8"/>
  <c r="CE89" i="8"/>
  <c r="CF89" i="8"/>
  <c r="CG89" i="8"/>
  <c r="CH89" i="8"/>
  <c r="CI89" i="8"/>
  <c r="CJ89" i="8"/>
  <c r="CK89" i="8"/>
  <c r="CL89" i="8"/>
  <c r="CM89" i="8"/>
  <c r="CN89" i="8"/>
  <c r="CO89" i="8"/>
  <c r="CP89" i="8"/>
  <c r="CQ89" i="8"/>
  <c r="CR89" i="8"/>
  <c r="CS89" i="8"/>
  <c r="CT89" i="8"/>
  <c r="CU89" i="8"/>
  <c r="CV89" i="8"/>
  <c r="CW89" i="8"/>
  <c r="CX89" i="8"/>
  <c r="CY89" i="8"/>
  <c r="CZ89" i="8"/>
  <c r="DA89" i="8"/>
  <c r="DB89" i="8"/>
  <c r="DC89" i="8"/>
  <c r="DD89" i="8"/>
  <c r="DE89" i="8"/>
  <c r="DF89" i="8"/>
  <c r="DG89" i="8"/>
  <c r="BO90" i="8"/>
  <c r="BP90" i="8"/>
  <c r="BQ90" i="8"/>
  <c r="BR90" i="8"/>
  <c r="BS90" i="8"/>
  <c r="BT90" i="8"/>
  <c r="BU90" i="8"/>
  <c r="BV90" i="8"/>
  <c r="BW90" i="8"/>
  <c r="BX90" i="8"/>
  <c r="BY90" i="8"/>
  <c r="BZ90" i="8"/>
  <c r="CA90" i="8"/>
  <c r="CB90" i="8"/>
  <c r="CC90" i="8"/>
  <c r="CD90" i="8"/>
  <c r="CE90" i="8"/>
  <c r="CF90" i="8"/>
  <c r="CG90" i="8"/>
  <c r="CH90" i="8"/>
  <c r="CI90" i="8"/>
  <c r="CJ90" i="8"/>
  <c r="CK90" i="8"/>
  <c r="CL90" i="8"/>
  <c r="CM90" i="8"/>
  <c r="CN90" i="8"/>
  <c r="CO90" i="8"/>
  <c r="CP90" i="8"/>
  <c r="CQ90" i="8"/>
  <c r="CR90" i="8"/>
  <c r="CS90" i="8"/>
  <c r="CT90" i="8"/>
  <c r="CU90" i="8"/>
  <c r="CV90" i="8"/>
  <c r="CW90" i="8"/>
  <c r="CX90" i="8"/>
  <c r="CY90" i="8"/>
  <c r="CZ90" i="8"/>
  <c r="DA90" i="8"/>
  <c r="DB90" i="8"/>
  <c r="DC90" i="8"/>
  <c r="DD90" i="8"/>
  <c r="DE90" i="8"/>
  <c r="DF90" i="8"/>
  <c r="DG90" i="8"/>
  <c r="BO91" i="8"/>
  <c r="BP91" i="8"/>
  <c r="BQ91" i="8"/>
  <c r="BR91" i="8"/>
  <c r="BS91" i="8"/>
  <c r="BT91" i="8"/>
  <c r="BU91" i="8"/>
  <c r="BV91" i="8"/>
  <c r="BW91" i="8"/>
  <c r="BX91" i="8"/>
  <c r="BY91" i="8"/>
  <c r="BZ91" i="8"/>
  <c r="CA91" i="8"/>
  <c r="CB91" i="8"/>
  <c r="CC91" i="8"/>
  <c r="CD91" i="8"/>
  <c r="CE91" i="8"/>
  <c r="CF91" i="8"/>
  <c r="CG91" i="8"/>
  <c r="CH91" i="8"/>
  <c r="CI91" i="8"/>
  <c r="CJ91" i="8"/>
  <c r="CK91" i="8"/>
  <c r="CL91" i="8"/>
  <c r="CM91" i="8"/>
  <c r="CN91" i="8"/>
  <c r="CO91" i="8"/>
  <c r="CP91" i="8"/>
  <c r="CQ91" i="8"/>
  <c r="CR91" i="8"/>
  <c r="CS91" i="8"/>
  <c r="CT91" i="8"/>
  <c r="CU91" i="8"/>
  <c r="CV91" i="8"/>
  <c r="CW91" i="8"/>
  <c r="CX91" i="8"/>
  <c r="CY91" i="8"/>
  <c r="CZ91" i="8"/>
  <c r="DA91" i="8"/>
  <c r="DB91" i="8"/>
  <c r="DC91" i="8"/>
  <c r="DD91" i="8"/>
  <c r="DE91" i="8"/>
  <c r="DF91" i="8"/>
  <c r="DG91" i="8"/>
  <c r="BO92" i="8"/>
  <c r="BP92" i="8"/>
  <c r="BQ92" i="8"/>
  <c r="BR92" i="8"/>
  <c r="BS92" i="8"/>
  <c r="BT92" i="8"/>
  <c r="BU92" i="8"/>
  <c r="BV92" i="8"/>
  <c r="BW92" i="8"/>
  <c r="BX92" i="8"/>
  <c r="BY92" i="8"/>
  <c r="BZ92" i="8"/>
  <c r="CA92" i="8"/>
  <c r="CB92" i="8"/>
  <c r="CC92" i="8"/>
  <c r="CD92" i="8"/>
  <c r="CE92" i="8"/>
  <c r="CF92" i="8"/>
  <c r="CG92" i="8"/>
  <c r="CH92" i="8"/>
  <c r="CI92" i="8"/>
  <c r="CJ92" i="8"/>
  <c r="CK92" i="8"/>
  <c r="CL92" i="8"/>
  <c r="CM92" i="8"/>
  <c r="CN92" i="8"/>
  <c r="CO92" i="8"/>
  <c r="CP92" i="8"/>
  <c r="CQ92" i="8"/>
  <c r="CR92" i="8"/>
  <c r="CS92" i="8"/>
  <c r="CT92" i="8"/>
  <c r="CU92" i="8"/>
  <c r="CV92" i="8"/>
  <c r="CW92" i="8"/>
  <c r="CX92" i="8"/>
  <c r="CY92" i="8"/>
  <c r="CZ92" i="8"/>
  <c r="DA92" i="8"/>
  <c r="DB92" i="8"/>
  <c r="DC92" i="8"/>
  <c r="DD92" i="8"/>
  <c r="DE92" i="8"/>
  <c r="DF92" i="8"/>
  <c r="DG92" i="8"/>
  <c r="BO93" i="8"/>
  <c r="BP93" i="8"/>
  <c r="BQ93" i="8"/>
  <c r="BR93" i="8"/>
  <c r="BS93" i="8"/>
  <c r="BT93" i="8"/>
  <c r="BU93" i="8"/>
  <c r="BV93" i="8"/>
  <c r="BW93" i="8"/>
  <c r="BX93" i="8"/>
  <c r="BY93" i="8"/>
  <c r="BZ93" i="8"/>
  <c r="CA93" i="8"/>
  <c r="CB93" i="8"/>
  <c r="CC93" i="8"/>
  <c r="CD93" i="8"/>
  <c r="CE93" i="8"/>
  <c r="CF93" i="8"/>
  <c r="CG93" i="8"/>
  <c r="CH93" i="8"/>
  <c r="CI93" i="8"/>
  <c r="CJ93" i="8"/>
  <c r="CK93" i="8"/>
  <c r="CL93" i="8"/>
  <c r="CM93" i="8"/>
  <c r="CN93" i="8"/>
  <c r="CO93" i="8"/>
  <c r="CP93" i="8"/>
  <c r="CQ93" i="8"/>
  <c r="CR93" i="8"/>
  <c r="CS93" i="8"/>
  <c r="CT93" i="8"/>
  <c r="CU93" i="8"/>
  <c r="CV93" i="8"/>
  <c r="CW93" i="8"/>
  <c r="CX93" i="8"/>
  <c r="CY93" i="8"/>
  <c r="CZ93" i="8"/>
  <c r="DA93" i="8"/>
  <c r="DB93" i="8"/>
  <c r="DC93" i="8"/>
  <c r="DD93" i="8"/>
  <c r="DE93" i="8"/>
  <c r="DF93" i="8"/>
  <c r="DG93" i="8"/>
  <c r="BO94" i="8"/>
  <c r="BP94" i="8"/>
  <c r="BQ94" i="8"/>
  <c r="BR94" i="8"/>
  <c r="BS94" i="8"/>
  <c r="BT94" i="8"/>
  <c r="BU94" i="8"/>
  <c r="BV94" i="8"/>
  <c r="BW94" i="8"/>
  <c r="BX94" i="8"/>
  <c r="BY94" i="8"/>
  <c r="BZ94" i="8"/>
  <c r="CA94" i="8"/>
  <c r="CB94" i="8"/>
  <c r="CC94" i="8"/>
  <c r="CD94" i="8"/>
  <c r="CE94" i="8"/>
  <c r="CF94" i="8"/>
  <c r="CG94" i="8"/>
  <c r="CH94" i="8"/>
  <c r="CI94" i="8"/>
  <c r="CJ94" i="8"/>
  <c r="CK94" i="8"/>
  <c r="CL94" i="8"/>
  <c r="CM94" i="8"/>
  <c r="CN94" i="8"/>
  <c r="CO94" i="8"/>
  <c r="CP94" i="8"/>
  <c r="CQ94" i="8"/>
  <c r="CR94" i="8"/>
  <c r="CS94" i="8"/>
  <c r="CT94" i="8"/>
  <c r="CU94" i="8"/>
  <c r="CV94" i="8"/>
  <c r="CW94" i="8"/>
  <c r="CX94" i="8"/>
  <c r="CY94" i="8"/>
  <c r="CZ94" i="8"/>
  <c r="DA94" i="8"/>
  <c r="DB94" i="8"/>
  <c r="DC94" i="8"/>
  <c r="DD94" i="8"/>
  <c r="DE94" i="8"/>
  <c r="DF94" i="8"/>
  <c r="DG94" i="8"/>
  <c r="BO95" i="8"/>
  <c r="BP95" i="8"/>
  <c r="BQ95" i="8"/>
  <c r="BR95" i="8"/>
  <c r="BS95" i="8"/>
  <c r="BT95" i="8"/>
  <c r="BU95" i="8"/>
  <c r="BV95" i="8"/>
  <c r="BW95" i="8"/>
  <c r="BX95" i="8"/>
  <c r="BY95" i="8"/>
  <c r="BZ95" i="8"/>
  <c r="CA95" i="8"/>
  <c r="CB95" i="8"/>
  <c r="CC95" i="8"/>
  <c r="CD95" i="8"/>
  <c r="CE95" i="8"/>
  <c r="CF95" i="8"/>
  <c r="CG95" i="8"/>
  <c r="CH95" i="8"/>
  <c r="CI95" i="8"/>
  <c r="CJ95" i="8"/>
  <c r="CK95" i="8"/>
  <c r="CL95" i="8"/>
  <c r="CM95" i="8"/>
  <c r="CN95" i="8"/>
  <c r="CO95" i="8"/>
  <c r="CP95" i="8"/>
  <c r="CQ95" i="8"/>
  <c r="CR95" i="8"/>
  <c r="CS95" i="8"/>
  <c r="CT95" i="8"/>
  <c r="CU95" i="8"/>
  <c r="CV95" i="8"/>
  <c r="CW95" i="8"/>
  <c r="CX95" i="8"/>
  <c r="CY95" i="8"/>
  <c r="CZ95" i="8"/>
  <c r="DA95" i="8"/>
  <c r="DB95" i="8"/>
  <c r="DC95" i="8"/>
  <c r="DD95" i="8"/>
  <c r="DE95" i="8"/>
  <c r="DF95" i="8"/>
  <c r="DG95" i="8"/>
  <c r="BO96" i="8"/>
  <c r="BP96" i="8"/>
  <c r="BQ96" i="8"/>
  <c r="BR96" i="8"/>
  <c r="BS96" i="8"/>
  <c r="BT96" i="8"/>
  <c r="BU96" i="8"/>
  <c r="BV96" i="8"/>
  <c r="BW96" i="8"/>
  <c r="BX96" i="8"/>
  <c r="BY96" i="8"/>
  <c r="BZ96" i="8"/>
  <c r="CA96" i="8"/>
  <c r="CB96" i="8"/>
  <c r="CC96" i="8"/>
  <c r="CD96" i="8"/>
  <c r="CE96" i="8"/>
  <c r="CF96" i="8"/>
  <c r="CG96" i="8"/>
  <c r="CH96" i="8"/>
  <c r="CI96" i="8"/>
  <c r="CJ96" i="8"/>
  <c r="CK96" i="8"/>
  <c r="CL96" i="8"/>
  <c r="CM96" i="8"/>
  <c r="CN96" i="8"/>
  <c r="CO96" i="8"/>
  <c r="CP96" i="8"/>
  <c r="CQ96" i="8"/>
  <c r="CR96" i="8"/>
  <c r="CS96" i="8"/>
  <c r="CT96" i="8"/>
  <c r="CU96" i="8"/>
  <c r="CV96" i="8"/>
  <c r="CW96" i="8"/>
  <c r="CX96" i="8"/>
  <c r="CY96" i="8"/>
  <c r="CZ96" i="8"/>
  <c r="DA96" i="8"/>
  <c r="DB96" i="8"/>
  <c r="DC96" i="8"/>
  <c r="DD96" i="8"/>
  <c r="DE96" i="8"/>
  <c r="DF96" i="8"/>
  <c r="DG96" i="8"/>
  <c r="BO97" i="8"/>
  <c r="BP97" i="8"/>
  <c r="BQ97" i="8"/>
  <c r="BR97" i="8"/>
  <c r="BS97" i="8"/>
  <c r="BT97" i="8"/>
  <c r="BU97" i="8"/>
  <c r="BV97" i="8"/>
  <c r="BW97" i="8"/>
  <c r="BX97" i="8"/>
  <c r="BY97" i="8"/>
  <c r="BZ97" i="8"/>
  <c r="CA97" i="8"/>
  <c r="CB97" i="8"/>
  <c r="CC97" i="8"/>
  <c r="CD97" i="8"/>
  <c r="CE97" i="8"/>
  <c r="CF97" i="8"/>
  <c r="CG97" i="8"/>
  <c r="CH97" i="8"/>
  <c r="CI97" i="8"/>
  <c r="CJ97" i="8"/>
  <c r="CK97" i="8"/>
  <c r="CL97" i="8"/>
  <c r="CM97" i="8"/>
  <c r="CN97" i="8"/>
  <c r="CO97" i="8"/>
  <c r="CP97" i="8"/>
  <c r="CQ97" i="8"/>
  <c r="CR97" i="8"/>
  <c r="CS97" i="8"/>
  <c r="CT97" i="8"/>
  <c r="CU97" i="8"/>
  <c r="CV97" i="8"/>
  <c r="CW97" i="8"/>
  <c r="CX97" i="8"/>
  <c r="CY97" i="8"/>
  <c r="CZ97" i="8"/>
  <c r="DA97" i="8"/>
  <c r="DB97" i="8"/>
  <c r="DC97" i="8"/>
  <c r="DD97" i="8"/>
  <c r="DE97" i="8"/>
  <c r="DF97" i="8"/>
  <c r="DG97" i="8"/>
  <c r="BO98" i="8"/>
  <c r="BP98" i="8"/>
  <c r="BQ98" i="8"/>
  <c r="BR98" i="8"/>
  <c r="BS98" i="8"/>
  <c r="BT98" i="8"/>
  <c r="BU98" i="8"/>
  <c r="BV98" i="8"/>
  <c r="BW98" i="8"/>
  <c r="BX98" i="8"/>
  <c r="BY98" i="8"/>
  <c r="BZ98" i="8"/>
  <c r="CA98" i="8"/>
  <c r="CB98" i="8"/>
  <c r="CC98" i="8"/>
  <c r="CD98" i="8"/>
  <c r="CE98" i="8"/>
  <c r="CF98" i="8"/>
  <c r="CG98" i="8"/>
  <c r="CH98" i="8"/>
  <c r="CI98" i="8"/>
  <c r="CJ98" i="8"/>
  <c r="CK98" i="8"/>
  <c r="CL98" i="8"/>
  <c r="CM98" i="8"/>
  <c r="CN98" i="8"/>
  <c r="CO98" i="8"/>
  <c r="CP98" i="8"/>
  <c r="CQ98" i="8"/>
  <c r="CR98" i="8"/>
  <c r="CS98" i="8"/>
  <c r="CT98" i="8"/>
  <c r="CU98" i="8"/>
  <c r="CV98" i="8"/>
  <c r="CW98" i="8"/>
  <c r="CX98" i="8"/>
  <c r="CY98" i="8"/>
  <c r="CZ98" i="8"/>
  <c r="DA98" i="8"/>
  <c r="DB98" i="8"/>
  <c r="DC98" i="8"/>
  <c r="DD98" i="8"/>
  <c r="DE98" i="8"/>
  <c r="DF98" i="8"/>
  <c r="DG98" i="8"/>
  <c r="BO99" i="8"/>
  <c r="BP99" i="8"/>
  <c r="BQ99" i="8"/>
  <c r="BR99" i="8"/>
  <c r="BS99" i="8"/>
  <c r="BT99" i="8"/>
  <c r="BU99" i="8"/>
  <c r="BV99" i="8"/>
  <c r="BW99" i="8"/>
  <c r="BX99" i="8"/>
  <c r="BY99" i="8"/>
  <c r="BZ99" i="8"/>
  <c r="CA99" i="8"/>
  <c r="CB99" i="8"/>
  <c r="CC99" i="8"/>
  <c r="CD99" i="8"/>
  <c r="CE99" i="8"/>
  <c r="CF99" i="8"/>
  <c r="CG99" i="8"/>
  <c r="CH99" i="8"/>
  <c r="CI99" i="8"/>
  <c r="CJ99" i="8"/>
  <c r="CK99" i="8"/>
  <c r="CL99" i="8"/>
  <c r="CM99" i="8"/>
  <c r="CN99" i="8"/>
  <c r="CO99" i="8"/>
  <c r="CP99" i="8"/>
  <c r="CQ99" i="8"/>
  <c r="CR99" i="8"/>
  <c r="CS99" i="8"/>
  <c r="CT99" i="8"/>
  <c r="CU99" i="8"/>
  <c r="CV99" i="8"/>
  <c r="CW99" i="8"/>
  <c r="CX99" i="8"/>
  <c r="CY99" i="8"/>
  <c r="CZ99" i="8"/>
  <c r="DA99" i="8"/>
  <c r="DB99" i="8"/>
  <c r="DC99" i="8"/>
  <c r="DD99" i="8"/>
  <c r="DE99" i="8"/>
  <c r="DF99" i="8"/>
  <c r="DG99" i="8"/>
  <c r="BO100" i="8"/>
  <c r="BP100" i="8"/>
  <c r="BQ100" i="8"/>
  <c r="BR100" i="8"/>
  <c r="BS100" i="8"/>
  <c r="BT100" i="8"/>
  <c r="BU100" i="8"/>
  <c r="BV100" i="8"/>
  <c r="BW100" i="8"/>
  <c r="BX100" i="8"/>
  <c r="BY100" i="8"/>
  <c r="BZ100" i="8"/>
  <c r="CA100" i="8"/>
  <c r="CB100" i="8"/>
  <c r="CC100" i="8"/>
  <c r="CD100" i="8"/>
  <c r="CE100" i="8"/>
  <c r="CF100" i="8"/>
  <c r="CG100" i="8"/>
  <c r="CH100" i="8"/>
  <c r="CI100" i="8"/>
  <c r="CJ100" i="8"/>
  <c r="CK100" i="8"/>
  <c r="CL100" i="8"/>
  <c r="CM100" i="8"/>
  <c r="CN100" i="8"/>
  <c r="CO100" i="8"/>
  <c r="CP100" i="8"/>
  <c r="CQ100" i="8"/>
  <c r="CR100" i="8"/>
  <c r="CS100" i="8"/>
  <c r="CT100" i="8"/>
  <c r="CU100" i="8"/>
  <c r="CV100" i="8"/>
  <c r="CW100" i="8"/>
  <c r="CX100" i="8"/>
  <c r="CY100" i="8"/>
  <c r="CZ100" i="8"/>
  <c r="DA100" i="8"/>
  <c r="DB100" i="8"/>
  <c r="DC100" i="8"/>
  <c r="DD100" i="8"/>
  <c r="DE100" i="8"/>
  <c r="DF100" i="8"/>
  <c r="DG100" i="8"/>
  <c r="BO101" i="8"/>
  <c r="BP101" i="8"/>
  <c r="BQ101" i="8"/>
  <c r="BR101" i="8"/>
  <c r="BS101" i="8"/>
  <c r="BT101" i="8"/>
  <c r="BU101" i="8"/>
  <c r="BV101" i="8"/>
  <c r="BW101" i="8"/>
  <c r="BX101" i="8"/>
  <c r="BY101" i="8"/>
  <c r="BZ101" i="8"/>
  <c r="CA101" i="8"/>
  <c r="CB101" i="8"/>
  <c r="CC101" i="8"/>
  <c r="CD101" i="8"/>
  <c r="CE101" i="8"/>
  <c r="CF101" i="8"/>
  <c r="CG101" i="8"/>
  <c r="CH101" i="8"/>
  <c r="CI101" i="8"/>
  <c r="CJ101" i="8"/>
  <c r="CK101" i="8"/>
  <c r="CL101" i="8"/>
  <c r="CM101" i="8"/>
  <c r="CN101" i="8"/>
  <c r="CO101" i="8"/>
  <c r="CP101" i="8"/>
  <c r="CQ101" i="8"/>
  <c r="CR101" i="8"/>
  <c r="CS101" i="8"/>
  <c r="CT101" i="8"/>
  <c r="CU101" i="8"/>
  <c r="CV101" i="8"/>
  <c r="CW101" i="8"/>
  <c r="CX101" i="8"/>
  <c r="CY101" i="8"/>
  <c r="CZ101" i="8"/>
  <c r="DA101" i="8"/>
  <c r="DB101" i="8"/>
  <c r="DC101" i="8"/>
  <c r="DD101" i="8"/>
  <c r="DE101" i="8"/>
  <c r="DF101" i="8"/>
  <c r="DG101" i="8"/>
  <c r="BO102" i="8"/>
  <c r="BP102" i="8"/>
  <c r="BQ102" i="8"/>
  <c r="BR102" i="8"/>
  <c r="BS102" i="8"/>
  <c r="BT102" i="8"/>
  <c r="BU102" i="8"/>
  <c r="BV102" i="8"/>
  <c r="BW102" i="8"/>
  <c r="BX102" i="8"/>
  <c r="BY102" i="8"/>
  <c r="BZ102" i="8"/>
  <c r="CA102" i="8"/>
  <c r="CB102" i="8"/>
  <c r="CC102" i="8"/>
  <c r="CD102" i="8"/>
  <c r="CE102" i="8"/>
  <c r="CF102" i="8"/>
  <c r="CG102" i="8"/>
  <c r="CH102" i="8"/>
  <c r="CI102" i="8"/>
  <c r="CJ102" i="8"/>
  <c r="CK102" i="8"/>
  <c r="CL102" i="8"/>
  <c r="CM102" i="8"/>
  <c r="CN102" i="8"/>
  <c r="CO102" i="8"/>
  <c r="CP102" i="8"/>
  <c r="CQ102" i="8"/>
  <c r="CR102" i="8"/>
  <c r="CS102" i="8"/>
  <c r="CT102" i="8"/>
  <c r="CU102" i="8"/>
  <c r="CV102" i="8"/>
  <c r="CW102" i="8"/>
  <c r="CX102" i="8"/>
  <c r="CY102" i="8"/>
  <c r="CZ102" i="8"/>
  <c r="DA102" i="8"/>
  <c r="DB102" i="8"/>
  <c r="DC102" i="8"/>
  <c r="DD102" i="8"/>
  <c r="DE102" i="8"/>
  <c r="DF102" i="8"/>
  <c r="DG102" i="8"/>
  <c r="BO103" i="8"/>
  <c r="BP103" i="8"/>
  <c r="BQ103" i="8"/>
  <c r="BR103" i="8"/>
  <c r="BS103" i="8"/>
  <c r="BT103" i="8"/>
  <c r="BU103" i="8"/>
  <c r="BV103" i="8"/>
  <c r="BW103" i="8"/>
  <c r="BX103" i="8"/>
  <c r="BY103" i="8"/>
  <c r="BZ103" i="8"/>
  <c r="CA103" i="8"/>
  <c r="CB103" i="8"/>
  <c r="CC103" i="8"/>
  <c r="CD103" i="8"/>
  <c r="CE103" i="8"/>
  <c r="CF103" i="8"/>
  <c r="CG103" i="8"/>
  <c r="CH103" i="8"/>
  <c r="CI103" i="8"/>
  <c r="CJ103" i="8"/>
  <c r="CK103" i="8"/>
  <c r="CL103" i="8"/>
  <c r="CM103" i="8"/>
  <c r="CN103" i="8"/>
  <c r="CO103" i="8"/>
  <c r="CP103" i="8"/>
  <c r="CQ103" i="8"/>
  <c r="CR103" i="8"/>
  <c r="CS103" i="8"/>
  <c r="CT103" i="8"/>
  <c r="CU103" i="8"/>
  <c r="CV103" i="8"/>
  <c r="CW103" i="8"/>
  <c r="CX103" i="8"/>
  <c r="CY103" i="8"/>
  <c r="CZ103" i="8"/>
  <c r="DA103" i="8"/>
  <c r="DB103" i="8"/>
  <c r="DC103" i="8"/>
  <c r="DD103" i="8"/>
  <c r="DE103" i="8"/>
  <c r="DF103" i="8"/>
  <c r="DG103" i="8"/>
  <c r="BO104" i="8"/>
  <c r="BP104" i="8"/>
  <c r="BQ104" i="8"/>
  <c r="BR104" i="8"/>
  <c r="BS104" i="8"/>
  <c r="BT104" i="8"/>
  <c r="BU104" i="8"/>
  <c r="BV104" i="8"/>
  <c r="BW104" i="8"/>
  <c r="BX104" i="8"/>
  <c r="BY104" i="8"/>
  <c r="BZ104" i="8"/>
  <c r="CA104" i="8"/>
  <c r="CB104" i="8"/>
  <c r="CC104" i="8"/>
  <c r="CD104" i="8"/>
  <c r="CE104" i="8"/>
  <c r="CF104" i="8"/>
  <c r="CG104" i="8"/>
  <c r="CH104" i="8"/>
  <c r="CI104" i="8"/>
  <c r="CJ104" i="8"/>
  <c r="CK104" i="8"/>
  <c r="CL104" i="8"/>
  <c r="CM104" i="8"/>
  <c r="CN104" i="8"/>
  <c r="CO104" i="8"/>
  <c r="CP104" i="8"/>
  <c r="CQ104" i="8"/>
  <c r="CR104" i="8"/>
  <c r="CS104" i="8"/>
  <c r="CT104" i="8"/>
  <c r="CU104" i="8"/>
  <c r="CV104" i="8"/>
  <c r="CW104" i="8"/>
  <c r="CX104" i="8"/>
  <c r="CY104" i="8"/>
  <c r="CZ104" i="8"/>
  <c r="DA104" i="8"/>
  <c r="DB104" i="8"/>
  <c r="DC104" i="8"/>
  <c r="DD104" i="8"/>
  <c r="DE104" i="8"/>
  <c r="DF104" i="8"/>
  <c r="DG104" i="8"/>
  <c r="BO105" i="8"/>
  <c r="BP105" i="8"/>
  <c r="BQ105" i="8"/>
  <c r="BR105" i="8"/>
  <c r="BS105" i="8"/>
  <c r="BT105" i="8"/>
  <c r="BU105" i="8"/>
  <c r="BV105" i="8"/>
  <c r="BW105" i="8"/>
  <c r="BX105" i="8"/>
  <c r="BY105" i="8"/>
  <c r="BZ105" i="8"/>
  <c r="CA105" i="8"/>
  <c r="CB105" i="8"/>
  <c r="CC105" i="8"/>
  <c r="CD105" i="8"/>
  <c r="CE105" i="8"/>
  <c r="CF105" i="8"/>
  <c r="CG105" i="8"/>
  <c r="CH105" i="8"/>
  <c r="CI105" i="8"/>
  <c r="CJ105" i="8"/>
  <c r="CK105" i="8"/>
  <c r="CL105" i="8"/>
  <c r="CM105" i="8"/>
  <c r="CN105" i="8"/>
  <c r="CO105" i="8"/>
  <c r="CP105" i="8"/>
  <c r="CQ105" i="8"/>
  <c r="CR105" i="8"/>
  <c r="CS105" i="8"/>
  <c r="CT105" i="8"/>
  <c r="CU105" i="8"/>
  <c r="CV105" i="8"/>
  <c r="CW105" i="8"/>
  <c r="CX105" i="8"/>
  <c r="CY105" i="8"/>
  <c r="CZ105" i="8"/>
  <c r="DA105" i="8"/>
  <c r="DB105" i="8"/>
  <c r="DC105" i="8"/>
  <c r="DD105" i="8"/>
  <c r="DE105" i="8"/>
  <c r="DF105" i="8"/>
  <c r="DG105" i="8"/>
  <c r="BO106" i="8"/>
  <c r="BP106" i="8"/>
  <c r="BQ106" i="8"/>
  <c r="BR106" i="8"/>
  <c r="BS106" i="8"/>
  <c r="BT106" i="8"/>
  <c r="BU106" i="8"/>
  <c r="BV106" i="8"/>
  <c r="BW106" i="8"/>
  <c r="BX106" i="8"/>
  <c r="BY106" i="8"/>
  <c r="BZ106" i="8"/>
  <c r="CA106" i="8"/>
  <c r="CB106" i="8"/>
  <c r="CC106" i="8"/>
  <c r="CD106" i="8"/>
  <c r="CE106" i="8"/>
  <c r="CF106" i="8"/>
  <c r="CG106" i="8"/>
  <c r="CH106" i="8"/>
  <c r="CI106" i="8"/>
  <c r="CJ106" i="8"/>
  <c r="CK106" i="8"/>
  <c r="CL106" i="8"/>
  <c r="CM106" i="8"/>
  <c r="CN106" i="8"/>
  <c r="CO106" i="8"/>
  <c r="CP106" i="8"/>
  <c r="CQ106" i="8"/>
  <c r="CR106" i="8"/>
  <c r="CS106" i="8"/>
  <c r="CT106" i="8"/>
  <c r="CU106" i="8"/>
  <c r="CV106" i="8"/>
  <c r="CW106" i="8"/>
  <c r="CX106" i="8"/>
  <c r="CY106" i="8"/>
  <c r="CZ106" i="8"/>
  <c r="DA106" i="8"/>
  <c r="DB106" i="8"/>
  <c r="DC106" i="8"/>
  <c r="DD106" i="8"/>
  <c r="DE106" i="8"/>
  <c r="DF106" i="8"/>
  <c r="DG106" i="8"/>
  <c r="BO107" i="8"/>
  <c r="BP107" i="8"/>
  <c r="BQ107" i="8"/>
  <c r="BR107" i="8"/>
  <c r="BS107" i="8"/>
  <c r="BT107" i="8"/>
  <c r="BU107" i="8"/>
  <c r="BV107" i="8"/>
  <c r="BW107" i="8"/>
  <c r="BX107" i="8"/>
  <c r="BY107" i="8"/>
  <c r="BZ107" i="8"/>
  <c r="CA107" i="8"/>
  <c r="CB107" i="8"/>
  <c r="CC107" i="8"/>
  <c r="CD107" i="8"/>
  <c r="CE107" i="8"/>
  <c r="CF107" i="8"/>
  <c r="CG107" i="8"/>
  <c r="CH107" i="8"/>
  <c r="CI107" i="8"/>
  <c r="CJ107" i="8"/>
  <c r="CK107" i="8"/>
  <c r="CL107" i="8"/>
  <c r="CM107" i="8"/>
  <c r="CN107" i="8"/>
  <c r="CO107" i="8"/>
  <c r="CP107" i="8"/>
  <c r="CQ107" i="8"/>
  <c r="CR107" i="8"/>
  <c r="CS107" i="8"/>
  <c r="CT107" i="8"/>
  <c r="CU107" i="8"/>
  <c r="CV107" i="8"/>
  <c r="CW107" i="8"/>
  <c r="CX107" i="8"/>
  <c r="CY107" i="8"/>
  <c r="CZ107" i="8"/>
  <c r="DA107" i="8"/>
  <c r="DB107" i="8"/>
  <c r="DC107" i="8"/>
  <c r="DD107" i="8"/>
  <c r="DE107" i="8"/>
  <c r="DF107" i="8"/>
  <c r="DG107" i="8"/>
  <c r="BO108" i="8"/>
  <c r="BP108" i="8"/>
  <c r="BQ108" i="8"/>
  <c r="BR108" i="8"/>
  <c r="BS108" i="8"/>
  <c r="BT108" i="8"/>
  <c r="BU108" i="8"/>
  <c r="BV108" i="8"/>
  <c r="BW108" i="8"/>
  <c r="BX108" i="8"/>
  <c r="BY108" i="8"/>
  <c r="BZ108" i="8"/>
  <c r="CA108" i="8"/>
  <c r="CB108" i="8"/>
  <c r="CC108" i="8"/>
  <c r="CD108" i="8"/>
  <c r="CE108" i="8"/>
  <c r="CF108" i="8"/>
  <c r="CG108" i="8"/>
  <c r="CH108" i="8"/>
  <c r="CI108" i="8"/>
  <c r="CJ108" i="8"/>
  <c r="CK108" i="8"/>
  <c r="CL108" i="8"/>
  <c r="CM108" i="8"/>
  <c r="CN108" i="8"/>
  <c r="CO108" i="8"/>
  <c r="CP108" i="8"/>
  <c r="CQ108" i="8"/>
  <c r="CR108" i="8"/>
  <c r="CS108" i="8"/>
  <c r="CT108" i="8"/>
  <c r="CU108" i="8"/>
  <c r="CV108" i="8"/>
  <c r="CW108" i="8"/>
  <c r="CX108" i="8"/>
  <c r="CY108" i="8"/>
  <c r="CZ108" i="8"/>
  <c r="DA108" i="8"/>
  <c r="DB108" i="8"/>
  <c r="DC108" i="8"/>
  <c r="DD108" i="8"/>
  <c r="DE108" i="8"/>
  <c r="DF108" i="8"/>
  <c r="DG108" i="8"/>
  <c r="BO109" i="8"/>
  <c r="BP109" i="8"/>
  <c r="BQ109" i="8"/>
  <c r="BR109" i="8"/>
  <c r="BS109" i="8"/>
  <c r="BT109" i="8"/>
  <c r="BU109" i="8"/>
  <c r="BV109" i="8"/>
  <c r="BW109" i="8"/>
  <c r="BX109" i="8"/>
  <c r="BY109" i="8"/>
  <c r="BZ109" i="8"/>
  <c r="CA109" i="8"/>
  <c r="CB109" i="8"/>
  <c r="CC109" i="8"/>
  <c r="CD109" i="8"/>
  <c r="CE109" i="8"/>
  <c r="CF109" i="8"/>
  <c r="CG109" i="8"/>
  <c r="CH109" i="8"/>
  <c r="CI109" i="8"/>
  <c r="CJ109" i="8"/>
  <c r="CK109" i="8"/>
  <c r="CL109" i="8"/>
  <c r="CM109" i="8"/>
  <c r="CN109" i="8"/>
  <c r="CO109" i="8"/>
  <c r="CP109" i="8"/>
  <c r="CQ109" i="8"/>
  <c r="CR109" i="8"/>
  <c r="CS109" i="8"/>
  <c r="CT109" i="8"/>
  <c r="CU109" i="8"/>
  <c r="CV109" i="8"/>
  <c r="CW109" i="8"/>
  <c r="CX109" i="8"/>
  <c r="CY109" i="8"/>
  <c r="CZ109" i="8"/>
  <c r="DA109" i="8"/>
  <c r="DB109" i="8"/>
  <c r="DC109" i="8"/>
  <c r="DD109" i="8"/>
  <c r="DE109" i="8"/>
  <c r="DF109" i="8"/>
  <c r="DG109" i="8"/>
  <c r="BO110" i="8"/>
  <c r="BP110" i="8"/>
  <c r="BQ110" i="8"/>
  <c r="BR110" i="8"/>
  <c r="BS110" i="8"/>
  <c r="BT110" i="8"/>
  <c r="BU110" i="8"/>
  <c r="BV110" i="8"/>
  <c r="BW110" i="8"/>
  <c r="BX110" i="8"/>
  <c r="BY110" i="8"/>
  <c r="BZ110" i="8"/>
  <c r="CA110" i="8"/>
  <c r="CB110" i="8"/>
  <c r="CC110" i="8"/>
  <c r="CD110" i="8"/>
  <c r="CE110" i="8"/>
  <c r="CF110" i="8"/>
  <c r="CG110" i="8"/>
  <c r="CH110" i="8"/>
  <c r="CI110" i="8"/>
  <c r="CJ110" i="8"/>
  <c r="CK110" i="8"/>
  <c r="CL110" i="8"/>
  <c r="CM110" i="8"/>
  <c r="CN110" i="8"/>
  <c r="CO110" i="8"/>
  <c r="CP110" i="8"/>
  <c r="CQ110" i="8"/>
  <c r="CR110" i="8"/>
  <c r="CS110" i="8"/>
  <c r="CT110" i="8"/>
  <c r="CU110" i="8"/>
  <c r="CV110" i="8"/>
  <c r="CW110" i="8"/>
  <c r="CX110" i="8"/>
  <c r="CY110" i="8"/>
  <c r="CZ110" i="8"/>
  <c r="DA110" i="8"/>
  <c r="DB110" i="8"/>
  <c r="DC110" i="8"/>
  <c r="DD110" i="8"/>
  <c r="DE110" i="8"/>
  <c r="DF110" i="8"/>
  <c r="DG110" i="8"/>
  <c r="BO111" i="8"/>
  <c r="BP111" i="8"/>
  <c r="BQ111" i="8"/>
  <c r="BR111" i="8"/>
  <c r="BS111" i="8"/>
  <c r="BT111" i="8"/>
  <c r="BU111" i="8"/>
  <c r="BV111" i="8"/>
  <c r="BW111" i="8"/>
  <c r="BX111" i="8"/>
  <c r="BY111" i="8"/>
  <c r="BZ111" i="8"/>
  <c r="CA111" i="8"/>
  <c r="CB111" i="8"/>
  <c r="CC111" i="8"/>
  <c r="CD111" i="8"/>
  <c r="CE111" i="8"/>
  <c r="CF111" i="8"/>
  <c r="CG111" i="8"/>
  <c r="CH111" i="8"/>
  <c r="CI111" i="8"/>
  <c r="CJ111" i="8"/>
  <c r="CK111" i="8"/>
  <c r="CL111" i="8"/>
  <c r="CM111" i="8"/>
  <c r="CN111" i="8"/>
  <c r="CO111" i="8"/>
  <c r="CP111" i="8"/>
  <c r="CQ111" i="8"/>
  <c r="CR111" i="8"/>
  <c r="CS111" i="8"/>
  <c r="CT111" i="8"/>
  <c r="CU111" i="8"/>
  <c r="CV111" i="8"/>
  <c r="CW111" i="8"/>
  <c r="CX111" i="8"/>
  <c r="CY111" i="8"/>
  <c r="CZ111" i="8"/>
  <c r="DA111" i="8"/>
  <c r="DB111" i="8"/>
  <c r="DC111" i="8"/>
  <c r="DD111" i="8"/>
  <c r="DE111" i="8"/>
  <c r="DF111" i="8"/>
  <c r="DG111" i="8"/>
  <c r="BO112" i="8"/>
  <c r="BP112" i="8"/>
  <c r="BQ112" i="8"/>
  <c r="BR112" i="8"/>
  <c r="BS112" i="8"/>
  <c r="BT112" i="8"/>
  <c r="BU112" i="8"/>
  <c r="BV112" i="8"/>
  <c r="BW112" i="8"/>
  <c r="BX112" i="8"/>
  <c r="BY112" i="8"/>
  <c r="BZ112" i="8"/>
  <c r="CA112" i="8"/>
  <c r="CB112" i="8"/>
  <c r="CC112" i="8"/>
  <c r="CD112" i="8"/>
  <c r="CE112" i="8"/>
  <c r="CF112" i="8"/>
  <c r="CG112" i="8"/>
  <c r="CH112" i="8"/>
  <c r="CI112" i="8"/>
  <c r="CJ112" i="8"/>
  <c r="CK112" i="8"/>
  <c r="CL112" i="8"/>
  <c r="CM112" i="8"/>
  <c r="CN112" i="8"/>
  <c r="CO112" i="8"/>
  <c r="CP112" i="8"/>
  <c r="CQ112" i="8"/>
  <c r="CR112" i="8"/>
  <c r="CS112" i="8"/>
  <c r="CT112" i="8"/>
  <c r="CU112" i="8"/>
  <c r="CV112" i="8"/>
  <c r="CW112" i="8"/>
  <c r="CX112" i="8"/>
  <c r="CY112" i="8"/>
  <c r="CZ112" i="8"/>
  <c r="DA112" i="8"/>
  <c r="DB112" i="8"/>
  <c r="DC112" i="8"/>
  <c r="DD112" i="8"/>
  <c r="DE112" i="8"/>
  <c r="DF112" i="8"/>
  <c r="DG112" i="8"/>
  <c r="BO113" i="8"/>
  <c r="BP113" i="8"/>
  <c r="BQ113" i="8"/>
  <c r="BR113" i="8"/>
  <c r="BS113" i="8"/>
  <c r="BT113" i="8"/>
  <c r="BU113" i="8"/>
  <c r="BV113" i="8"/>
  <c r="BW113" i="8"/>
  <c r="BX113" i="8"/>
  <c r="BY113" i="8"/>
  <c r="BZ113" i="8"/>
  <c r="CA113" i="8"/>
  <c r="CB113" i="8"/>
  <c r="CC113" i="8"/>
  <c r="CD113" i="8"/>
  <c r="CE113" i="8"/>
  <c r="CF113" i="8"/>
  <c r="CG113" i="8"/>
  <c r="CH113" i="8"/>
  <c r="CI113" i="8"/>
  <c r="CJ113" i="8"/>
  <c r="CK113" i="8"/>
  <c r="CL113" i="8"/>
  <c r="CM113" i="8"/>
  <c r="CN113" i="8"/>
  <c r="CO113" i="8"/>
  <c r="CP113" i="8"/>
  <c r="CQ113" i="8"/>
  <c r="CR113" i="8"/>
  <c r="CS113" i="8"/>
  <c r="CT113" i="8"/>
  <c r="CU113" i="8"/>
  <c r="CV113" i="8"/>
  <c r="CW113" i="8"/>
  <c r="CX113" i="8"/>
  <c r="CY113" i="8"/>
  <c r="CZ113" i="8"/>
  <c r="DA113" i="8"/>
  <c r="DB113" i="8"/>
  <c r="DC113" i="8"/>
  <c r="DD113" i="8"/>
  <c r="DE113" i="8"/>
  <c r="DF113" i="8"/>
  <c r="DG113" i="8"/>
  <c r="BO114" i="8"/>
  <c r="BP114" i="8"/>
  <c r="BQ114" i="8"/>
  <c r="BR114" i="8"/>
  <c r="BS114" i="8"/>
  <c r="BT114" i="8"/>
  <c r="BU114" i="8"/>
  <c r="BV114" i="8"/>
  <c r="BW114" i="8"/>
  <c r="BX114" i="8"/>
  <c r="BY114" i="8"/>
  <c r="BZ114" i="8"/>
  <c r="CA114" i="8"/>
  <c r="CB114" i="8"/>
  <c r="CC114" i="8"/>
  <c r="CD114" i="8"/>
  <c r="CE114" i="8"/>
  <c r="CF114" i="8"/>
  <c r="CG114" i="8"/>
  <c r="CH114" i="8"/>
  <c r="CI114" i="8"/>
  <c r="CJ114" i="8"/>
  <c r="CK114" i="8"/>
  <c r="CL114" i="8"/>
  <c r="CM114" i="8"/>
  <c r="CN114" i="8"/>
  <c r="CO114" i="8"/>
  <c r="CP114" i="8"/>
  <c r="CQ114" i="8"/>
  <c r="CR114" i="8"/>
  <c r="CS114" i="8"/>
  <c r="CT114" i="8"/>
  <c r="CU114" i="8"/>
  <c r="CV114" i="8"/>
  <c r="CW114" i="8"/>
  <c r="CX114" i="8"/>
  <c r="CY114" i="8"/>
  <c r="CZ114" i="8"/>
  <c r="DA114" i="8"/>
  <c r="DB114" i="8"/>
  <c r="DC114" i="8"/>
  <c r="DD114" i="8"/>
  <c r="DE114" i="8"/>
  <c r="DF114" i="8"/>
  <c r="DG114" i="8"/>
  <c r="BO115" i="8"/>
  <c r="BP115" i="8"/>
  <c r="BQ115" i="8"/>
  <c r="BR115" i="8"/>
  <c r="BS115" i="8"/>
  <c r="BT115" i="8"/>
  <c r="BU115" i="8"/>
  <c r="BV115" i="8"/>
  <c r="BW115" i="8"/>
  <c r="BX115" i="8"/>
  <c r="BY115" i="8"/>
  <c r="BZ115" i="8"/>
  <c r="CA115" i="8"/>
  <c r="CB115" i="8"/>
  <c r="CC115" i="8"/>
  <c r="CD115" i="8"/>
  <c r="CE115" i="8"/>
  <c r="CF115" i="8"/>
  <c r="CG115" i="8"/>
  <c r="CH115" i="8"/>
  <c r="CI115" i="8"/>
  <c r="CJ115" i="8"/>
  <c r="CK115" i="8"/>
  <c r="CL115" i="8"/>
  <c r="CM115" i="8"/>
  <c r="CN115" i="8"/>
  <c r="CO115" i="8"/>
  <c r="CP115" i="8"/>
  <c r="CQ115" i="8"/>
  <c r="CR115" i="8"/>
  <c r="CS115" i="8"/>
  <c r="CT115" i="8"/>
  <c r="CU115" i="8"/>
  <c r="CV115" i="8"/>
  <c r="CW115" i="8"/>
  <c r="CX115" i="8"/>
  <c r="CY115" i="8"/>
  <c r="CZ115" i="8"/>
  <c r="DA115" i="8"/>
  <c r="DB115" i="8"/>
  <c r="DC115" i="8"/>
  <c r="DD115" i="8"/>
  <c r="DE115" i="8"/>
  <c r="DF115" i="8"/>
  <c r="DG115" i="8"/>
  <c r="BO116" i="8"/>
  <c r="BP116" i="8"/>
  <c r="BQ116" i="8"/>
  <c r="BR116" i="8"/>
  <c r="BS116" i="8"/>
  <c r="BT116" i="8"/>
  <c r="BU116" i="8"/>
  <c r="BV116" i="8"/>
  <c r="BW116" i="8"/>
  <c r="BX116" i="8"/>
  <c r="BY116" i="8"/>
  <c r="BZ116" i="8"/>
  <c r="CA116" i="8"/>
  <c r="CB116" i="8"/>
  <c r="CC116" i="8"/>
  <c r="CD116" i="8"/>
  <c r="CE116" i="8"/>
  <c r="CF116" i="8"/>
  <c r="CG116" i="8"/>
  <c r="CH116" i="8"/>
  <c r="CI116" i="8"/>
  <c r="CJ116" i="8"/>
  <c r="CK116" i="8"/>
  <c r="CL116" i="8"/>
  <c r="CM116" i="8"/>
  <c r="CN116" i="8"/>
  <c r="CO116" i="8"/>
  <c r="CP116" i="8"/>
  <c r="CQ116" i="8"/>
  <c r="CR116" i="8"/>
  <c r="CS116" i="8"/>
  <c r="CT116" i="8"/>
  <c r="CU116" i="8"/>
  <c r="CV116" i="8"/>
  <c r="CW116" i="8"/>
  <c r="CX116" i="8"/>
  <c r="CY116" i="8"/>
  <c r="CZ116" i="8"/>
  <c r="DA116" i="8"/>
  <c r="DB116" i="8"/>
  <c r="DC116" i="8"/>
  <c r="DD116" i="8"/>
  <c r="DE116" i="8"/>
  <c r="DF116" i="8"/>
  <c r="DG116" i="8"/>
  <c r="BO117" i="8"/>
  <c r="BP117" i="8"/>
  <c r="BQ117" i="8"/>
  <c r="BR117" i="8"/>
  <c r="BS117" i="8"/>
  <c r="BT117" i="8"/>
  <c r="BU117" i="8"/>
  <c r="BV117" i="8"/>
  <c r="BW117" i="8"/>
  <c r="BX117" i="8"/>
  <c r="BY117" i="8"/>
  <c r="BZ117" i="8"/>
  <c r="CA117" i="8"/>
  <c r="CB117" i="8"/>
  <c r="CC117" i="8"/>
  <c r="CD117" i="8"/>
  <c r="CE117" i="8"/>
  <c r="CF117" i="8"/>
  <c r="CG117" i="8"/>
  <c r="CH117" i="8"/>
  <c r="CI117" i="8"/>
  <c r="CJ117" i="8"/>
  <c r="CK117" i="8"/>
  <c r="CL117" i="8"/>
  <c r="CM117" i="8"/>
  <c r="CN117" i="8"/>
  <c r="CO117" i="8"/>
  <c r="CP117" i="8"/>
  <c r="CQ117" i="8"/>
  <c r="CR117" i="8"/>
  <c r="CS117" i="8"/>
  <c r="CT117" i="8"/>
  <c r="CU117" i="8"/>
  <c r="CV117" i="8"/>
  <c r="CW117" i="8"/>
  <c r="CX117" i="8"/>
  <c r="CY117" i="8"/>
  <c r="CZ117" i="8"/>
  <c r="DA117" i="8"/>
  <c r="DB117" i="8"/>
  <c r="DC117" i="8"/>
  <c r="DD117" i="8"/>
  <c r="DE117" i="8"/>
  <c r="DF117" i="8"/>
  <c r="DG117" i="8"/>
  <c r="BO118" i="8"/>
  <c r="BP118" i="8"/>
  <c r="BQ118" i="8"/>
  <c r="BR118" i="8"/>
  <c r="BS118" i="8"/>
  <c r="BT118" i="8"/>
  <c r="BU118" i="8"/>
  <c r="BV118" i="8"/>
  <c r="BW118" i="8"/>
  <c r="BX118" i="8"/>
  <c r="BY118" i="8"/>
  <c r="BZ118" i="8"/>
  <c r="CA118" i="8"/>
  <c r="CB118" i="8"/>
  <c r="CC118" i="8"/>
  <c r="CD118" i="8"/>
  <c r="CE118" i="8"/>
  <c r="CF118" i="8"/>
  <c r="CG118" i="8"/>
  <c r="CH118" i="8"/>
  <c r="CI118" i="8"/>
  <c r="CJ118" i="8"/>
  <c r="CK118" i="8"/>
  <c r="CL118" i="8"/>
  <c r="CM118" i="8"/>
  <c r="CN118" i="8"/>
  <c r="CO118" i="8"/>
  <c r="CP118" i="8"/>
  <c r="CQ118" i="8"/>
  <c r="CR118" i="8"/>
  <c r="CS118" i="8"/>
  <c r="CT118" i="8"/>
  <c r="CU118" i="8"/>
  <c r="CV118" i="8"/>
  <c r="CW118" i="8"/>
  <c r="CX118" i="8"/>
  <c r="CY118" i="8"/>
  <c r="CZ118" i="8"/>
  <c r="DA118" i="8"/>
  <c r="DB118" i="8"/>
  <c r="DC118" i="8"/>
  <c r="DD118" i="8"/>
  <c r="DE118" i="8"/>
  <c r="DF118" i="8"/>
  <c r="DG118" i="8"/>
  <c r="BO119" i="8"/>
  <c r="BP119" i="8"/>
  <c r="BQ119" i="8"/>
  <c r="BR119" i="8"/>
  <c r="BS119" i="8"/>
  <c r="BT119" i="8"/>
  <c r="BU119" i="8"/>
  <c r="BV119" i="8"/>
  <c r="BW119" i="8"/>
  <c r="BX119" i="8"/>
  <c r="BY119" i="8"/>
  <c r="BZ119" i="8"/>
  <c r="CA119" i="8"/>
  <c r="CB119" i="8"/>
  <c r="CC119" i="8"/>
  <c r="CD119" i="8"/>
  <c r="CE119" i="8"/>
  <c r="CF119" i="8"/>
  <c r="CG119" i="8"/>
  <c r="CH119" i="8"/>
  <c r="CI119" i="8"/>
  <c r="CJ119" i="8"/>
  <c r="CK119" i="8"/>
  <c r="CL119" i="8"/>
  <c r="CM119" i="8"/>
  <c r="CN119" i="8"/>
  <c r="CO119" i="8"/>
  <c r="CP119" i="8"/>
  <c r="CQ119" i="8"/>
  <c r="CR119" i="8"/>
  <c r="CS119" i="8"/>
  <c r="CT119" i="8"/>
  <c r="CU119" i="8"/>
  <c r="CV119" i="8"/>
  <c r="CW119" i="8"/>
  <c r="CX119" i="8"/>
  <c r="CY119" i="8"/>
  <c r="CZ119" i="8"/>
  <c r="DA119" i="8"/>
  <c r="DB119" i="8"/>
  <c r="DC119" i="8"/>
  <c r="DD119" i="8"/>
  <c r="DE119" i="8"/>
  <c r="DF119" i="8"/>
  <c r="DG119" i="8"/>
  <c r="BO120" i="8"/>
  <c r="BP120" i="8"/>
  <c r="BQ120" i="8"/>
  <c r="BR120" i="8"/>
  <c r="BS120" i="8"/>
  <c r="BT120" i="8"/>
  <c r="BU120" i="8"/>
  <c r="BV120" i="8"/>
  <c r="BW120" i="8"/>
  <c r="BX120" i="8"/>
  <c r="BY120" i="8"/>
  <c r="BZ120" i="8"/>
  <c r="CA120" i="8"/>
  <c r="CB120" i="8"/>
  <c r="CC120" i="8"/>
  <c r="CD120" i="8"/>
  <c r="CE120" i="8"/>
  <c r="CF120" i="8"/>
  <c r="CG120" i="8"/>
  <c r="CH120" i="8"/>
  <c r="CI120" i="8"/>
  <c r="CJ120" i="8"/>
  <c r="CK120" i="8"/>
  <c r="CL120" i="8"/>
  <c r="CM120" i="8"/>
  <c r="CN120" i="8"/>
  <c r="CO120" i="8"/>
  <c r="CP120" i="8"/>
  <c r="CQ120" i="8"/>
  <c r="CR120" i="8"/>
  <c r="CS120" i="8"/>
  <c r="CT120" i="8"/>
  <c r="CU120" i="8"/>
  <c r="CV120" i="8"/>
  <c r="CW120" i="8"/>
  <c r="CX120" i="8"/>
  <c r="CY120" i="8"/>
  <c r="CZ120" i="8"/>
  <c r="DA120" i="8"/>
  <c r="DB120" i="8"/>
  <c r="DC120" i="8"/>
  <c r="DD120" i="8"/>
  <c r="DE120" i="8"/>
  <c r="DF120" i="8"/>
  <c r="DG120" i="8"/>
  <c r="BO121" i="8"/>
  <c r="BP121" i="8"/>
  <c r="BQ121" i="8"/>
  <c r="BR121" i="8"/>
  <c r="BS121" i="8"/>
  <c r="BT121" i="8"/>
  <c r="BU121" i="8"/>
  <c r="BV121" i="8"/>
  <c r="BW121" i="8"/>
  <c r="BX121" i="8"/>
  <c r="BY121" i="8"/>
  <c r="BZ121" i="8"/>
  <c r="CA121" i="8"/>
  <c r="CB121" i="8"/>
  <c r="CC121" i="8"/>
  <c r="CD121" i="8"/>
  <c r="CE121" i="8"/>
  <c r="CF121" i="8"/>
  <c r="CG121" i="8"/>
  <c r="CH121" i="8"/>
  <c r="CI121" i="8"/>
  <c r="CJ121" i="8"/>
  <c r="CK121" i="8"/>
  <c r="CL121" i="8"/>
  <c r="CM121" i="8"/>
  <c r="CN121" i="8"/>
  <c r="CO121" i="8"/>
  <c r="CP121" i="8"/>
  <c r="CQ121" i="8"/>
  <c r="CR121" i="8"/>
  <c r="CS121" i="8"/>
  <c r="CT121" i="8"/>
  <c r="CU121" i="8"/>
  <c r="CV121" i="8"/>
  <c r="CW121" i="8"/>
  <c r="CX121" i="8"/>
  <c r="CY121" i="8"/>
  <c r="CZ121" i="8"/>
  <c r="DA121" i="8"/>
  <c r="DB121" i="8"/>
  <c r="DC121" i="8"/>
  <c r="DD121" i="8"/>
  <c r="DE121" i="8"/>
  <c r="DF121" i="8"/>
  <c r="DG121" i="8"/>
  <c r="BO122" i="8"/>
  <c r="BP122" i="8"/>
  <c r="BQ122" i="8"/>
  <c r="BR122" i="8"/>
  <c r="BS122" i="8"/>
  <c r="BT122" i="8"/>
  <c r="BU122" i="8"/>
  <c r="BV122" i="8"/>
  <c r="BW122" i="8"/>
  <c r="BX122" i="8"/>
  <c r="BY122" i="8"/>
  <c r="BZ122" i="8"/>
  <c r="CA122" i="8"/>
  <c r="CB122" i="8"/>
  <c r="CC122" i="8"/>
  <c r="CD122" i="8"/>
  <c r="CE122" i="8"/>
  <c r="CF122" i="8"/>
  <c r="CG122" i="8"/>
  <c r="CH122" i="8"/>
  <c r="CI122" i="8"/>
  <c r="CJ122" i="8"/>
  <c r="CK122" i="8"/>
  <c r="CL122" i="8"/>
  <c r="CM122" i="8"/>
  <c r="CN122" i="8"/>
  <c r="CO122" i="8"/>
  <c r="CP122" i="8"/>
  <c r="CQ122" i="8"/>
  <c r="CR122" i="8"/>
  <c r="CS122" i="8"/>
  <c r="CT122" i="8"/>
  <c r="CU122" i="8"/>
  <c r="CV122" i="8"/>
  <c r="CW122" i="8"/>
  <c r="CX122" i="8"/>
  <c r="CY122" i="8"/>
  <c r="CZ122" i="8"/>
  <c r="DA122" i="8"/>
  <c r="DB122" i="8"/>
  <c r="DC122" i="8"/>
  <c r="DD122" i="8"/>
  <c r="DE122" i="8"/>
  <c r="DF122" i="8"/>
  <c r="DG122" i="8"/>
  <c r="BO123" i="8"/>
  <c r="BP123" i="8"/>
  <c r="BQ123" i="8"/>
  <c r="BR123" i="8"/>
  <c r="BS123" i="8"/>
  <c r="BT123" i="8"/>
  <c r="BU123" i="8"/>
  <c r="BV123" i="8"/>
  <c r="BW123" i="8"/>
  <c r="BX123" i="8"/>
  <c r="BY123" i="8"/>
  <c r="BZ123" i="8"/>
  <c r="CA123" i="8"/>
  <c r="CB123" i="8"/>
  <c r="CC123" i="8"/>
  <c r="CD123" i="8"/>
  <c r="CE123" i="8"/>
  <c r="CF123" i="8"/>
  <c r="CG123" i="8"/>
  <c r="CH123" i="8"/>
  <c r="CI123" i="8"/>
  <c r="CJ123" i="8"/>
  <c r="CK123" i="8"/>
  <c r="CL123" i="8"/>
  <c r="CM123" i="8"/>
  <c r="CN123" i="8"/>
  <c r="CO123" i="8"/>
  <c r="CP123" i="8"/>
  <c r="CQ123" i="8"/>
  <c r="CR123" i="8"/>
  <c r="CS123" i="8"/>
  <c r="CT123" i="8"/>
  <c r="CU123" i="8"/>
  <c r="CV123" i="8"/>
  <c r="CW123" i="8"/>
  <c r="CX123" i="8"/>
  <c r="CY123" i="8"/>
  <c r="CZ123" i="8"/>
  <c r="DA123" i="8"/>
  <c r="DB123" i="8"/>
  <c r="DC123" i="8"/>
  <c r="DD123" i="8"/>
  <c r="DE123" i="8"/>
  <c r="DF123" i="8"/>
  <c r="DG123" i="8"/>
  <c r="BO124" i="8"/>
  <c r="BP124" i="8"/>
  <c r="BQ124" i="8"/>
  <c r="BR124" i="8"/>
  <c r="BS124" i="8"/>
  <c r="BT124" i="8"/>
  <c r="BU124" i="8"/>
  <c r="BV124" i="8"/>
  <c r="BW124" i="8"/>
  <c r="BX124" i="8"/>
  <c r="BY124" i="8"/>
  <c r="BZ124" i="8"/>
  <c r="CA124" i="8"/>
  <c r="CB124" i="8"/>
  <c r="CC124" i="8"/>
  <c r="CD124" i="8"/>
  <c r="CE124" i="8"/>
  <c r="CF124" i="8"/>
  <c r="CG124" i="8"/>
  <c r="CH124" i="8"/>
  <c r="CI124" i="8"/>
  <c r="CJ124" i="8"/>
  <c r="CK124" i="8"/>
  <c r="CL124" i="8"/>
  <c r="CM124" i="8"/>
  <c r="CN124" i="8"/>
  <c r="CO124" i="8"/>
  <c r="CP124" i="8"/>
  <c r="CQ124" i="8"/>
  <c r="CR124" i="8"/>
  <c r="CS124" i="8"/>
  <c r="CT124" i="8"/>
  <c r="CU124" i="8"/>
  <c r="CV124" i="8"/>
  <c r="CW124" i="8"/>
  <c r="CX124" i="8"/>
  <c r="CY124" i="8"/>
  <c r="CZ124" i="8"/>
  <c r="DA124" i="8"/>
  <c r="DB124" i="8"/>
  <c r="DC124" i="8"/>
  <c r="DD124" i="8"/>
  <c r="DE124" i="8"/>
  <c r="DF124" i="8"/>
  <c r="DG124" i="8"/>
  <c r="BO125" i="8"/>
  <c r="BP125" i="8"/>
  <c r="BQ125" i="8"/>
  <c r="BR125" i="8"/>
  <c r="BS125" i="8"/>
  <c r="BT125" i="8"/>
  <c r="BU125" i="8"/>
  <c r="BV125" i="8"/>
  <c r="BW125" i="8"/>
  <c r="BX125" i="8"/>
  <c r="BY125" i="8"/>
  <c r="BZ125" i="8"/>
  <c r="CA125" i="8"/>
  <c r="CB125" i="8"/>
  <c r="CC125" i="8"/>
  <c r="CD125" i="8"/>
  <c r="CE125" i="8"/>
  <c r="CF125" i="8"/>
  <c r="CG125" i="8"/>
  <c r="CH125" i="8"/>
  <c r="CI125" i="8"/>
  <c r="CJ125" i="8"/>
  <c r="CK125" i="8"/>
  <c r="CL125" i="8"/>
  <c r="CM125" i="8"/>
  <c r="CN125" i="8"/>
  <c r="CO125" i="8"/>
  <c r="CP125" i="8"/>
  <c r="CQ125" i="8"/>
  <c r="CR125" i="8"/>
  <c r="CS125" i="8"/>
  <c r="CT125" i="8"/>
  <c r="CU125" i="8"/>
  <c r="CV125" i="8"/>
  <c r="CW125" i="8"/>
  <c r="CX125" i="8"/>
  <c r="CY125" i="8"/>
  <c r="CZ125" i="8"/>
  <c r="DA125" i="8"/>
  <c r="DB125" i="8"/>
  <c r="DC125" i="8"/>
  <c r="DD125" i="8"/>
  <c r="DE125" i="8"/>
  <c r="DF125" i="8"/>
  <c r="DG125" i="8"/>
  <c r="BO126" i="8"/>
  <c r="BP126" i="8"/>
  <c r="BQ126" i="8"/>
  <c r="BR126" i="8"/>
  <c r="BS126" i="8"/>
  <c r="BT126" i="8"/>
  <c r="BU126" i="8"/>
  <c r="BV126" i="8"/>
  <c r="BW126" i="8"/>
  <c r="BX126" i="8"/>
  <c r="BY126" i="8"/>
  <c r="BZ126" i="8"/>
  <c r="CA126" i="8"/>
  <c r="CB126" i="8"/>
  <c r="CC126" i="8"/>
  <c r="CD126" i="8"/>
  <c r="CE126" i="8"/>
  <c r="CF126" i="8"/>
  <c r="CG126" i="8"/>
  <c r="CH126" i="8"/>
  <c r="CI126" i="8"/>
  <c r="CJ126" i="8"/>
  <c r="CK126" i="8"/>
  <c r="CL126" i="8"/>
  <c r="CM126" i="8"/>
  <c r="CN126" i="8"/>
  <c r="CO126" i="8"/>
  <c r="CP126" i="8"/>
  <c r="CQ126" i="8"/>
  <c r="CR126" i="8"/>
  <c r="CS126" i="8"/>
  <c r="CT126" i="8"/>
  <c r="CU126" i="8"/>
  <c r="CV126" i="8"/>
  <c r="CW126" i="8"/>
  <c r="CX126" i="8"/>
  <c r="CY126" i="8"/>
  <c r="CZ126" i="8"/>
  <c r="DA126" i="8"/>
  <c r="DB126" i="8"/>
  <c r="DC126" i="8"/>
  <c r="DD126" i="8"/>
  <c r="DE126" i="8"/>
  <c r="DF126" i="8"/>
  <c r="DG126" i="8"/>
  <c r="BO127" i="8"/>
  <c r="BP127" i="8"/>
  <c r="BQ127" i="8"/>
  <c r="BR127" i="8"/>
  <c r="BS127" i="8"/>
  <c r="BT127" i="8"/>
  <c r="BU127" i="8"/>
  <c r="BV127" i="8"/>
  <c r="BW127" i="8"/>
  <c r="BX127" i="8"/>
  <c r="BY127" i="8"/>
  <c r="BZ127" i="8"/>
  <c r="CA127" i="8"/>
  <c r="CB127" i="8"/>
  <c r="CC127" i="8"/>
  <c r="CD127" i="8"/>
  <c r="CE127" i="8"/>
  <c r="CF127" i="8"/>
  <c r="CG127" i="8"/>
  <c r="CH127" i="8"/>
  <c r="CI127" i="8"/>
  <c r="CJ127" i="8"/>
  <c r="CK127" i="8"/>
  <c r="CL127" i="8"/>
  <c r="CM127" i="8"/>
  <c r="CN127" i="8"/>
  <c r="CO127" i="8"/>
  <c r="CP127" i="8"/>
  <c r="CQ127" i="8"/>
  <c r="CR127" i="8"/>
  <c r="CS127" i="8"/>
  <c r="CT127" i="8"/>
  <c r="CU127" i="8"/>
  <c r="CV127" i="8"/>
  <c r="CW127" i="8"/>
  <c r="CX127" i="8"/>
  <c r="CY127" i="8"/>
  <c r="CZ127" i="8"/>
  <c r="DA127" i="8"/>
  <c r="DB127" i="8"/>
  <c r="DC127" i="8"/>
  <c r="DD127" i="8"/>
  <c r="DE127" i="8"/>
  <c r="DF127" i="8"/>
  <c r="DG127" i="8"/>
  <c r="BO128" i="8"/>
  <c r="BP128" i="8"/>
  <c r="BQ128" i="8"/>
  <c r="BR128" i="8"/>
  <c r="BS128" i="8"/>
  <c r="BT128" i="8"/>
  <c r="BU128" i="8"/>
  <c r="BV128" i="8"/>
  <c r="BW128" i="8"/>
  <c r="BX128" i="8"/>
  <c r="BY128" i="8"/>
  <c r="BZ128" i="8"/>
  <c r="CA128" i="8"/>
  <c r="CB128" i="8"/>
  <c r="CC128" i="8"/>
  <c r="CD128" i="8"/>
  <c r="CE128" i="8"/>
  <c r="CF128" i="8"/>
  <c r="CG128" i="8"/>
  <c r="CH128" i="8"/>
  <c r="CI128" i="8"/>
  <c r="CJ128" i="8"/>
  <c r="CK128" i="8"/>
  <c r="CL128" i="8"/>
  <c r="CM128" i="8"/>
  <c r="CN128" i="8"/>
  <c r="CO128" i="8"/>
  <c r="CP128" i="8"/>
  <c r="CQ128" i="8"/>
  <c r="CR128" i="8"/>
  <c r="CS128" i="8"/>
  <c r="CT128" i="8"/>
  <c r="CU128" i="8"/>
  <c r="CV128" i="8"/>
  <c r="CW128" i="8"/>
  <c r="CX128" i="8"/>
  <c r="CY128" i="8"/>
  <c r="CZ128" i="8"/>
  <c r="DA128" i="8"/>
  <c r="DB128" i="8"/>
  <c r="DC128" i="8"/>
  <c r="DD128" i="8"/>
  <c r="DE128" i="8"/>
  <c r="DF128" i="8"/>
  <c r="DG128" i="8"/>
  <c r="BO129" i="8"/>
  <c r="BP129" i="8"/>
  <c r="BQ129" i="8"/>
  <c r="BR129" i="8"/>
  <c r="BS129" i="8"/>
  <c r="BT129" i="8"/>
  <c r="BU129" i="8"/>
  <c r="BV129" i="8"/>
  <c r="BW129" i="8"/>
  <c r="BX129" i="8"/>
  <c r="BY129" i="8"/>
  <c r="BZ129" i="8"/>
  <c r="CA129" i="8"/>
  <c r="CB129" i="8"/>
  <c r="CC129" i="8"/>
  <c r="CD129" i="8"/>
  <c r="CE129" i="8"/>
  <c r="CF129" i="8"/>
  <c r="CG129" i="8"/>
  <c r="CH129" i="8"/>
  <c r="CI129" i="8"/>
  <c r="CJ129" i="8"/>
  <c r="CK129" i="8"/>
  <c r="CL129" i="8"/>
  <c r="CM129" i="8"/>
  <c r="CN129" i="8"/>
  <c r="CO129" i="8"/>
  <c r="CP129" i="8"/>
  <c r="CQ129" i="8"/>
  <c r="CR129" i="8"/>
  <c r="CS129" i="8"/>
  <c r="CT129" i="8"/>
  <c r="CU129" i="8"/>
  <c r="CV129" i="8"/>
  <c r="CW129" i="8"/>
  <c r="CX129" i="8"/>
  <c r="CY129" i="8"/>
  <c r="CZ129" i="8"/>
  <c r="DA129" i="8"/>
  <c r="DB129" i="8"/>
  <c r="DC129" i="8"/>
  <c r="DD129" i="8"/>
  <c r="DE129" i="8"/>
  <c r="DF129" i="8"/>
  <c r="DG129" i="8"/>
  <c r="BO130" i="8"/>
  <c r="BP130" i="8"/>
  <c r="BQ130" i="8"/>
  <c r="BR130" i="8"/>
  <c r="BS130" i="8"/>
  <c r="BT130" i="8"/>
  <c r="BU130" i="8"/>
  <c r="BV130" i="8"/>
  <c r="BW130" i="8"/>
  <c r="BX130" i="8"/>
  <c r="BY130" i="8"/>
  <c r="BZ130" i="8"/>
  <c r="CA130" i="8"/>
  <c r="CB130" i="8"/>
  <c r="CC130" i="8"/>
  <c r="CD130" i="8"/>
  <c r="CE130" i="8"/>
  <c r="CF130" i="8"/>
  <c r="CG130" i="8"/>
  <c r="CH130" i="8"/>
  <c r="CI130" i="8"/>
  <c r="CJ130" i="8"/>
  <c r="CK130" i="8"/>
  <c r="CL130" i="8"/>
  <c r="CM130" i="8"/>
  <c r="CN130" i="8"/>
  <c r="CO130" i="8"/>
  <c r="CP130" i="8"/>
  <c r="CQ130" i="8"/>
  <c r="CR130" i="8"/>
  <c r="CS130" i="8"/>
  <c r="CT130" i="8"/>
  <c r="CU130" i="8"/>
  <c r="CV130" i="8"/>
  <c r="CW130" i="8"/>
  <c r="CX130" i="8"/>
  <c r="CY130" i="8"/>
  <c r="CZ130" i="8"/>
  <c r="DA130" i="8"/>
  <c r="DB130" i="8"/>
  <c r="DC130" i="8"/>
  <c r="DD130" i="8"/>
  <c r="DE130" i="8"/>
  <c r="DF130" i="8"/>
  <c r="DG130" i="8"/>
  <c r="BO131" i="8"/>
  <c r="BP131" i="8"/>
  <c r="BQ131" i="8"/>
  <c r="BR131" i="8"/>
  <c r="BS131" i="8"/>
  <c r="BT131" i="8"/>
  <c r="BU131" i="8"/>
  <c r="BV131" i="8"/>
  <c r="BW131" i="8"/>
  <c r="BX131" i="8"/>
  <c r="BY131" i="8"/>
  <c r="BZ131" i="8"/>
  <c r="CA131" i="8"/>
  <c r="CB131" i="8"/>
  <c r="CC131" i="8"/>
  <c r="CD131" i="8"/>
  <c r="CE131" i="8"/>
  <c r="CF131" i="8"/>
  <c r="CG131" i="8"/>
  <c r="CH131" i="8"/>
  <c r="CI131" i="8"/>
  <c r="CJ131" i="8"/>
  <c r="CK131" i="8"/>
  <c r="CL131" i="8"/>
  <c r="CM131" i="8"/>
  <c r="CN131" i="8"/>
  <c r="CO131" i="8"/>
  <c r="CP131" i="8"/>
  <c r="CQ131" i="8"/>
  <c r="CR131" i="8"/>
  <c r="CS131" i="8"/>
  <c r="CT131" i="8"/>
  <c r="CU131" i="8"/>
  <c r="CV131" i="8"/>
  <c r="CW131" i="8"/>
  <c r="CX131" i="8"/>
  <c r="CY131" i="8"/>
  <c r="CZ131" i="8"/>
  <c r="DA131" i="8"/>
  <c r="DB131" i="8"/>
  <c r="DC131" i="8"/>
  <c r="DD131" i="8"/>
  <c r="DE131" i="8"/>
  <c r="DF131" i="8"/>
  <c r="DG131" i="8"/>
  <c r="BO132" i="8"/>
  <c r="BP132" i="8"/>
  <c r="BQ132" i="8"/>
  <c r="BR132" i="8"/>
  <c r="BS132" i="8"/>
  <c r="BT132" i="8"/>
  <c r="BU132" i="8"/>
  <c r="BV132" i="8"/>
  <c r="BW132" i="8"/>
  <c r="BX132" i="8"/>
  <c r="BY132" i="8"/>
  <c r="BZ132" i="8"/>
  <c r="CA132" i="8"/>
  <c r="CB132" i="8"/>
  <c r="CC132" i="8"/>
  <c r="CD132" i="8"/>
  <c r="CE132" i="8"/>
  <c r="CF132" i="8"/>
  <c r="CG132" i="8"/>
  <c r="CH132" i="8"/>
  <c r="CI132" i="8"/>
  <c r="CJ132" i="8"/>
  <c r="CK132" i="8"/>
  <c r="CL132" i="8"/>
  <c r="CM132" i="8"/>
  <c r="CN132" i="8"/>
  <c r="CO132" i="8"/>
  <c r="CP132" i="8"/>
  <c r="CQ132" i="8"/>
  <c r="CR132" i="8"/>
  <c r="CS132" i="8"/>
  <c r="CT132" i="8"/>
  <c r="CU132" i="8"/>
  <c r="CV132" i="8"/>
  <c r="CW132" i="8"/>
  <c r="CX132" i="8"/>
  <c r="CY132" i="8"/>
  <c r="CZ132" i="8"/>
  <c r="DA132" i="8"/>
  <c r="DB132" i="8"/>
  <c r="DC132" i="8"/>
  <c r="DD132" i="8"/>
  <c r="DE132" i="8"/>
  <c r="DF132" i="8"/>
  <c r="DG132" i="8"/>
  <c r="BO133" i="8"/>
  <c r="BP133" i="8"/>
  <c r="BQ133" i="8"/>
  <c r="BR133" i="8"/>
  <c r="BS133" i="8"/>
  <c r="BT133" i="8"/>
  <c r="BU133" i="8"/>
  <c r="BV133" i="8"/>
  <c r="BW133" i="8"/>
  <c r="BX133" i="8"/>
  <c r="BY133" i="8"/>
  <c r="BZ133" i="8"/>
  <c r="CA133" i="8"/>
  <c r="CB133" i="8"/>
  <c r="CC133" i="8"/>
  <c r="CD133" i="8"/>
  <c r="CE133" i="8"/>
  <c r="CF133" i="8"/>
  <c r="CG133" i="8"/>
  <c r="CH133" i="8"/>
  <c r="CI133" i="8"/>
  <c r="CJ133" i="8"/>
  <c r="CK133" i="8"/>
  <c r="CL133" i="8"/>
  <c r="CM133" i="8"/>
  <c r="CN133" i="8"/>
  <c r="CO133" i="8"/>
  <c r="CP133" i="8"/>
  <c r="CQ133" i="8"/>
  <c r="CR133" i="8"/>
  <c r="CS133" i="8"/>
  <c r="CT133" i="8"/>
  <c r="CU133" i="8"/>
  <c r="CV133" i="8"/>
  <c r="CW133" i="8"/>
  <c r="CX133" i="8"/>
  <c r="CY133" i="8"/>
  <c r="CZ133" i="8"/>
  <c r="DA133" i="8"/>
  <c r="DB133" i="8"/>
  <c r="DC133" i="8"/>
  <c r="DD133" i="8"/>
  <c r="DE133" i="8"/>
  <c r="DF133" i="8"/>
  <c r="DG133" i="8"/>
  <c r="BO134" i="8"/>
  <c r="BP134" i="8"/>
  <c r="BQ134" i="8"/>
  <c r="BR134" i="8"/>
  <c r="BS134" i="8"/>
  <c r="BT134" i="8"/>
  <c r="BU134" i="8"/>
  <c r="BV134" i="8"/>
  <c r="BW134" i="8"/>
  <c r="BX134" i="8"/>
  <c r="BY134" i="8"/>
  <c r="BZ134" i="8"/>
  <c r="CA134" i="8"/>
  <c r="CB134" i="8"/>
  <c r="CC134" i="8"/>
  <c r="CD134" i="8"/>
  <c r="CE134" i="8"/>
  <c r="CF134" i="8"/>
  <c r="CG134" i="8"/>
  <c r="CH134" i="8"/>
  <c r="CI134" i="8"/>
  <c r="CJ134" i="8"/>
  <c r="CK134" i="8"/>
  <c r="CL134" i="8"/>
  <c r="CM134" i="8"/>
  <c r="CN134" i="8"/>
  <c r="CO134" i="8"/>
  <c r="CP134" i="8"/>
  <c r="CQ134" i="8"/>
  <c r="CR134" i="8"/>
  <c r="CS134" i="8"/>
  <c r="CT134" i="8"/>
  <c r="CU134" i="8"/>
  <c r="CV134" i="8"/>
  <c r="CW134" i="8"/>
  <c r="CX134" i="8"/>
  <c r="CY134" i="8"/>
  <c r="CZ134" i="8"/>
  <c r="DA134" i="8"/>
  <c r="DB134" i="8"/>
  <c r="DC134" i="8"/>
  <c r="DD134" i="8"/>
  <c r="DE134" i="8"/>
  <c r="DF134" i="8"/>
  <c r="DG134" i="8"/>
  <c r="BO135" i="8"/>
  <c r="BP135" i="8"/>
  <c r="BQ135" i="8"/>
  <c r="BR135" i="8"/>
  <c r="BS135" i="8"/>
  <c r="BT135" i="8"/>
  <c r="BU135" i="8"/>
  <c r="BV135" i="8"/>
  <c r="BW135" i="8"/>
  <c r="BX135" i="8"/>
  <c r="BY135" i="8"/>
  <c r="BZ135" i="8"/>
  <c r="CA135" i="8"/>
  <c r="CB135" i="8"/>
  <c r="CC135" i="8"/>
  <c r="CD135" i="8"/>
  <c r="CE135" i="8"/>
  <c r="CF135" i="8"/>
  <c r="CG135" i="8"/>
  <c r="CH135" i="8"/>
  <c r="CI135" i="8"/>
  <c r="CJ135" i="8"/>
  <c r="CK135" i="8"/>
  <c r="CL135" i="8"/>
  <c r="CM135" i="8"/>
  <c r="CN135" i="8"/>
  <c r="CO135" i="8"/>
  <c r="CP135" i="8"/>
  <c r="CQ135" i="8"/>
  <c r="CR135" i="8"/>
  <c r="CS135" i="8"/>
  <c r="CT135" i="8"/>
  <c r="CU135" i="8"/>
  <c r="CV135" i="8"/>
  <c r="CW135" i="8"/>
  <c r="CX135" i="8"/>
  <c r="CY135" i="8"/>
  <c r="CZ135" i="8"/>
  <c r="DA135" i="8"/>
  <c r="DB135" i="8"/>
  <c r="DC135" i="8"/>
  <c r="DD135" i="8"/>
  <c r="DE135" i="8"/>
  <c r="DF135" i="8"/>
  <c r="DG135" i="8"/>
  <c r="BO136" i="8"/>
  <c r="BP136" i="8"/>
  <c r="BQ136" i="8"/>
  <c r="BR136" i="8"/>
  <c r="BS136" i="8"/>
  <c r="BT136" i="8"/>
  <c r="BU136" i="8"/>
  <c r="BV136" i="8"/>
  <c r="BW136" i="8"/>
  <c r="BX136" i="8"/>
  <c r="BY136" i="8"/>
  <c r="BZ136" i="8"/>
  <c r="CA136" i="8"/>
  <c r="CB136" i="8"/>
  <c r="CC136" i="8"/>
  <c r="CD136" i="8"/>
  <c r="CE136" i="8"/>
  <c r="CF136" i="8"/>
  <c r="CG136" i="8"/>
  <c r="CH136" i="8"/>
  <c r="CI136" i="8"/>
  <c r="CJ136" i="8"/>
  <c r="CK136" i="8"/>
  <c r="CL136" i="8"/>
  <c r="CM136" i="8"/>
  <c r="CN136" i="8"/>
  <c r="CO136" i="8"/>
  <c r="CP136" i="8"/>
  <c r="CQ136" i="8"/>
  <c r="CR136" i="8"/>
  <c r="CS136" i="8"/>
  <c r="CT136" i="8"/>
  <c r="CU136" i="8"/>
  <c r="CV136" i="8"/>
  <c r="CW136" i="8"/>
  <c r="CX136" i="8"/>
  <c r="CY136" i="8"/>
  <c r="CZ136" i="8"/>
  <c r="DA136" i="8"/>
  <c r="DB136" i="8"/>
  <c r="DC136" i="8"/>
  <c r="DD136" i="8"/>
  <c r="DE136" i="8"/>
  <c r="DF136" i="8"/>
  <c r="DG136" i="8"/>
  <c r="BO137" i="8"/>
  <c r="BP137" i="8"/>
  <c r="BQ137" i="8"/>
  <c r="BR137" i="8"/>
  <c r="BS137" i="8"/>
  <c r="BT137" i="8"/>
  <c r="BU137" i="8"/>
  <c r="BV137" i="8"/>
  <c r="BW137" i="8"/>
  <c r="BX137" i="8"/>
  <c r="BY137" i="8"/>
  <c r="BZ137" i="8"/>
  <c r="CA137" i="8"/>
  <c r="CB137" i="8"/>
  <c r="CC137" i="8"/>
  <c r="CD137" i="8"/>
  <c r="CE137" i="8"/>
  <c r="CF137" i="8"/>
  <c r="CG137" i="8"/>
  <c r="CH137" i="8"/>
  <c r="CI137" i="8"/>
  <c r="CJ137" i="8"/>
  <c r="CK137" i="8"/>
  <c r="CL137" i="8"/>
  <c r="CM137" i="8"/>
  <c r="CN137" i="8"/>
  <c r="CO137" i="8"/>
  <c r="CP137" i="8"/>
  <c r="CQ137" i="8"/>
  <c r="CR137" i="8"/>
  <c r="CS137" i="8"/>
  <c r="CT137" i="8"/>
  <c r="CU137" i="8"/>
  <c r="CV137" i="8"/>
  <c r="CW137" i="8"/>
  <c r="CX137" i="8"/>
  <c r="CY137" i="8"/>
  <c r="CZ137" i="8"/>
  <c r="DA137" i="8"/>
  <c r="DB137" i="8"/>
  <c r="DC137" i="8"/>
  <c r="DD137" i="8"/>
  <c r="DE137" i="8"/>
  <c r="DF137" i="8"/>
  <c r="DG137" i="8"/>
  <c r="BO138" i="8"/>
  <c r="BP138" i="8"/>
  <c r="BQ138" i="8"/>
  <c r="BR138" i="8"/>
  <c r="BS138" i="8"/>
  <c r="BT138" i="8"/>
  <c r="BU138" i="8"/>
  <c r="BV138" i="8"/>
  <c r="BW138" i="8"/>
  <c r="BX138" i="8"/>
  <c r="BY138" i="8"/>
  <c r="BZ138" i="8"/>
  <c r="CA138" i="8"/>
  <c r="CB138" i="8"/>
  <c r="CC138" i="8"/>
  <c r="CD138" i="8"/>
  <c r="CE138" i="8"/>
  <c r="CF138" i="8"/>
  <c r="CG138" i="8"/>
  <c r="CH138" i="8"/>
  <c r="CI138" i="8"/>
  <c r="CJ138" i="8"/>
  <c r="CK138" i="8"/>
  <c r="CL138" i="8"/>
  <c r="CM138" i="8"/>
  <c r="CN138" i="8"/>
  <c r="CO138" i="8"/>
  <c r="CP138" i="8"/>
  <c r="CQ138" i="8"/>
  <c r="CR138" i="8"/>
  <c r="CS138" i="8"/>
  <c r="CT138" i="8"/>
  <c r="CU138" i="8"/>
  <c r="CV138" i="8"/>
  <c r="CW138" i="8"/>
  <c r="CX138" i="8"/>
  <c r="CY138" i="8"/>
  <c r="CZ138" i="8"/>
  <c r="DA138" i="8"/>
  <c r="DB138" i="8"/>
  <c r="DC138" i="8"/>
  <c r="DD138" i="8"/>
  <c r="DE138" i="8"/>
  <c r="DF138" i="8"/>
  <c r="DG138" i="8"/>
  <c r="BO139" i="8"/>
  <c r="BP139" i="8"/>
  <c r="BQ139" i="8"/>
  <c r="BR139" i="8"/>
  <c r="BS139" i="8"/>
  <c r="BT139" i="8"/>
  <c r="BU139" i="8"/>
  <c r="BV139" i="8"/>
  <c r="BW139" i="8"/>
  <c r="BX139" i="8"/>
  <c r="BY139" i="8"/>
  <c r="BZ139" i="8"/>
  <c r="CA139" i="8"/>
  <c r="CB139" i="8"/>
  <c r="CC139" i="8"/>
  <c r="CD139" i="8"/>
  <c r="CE139" i="8"/>
  <c r="CF139" i="8"/>
  <c r="CG139" i="8"/>
  <c r="CH139" i="8"/>
  <c r="CI139" i="8"/>
  <c r="CJ139" i="8"/>
  <c r="CK139" i="8"/>
  <c r="CL139" i="8"/>
  <c r="CM139" i="8"/>
  <c r="CN139" i="8"/>
  <c r="CO139" i="8"/>
  <c r="CP139" i="8"/>
  <c r="CQ139" i="8"/>
  <c r="CR139" i="8"/>
  <c r="CS139" i="8"/>
  <c r="CT139" i="8"/>
  <c r="CU139" i="8"/>
  <c r="CV139" i="8"/>
  <c r="CW139" i="8"/>
  <c r="CX139" i="8"/>
  <c r="CY139" i="8"/>
  <c r="CZ139" i="8"/>
  <c r="DA139" i="8"/>
  <c r="DB139" i="8"/>
  <c r="DC139" i="8"/>
  <c r="DD139" i="8"/>
  <c r="DE139" i="8"/>
  <c r="DF139" i="8"/>
  <c r="DG139" i="8"/>
  <c r="BO140" i="8"/>
  <c r="BP140" i="8"/>
  <c r="BQ140" i="8"/>
  <c r="BR140" i="8"/>
  <c r="BS140" i="8"/>
  <c r="BT140" i="8"/>
  <c r="BU140" i="8"/>
  <c r="BV140" i="8"/>
  <c r="BW140" i="8"/>
  <c r="BX140" i="8"/>
  <c r="BY140" i="8"/>
  <c r="BZ140" i="8"/>
  <c r="CA140" i="8"/>
  <c r="CB140" i="8"/>
  <c r="CC140" i="8"/>
  <c r="CD140" i="8"/>
  <c r="CE140" i="8"/>
  <c r="CF140" i="8"/>
  <c r="CG140" i="8"/>
  <c r="CH140" i="8"/>
  <c r="CI140" i="8"/>
  <c r="CJ140" i="8"/>
  <c r="CK140" i="8"/>
  <c r="CL140" i="8"/>
  <c r="CM140" i="8"/>
  <c r="CN140" i="8"/>
  <c r="CO140" i="8"/>
  <c r="CP140" i="8"/>
  <c r="CQ140" i="8"/>
  <c r="CR140" i="8"/>
  <c r="CS140" i="8"/>
  <c r="CT140" i="8"/>
  <c r="CU140" i="8"/>
  <c r="CV140" i="8"/>
  <c r="CW140" i="8"/>
  <c r="CX140" i="8"/>
  <c r="CY140" i="8"/>
  <c r="CZ140" i="8"/>
  <c r="DA140" i="8"/>
  <c r="DB140" i="8"/>
  <c r="DC140" i="8"/>
  <c r="DD140" i="8"/>
  <c r="DE140" i="8"/>
  <c r="DF140" i="8"/>
  <c r="DG140" i="8"/>
  <c r="BO141" i="8"/>
  <c r="BP141" i="8"/>
  <c r="BQ141" i="8"/>
  <c r="BR141" i="8"/>
  <c r="BS141" i="8"/>
  <c r="BT141" i="8"/>
  <c r="BU141" i="8"/>
  <c r="BV141" i="8"/>
  <c r="BW141" i="8"/>
  <c r="BX141" i="8"/>
  <c r="BY141" i="8"/>
  <c r="BZ141" i="8"/>
  <c r="CA141" i="8"/>
  <c r="CB141" i="8"/>
  <c r="CC141" i="8"/>
  <c r="CD141" i="8"/>
  <c r="CE141" i="8"/>
  <c r="CF141" i="8"/>
  <c r="CG141" i="8"/>
  <c r="CH141" i="8"/>
  <c r="CI141" i="8"/>
  <c r="CJ141" i="8"/>
  <c r="CK141" i="8"/>
  <c r="CL141" i="8"/>
  <c r="CM141" i="8"/>
  <c r="CN141" i="8"/>
  <c r="CO141" i="8"/>
  <c r="CP141" i="8"/>
  <c r="CQ141" i="8"/>
  <c r="CR141" i="8"/>
  <c r="CS141" i="8"/>
  <c r="CT141" i="8"/>
  <c r="CU141" i="8"/>
  <c r="CV141" i="8"/>
  <c r="CW141" i="8"/>
  <c r="CX141" i="8"/>
  <c r="CY141" i="8"/>
  <c r="CZ141" i="8"/>
  <c r="DA141" i="8"/>
  <c r="DB141" i="8"/>
  <c r="DC141" i="8"/>
  <c r="DD141" i="8"/>
  <c r="DE141" i="8"/>
  <c r="DF141" i="8"/>
  <c r="DG141" i="8"/>
  <c r="BO142" i="8"/>
  <c r="BP142" i="8"/>
  <c r="BQ142" i="8"/>
  <c r="BR142" i="8"/>
  <c r="BS142" i="8"/>
  <c r="BT142" i="8"/>
  <c r="BU142" i="8"/>
  <c r="BV142" i="8"/>
  <c r="BW142" i="8"/>
  <c r="BX142" i="8"/>
  <c r="BY142" i="8"/>
  <c r="BZ142" i="8"/>
  <c r="CA142" i="8"/>
  <c r="CB142" i="8"/>
  <c r="CC142" i="8"/>
  <c r="CD142" i="8"/>
  <c r="CE142" i="8"/>
  <c r="CF142" i="8"/>
  <c r="CG142" i="8"/>
  <c r="CH142" i="8"/>
  <c r="CI142" i="8"/>
  <c r="CJ142" i="8"/>
  <c r="CK142" i="8"/>
  <c r="CL142" i="8"/>
  <c r="CM142" i="8"/>
  <c r="CN142" i="8"/>
  <c r="CO142" i="8"/>
  <c r="CP142" i="8"/>
  <c r="CQ142" i="8"/>
  <c r="CR142" i="8"/>
  <c r="CS142" i="8"/>
  <c r="CT142" i="8"/>
  <c r="CU142" i="8"/>
  <c r="CV142" i="8"/>
  <c r="CW142" i="8"/>
  <c r="CX142" i="8"/>
  <c r="CY142" i="8"/>
  <c r="CZ142" i="8"/>
  <c r="DA142" i="8"/>
  <c r="DB142" i="8"/>
  <c r="DC142" i="8"/>
  <c r="DD142" i="8"/>
  <c r="DE142" i="8"/>
  <c r="DF142" i="8"/>
  <c r="DG142" i="8"/>
  <c r="BO143" i="8"/>
  <c r="BP143" i="8"/>
  <c r="BQ143" i="8"/>
  <c r="BR143" i="8"/>
  <c r="BS143" i="8"/>
  <c r="BT143" i="8"/>
  <c r="BU143" i="8"/>
  <c r="BV143" i="8"/>
  <c r="BW143" i="8"/>
  <c r="BX143" i="8"/>
  <c r="BY143" i="8"/>
  <c r="BZ143" i="8"/>
  <c r="CA143" i="8"/>
  <c r="CB143" i="8"/>
  <c r="CC143" i="8"/>
  <c r="CD143" i="8"/>
  <c r="CE143" i="8"/>
  <c r="CF143" i="8"/>
  <c r="CG143" i="8"/>
  <c r="CH143" i="8"/>
  <c r="CI143" i="8"/>
  <c r="CJ143" i="8"/>
  <c r="CK143" i="8"/>
  <c r="CL143" i="8"/>
  <c r="CM143" i="8"/>
  <c r="CN143" i="8"/>
  <c r="CO143" i="8"/>
  <c r="CP143" i="8"/>
  <c r="CQ143" i="8"/>
  <c r="CR143" i="8"/>
  <c r="CS143" i="8"/>
  <c r="CT143" i="8"/>
  <c r="CU143" i="8"/>
  <c r="CV143" i="8"/>
  <c r="CW143" i="8"/>
  <c r="CX143" i="8"/>
  <c r="CY143" i="8"/>
  <c r="CZ143" i="8"/>
  <c r="DA143" i="8"/>
  <c r="DB143" i="8"/>
  <c r="DC143" i="8"/>
  <c r="DD143" i="8"/>
  <c r="DE143" i="8"/>
  <c r="DF143" i="8"/>
  <c r="DG143" i="8"/>
  <c r="BO144" i="8"/>
  <c r="BP144" i="8"/>
  <c r="BQ144" i="8"/>
  <c r="BR144" i="8"/>
  <c r="BS144" i="8"/>
  <c r="BT144" i="8"/>
  <c r="BU144" i="8"/>
  <c r="BV144" i="8"/>
  <c r="BW144" i="8"/>
  <c r="BX144" i="8"/>
  <c r="BY144" i="8"/>
  <c r="BZ144" i="8"/>
  <c r="CA144" i="8"/>
  <c r="CB144" i="8"/>
  <c r="CC144" i="8"/>
  <c r="CD144" i="8"/>
  <c r="CE144" i="8"/>
  <c r="CF144" i="8"/>
  <c r="CG144" i="8"/>
  <c r="CH144" i="8"/>
  <c r="CI144" i="8"/>
  <c r="CJ144" i="8"/>
  <c r="CK144" i="8"/>
  <c r="CL144" i="8"/>
  <c r="CM144" i="8"/>
  <c r="CN144" i="8"/>
  <c r="CO144" i="8"/>
  <c r="CP144" i="8"/>
  <c r="CQ144" i="8"/>
  <c r="CR144" i="8"/>
  <c r="CS144" i="8"/>
  <c r="CT144" i="8"/>
  <c r="CU144" i="8"/>
  <c r="CV144" i="8"/>
  <c r="CW144" i="8"/>
  <c r="CX144" i="8"/>
  <c r="CY144" i="8"/>
  <c r="CZ144" i="8"/>
  <c r="DA144" i="8"/>
  <c r="DB144" i="8"/>
  <c r="DC144" i="8"/>
  <c r="DD144" i="8"/>
  <c r="DE144" i="8"/>
  <c r="DF144" i="8"/>
  <c r="DG144" i="8"/>
  <c r="BO145" i="8"/>
  <c r="BP145" i="8"/>
  <c r="BQ145" i="8"/>
  <c r="BR145" i="8"/>
  <c r="BS145" i="8"/>
  <c r="BT145" i="8"/>
  <c r="BU145" i="8"/>
  <c r="BV145" i="8"/>
  <c r="BW145" i="8"/>
  <c r="BX145" i="8"/>
  <c r="BY145" i="8"/>
  <c r="BZ145" i="8"/>
  <c r="CA145" i="8"/>
  <c r="CB145" i="8"/>
  <c r="CC145" i="8"/>
  <c r="CD145" i="8"/>
  <c r="CE145" i="8"/>
  <c r="CF145" i="8"/>
  <c r="CG145" i="8"/>
  <c r="CH145" i="8"/>
  <c r="CI145" i="8"/>
  <c r="CJ145" i="8"/>
  <c r="CK145" i="8"/>
  <c r="CL145" i="8"/>
  <c r="CM145" i="8"/>
  <c r="CN145" i="8"/>
  <c r="CO145" i="8"/>
  <c r="CP145" i="8"/>
  <c r="CQ145" i="8"/>
  <c r="CR145" i="8"/>
  <c r="CS145" i="8"/>
  <c r="CT145" i="8"/>
  <c r="CU145" i="8"/>
  <c r="CV145" i="8"/>
  <c r="CW145" i="8"/>
  <c r="CX145" i="8"/>
  <c r="CY145" i="8"/>
  <c r="CZ145" i="8"/>
  <c r="DA145" i="8"/>
  <c r="DB145" i="8"/>
  <c r="DC145" i="8"/>
  <c r="DD145" i="8"/>
  <c r="DE145" i="8"/>
  <c r="DF145" i="8"/>
  <c r="DG145" i="8"/>
  <c r="BO146" i="8"/>
  <c r="BP146" i="8"/>
  <c r="BQ146" i="8"/>
  <c r="BR146" i="8"/>
  <c r="BS146" i="8"/>
  <c r="BT146" i="8"/>
  <c r="BU146" i="8"/>
  <c r="BV146" i="8"/>
  <c r="BW146" i="8"/>
  <c r="BX146" i="8"/>
  <c r="BY146" i="8"/>
  <c r="BZ146" i="8"/>
  <c r="CA146" i="8"/>
  <c r="CB146" i="8"/>
  <c r="CC146" i="8"/>
  <c r="CD146" i="8"/>
  <c r="CE146" i="8"/>
  <c r="CF146" i="8"/>
  <c r="CG146" i="8"/>
  <c r="CH146" i="8"/>
  <c r="CI146" i="8"/>
  <c r="CJ146" i="8"/>
  <c r="CK146" i="8"/>
  <c r="CL146" i="8"/>
  <c r="CM146" i="8"/>
  <c r="CN146" i="8"/>
  <c r="CO146" i="8"/>
  <c r="CP146" i="8"/>
  <c r="CQ146" i="8"/>
  <c r="CR146" i="8"/>
  <c r="CS146" i="8"/>
  <c r="CT146" i="8"/>
  <c r="CU146" i="8"/>
  <c r="CV146" i="8"/>
  <c r="CW146" i="8"/>
  <c r="CX146" i="8"/>
  <c r="CY146" i="8"/>
  <c r="CZ146" i="8"/>
  <c r="DA146" i="8"/>
  <c r="DB146" i="8"/>
  <c r="DC146" i="8"/>
  <c r="DD146" i="8"/>
  <c r="DE146" i="8"/>
  <c r="DF146" i="8"/>
  <c r="DG146" i="8"/>
  <c r="BO147" i="8"/>
  <c r="BP147" i="8"/>
  <c r="BQ147" i="8"/>
  <c r="BR147" i="8"/>
  <c r="BS147" i="8"/>
  <c r="BT147" i="8"/>
  <c r="BU147" i="8"/>
  <c r="BV147" i="8"/>
  <c r="BW147" i="8"/>
  <c r="BX147" i="8"/>
  <c r="BY147" i="8"/>
  <c r="BZ147" i="8"/>
  <c r="CA147" i="8"/>
  <c r="CB147" i="8"/>
  <c r="CC147" i="8"/>
  <c r="CD147" i="8"/>
  <c r="CE147" i="8"/>
  <c r="CF147" i="8"/>
  <c r="CG147" i="8"/>
  <c r="CH147" i="8"/>
  <c r="CI147" i="8"/>
  <c r="CJ147" i="8"/>
  <c r="CK147" i="8"/>
  <c r="CL147" i="8"/>
  <c r="CM147" i="8"/>
  <c r="CN147" i="8"/>
  <c r="CO147" i="8"/>
  <c r="CP147" i="8"/>
  <c r="CQ147" i="8"/>
  <c r="CR147" i="8"/>
  <c r="CS147" i="8"/>
  <c r="CT147" i="8"/>
  <c r="CU147" i="8"/>
  <c r="CV147" i="8"/>
  <c r="CW147" i="8"/>
  <c r="CX147" i="8"/>
  <c r="CY147" i="8"/>
  <c r="CZ147" i="8"/>
  <c r="DA147" i="8"/>
  <c r="DB147" i="8"/>
  <c r="DC147" i="8"/>
  <c r="DD147" i="8"/>
  <c r="DE147" i="8"/>
  <c r="DF147" i="8"/>
  <c r="DG147" i="8"/>
  <c r="BO148" i="8"/>
  <c r="BP148" i="8"/>
  <c r="BQ148" i="8"/>
  <c r="BR148" i="8"/>
  <c r="BS148" i="8"/>
  <c r="BT148" i="8"/>
  <c r="BU148" i="8"/>
  <c r="BV148" i="8"/>
  <c r="BW148" i="8"/>
  <c r="BX148" i="8"/>
  <c r="BY148" i="8"/>
  <c r="BZ148" i="8"/>
  <c r="CA148" i="8"/>
  <c r="CB148" i="8"/>
  <c r="CC148" i="8"/>
  <c r="CD148" i="8"/>
  <c r="CE148" i="8"/>
  <c r="CF148" i="8"/>
  <c r="CG148" i="8"/>
  <c r="CH148" i="8"/>
  <c r="CI148" i="8"/>
  <c r="CJ148" i="8"/>
  <c r="CK148" i="8"/>
  <c r="CL148" i="8"/>
  <c r="CM148" i="8"/>
  <c r="CN148" i="8"/>
  <c r="CO148" i="8"/>
  <c r="CP148" i="8"/>
  <c r="CQ148" i="8"/>
  <c r="CR148" i="8"/>
  <c r="CS148" i="8"/>
  <c r="CT148" i="8"/>
  <c r="CU148" i="8"/>
  <c r="CV148" i="8"/>
  <c r="CW148" i="8"/>
  <c r="CX148" i="8"/>
  <c r="CY148" i="8"/>
  <c r="CZ148" i="8"/>
  <c r="DA148" i="8"/>
  <c r="DB148" i="8"/>
  <c r="DC148" i="8"/>
  <c r="DD148" i="8"/>
  <c r="DE148" i="8"/>
  <c r="DF148" i="8"/>
  <c r="DG148" i="8"/>
  <c r="BO149" i="8"/>
  <c r="BP149" i="8"/>
  <c r="BQ149" i="8"/>
  <c r="BR149" i="8"/>
  <c r="BS149" i="8"/>
  <c r="BT149" i="8"/>
  <c r="BU149" i="8"/>
  <c r="BV149" i="8"/>
  <c r="BW149" i="8"/>
  <c r="BX149" i="8"/>
  <c r="BY149" i="8"/>
  <c r="BZ149" i="8"/>
  <c r="CA149" i="8"/>
  <c r="CB149" i="8"/>
  <c r="CC149" i="8"/>
  <c r="CD149" i="8"/>
  <c r="CE149" i="8"/>
  <c r="CF149" i="8"/>
  <c r="CG149" i="8"/>
  <c r="CH149" i="8"/>
  <c r="CI149" i="8"/>
  <c r="CJ149" i="8"/>
  <c r="CK149" i="8"/>
  <c r="CL149" i="8"/>
  <c r="CM149" i="8"/>
  <c r="CN149" i="8"/>
  <c r="CO149" i="8"/>
  <c r="CP149" i="8"/>
  <c r="CQ149" i="8"/>
  <c r="CR149" i="8"/>
  <c r="CS149" i="8"/>
  <c r="CT149" i="8"/>
  <c r="CU149" i="8"/>
  <c r="CV149" i="8"/>
  <c r="CW149" i="8"/>
  <c r="CX149" i="8"/>
  <c r="CY149" i="8"/>
  <c r="CZ149" i="8"/>
  <c r="DA149" i="8"/>
  <c r="DB149" i="8"/>
  <c r="DC149" i="8"/>
  <c r="DD149" i="8"/>
  <c r="DE149" i="8"/>
  <c r="DF149" i="8"/>
  <c r="DG149" i="8"/>
  <c r="BO150" i="8"/>
  <c r="BP150" i="8"/>
  <c r="BQ150" i="8"/>
  <c r="BR150" i="8"/>
  <c r="BS150" i="8"/>
  <c r="BT150" i="8"/>
  <c r="BU150" i="8"/>
  <c r="BV150" i="8"/>
  <c r="BW150" i="8"/>
  <c r="BX150" i="8"/>
  <c r="BY150" i="8"/>
  <c r="BZ150" i="8"/>
  <c r="CA150" i="8"/>
  <c r="CB150" i="8"/>
  <c r="CC150" i="8"/>
  <c r="CD150" i="8"/>
  <c r="CE150" i="8"/>
  <c r="CF150" i="8"/>
  <c r="CG150" i="8"/>
  <c r="CH150" i="8"/>
  <c r="CI150" i="8"/>
  <c r="CJ150" i="8"/>
  <c r="CK150" i="8"/>
  <c r="CL150" i="8"/>
  <c r="CM150" i="8"/>
  <c r="CN150" i="8"/>
  <c r="CO150" i="8"/>
  <c r="CP150" i="8"/>
  <c r="CQ150" i="8"/>
  <c r="CR150" i="8"/>
  <c r="CS150" i="8"/>
  <c r="CT150" i="8"/>
  <c r="CU150" i="8"/>
  <c r="CV150" i="8"/>
  <c r="CW150" i="8"/>
  <c r="CX150" i="8"/>
  <c r="CY150" i="8"/>
  <c r="CZ150" i="8"/>
  <c r="DA150" i="8"/>
  <c r="DB150" i="8"/>
  <c r="DC150" i="8"/>
  <c r="DD150" i="8"/>
  <c r="DE150" i="8"/>
  <c r="DF150" i="8"/>
  <c r="DG150" i="8"/>
  <c r="BO151" i="8"/>
  <c r="BP151" i="8"/>
  <c r="BQ151" i="8"/>
  <c r="BR151" i="8"/>
  <c r="BS151" i="8"/>
  <c r="BT151" i="8"/>
  <c r="BU151" i="8"/>
  <c r="BV151" i="8"/>
  <c r="BW151" i="8"/>
  <c r="BX151" i="8"/>
  <c r="BY151" i="8"/>
  <c r="BZ151" i="8"/>
  <c r="CA151" i="8"/>
  <c r="CB151" i="8"/>
  <c r="CC151" i="8"/>
  <c r="CD151" i="8"/>
  <c r="CE151" i="8"/>
  <c r="CF151" i="8"/>
  <c r="CG151" i="8"/>
  <c r="CH151" i="8"/>
  <c r="CI151" i="8"/>
  <c r="CJ151" i="8"/>
  <c r="CK151" i="8"/>
  <c r="CL151" i="8"/>
  <c r="CM151" i="8"/>
  <c r="CN151" i="8"/>
  <c r="CO151" i="8"/>
  <c r="CP151" i="8"/>
  <c r="CQ151" i="8"/>
  <c r="CR151" i="8"/>
  <c r="CS151" i="8"/>
  <c r="CT151" i="8"/>
  <c r="CU151" i="8"/>
  <c r="CV151" i="8"/>
  <c r="CW151" i="8"/>
  <c r="CX151" i="8"/>
  <c r="CY151" i="8"/>
  <c r="CZ151" i="8"/>
  <c r="DA151" i="8"/>
  <c r="DB151" i="8"/>
  <c r="DC151" i="8"/>
  <c r="DD151" i="8"/>
  <c r="DE151" i="8"/>
  <c r="DF151" i="8"/>
  <c r="DG151" i="8"/>
  <c r="BO152" i="8"/>
  <c r="BP152" i="8"/>
  <c r="BR152" i="8"/>
  <c r="BS152" i="8"/>
  <c r="BT152" i="8"/>
  <c r="BU152" i="8"/>
  <c r="BV152" i="8"/>
  <c r="BW152" i="8"/>
  <c r="BX152" i="8"/>
  <c r="BY152" i="8"/>
  <c r="BZ152" i="8"/>
  <c r="CA152" i="8"/>
  <c r="CB152" i="8"/>
  <c r="CC152" i="8"/>
  <c r="CD152" i="8"/>
  <c r="CE152" i="8"/>
  <c r="CF152" i="8"/>
  <c r="CG152" i="8"/>
  <c r="CH152" i="8"/>
  <c r="CI152" i="8"/>
  <c r="CJ152" i="8"/>
  <c r="CK152" i="8"/>
  <c r="CL152" i="8"/>
  <c r="CM152" i="8"/>
  <c r="CN152" i="8"/>
  <c r="CO152" i="8"/>
  <c r="CP152" i="8"/>
  <c r="CQ152" i="8"/>
  <c r="CR152" i="8"/>
  <c r="CS152" i="8"/>
  <c r="CT152" i="8"/>
  <c r="CU152" i="8"/>
  <c r="CV152" i="8"/>
  <c r="CW152" i="8"/>
  <c r="CX152" i="8"/>
  <c r="CY152" i="8"/>
  <c r="CZ152" i="8"/>
  <c r="DA152" i="8"/>
  <c r="DB152" i="8"/>
  <c r="DC152" i="8"/>
  <c r="DD152" i="8"/>
  <c r="DE152" i="8"/>
  <c r="DF152" i="8"/>
  <c r="DG152" i="8"/>
  <c r="BO153" i="8"/>
  <c r="BP153" i="8"/>
  <c r="BQ153" i="8"/>
  <c r="BR153" i="8"/>
  <c r="BS153" i="8"/>
  <c r="BT153" i="8"/>
  <c r="BU153" i="8"/>
  <c r="BV153" i="8"/>
  <c r="BW153" i="8"/>
  <c r="BX153" i="8"/>
  <c r="BY153" i="8"/>
  <c r="BZ153" i="8"/>
  <c r="CA153" i="8"/>
  <c r="CB153" i="8"/>
  <c r="CC153" i="8"/>
  <c r="CD153" i="8"/>
  <c r="CE153" i="8"/>
  <c r="CF153" i="8"/>
  <c r="CG153" i="8"/>
  <c r="CH153" i="8"/>
  <c r="CI153" i="8"/>
  <c r="CJ153" i="8"/>
  <c r="CK153" i="8"/>
  <c r="CL153" i="8"/>
  <c r="CM153" i="8"/>
  <c r="CN153" i="8"/>
  <c r="CO153" i="8"/>
  <c r="CP153" i="8"/>
  <c r="CQ153" i="8"/>
  <c r="CR153" i="8"/>
  <c r="CS153" i="8"/>
  <c r="CT153" i="8"/>
  <c r="CU153" i="8"/>
  <c r="CV153" i="8"/>
  <c r="CW153" i="8"/>
  <c r="CX153" i="8"/>
  <c r="CY153" i="8"/>
  <c r="CZ153" i="8"/>
  <c r="DA153" i="8"/>
  <c r="DB153" i="8"/>
  <c r="DC153" i="8"/>
  <c r="DD153" i="8"/>
  <c r="DE153" i="8"/>
  <c r="DF153" i="8"/>
  <c r="DG153" i="8"/>
  <c r="BO154" i="8"/>
  <c r="BP154" i="8"/>
  <c r="BQ154" i="8"/>
  <c r="BR154" i="8"/>
  <c r="BS154" i="8"/>
  <c r="BT154" i="8"/>
  <c r="BU154" i="8"/>
  <c r="BV154" i="8"/>
  <c r="BW154" i="8"/>
  <c r="BX154" i="8"/>
  <c r="BY154" i="8"/>
  <c r="BZ154" i="8"/>
  <c r="CA154" i="8"/>
  <c r="CB154" i="8"/>
  <c r="CC154" i="8"/>
  <c r="CD154" i="8"/>
  <c r="CE154" i="8"/>
  <c r="CF154" i="8"/>
  <c r="CG154" i="8"/>
  <c r="CH154" i="8"/>
  <c r="CI154" i="8"/>
  <c r="CJ154" i="8"/>
  <c r="CK154" i="8"/>
  <c r="CL154" i="8"/>
  <c r="CM154" i="8"/>
  <c r="CN154" i="8"/>
  <c r="CO154" i="8"/>
  <c r="CP154" i="8"/>
  <c r="CQ154" i="8"/>
  <c r="CR154" i="8"/>
  <c r="CS154" i="8"/>
  <c r="CT154" i="8"/>
  <c r="CU154" i="8"/>
  <c r="CV154" i="8"/>
  <c r="CW154" i="8"/>
  <c r="CX154" i="8"/>
  <c r="CY154" i="8"/>
  <c r="CZ154" i="8"/>
  <c r="DA154" i="8"/>
  <c r="DB154" i="8"/>
  <c r="DC154" i="8"/>
  <c r="DD154" i="8"/>
  <c r="DE154" i="8"/>
  <c r="DF154" i="8"/>
  <c r="DG154" i="8"/>
  <c r="BO155" i="8"/>
  <c r="BP155" i="8"/>
  <c r="BQ155" i="8"/>
  <c r="BR155" i="8"/>
  <c r="BS155" i="8"/>
  <c r="BT155" i="8"/>
  <c r="BU155" i="8"/>
  <c r="BV155" i="8"/>
  <c r="BW155" i="8"/>
  <c r="BX155" i="8"/>
  <c r="BY155" i="8"/>
  <c r="BZ155" i="8"/>
  <c r="CA155" i="8"/>
  <c r="CB155" i="8"/>
  <c r="CC155" i="8"/>
  <c r="CD155" i="8"/>
  <c r="CE155" i="8"/>
  <c r="CF155" i="8"/>
  <c r="CG155" i="8"/>
  <c r="CH155" i="8"/>
  <c r="CI155" i="8"/>
  <c r="CJ155" i="8"/>
  <c r="CK155" i="8"/>
  <c r="CL155" i="8"/>
  <c r="CM155" i="8"/>
  <c r="CN155" i="8"/>
  <c r="CO155" i="8"/>
  <c r="CP155" i="8"/>
  <c r="CQ155" i="8"/>
  <c r="CR155" i="8"/>
  <c r="CS155" i="8"/>
  <c r="CT155" i="8"/>
  <c r="CU155" i="8"/>
  <c r="CV155" i="8"/>
  <c r="CW155" i="8"/>
  <c r="CX155" i="8"/>
  <c r="CY155" i="8"/>
  <c r="CZ155" i="8"/>
  <c r="DA155" i="8"/>
  <c r="DB155" i="8"/>
  <c r="DC155" i="8"/>
  <c r="DD155" i="8"/>
  <c r="DE155" i="8"/>
  <c r="DF155" i="8"/>
  <c r="DG155" i="8"/>
  <c r="BO156" i="8"/>
  <c r="BP156" i="8"/>
  <c r="BQ156" i="8"/>
  <c r="BR156" i="8"/>
  <c r="BS156" i="8"/>
  <c r="BT156" i="8"/>
  <c r="BU156" i="8"/>
  <c r="BV156" i="8"/>
  <c r="BW156" i="8"/>
  <c r="BX156" i="8"/>
  <c r="BY156" i="8"/>
  <c r="BZ156" i="8"/>
  <c r="CA156" i="8"/>
  <c r="CB156" i="8"/>
  <c r="CC156" i="8"/>
  <c r="CD156" i="8"/>
  <c r="CE156" i="8"/>
  <c r="CF156" i="8"/>
  <c r="CG156" i="8"/>
  <c r="CH156" i="8"/>
  <c r="CI156" i="8"/>
  <c r="CJ156" i="8"/>
  <c r="CK156" i="8"/>
  <c r="CL156" i="8"/>
  <c r="CM156" i="8"/>
  <c r="CN156" i="8"/>
  <c r="CO156" i="8"/>
  <c r="CP156" i="8"/>
  <c r="CQ156" i="8"/>
  <c r="CR156" i="8"/>
  <c r="CS156" i="8"/>
  <c r="CT156" i="8"/>
  <c r="CU156" i="8"/>
  <c r="CV156" i="8"/>
  <c r="CW156" i="8"/>
  <c r="CX156" i="8"/>
  <c r="CY156" i="8"/>
  <c r="CZ156" i="8"/>
  <c r="DA156" i="8"/>
  <c r="DB156" i="8"/>
  <c r="DC156" i="8"/>
  <c r="DD156" i="8"/>
  <c r="DE156" i="8"/>
  <c r="DF156" i="8"/>
  <c r="DG156" i="8"/>
  <c r="BO157" i="8"/>
  <c r="BP157" i="8"/>
  <c r="BQ157" i="8"/>
  <c r="BR157" i="8"/>
  <c r="BS157" i="8"/>
  <c r="BT157" i="8"/>
  <c r="BU157" i="8"/>
  <c r="BV157" i="8"/>
  <c r="BW157" i="8"/>
  <c r="BX157" i="8"/>
  <c r="BY157" i="8"/>
  <c r="BZ157" i="8"/>
  <c r="CA157" i="8"/>
  <c r="CB157" i="8"/>
  <c r="CC157" i="8"/>
  <c r="CD157" i="8"/>
  <c r="CE157" i="8"/>
  <c r="CF157" i="8"/>
  <c r="CG157" i="8"/>
  <c r="CH157" i="8"/>
  <c r="CI157" i="8"/>
  <c r="CJ157" i="8"/>
  <c r="CK157" i="8"/>
  <c r="CL157" i="8"/>
  <c r="CM157" i="8"/>
  <c r="CN157" i="8"/>
  <c r="CO157" i="8"/>
  <c r="CP157" i="8"/>
  <c r="CQ157" i="8"/>
  <c r="CR157" i="8"/>
  <c r="CS157" i="8"/>
  <c r="CT157" i="8"/>
  <c r="CU157" i="8"/>
  <c r="CV157" i="8"/>
  <c r="CW157" i="8"/>
  <c r="CX157" i="8"/>
  <c r="CY157" i="8"/>
  <c r="CZ157" i="8"/>
  <c r="DA157" i="8"/>
  <c r="DB157" i="8"/>
  <c r="DC157" i="8"/>
  <c r="DD157" i="8"/>
  <c r="DE157" i="8"/>
  <c r="DF157" i="8"/>
  <c r="DG157" i="8"/>
  <c r="BO158" i="8"/>
  <c r="BP158" i="8"/>
  <c r="BQ158" i="8"/>
  <c r="BR158" i="8"/>
  <c r="BS158" i="8"/>
  <c r="BT158" i="8"/>
  <c r="BU158" i="8"/>
  <c r="BV158" i="8"/>
  <c r="BW158" i="8"/>
  <c r="BX158" i="8"/>
  <c r="BY158" i="8"/>
  <c r="BZ158" i="8"/>
  <c r="CA158" i="8"/>
  <c r="CB158" i="8"/>
  <c r="CC158" i="8"/>
  <c r="CD158" i="8"/>
  <c r="CE158" i="8"/>
  <c r="CF158" i="8"/>
  <c r="CG158" i="8"/>
  <c r="CH158" i="8"/>
  <c r="CI158" i="8"/>
  <c r="CJ158" i="8"/>
  <c r="CK158" i="8"/>
  <c r="CL158" i="8"/>
  <c r="CM158" i="8"/>
  <c r="CN158" i="8"/>
  <c r="CO158" i="8"/>
  <c r="CP158" i="8"/>
  <c r="CQ158" i="8"/>
  <c r="CR158" i="8"/>
  <c r="CS158" i="8"/>
  <c r="CT158" i="8"/>
  <c r="CU158" i="8"/>
  <c r="CV158" i="8"/>
  <c r="CW158" i="8"/>
  <c r="CX158" i="8"/>
  <c r="CY158" i="8"/>
  <c r="CZ158" i="8"/>
  <c r="DA158" i="8"/>
  <c r="DB158" i="8"/>
  <c r="DC158" i="8"/>
  <c r="DD158" i="8"/>
  <c r="DE158" i="8"/>
  <c r="DF158" i="8"/>
  <c r="DG158" i="8"/>
  <c r="BO159" i="8"/>
  <c r="BP159" i="8"/>
  <c r="BQ159" i="8"/>
  <c r="BR159" i="8"/>
  <c r="BS159" i="8"/>
  <c r="BT159" i="8"/>
  <c r="BU159" i="8"/>
  <c r="BV159" i="8"/>
  <c r="BW159" i="8"/>
  <c r="BX159" i="8"/>
  <c r="BY159" i="8"/>
  <c r="BZ159" i="8"/>
  <c r="CA159" i="8"/>
  <c r="CB159" i="8"/>
  <c r="CC159" i="8"/>
  <c r="CD159" i="8"/>
  <c r="CE159" i="8"/>
  <c r="CF159" i="8"/>
  <c r="CG159" i="8"/>
  <c r="CH159" i="8"/>
  <c r="CI159" i="8"/>
  <c r="CJ159" i="8"/>
  <c r="CK159" i="8"/>
  <c r="CL159" i="8"/>
  <c r="CM159" i="8"/>
  <c r="CN159" i="8"/>
  <c r="CO159" i="8"/>
  <c r="CP159" i="8"/>
  <c r="CQ159" i="8"/>
  <c r="CR159" i="8"/>
  <c r="CS159" i="8"/>
  <c r="CT159" i="8"/>
  <c r="CU159" i="8"/>
  <c r="CV159" i="8"/>
  <c r="CW159" i="8"/>
  <c r="CX159" i="8"/>
  <c r="CY159" i="8"/>
  <c r="CZ159" i="8"/>
  <c r="DA159" i="8"/>
  <c r="DB159" i="8"/>
  <c r="DC159" i="8"/>
  <c r="DD159" i="8"/>
  <c r="DE159" i="8"/>
  <c r="DF159" i="8"/>
  <c r="DG159" i="8"/>
  <c r="BO160" i="8"/>
  <c r="BP160" i="8"/>
  <c r="BR160" i="8"/>
  <c r="BS160" i="8"/>
  <c r="BT160" i="8"/>
  <c r="BU160" i="8"/>
  <c r="BV160" i="8"/>
  <c r="BW160" i="8"/>
  <c r="BX160" i="8"/>
  <c r="BY160" i="8"/>
  <c r="BZ160" i="8"/>
  <c r="CA160" i="8"/>
  <c r="CB160" i="8"/>
  <c r="CC160" i="8"/>
  <c r="CD160" i="8"/>
  <c r="CE160" i="8"/>
  <c r="CF160" i="8"/>
  <c r="CG160" i="8"/>
  <c r="CH160" i="8"/>
  <c r="CI160" i="8"/>
  <c r="CJ160" i="8"/>
  <c r="CK160" i="8"/>
  <c r="CL160" i="8"/>
  <c r="CM160" i="8"/>
  <c r="CN160" i="8"/>
  <c r="CO160" i="8"/>
  <c r="CP160" i="8"/>
  <c r="CQ160" i="8"/>
  <c r="CR160" i="8"/>
  <c r="CS160" i="8"/>
  <c r="CT160" i="8"/>
  <c r="CU160" i="8"/>
  <c r="CV160" i="8"/>
  <c r="CW160" i="8"/>
  <c r="CX160" i="8"/>
  <c r="CY160" i="8"/>
  <c r="CZ160" i="8"/>
  <c r="DA160" i="8"/>
  <c r="DB160" i="8"/>
  <c r="DC160" i="8"/>
  <c r="DD160" i="8"/>
  <c r="DE160" i="8"/>
  <c r="DF160" i="8"/>
  <c r="DG160" i="8"/>
  <c r="BO161" i="8"/>
  <c r="BP161" i="8"/>
  <c r="BQ161" i="8"/>
  <c r="BR161" i="8"/>
  <c r="BS161" i="8"/>
  <c r="BT161" i="8"/>
  <c r="BU161" i="8"/>
  <c r="BV161" i="8"/>
  <c r="BW161" i="8"/>
  <c r="BX161" i="8"/>
  <c r="BY161" i="8"/>
  <c r="BZ161" i="8"/>
  <c r="CA161" i="8"/>
  <c r="CB161" i="8"/>
  <c r="CC161" i="8"/>
  <c r="CD161" i="8"/>
  <c r="CE161" i="8"/>
  <c r="CF161" i="8"/>
  <c r="CG161" i="8"/>
  <c r="CH161" i="8"/>
  <c r="CI161" i="8"/>
  <c r="CJ161" i="8"/>
  <c r="CK161" i="8"/>
  <c r="CL161" i="8"/>
  <c r="CM161" i="8"/>
  <c r="CN161" i="8"/>
  <c r="CO161" i="8"/>
  <c r="CP161" i="8"/>
  <c r="CQ161" i="8"/>
  <c r="CR161" i="8"/>
  <c r="CS161" i="8"/>
  <c r="CT161" i="8"/>
  <c r="CU161" i="8"/>
  <c r="CV161" i="8"/>
  <c r="CW161" i="8"/>
  <c r="CX161" i="8"/>
  <c r="CY161" i="8"/>
  <c r="CZ161" i="8"/>
  <c r="DA161" i="8"/>
  <c r="DB161" i="8"/>
  <c r="DC161" i="8"/>
  <c r="DD161" i="8"/>
  <c r="DE161" i="8"/>
  <c r="DF161" i="8"/>
  <c r="DG161" i="8"/>
  <c r="BO162" i="8"/>
  <c r="BP162" i="8"/>
  <c r="BQ162" i="8"/>
  <c r="BR162" i="8"/>
  <c r="BS162" i="8"/>
  <c r="BT162" i="8"/>
  <c r="BU162" i="8"/>
  <c r="BV162" i="8"/>
  <c r="BW162" i="8"/>
  <c r="BX162" i="8"/>
  <c r="BY162" i="8"/>
  <c r="BZ162" i="8"/>
  <c r="CA162" i="8"/>
  <c r="CB162" i="8"/>
  <c r="CC162" i="8"/>
  <c r="CD162" i="8"/>
  <c r="CE162" i="8"/>
  <c r="CF162" i="8"/>
  <c r="CG162" i="8"/>
  <c r="CH162" i="8"/>
  <c r="CI162" i="8"/>
  <c r="CJ162" i="8"/>
  <c r="CK162" i="8"/>
  <c r="CL162" i="8"/>
  <c r="CM162" i="8"/>
  <c r="CN162" i="8"/>
  <c r="CO162" i="8"/>
  <c r="CP162" i="8"/>
  <c r="CQ162" i="8"/>
  <c r="CR162" i="8"/>
  <c r="CS162" i="8"/>
  <c r="CT162" i="8"/>
  <c r="CU162" i="8"/>
  <c r="CV162" i="8"/>
  <c r="CW162" i="8"/>
  <c r="CX162" i="8"/>
  <c r="CY162" i="8"/>
  <c r="CZ162" i="8"/>
  <c r="DA162" i="8"/>
  <c r="DB162" i="8"/>
  <c r="DC162" i="8"/>
  <c r="DD162" i="8"/>
  <c r="DE162" i="8"/>
  <c r="DF162" i="8"/>
  <c r="DG162" i="8"/>
  <c r="BO163" i="8"/>
  <c r="BP163" i="8"/>
  <c r="BQ163" i="8"/>
  <c r="BR163" i="8"/>
  <c r="BS163" i="8"/>
  <c r="BT163" i="8"/>
  <c r="BU163" i="8"/>
  <c r="BV163" i="8"/>
  <c r="BW163" i="8"/>
  <c r="BX163" i="8"/>
  <c r="BY163" i="8"/>
  <c r="BZ163" i="8"/>
  <c r="CA163" i="8"/>
  <c r="CB163" i="8"/>
  <c r="CC163" i="8"/>
  <c r="CD163" i="8"/>
  <c r="CE163" i="8"/>
  <c r="CF163" i="8"/>
  <c r="CG163" i="8"/>
  <c r="CH163" i="8"/>
  <c r="CI163" i="8"/>
  <c r="CJ163" i="8"/>
  <c r="CK163" i="8"/>
  <c r="CL163" i="8"/>
  <c r="CM163" i="8"/>
  <c r="CN163" i="8"/>
  <c r="CO163" i="8"/>
  <c r="CP163" i="8"/>
  <c r="CQ163" i="8"/>
  <c r="CR163" i="8"/>
  <c r="CS163" i="8"/>
  <c r="CT163" i="8"/>
  <c r="CU163" i="8"/>
  <c r="CV163" i="8"/>
  <c r="CW163" i="8"/>
  <c r="CX163" i="8"/>
  <c r="CY163" i="8"/>
  <c r="CZ163" i="8"/>
  <c r="DA163" i="8"/>
  <c r="DB163" i="8"/>
  <c r="DC163" i="8"/>
  <c r="DD163" i="8"/>
  <c r="DE163" i="8"/>
  <c r="DF163" i="8"/>
  <c r="DG163" i="8"/>
  <c r="BO164" i="8"/>
  <c r="BP164" i="8"/>
  <c r="BQ164" i="8"/>
  <c r="BR164" i="8"/>
  <c r="BS164" i="8"/>
  <c r="BT164" i="8"/>
  <c r="BU164" i="8"/>
  <c r="BV164" i="8"/>
  <c r="BW164" i="8"/>
  <c r="BX164" i="8"/>
  <c r="BY164" i="8"/>
  <c r="BZ164" i="8"/>
  <c r="CA164" i="8"/>
  <c r="CB164" i="8"/>
  <c r="CC164" i="8"/>
  <c r="CD164" i="8"/>
  <c r="CE164" i="8"/>
  <c r="CF164" i="8"/>
  <c r="CG164" i="8"/>
  <c r="CH164" i="8"/>
  <c r="CI164" i="8"/>
  <c r="CJ164" i="8"/>
  <c r="CK164" i="8"/>
  <c r="CL164" i="8"/>
  <c r="CM164" i="8"/>
  <c r="CN164" i="8"/>
  <c r="CO164" i="8"/>
  <c r="CP164" i="8"/>
  <c r="CQ164" i="8"/>
  <c r="CR164" i="8"/>
  <c r="CS164" i="8"/>
  <c r="CT164" i="8"/>
  <c r="CU164" i="8"/>
  <c r="CV164" i="8"/>
  <c r="CW164" i="8"/>
  <c r="CX164" i="8"/>
  <c r="CY164" i="8"/>
  <c r="CZ164" i="8"/>
  <c r="DA164" i="8"/>
  <c r="DB164" i="8"/>
  <c r="DC164" i="8"/>
  <c r="DD164" i="8"/>
  <c r="DE164" i="8"/>
  <c r="DF164" i="8"/>
  <c r="DG164" i="8"/>
  <c r="BO165" i="8"/>
  <c r="BP165" i="8"/>
  <c r="BQ165" i="8"/>
  <c r="BR165" i="8"/>
  <c r="BS165" i="8"/>
  <c r="BT165" i="8"/>
  <c r="BU165" i="8"/>
  <c r="BV165" i="8"/>
  <c r="BW165" i="8"/>
  <c r="BX165" i="8"/>
  <c r="BY165" i="8"/>
  <c r="BZ165" i="8"/>
  <c r="CA165" i="8"/>
  <c r="CB165" i="8"/>
  <c r="CC165" i="8"/>
  <c r="CD165" i="8"/>
  <c r="CE165" i="8"/>
  <c r="CF165" i="8"/>
  <c r="CG165" i="8"/>
  <c r="CH165" i="8"/>
  <c r="CI165" i="8"/>
  <c r="CJ165" i="8"/>
  <c r="CK165" i="8"/>
  <c r="CL165" i="8"/>
  <c r="CM165" i="8"/>
  <c r="CN165" i="8"/>
  <c r="CO165" i="8"/>
  <c r="CP165" i="8"/>
  <c r="CQ165" i="8"/>
  <c r="CR165" i="8"/>
  <c r="CS165" i="8"/>
  <c r="CT165" i="8"/>
  <c r="CU165" i="8"/>
  <c r="CV165" i="8"/>
  <c r="CW165" i="8"/>
  <c r="CX165" i="8"/>
  <c r="CY165" i="8"/>
  <c r="CZ165" i="8"/>
  <c r="DA165" i="8"/>
  <c r="DB165" i="8"/>
  <c r="DC165" i="8"/>
  <c r="DD165" i="8"/>
  <c r="DE165" i="8"/>
  <c r="DF165" i="8"/>
  <c r="DG165" i="8"/>
  <c r="BO166" i="8"/>
  <c r="BP166" i="8"/>
  <c r="BR166" i="8"/>
  <c r="BS166" i="8"/>
  <c r="BT166" i="8"/>
  <c r="BU166" i="8"/>
  <c r="BV166" i="8"/>
  <c r="BW166" i="8"/>
  <c r="BX166" i="8"/>
  <c r="BY166" i="8"/>
  <c r="BZ166" i="8"/>
  <c r="CA166" i="8"/>
  <c r="CB166" i="8"/>
  <c r="CC166" i="8"/>
  <c r="CD166" i="8"/>
  <c r="CE166" i="8"/>
  <c r="CF166" i="8"/>
  <c r="CG166" i="8"/>
  <c r="CH166" i="8"/>
  <c r="CI166" i="8"/>
  <c r="CJ166" i="8"/>
  <c r="CK166" i="8"/>
  <c r="CL166" i="8"/>
  <c r="CM166" i="8"/>
  <c r="CN166" i="8"/>
  <c r="CO166" i="8"/>
  <c r="CP166" i="8"/>
  <c r="CQ166" i="8"/>
  <c r="CR166" i="8"/>
  <c r="CS166" i="8"/>
  <c r="CT166" i="8"/>
  <c r="CU166" i="8"/>
  <c r="CV166" i="8"/>
  <c r="CW166" i="8"/>
  <c r="CX166" i="8"/>
  <c r="CY166" i="8"/>
  <c r="CZ166" i="8"/>
  <c r="DA166" i="8"/>
  <c r="DB166" i="8"/>
  <c r="DC166" i="8"/>
  <c r="DD166" i="8"/>
  <c r="DE166" i="8"/>
  <c r="DF166" i="8"/>
  <c r="DG166" i="8"/>
  <c r="BO167" i="8"/>
  <c r="BP167" i="8"/>
  <c r="BQ167" i="8"/>
  <c r="BR167" i="8"/>
  <c r="BS167" i="8"/>
  <c r="BT167" i="8"/>
  <c r="BU167" i="8"/>
  <c r="BV167" i="8"/>
  <c r="BW167" i="8"/>
  <c r="BX167" i="8"/>
  <c r="BY167" i="8"/>
  <c r="BZ167" i="8"/>
  <c r="CA167" i="8"/>
  <c r="CB167" i="8"/>
  <c r="CC167" i="8"/>
  <c r="CD167" i="8"/>
  <c r="CE167" i="8"/>
  <c r="CF167" i="8"/>
  <c r="CG167" i="8"/>
  <c r="CH167" i="8"/>
  <c r="CI167" i="8"/>
  <c r="CJ167" i="8"/>
  <c r="CK167" i="8"/>
  <c r="CL167" i="8"/>
  <c r="CM167" i="8"/>
  <c r="CN167" i="8"/>
  <c r="CO167" i="8"/>
  <c r="CP167" i="8"/>
  <c r="CQ167" i="8"/>
  <c r="CR167" i="8"/>
  <c r="CS167" i="8"/>
  <c r="CT167" i="8"/>
  <c r="CU167" i="8"/>
  <c r="CV167" i="8"/>
  <c r="CW167" i="8"/>
  <c r="CX167" i="8"/>
  <c r="CY167" i="8"/>
  <c r="CZ167" i="8"/>
  <c r="DA167" i="8"/>
  <c r="DB167" i="8"/>
  <c r="DC167" i="8"/>
  <c r="DD167" i="8"/>
  <c r="DE167" i="8"/>
  <c r="DF167" i="8"/>
  <c r="DG167" i="8"/>
  <c r="BO168" i="8"/>
  <c r="BP168" i="8"/>
  <c r="BQ168" i="8"/>
  <c r="BR168" i="8"/>
  <c r="BS168" i="8"/>
  <c r="BT168" i="8"/>
  <c r="BU168" i="8"/>
  <c r="BV168" i="8"/>
  <c r="BW168" i="8"/>
  <c r="BX168" i="8"/>
  <c r="BY168" i="8"/>
  <c r="BZ168" i="8"/>
  <c r="CA168" i="8"/>
  <c r="CB168" i="8"/>
  <c r="CC168" i="8"/>
  <c r="CD168" i="8"/>
  <c r="CE168" i="8"/>
  <c r="CF168" i="8"/>
  <c r="CG168" i="8"/>
  <c r="CH168" i="8"/>
  <c r="CI168" i="8"/>
  <c r="CJ168" i="8"/>
  <c r="CK168" i="8"/>
  <c r="CL168" i="8"/>
  <c r="CM168" i="8"/>
  <c r="CN168" i="8"/>
  <c r="CO168" i="8"/>
  <c r="CP168" i="8"/>
  <c r="CQ168" i="8"/>
  <c r="CR168" i="8"/>
  <c r="CS168" i="8"/>
  <c r="CT168" i="8"/>
  <c r="CU168" i="8"/>
  <c r="CV168" i="8"/>
  <c r="CW168" i="8"/>
  <c r="CX168" i="8"/>
  <c r="CY168" i="8"/>
  <c r="CZ168" i="8"/>
  <c r="DA168" i="8"/>
  <c r="DB168" i="8"/>
  <c r="DC168" i="8"/>
  <c r="DD168" i="8"/>
  <c r="DE168" i="8"/>
  <c r="DF168" i="8"/>
  <c r="DG168" i="8"/>
  <c r="BO169" i="8"/>
  <c r="BP169" i="8"/>
  <c r="BQ169" i="8"/>
  <c r="BR169" i="8"/>
  <c r="BS169" i="8"/>
  <c r="BT169" i="8"/>
  <c r="BU169" i="8"/>
  <c r="BV169" i="8"/>
  <c r="BW169" i="8"/>
  <c r="BX169" i="8"/>
  <c r="BY169" i="8"/>
  <c r="BZ169" i="8"/>
  <c r="CA169" i="8"/>
  <c r="CB169" i="8"/>
  <c r="CC169" i="8"/>
  <c r="CD169" i="8"/>
  <c r="CE169" i="8"/>
  <c r="CF169" i="8"/>
  <c r="CG169" i="8"/>
  <c r="CH169" i="8"/>
  <c r="CI169" i="8"/>
  <c r="CJ169" i="8"/>
  <c r="CK169" i="8"/>
  <c r="CL169" i="8"/>
  <c r="CM169" i="8"/>
  <c r="CN169" i="8"/>
  <c r="CO169" i="8"/>
  <c r="CP169" i="8"/>
  <c r="CQ169" i="8"/>
  <c r="CR169" i="8"/>
  <c r="CS169" i="8"/>
  <c r="CT169" i="8"/>
  <c r="CU169" i="8"/>
  <c r="CV169" i="8"/>
  <c r="CW169" i="8"/>
  <c r="CX169" i="8"/>
  <c r="CY169" i="8"/>
  <c r="CZ169" i="8"/>
  <c r="DA169" i="8"/>
  <c r="DB169" i="8"/>
  <c r="DC169" i="8"/>
  <c r="DD169" i="8"/>
  <c r="DE169" i="8"/>
  <c r="DF169" i="8"/>
  <c r="DG169" i="8"/>
  <c r="BO170" i="8"/>
  <c r="BP170" i="8"/>
  <c r="BQ170" i="8"/>
  <c r="BR170" i="8"/>
  <c r="BS170" i="8"/>
  <c r="BT170" i="8"/>
  <c r="BU170" i="8"/>
  <c r="BV170" i="8"/>
  <c r="BW170" i="8"/>
  <c r="BX170" i="8"/>
  <c r="BY170" i="8"/>
  <c r="BZ170" i="8"/>
  <c r="CA170" i="8"/>
  <c r="CB170" i="8"/>
  <c r="CC170" i="8"/>
  <c r="CD170" i="8"/>
  <c r="CE170" i="8"/>
  <c r="CF170" i="8"/>
  <c r="CG170" i="8"/>
  <c r="CH170" i="8"/>
  <c r="CI170" i="8"/>
  <c r="CJ170" i="8"/>
  <c r="CK170" i="8"/>
  <c r="CL170" i="8"/>
  <c r="CM170" i="8"/>
  <c r="CN170" i="8"/>
  <c r="CO170" i="8"/>
  <c r="CP170" i="8"/>
  <c r="CQ170" i="8"/>
  <c r="CR170" i="8"/>
  <c r="CS170" i="8"/>
  <c r="CT170" i="8"/>
  <c r="CU170" i="8"/>
  <c r="CV170" i="8"/>
  <c r="CW170" i="8"/>
  <c r="CX170" i="8"/>
  <c r="CY170" i="8"/>
  <c r="CZ170" i="8"/>
  <c r="DA170" i="8"/>
  <c r="DB170" i="8"/>
  <c r="DC170" i="8"/>
  <c r="DD170" i="8"/>
  <c r="DE170" i="8"/>
  <c r="DF170" i="8"/>
  <c r="DG170" i="8"/>
  <c r="BO171" i="8"/>
  <c r="BP171" i="8"/>
  <c r="BQ171" i="8"/>
  <c r="BR171" i="8"/>
  <c r="BS171" i="8"/>
  <c r="BT171" i="8"/>
  <c r="BU171" i="8"/>
  <c r="BV171" i="8"/>
  <c r="BW171" i="8"/>
  <c r="BX171" i="8"/>
  <c r="BY171" i="8"/>
  <c r="BZ171" i="8"/>
  <c r="CA171" i="8"/>
  <c r="CB171" i="8"/>
  <c r="CC171" i="8"/>
  <c r="CD171" i="8"/>
  <c r="CE171" i="8"/>
  <c r="CF171" i="8"/>
  <c r="CG171" i="8"/>
  <c r="CH171" i="8"/>
  <c r="CI171" i="8"/>
  <c r="CJ171" i="8"/>
  <c r="CK171" i="8"/>
  <c r="CL171" i="8"/>
  <c r="CM171" i="8"/>
  <c r="CN171" i="8"/>
  <c r="CO171" i="8"/>
  <c r="CP171" i="8"/>
  <c r="CQ171" i="8"/>
  <c r="CR171" i="8"/>
  <c r="CS171" i="8"/>
  <c r="CT171" i="8"/>
  <c r="CU171" i="8"/>
  <c r="CV171" i="8"/>
  <c r="CW171" i="8"/>
  <c r="CX171" i="8"/>
  <c r="CY171" i="8"/>
  <c r="CZ171" i="8"/>
  <c r="DA171" i="8"/>
  <c r="DB171" i="8"/>
  <c r="DC171" i="8"/>
  <c r="DD171" i="8"/>
  <c r="DE171" i="8"/>
  <c r="DF171" i="8"/>
  <c r="DG171" i="8"/>
  <c r="BO172" i="8"/>
  <c r="BP172" i="8"/>
  <c r="BQ172" i="8"/>
  <c r="BR172" i="8"/>
  <c r="BS172" i="8"/>
  <c r="BT172" i="8"/>
  <c r="BU172" i="8"/>
  <c r="BV172" i="8"/>
  <c r="BW172" i="8"/>
  <c r="BX172" i="8"/>
  <c r="BY172" i="8"/>
  <c r="BZ172" i="8"/>
  <c r="CA172" i="8"/>
  <c r="CB172" i="8"/>
  <c r="CC172" i="8"/>
  <c r="CD172" i="8"/>
  <c r="CE172" i="8"/>
  <c r="CF172" i="8"/>
  <c r="CG172" i="8"/>
  <c r="CH172" i="8"/>
  <c r="CI172" i="8"/>
  <c r="CJ172" i="8"/>
  <c r="CK172" i="8"/>
  <c r="CL172" i="8"/>
  <c r="CM172" i="8"/>
  <c r="CN172" i="8"/>
  <c r="CO172" i="8"/>
  <c r="CP172" i="8"/>
  <c r="CQ172" i="8"/>
  <c r="CR172" i="8"/>
  <c r="CS172" i="8"/>
  <c r="CT172" i="8"/>
  <c r="CU172" i="8"/>
  <c r="CV172" i="8"/>
  <c r="CW172" i="8"/>
  <c r="CX172" i="8"/>
  <c r="CY172" i="8"/>
  <c r="CZ172" i="8"/>
  <c r="DA172" i="8"/>
  <c r="DB172" i="8"/>
  <c r="DC172" i="8"/>
  <c r="DD172" i="8"/>
  <c r="DE172" i="8"/>
  <c r="DF172" i="8"/>
  <c r="DG172" i="8"/>
  <c r="BO173" i="8"/>
  <c r="BP173" i="8"/>
  <c r="BQ173" i="8"/>
  <c r="BR173" i="8"/>
  <c r="BS173" i="8"/>
  <c r="BT173" i="8"/>
  <c r="BU173" i="8"/>
  <c r="BV173" i="8"/>
  <c r="BW173" i="8"/>
  <c r="BX173" i="8"/>
  <c r="BY173" i="8"/>
  <c r="BZ173" i="8"/>
  <c r="CA173" i="8"/>
  <c r="CB173" i="8"/>
  <c r="CC173" i="8"/>
  <c r="CD173" i="8"/>
  <c r="CE173" i="8"/>
  <c r="CF173" i="8"/>
  <c r="CG173" i="8"/>
  <c r="CH173" i="8"/>
  <c r="CI173" i="8"/>
  <c r="CJ173" i="8"/>
  <c r="CK173" i="8"/>
  <c r="CL173" i="8"/>
  <c r="CM173" i="8"/>
  <c r="CN173" i="8"/>
  <c r="CO173" i="8"/>
  <c r="CP173" i="8"/>
  <c r="CQ173" i="8"/>
  <c r="CR173" i="8"/>
  <c r="CS173" i="8"/>
  <c r="CT173" i="8"/>
  <c r="CU173" i="8"/>
  <c r="CV173" i="8"/>
  <c r="CW173" i="8"/>
  <c r="CX173" i="8"/>
  <c r="CY173" i="8"/>
  <c r="CZ173" i="8"/>
  <c r="DA173" i="8"/>
  <c r="DB173" i="8"/>
  <c r="DC173" i="8"/>
  <c r="DD173" i="8"/>
  <c r="DE173" i="8"/>
  <c r="DF173" i="8"/>
  <c r="DG173" i="8"/>
  <c r="BO174" i="8"/>
  <c r="BP174" i="8"/>
  <c r="BQ174" i="8"/>
  <c r="BR174" i="8"/>
  <c r="BS174" i="8"/>
  <c r="BT174" i="8"/>
  <c r="BU174" i="8"/>
  <c r="BV174" i="8"/>
  <c r="BW174" i="8"/>
  <c r="BX174" i="8"/>
  <c r="BY174" i="8"/>
  <c r="BZ174" i="8"/>
  <c r="CA174" i="8"/>
  <c r="CB174" i="8"/>
  <c r="CC174" i="8"/>
  <c r="CD174" i="8"/>
  <c r="CE174" i="8"/>
  <c r="CF174" i="8"/>
  <c r="CG174" i="8"/>
  <c r="CH174" i="8"/>
  <c r="CI174" i="8"/>
  <c r="CJ174" i="8"/>
  <c r="CK174" i="8"/>
  <c r="CL174" i="8"/>
  <c r="CM174" i="8"/>
  <c r="CN174" i="8"/>
  <c r="CO174" i="8"/>
  <c r="CP174" i="8"/>
  <c r="CQ174" i="8"/>
  <c r="CR174" i="8"/>
  <c r="CS174" i="8"/>
  <c r="CT174" i="8"/>
  <c r="CU174" i="8"/>
  <c r="CV174" i="8"/>
  <c r="CW174" i="8"/>
  <c r="CX174" i="8"/>
  <c r="CY174" i="8"/>
  <c r="CZ174" i="8"/>
  <c r="DA174" i="8"/>
  <c r="DB174" i="8"/>
  <c r="DC174" i="8"/>
  <c r="DD174" i="8"/>
  <c r="DE174" i="8"/>
  <c r="DF174" i="8"/>
  <c r="DG174" i="8"/>
  <c r="BO175" i="8"/>
  <c r="BP175" i="8"/>
  <c r="BR175" i="8"/>
  <c r="BS175" i="8"/>
  <c r="BT175" i="8"/>
  <c r="BU175" i="8"/>
  <c r="BV175" i="8"/>
  <c r="BW175" i="8"/>
  <c r="BX175" i="8"/>
  <c r="BY175" i="8"/>
  <c r="BZ175" i="8"/>
  <c r="CA175" i="8"/>
  <c r="CB175" i="8"/>
  <c r="CC175" i="8"/>
  <c r="CD175" i="8"/>
  <c r="CE175" i="8"/>
  <c r="CF175" i="8"/>
  <c r="CG175" i="8"/>
  <c r="CH175" i="8"/>
  <c r="CI175" i="8"/>
  <c r="CJ175" i="8"/>
  <c r="CK175" i="8"/>
  <c r="CL175" i="8"/>
  <c r="CM175" i="8"/>
  <c r="CN175" i="8"/>
  <c r="CO175" i="8"/>
  <c r="CP175" i="8"/>
  <c r="CQ175" i="8"/>
  <c r="CR175" i="8"/>
  <c r="CS175" i="8"/>
  <c r="CT175" i="8"/>
  <c r="CU175" i="8"/>
  <c r="CV175" i="8"/>
  <c r="CW175" i="8"/>
  <c r="CX175" i="8"/>
  <c r="CY175" i="8"/>
  <c r="CZ175" i="8"/>
  <c r="DA175" i="8"/>
  <c r="DB175" i="8"/>
  <c r="DC175" i="8"/>
  <c r="DD175" i="8"/>
  <c r="DE175" i="8"/>
  <c r="DF175" i="8"/>
  <c r="DG175" i="8"/>
  <c r="BO176" i="8"/>
  <c r="BP176" i="8"/>
  <c r="BR176" i="8"/>
  <c r="BS176" i="8"/>
  <c r="BT176" i="8"/>
  <c r="BU176" i="8"/>
  <c r="BV176" i="8"/>
  <c r="BW176" i="8"/>
  <c r="BX176" i="8"/>
  <c r="BY176" i="8"/>
  <c r="BZ176" i="8"/>
  <c r="CA176" i="8"/>
  <c r="CB176" i="8"/>
  <c r="CC176" i="8"/>
  <c r="CD176" i="8"/>
  <c r="CE176" i="8"/>
  <c r="CF176" i="8"/>
  <c r="CG176" i="8"/>
  <c r="CH176" i="8"/>
  <c r="CI176" i="8"/>
  <c r="CJ176" i="8"/>
  <c r="CK176" i="8"/>
  <c r="CL176" i="8"/>
  <c r="CM176" i="8"/>
  <c r="CN176" i="8"/>
  <c r="CO176" i="8"/>
  <c r="CP176" i="8"/>
  <c r="CQ176" i="8"/>
  <c r="CR176" i="8"/>
  <c r="CS176" i="8"/>
  <c r="CT176" i="8"/>
  <c r="CU176" i="8"/>
  <c r="CV176" i="8"/>
  <c r="CW176" i="8"/>
  <c r="CX176" i="8"/>
  <c r="CY176" i="8"/>
  <c r="CZ176" i="8"/>
  <c r="DA176" i="8"/>
  <c r="DB176" i="8"/>
  <c r="DC176" i="8"/>
  <c r="DD176" i="8"/>
  <c r="DE176" i="8"/>
  <c r="DF176" i="8"/>
  <c r="DG176" i="8"/>
  <c r="BO177" i="8"/>
  <c r="BP177" i="8"/>
  <c r="BQ177" i="8"/>
  <c r="BR177" i="8"/>
  <c r="BS177" i="8"/>
  <c r="BT177" i="8"/>
  <c r="BU177" i="8"/>
  <c r="BV177" i="8"/>
  <c r="BW177" i="8"/>
  <c r="BX177" i="8"/>
  <c r="BY177" i="8"/>
  <c r="BZ177" i="8"/>
  <c r="CA177" i="8"/>
  <c r="CB177" i="8"/>
  <c r="CC177" i="8"/>
  <c r="CD177" i="8"/>
  <c r="CE177" i="8"/>
  <c r="CF177" i="8"/>
  <c r="CG177" i="8"/>
  <c r="CH177" i="8"/>
  <c r="CI177" i="8"/>
  <c r="CJ177" i="8"/>
  <c r="CK177" i="8"/>
  <c r="CL177" i="8"/>
  <c r="CM177" i="8"/>
  <c r="CN177" i="8"/>
  <c r="CO177" i="8"/>
  <c r="CP177" i="8"/>
  <c r="CQ177" i="8"/>
  <c r="CR177" i="8"/>
  <c r="CS177" i="8"/>
  <c r="CT177" i="8"/>
  <c r="CU177" i="8"/>
  <c r="CV177" i="8"/>
  <c r="CW177" i="8"/>
  <c r="CX177" i="8"/>
  <c r="CY177" i="8"/>
  <c r="CZ177" i="8"/>
  <c r="DA177" i="8"/>
  <c r="DB177" i="8"/>
  <c r="DC177" i="8"/>
  <c r="DD177" i="8"/>
  <c r="DE177" i="8"/>
  <c r="DF177" i="8"/>
  <c r="DG177" i="8"/>
  <c r="BO178" i="8"/>
  <c r="BP178" i="8"/>
  <c r="BQ178" i="8"/>
  <c r="BR178" i="8"/>
  <c r="BS178" i="8"/>
  <c r="BT178" i="8"/>
  <c r="BU178" i="8"/>
  <c r="BV178" i="8"/>
  <c r="BW178" i="8"/>
  <c r="BX178" i="8"/>
  <c r="BY178" i="8"/>
  <c r="BZ178" i="8"/>
  <c r="CA178" i="8"/>
  <c r="CB178" i="8"/>
  <c r="CC178" i="8"/>
  <c r="CD178" i="8"/>
  <c r="CE178" i="8"/>
  <c r="CF178" i="8"/>
  <c r="CG178" i="8"/>
  <c r="CH178" i="8"/>
  <c r="CI178" i="8"/>
  <c r="CJ178" i="8"/>
  <c r="CK178" i="8"/>
  <c r="CL178" i="8"/>
  <c r="CM178" i="8"/>
  <c r="CN178" i="8"/>
  <c r="CO178" i="8"/>
  <c r="CP178" i="8"/>
  <c r="CQ178" i="8"/>
  <c r="CR178" i="8"/>
  <c r="CS178" i="8"/>
  <c r="CT178" i="8"/>
  <c r="CU178" i="8"/>
  <c r="CV178" i="8"/>
  <c r="CW178" i="8"/>
  <c r="CX178" i="8"/>
  <c r="CY178" i="8"/>
  <c r="CZ178" i="8"/>
  <c r="DA178" i="8"/>
  <c r="DB178" i="8"/>
  <c r="DC178" i="8"/>
  <c r="DD178" i="8"/>
  <c r="DE178" i="8"/>
  <c r="DF178" i="8"/>
  <c r="DG178" i="8"/>
  <c r="BO179" i="8"/>
  <c r="BP179" i="8"/>
  <c r="BR179" i="8"/>
  <c r="BS179" i="8"/>
  <c r="BT179" i="8"/>
  <c r="BU179" i="8"/>
  <c r="BV179" i="8"/>
  <c r="BW179" i="8"/>
  <c r="BX179" i="8"/>
  <c r="BY179" i="8"/>
  <c r="BZ179" i="8"/>
  <c r="CA179" i="8"/>
  <c r="CB179" i="8"/>
  <c r="CC179" i="8"/>
  <c r="CD179" i="8"/>
  <c r="CE179" i="8"/>
  <c r="CF179" i="8"/>
  <c r="CG179" i="8"/>
  <c r="CH179" i="8"/>
  <c r="CI179" i="8"/>
  <c r="CJ179" i="8"/>
  <c r="CK179" i="8"/>
  <c r="CL179" i="8"/>
  <c r="CM179" i="8"/>
  <c r="CN179" i="8"/>
  <c r="CO179" i="8"/>
  <c r="CP179" i="8"/>
  <c r="CQ179" i="8"/>
  <c r="CR179" i="8"/>
  <c r="CS179" i="8"/>
  <c r="CT179" i="8"/>
  <c r="CU179" i="8"/>
  <c r="CV179" i="8"/>
  <c r="CW179" i="8"/>
  <c r="CX179" i="8"/>
  <c r="CY179" i="8"/>
  <c r="CZ179" i="8"/>
  <c r="DA179" i="8"/>
  <c r="DB179" i="8"/>
  <c r="DC179" i="8"/>
  <c r="DD179" i="8"/>
  <c r="DE179" i="8"/>
  <c r="DF179" i="8"/>
  <c r="DG179" i="8"/>
  <c r="BO180" i="8"/>
  <c r="BP180" i="8"/>
  <c r="BQ180" i="8"/>
  <c r="BR180" i="8"/>
  <c r="BS180" i="8"/>
  <c r="BT180" i="8"/>
  <c r="BU180" i="8"/>
  <c r="BV180" i="8"/>
  <c r="BW180" i="8"/>
  <c r="BX180" i="8"/>
  <c r="BY180" i="8"/>
  <c r="BZ180" i="8"/>
  <c r="CA180" i="8"/>
  <c r="CB180" i="8"/>
  <c r="CC180" i="8"/>
  <c r="CD180" i="8"/>
  <c r="CE180" i="8"/>
  <c r="CF180" i="8"/>
  <c r="CG180" i="8"/>
  <c r="CH180" i="8"/>
  <c r="CI180" i="8"/>
  <c r="CJ180" i="8"/>
  <c r="CK180" i="8"/>
  <c r="CL180" i="8"/>
  <c r="CM180" i="8"/>
  <c r="CN180" i="8"/>
  <c r="CO180" i="8"/>
  <c r="CP180" i="8"/>
  <c r="CQ180" i="8"/>
  <c r="CR180" i="8"/>
  <c r="CS180" i="8"/>
  <c r="CT180" i="8"/>
  <c r="CU180" i="8"/>
  <c r="CV180" i="8"/>
  <c r="CW180" i="8"/>
  <c r="CX180" i="8"/>
  <c r="CY180" i="8"/>
  <c r="CZ180" i="8"/>
  <c r="DA180" i="8"/>
  <c r="DB180" i="8"/>
  <c r="DC180" i="8"/>
  <c r="DD180" i="8"/>
  <c r="DE180" i="8"/>
  <c r="DF180" i="8"/>
  <c r="DG180" i="8"/>
  <c r="BO181" i="8"/>
  <c r="BP181" i="8"/>
  <c r="BQ181" i="8"/>
  <c r="BR181" i="8"/>
  <c r="BS181" i="8"/>
  <c r="BT181" i="8"/>
  <c r="BU181" i="8"/>
  <c r="BV181" i="8"/>
  <c r="BW181" i="8"/>
  <c r="BX181" i="8"/>
  <c r="BY181" i="8"/>
  <c r="BZ181" i="8"/>
  <c r="CA181" i="8"/>
  <c r="CB181" i="8"/>
  <c r="CC181" i="8"/>
  <c r="CD181" i="8"/>
  <c r="CE181" i="8"/>
  <c r="CF181" i="8"/>
  <c r="CG181" i="8"/>
  <c r="CH181" i="8"/>
  <c r="CI181" i="8"/>
  <c r="CJ181" i="8"/>
  <c r="CK181" i="8"/>
  <c r="CL181" i="8"/>
  <c r="CM181" i="8"/>
  <c r="CN181" i="8"/>
  <c r="CO181" i="8"/>
  <c r="CP181" i="8"/>
  <c r="CQ181" i="8"/>
  <c r="CR181" i="8"/>
  <c r="CS181" i="8"/>
  <c r="CT181" i="8"/>
  <c r="CU181" i="8"/>
  <c r="CV181" i="8"/>
  <c r="CW181" i="8"/>
  <c r="CX181" i="8"/>
  <c r="CY181" i="8"/>
  <c r="CZ181" i="8"/>
  <c r="DA181" i="8"/>
  <c r="DB181" i="8"/>
  <c r="DC181" i="8"/>
  <c r="DD181" i="8"/>
  <c r="DE181" i="8"/>
  <c r="DF181" i="8"/>
  <c r="DG181" i="8"/>
  <c r="BO182" i="8"/>
  <c r="BP182" i="8"/>
  <c r="BR182" i="8"/>
  <c r="BS182" i="8"/>
  <c r="BT182" i="8"/>
  <c r="BU182" i="8"/>
  <c r="BV182" i="8"/>
  <c r="BW182" i="8"/>
  <c r="BX182" i="8"/>
  <c r="BY182" i="8"/>
  <c r="BZ182" i="8"/>
  <c r="CA182" i="8"/>
  <c r="CB182" i="8"/>
  <c r="CC182" i="8"/>
  <c r="CD182" i="8"/>
  <c r="CE182" i="8"/>
  <c r="CF182" i="8"/>
  <c r="CG182" i="8"/>
  <c r="CH182" i="8"/>
  <c r="CI182" i="8"/>
  <c r="CJ182" i="8"/>
  <c r="CK182" i="8"/>
  <c r="CL182" i="8"/>
  <c r="CM182" i="8"/>
  <c r="CN182" i="8"/>
  <c r="CO182" i="8"/>
  <c r="CP182" i="8"/>
  <c r="CQ182" i="8"/>
  <c r="CR182" i="8"/>
  <c r="CS182" i="8"/>
  <c r="CT182" i="8"/>
  <c r="CU182" i="8"/>
  <c r="CV182" i="8"/>
  <c r="CW182" i="8"/>
  <c r="CX182" i="8"/>
  <c r="CY182" i="8"/>
  <c r="CZ182" i="8"/>
  <c r="DA182" i="8"/>
  <c r="DB182" i="8"/>
  <c r="DC182" i="8"/>
  <c r="DD182" i="8"/>
  <c r="DE182" i="8"/>
  <c r="DF182" i="8"/>
  <c r="DG182" i="8"/>
  <c r="BO183" i="8"/>
  <c r="BP183" i="8"/>
  <c r="BQ183" i="8"/>
  <c r="BR183" i="8"/>
  <c r="BS183" i="8"/>
  <c r="BT183" i="8"/>
  <c r="BU183" i="8"/>
  <c r="BV183" i="8"/>
  <c r="BW183" i="8"/>
  <c r="BX183" i="8"/>
  <c r="BY183" i="8"/>
  <c r="BZ183" i="8"/>
  <c r="CA183" i="8"/>
  <c r="CB183" i="8"/>
  <c r="CC183" i="8"/>
  <c r="CD183" i="8"/>
  <c r="CE183" i="8"/>
  <c r="CF183" i="8"/>
  <c r="CG183" i="8"/>
  <c r="CH183" i="8"/>
  <c r="CI183" i="8"/>
  <c r="CJ183" i="8"/>
  <c r="CK183" i="8"/>
  <c r="CL183" i="8"/>
  <c r="CM183" i="8"/>
  <c r="CN183" i="8"/>
  <c r="CO183" i="8"/>
  <c r="CP183" i="8"/>
  <c r="CQ183" i="8"/>
  <c r="CR183" i="8"/>
  <c r="CS183" i="8"/>
  <c r="CT183" i="8"/>
  <c r="CU183" i="8"/>
  <c r="CV183" i="8"/>
  <c r="CW183" i="8"/>
  <c r="CX183" i="8"/>
  <c r="CY183" i="8"/>
  <c r="CZ183" i="8"/>
  <c r="DA183" i="8"/>
  <c r="DB183" i="8"/>
  <c r="DC183" i="8"/>
  <c r="DD183" i="8"/>
  <c r="DE183" i="8"/>
  <c r="DF183" i="8"/>
  <c r="DG183" i="8"/>
  <c r="BO184" i="8"/>
  <c r="BP184" i="8"/>
  <c r="BQ184" i="8"/>
  <c r="BR184" i="8"/>
  <c r="BS184" i="8"/>
  <c r="BT184" i="8"/>
  <c r="BU184" i="8"/>
  <c r="BV184" i="8"/>
  <c r="BW184" i="8"/>
  <c r="BX184" i="8"/>
  <c r="BY184" i="8"/>
  <c r="BZ184" i="8"/>
  <c r="CA184" i="8"/>
  <c r="CB184" i="8"/>
  <c r="CC184" i="8"/>
  <c r="CD184" i="8"/>
  <c r="CE184" i="8"/>
  <c r="CF184" i="8"/>
  <c r="CG184" i="8"/>
  <c r="CH184" i="8"/>
  <c r="CI184" i="8"/>
  <c r="CJ184" i="8"/>
  <c r="CK184" i="8"/>
  <c r="CL184" i="8"/>
  <c r="CM184" i="8"/>
  <c r="CN184" i="8"/>
  <c r="CO184" i="8"/>
  <c r="CP184" i="8"/>
  <c r="CQ184" i="8"/>
  <c r="CR184" i="8"/>
  <c r="CS184" i="8"/>
  <c r="CT184" i="8"/>
  <c r="CU184" i="8"/>
  <c r="CV184" i="8"/>
  <c r="CW184" i="8"/>
  <c r="CX184" i="8"/>
  <c r="CY184" i="8"/>
  <c r="CZ184" i="8"/>
  <c r="DA184" i="8"/>
  <c r="DB184" i="8"/>
  <c r="DC184" i="8"/>
  <c r="DD184" i="8"/>
  <c r="DE184" i="8"/>
  <c r="DF184" i="8"/>
  <c r="DG184" i="8"/>
  <c r="BO185" i="8"/>
  <c r="BP185" i="8"/>
  <c r="BQ185" i="8"/>
  <c r="BR185" i="8"/>
  <c r="BS185" i="8"/>
  <c r="BT185" i="8"/>
  <c r="BU185" i="8"/>
  <c r="BV185" i="8"/>
  <c r="BW185" i="8"/>
  <c r="BX185" i="8"/>
  <c r="BY185" i="8"/>
  <c r="BZ185" i="8"/>
  <c r="CA185" i="8"/>
  <c r="CB185" i="8"/>
  <c r="CC185" i="8"/>
  <c r="CD185" i="8"/>
  <c r="CE185" i="8"/>
  <c r="CF185" i="8"/>
  <c r="CG185" i="8"/>
  <c r="CH185" i="8"/>
  <c r="CI185" i="8"/>
  <c r="CJ185" i="8"/>
  <c r="CK185" i="8"/>
  <c r="CL185" i="8"/>
  <c r="CM185" i="8"/>
  <c r="CN185" i="8"/>
  <c r="CO185" i="8"/>
  <c r="CP185" i="8"/>
  <c r="CQ185" i="8"/>
  <c r="CR185" i="8"/>
  <c r="CS185" i="8"/>
  <c r="CT185" i="8"/>
  <c r="CU185" i="8"/>
  <c r="CV185" i="8"/>
  <c r="CW185" i="8"/>
  <c r="CX185" i="8"/>
  <c r="CY185" i="8"/>
  <c r="CZ185" i="8"/>
  <c r="DA185" i="8"/>
  <c r="DB185" i="8"/>
  <c r="DC185" i="8"/>
  <c r="DD185" i="8"/>
  <c r="DE185" i="8"/>
  <c r="DF185" i="8"/>
  <c r="DG185" i="8"/>
  <c r="BO186" i="8"/>
  <c r="BP186" i="8"/>
  <c r="BQ186" i="8"/>
  <c r="BR186" i="8"/>
  <c r="BS186" i="8"/>
  <c r="BT186" i="8"/>
  <c r="BU186" i="8"/>
  <c r="BV186" i="8"/>
  <c r="BW186" i="8"/>
  <c r="BX186" i="8"/>
  <c r="BY186" i="8"/>
  <c r="BZ186" i="8"/>
  <c r="CA186" i="8"/>
  <c r="CB186" i="8"/>
  <c r="CC186" i="8"/>
  <c r="CD186" i="8"/>
  <c r="CE186" i="8"/>
  <c r="CF186" i="8"/>
  <c r="CG186" i="8"/>
  <c r="CH186" i="8"/>
  <c r="CI186" i="8"/>
  <c r="CJ186" i="8"/>
  <c r="CK186" i="8"/>
  <c r="CL186" i="8"/>
  <c r="CM186" i="8"/>
  <c r="CN186" i="8"/>
  <c r="CO186" i="8"/>
  <c r="CP186" i="8"/>
  <c r="CQ186" i="8"/>
  <c r="CR186" i="8"/>
  <c r="CS186" i="8"/>
  <c r="CT186" i="8"/>
  <c r="CU186" i="8"/>
  <c r="CV186" i="8"/>
  <c r="CW186" i="8"/>
  <c r="CX186" i="8"/>
  <c r="CY186" i="8"/>
  <c r="CZ186" i="8"/>
  <c r="DA186" i="8"/>
  <c r="DB186" i="8"/>
  <c r="DC186" i="8"/>
  <c r="DD186" i="8"/>
  <c r="DE186" i="8"/>
  <c r="DF186" i="8"/>
  <c r="DG186" i="8"/>
  <c r="BO187" i="8"/>
  <c r="BP187" i="8"/>
  <c r="BQ187" i="8"/>
  <c r="BR187" i="8"/>
  <c r="BS187" i="8"/>
  <c r="BT187" i="8"/>
  <c r="BU187" i="8"/>
  <c r="BV187" i="8"/>
  <c r="BW187" i="8"/>
  <c r="BX187" i="8"/>
  <c r="BY187" i="8"/>
  <c r="BZ187" i="8"/>
  <c r="CA187" i="8"/>
  <c r="CB187" i="8"/>
  <c r="CC187" i="8"/>
  <c r="CD187" i="8"/>
  <c r="CE187" i="8"/>
  <c r="CF187" i="8"/>
  <c r="CG187" i="8"/>
  <c r="CH187" i="8"/>
  <c r="CI187" i="8"/>
  <c r="CJ187" i="8"/>
  <c r="CK187" i="8"/>
  <c r="CL187" i="8"/>
  <c r="CM187" i="8"/>
  <c r="CN187" i="8"/>
  <c r="CO187" i="8"/>
  <c r="CP187" i="8"/>
  <c r="CQ187" i="8"/>
  <c r="CR187" i="8"/>
  <c r="CS187" i="8"/>
  <c r="CT187" i="8"/>
  <c r="CU187" i="8"/>
  <c r="CV187" i="8"/>
  <c r="CW187" i="8"/>
  <c r="CX187" i="8"/>
  <c r="CY187" i="8"/>
  <c r="CZ187" i="8"/>
  <c r="DA187" i="8"/>
  <c r="DB187" i="8"/>
  <c r="DC187" i="8"/>
  <c r="DD187" i="8"/>
  <c r="DE187" i="8"/>
  <c r="DF187" i="8"/>
  <c r="DG187" i="8"/>
  <c r="BO188" i="8"/>
  <c r="BP188" i="8"/>
  <c r="BQ188" i="8"/>
  <c r="BR188" i="8"/>
  <c r="BS188" i="8"/>
  <c r="BT188" i="8"/>
  <c r="BU188" i="8"/>
  <c r="BV188" i="8"/>
  <c r="BW188" i="8"/>
  <c r="BX188" i="8"/>
  <c r="BY188" i="8"/>
  <c r="BZ188" i="8"/>
  <c r="CA188" i="8"/>
  <c r="CB188" i="8"/>
  <c r="CC188" i="8"/>
  <c r="CD188" i="8"/>
  <c r="CE188" i="8"/>
  <c r="CF188" i="8"/>
  <c r="CG188" i="8"/>
  <c r="CH188" i="8"/>
  <c r="CI188" i="8"/>
  <c r="CJ188" i="8"/>
  <c r="CK188" i="8"/>
  <c r="CL188" i="8"/>
  <c r="CM188" i="8"/>
  <c r="CN188" i="8"/>
  <c r="CO188" i="8"/>
  <c r="CP188" i="8"/>
  <c r="CQ188" i="8"/>
  <c r="CR188" i="8"/>
  <c r="CS188" i="8"/>
  <c r="CT188" i="8"/>
  <c r="CU188" i="8"/>
  <c r="CV188" i="8"/>
  <c r="CW188" i="8"/>
  <c r="CX188" i="8"/>
  <c r="CY188" i="8"/>
  <c r="CZ188" i="8"/>
  <c r="DA188" i="8"/>
  <c r="DB188" i="8"/>
  <c r="DC188" i="8"/>
  <c r="DD188" i="8"/>
  <c r="DE188" i="8"/>
  <c r="DF188" i="8"/>
  <c r="DG188" i="8"/>
  <c r="BO189" i="8"/>
  <c r="BP189" i="8"/>
  <c r="BQ189" i="8"/>
  <c r="BR189" i="8"/>
  <c r="BS189" i="8"/>
  <c r="BT189" i="8"/>
  <c r="BU189" i="8"/>
  <c r="BV189" i="8"/>
  <c r="BW189" i="8"/>
  <c r="BX189" i="8"/>
  <c r="BY189" i="8"/>
  <c r="BZ189" i="8"/>
  <c r="CA189" i="8"/>
  <c r="CB189" i="8"/>
  <c r="CC189" i="8"/>
  <c r="CD189" i="8"/>
  <c r="CE189" i="8"/>
  <c r="CF189" i="8"/>
  <c r="CG189" i="8"/>
  <c r="CH189" i="8"/>
  <c r="CI189" i="8"/>
  <c r="CJ189" i="8"/>
  <c r="CK189" i="8"/>
  <c r="CL189" i="8"/>
  <c r="CM189" i="8"/>
  <c r="CN189" i="8"/>
  <c r="CO189" i="8"/>
  <c r="CP189" i="8"/>
  <c r="CQ189" i="8"/>
  <c r="CR189" i="8"/>
  <c r="CS189" i="8"/>
  <c r="CT189" i="8"/>
  <c r="CU189" i="8"/>
  <c r="CV189" i="8"/>
  <c r="CW189" i="8"/>
  <c r="CX189" i="8"/>
  <c r="CY189" i="8"/>
  <c r="CZ189" i="8"/>
  <c r="DA189" i="8"/>
  <c r="DB189" i="8"/>
  <c r="DC189" i="8"/>
  <c r="DD189" i="8"/>
  <c r="DE189" i="8"/>
  <c r="DF189" i="8"/>
  <c r="DG189" i="8"/>
  <c r="BO190" i="8"/>
  <c r="BP190" i="8"/>
  <c r="BQ190" i="8"/>
  <c r="BR190" i="8"/>
  <c r="BS190" i="8"/>
  <c r="BT190" i="8"/>
  <c r="BU190" i="8"/>
  <c r="BV190" i="8"/>
  <c r="BW190" i="8"/>
  <c r="BX190" i="8"/>
  <c r="BY190" i="8"/>
  <c r="BZ190" i="8"/>
  <c r="CA190" i="8"/>
  <c r="CB190" i="8"/>
  <c r="CC190" i="8"/>
  <c r="CD190" i="8"/>
  <c r="CE190" i="8"/>
  <c r="CF190" i="8"/>
  <c r="CG190" i="8"/>
  <c r="CH190" i="8"/>
  <c r="CI190" i="8"/>
  <c r="CJ190" i="8"/>
  <c r="CK190" i="8"/>
  <c r="CL190" i="8"/>
  <c r="CM190" i="8"/>
  <c r="CN190" i="8"/>
  <c r="CO190" i="8"/>
  <c r="CP190" i="8"/>
  <c r="CQ190" i="8"/>
  <c r="CR190" i="8"/>
  <c r="CS190" i="8"/>
  <c r="CT190" i="8"/>
  <c r="CU190" i="8"/>
  <c r="CV190" i="8"/>
  <c r="CW190" i="8"/>
  <c r="CX190" i="8"/>
  <c r="CY190" i="8"/>
  <c r="CZ190" i="8"/>
  <c r="DA190" i="8"/>
  <c r="DB190" i="8"/>
  <c r="DC190" i="8"/>
  <c r="DD190" i="8"/>
  <c r="DE190" i="8"/>
  <c r="DF190" i="8"/>
  <c r="DG190" i="8"/>
  <c r="BO191" i="8"/>
  <c r="BP191" i="8"/>
  <c r="BQ191" i="8"/>
  <c r="BR191" i="8"/>
  <c r="BS191" i="8"/>
  <c r="BT191" i="8"/>
  <c r="BU191" i="8"/>
  <c r="BV191" i="8"/>
  <c r="BW191" i="8"/>
  <c r="BX191" i="8"/>
  <c r="BY191" i="8"/>
  <c r="BZ191" i="8"/>
  <c r="CA191" i="8"/>
  <c r="CB191" i="8"/>
  <c r="CC191" i="8"/>
  <c r="CD191" i="8"/>
  <c r="CE191" i="8"/>
  <c r="CF191" i="8"/>
  <c r="CG191" i="8"/>
  <c r="CH191" i="8"/>
  <c r="CI191" i="8"/>
  <c r="CJ191" i="8"/>
  <c r="CK191" i="8"/>
  <c r="CL191" i="8"/>
  <c r="CM191" i="8"/>
  <c r="CN191" i="8"/>
  <c r="CO191" i="8"/>
  <c r="CP191" i="8"/>
  <c r="CQ191" i="8"/>
  <c r="CR191" i="8"/>
  <c r="CS191" i="8"/>
  <c r="CT191" i="8"/>
  <c r="CU191" i="8"/>
  <c r="CV191" i="8"/>
  <c r="CW191" i="8"/>
  <c r="CX191" i="8"/>
  <c r="CY191" i="8"/>
  <c r="CZ191" i="8"/>
  <c r="DA191" i="8"/>
  <c r="DB191" i="8"/>
  <c r="DC191" i="8"/>
  <c r="DD191" i="8"/>
  <c r="DE191" i="8"/>
  <c r="DF191" i="8"/>
  <c r="DG191" i="8"/>
  <c r="BO192" i="8"/>
  <c r="BP192" i="8"/>
  <c r="BQ192" i="8"/>
  <c r="BR192" i="8"/>
  <c r="BS192" i="8"/>
  <c r="BT192" i="8"/>
  <c r="BU192" i="8"/>
  <c r="BV192" i="8"/>
  <c r="BW192" i="8"/>
  <c r="BX192" i="8"/>
  <c r="BY192" i="8"/>
  <c r="BZ192" i="8"/>
  <c r="CA192" i="8"/>
  <c r="CB192" i="8"/>
  <c r="CC192" i="8"/>
  <c r="CD192" i="8"/>
  <c r="CE192" i="8"/>
  <c r="CF192" i="8"/>
  <c r="CG192" i="8"/>
  <c r="CH192" i="8"/>
  <c r="CI192" i="8"/>
  <c r="CJ192" i="8"/>
  <c r="CK192" i="8"/>
  <c r="CL192" i="8"/>
  <c r="CM192" i="8"/>
  <c r="CN192" i="8"/>
  <c r="CO192" i="8"/>
  <c r="CP192" i="8"/>
  <c r="CQ192" i="8"/>
  <c r="CR192" i="8"/>
  <c r="CS192" i="8"/>
  <c r="CT192" i="8"/>
  <c r="CU192" i="8"/>
  <c r="CV192" i="8"/>
  <c r="CW192" i="8"/>
  <c r="CX192" i="8"/>
  <c r="CY192" i="8"/>
  <c r="CZ192" i="8"/>
  <c r="DA192" i="8"/>
  <c r="DB192" i="8"/>
  <c r="DC192" i="8"/>
  <c r="DD192" i="8"/>
  <c r="DE192" i="8"/>
  <c r="DF192" i="8"/>
  <c r="DG192" i="8"/>
  <c r="BO193" i="8"/>
  <c r="BP193" i="8"/>
  <c r="BQ193" i="8"/>
  <c r="BR193" i="8"/>
  <c r="BS193" i="8"/>
  <c r="BT193" i="8"/>
  <c r="BU193" i="8"/>
  <c r="BV193" i="8"/>
  <c r="BW193" i="8"/>
  <c r="BX193" i="8"/>
  <c r="BY193" i="8"/>
  <c r="BZ193" i="8"/>
  <c r="CA193" i="8"/>
  <c r="CB193" i="8"/>
  <c r="CC193" i="8"/>
  <c r="CD193" i="8"/>
  <c r="CE193" i="8"/>
  <c r="CF193" i="8"/>
  <c r="CG193" i="8"/>
  <c r="CH193" i="8"/>
  <c r="CI193" i="8"/>
  <c r="CJ193" i="8"/>
  <c r="CK193" i="8"/>
  <c r="CL193" i="8"/>
  <c r="CM193" i="8"/>
  <c r="CN193" i="8"/>
  <c r="CO193" i="8"/>
  <c r="CP193" i="8"/>
  <c r="CQ193" i="8"/>
  <c r="CR193" i="8"/>
  <c r="CS193" i="8"/>
  <c r="CT193" i="8"/>
  <c r="CU193" i="8"/>
  <c r="CV193" i="8"/>
  <c r="CW193" i="8"/>
  <c r="CX193" i="8"/>
  <c r="CY193" i="8"/>
  <c r="CZ193" i="8"/>
  <c r="DA193" i="8"/>
  <c r="DB193" i="8"/>
  <c r="DC193" i="8"/>
  <c r="DD193" i="8"/>
  <c r="DE193" i="8"/>
  <c r="DF193" i="8"/>
  <c r="DG193" i="8"/>
  <c r="BO194" i="8"/>
  <c r="BP194" i="8"/>
  <c r="BQ194" i="8"/>
  <c r="BR194" i="8"/>
  <c r="BS194" i="8"/>
  <c r="BT194" i="8"/>
  <c r="BU194" i="8"/>
  <c r="BV194" i="8"/>
  <c r="BW194" i="8"/>
  <c r="BX194" i="8"/>
  <c r="BY194" i="8"/>
  <c r="BZ194" i="8"/>
  <c r="CA194" i="8"/>
  <c r="CB194" i="8"/>
  <c r="CC194" i="8"/>
  <c r="CD194" i="8"/>
  <c r="CE194" i="8"/>
  <c r="CF194" i="8"/>
  <c r="CG194" i="8"/>
  <c r="CH194" i="8"/>
  <c r="CI194" i="8"/>
  <c r="CJ194" i="8"/>
  <c r="CK194" i="8"/>
  <c r="CL194" i="8"/>
  <c r="CM194" i="8"/>
  <c r="CN194" i="8"/>
  <c r="CO194" i="8"/>
  <c r="CP194" i="8"/>
  <c r="CQ194" i="8"/>
  <c r="CR194" i="8"/>
  <c r="CS194" i="8"/>
  <c r="CT194" i="8"/>
  <c r="CU194" i="8"/>
  <c r="CV194" i="8"/>
  <c r="CW194" i="8"/>
  <c r="CX194" i="8"/>
  <c r="CY194" i="8"/>
  <c r="CZ194" i="8"/>
  <c r="DA194" i="8"/>
  <c r="DB194" i="8"/>
  <c r="DC194" i="8"/>
  <c r="DD194" i="8"/>
  <c r="DE194" i="8"/>
  <c r="DF194" i="8"/>
  <c r="DG194" i="8"/>
  <c r="BO195" i="8"/>
  <c r="BP195" i="8"/>
  <c r="BQ195" i="8"/>
  <c r="BR195" i="8"/>
  <c r="BS195" i="8"/>
  <c r="BT195" i="8"/>
  <c r="BU195" i="8"/>
  <c r="BV195" i="8"/>
  <c r="BW195" i="8"/>
  <c r="BX195" i="8"/>
  <c r="BY195" i="8"/>
  <c r="BZ195" i="8"/>
  <c r="CA195" i="8"/>
  <c r="CB195" i="8"/>
  <c r="CC195" i="8"/>
  <c r="CD195" i="8"/>
  <c r="CE195" i="8"/>
  <c r="CF195" i="8"/>
  <c r="CG195" i="8"/>
  <c r="CH195" i="8"/>
  <c r="CI195" i="8"/>
  <c r="CJ195" i="8"/>
  <c r="CK195" i="8"/>
  <c r="CL195" i="8"/>
  <c r="CM195" i="8"/>
  <c r="CN195" i="8"/>
  <c r="CO195" i="8"/>
  <c r="CP195" i="8"/>
  <c r="CQ195" i="8"/>
  <c r="CR195" i="8"/>
  <c r="CS195" i="8"/>
  <c r="CT195" i="8"/>
  <c r="CU195" i="8"/>
  <c r="CV195" i="8"/>
  <c r="CW195" i="8"/>
  <c r="CX195" i="8"/>
  <c r="CY195" i="8"/>
  <c r="CZ195" i="8"/>
  <c r="DA195" i="8"/>
  <c r="DB195" i="8"/>
  <c r="DC195" i="8"/>
  <c r="DD195" i="8"/>
  <c r="DE195" i="8"/>
  <c r="DF195" i="8"/>
  <c r="DG195" i="8"/>
  <c r="BO196" i="8"/>
  <c r="BP196" i="8"/>
  <c r="BQ196" i="8"/>
  <c r="BR196" i="8"/>
  <c r="BS196" i="8"/>
  <c r="BT196" i="8"/>
  <c r="BU196" i="8"/>
  <c r="BV196" i="8"/>
  <c r="BW196" i="8"/>
  <c r="BX196" i="8"/>
  <c r="BY196" i="8"/>
  <c r="BZ196" i="8"/>
  <c r="CA196" i="8"/>
  <c r="CB196" i="8"/>
  <c r="CC196" i="8"/>
  <c r="CD196" i="8"/>
  <c r="CE196" i="8"/>
  <c r="CF196" i="8"/>
  <c r="CG196" i="8"/>
  <c r="CH196" i="8"/>
  <c r="CI196" i="8"/>
  <c r="CJ196" i="8"/>
  <c r="CK196" i="8"/>
  <c r="CL196" i="8"/>
  <c r="CM196" i="8"/>
  <c r="CN196" i="8"/>
  <c r="CO196" i="8"/>
  <c r="CP196" i="8"/>
  <c r="CQ196" i="8"/>
  <c r="CR196" i="8"/>
  <c r="CS196" i="8"/>
  <c r="CT196" i="8"/>
  <c r="CU196" i="8"/>
  <c r="CV196" i="8"/>
  <c r="CW196" i="8"/>
  <c r="CX196" i="8"/>
  <c r="CY196" i="8"/>
  <c r="CZ196" i="8"/>
  <c r="DA196" i="8"/>
  <c r="DB196" i="8"/>
  <c r="DC196" i="8"/>
  <c r="DD196" i="8"/>
  <c r="DE196" i="8"/>
  <c r="DF196" i="8"/>
  <c r="DG196" i="8"/>
  <c r="BO197" i="8"/>
  <c r="BP197" i="8"/>
  <c r="BQ197" i="8"/>
  <c r="BR197" i="8"/>
  <c r="BS197" i="8"/>
  <c r="BT197" i="8"/>
  <c r="BU197" i="8"/>
  <c r="BV197" i="8"/>
  <c r="BW197" i="8"/>
  <c r="BX197" i="8"/>
  <c r="BY197" i="8"/>
  <c r="BZ197" i="8"/>
  <c r="CA197" i="8"/>
  <c r="CB197" i="8"/>
  <c r="CC197" i="8"/>
  <c r="CD197" i="8"/>
  <c r="CE197" i="8"/>
  <c r="CF197" i="8"/>
  <c r="CG197" i="8"/>
  <c r="CH197" i="8"/>
  <c r="CI197" i="8"/>
  <c r="CJ197" i="8"/>
  <c r="CK197" i="8"/>
  <c r="CL197" i="8"/>
  <c r="CM197" i="8"/>
  <c r="CN197" i="8"/>
  <c r="CO197" i="8"/>
  <c r="CP197" i="8"/>
  <c r="CQ197" i="8"/>
  <c r="CR197" i="8"/>
  <c r="CS197" i="8"/>
  <c r="CT197" i="8"/>
  <c r="CU197" i="8"/>
  <c r="CV197" i="8"/>
  <c r="CW197" i="8"/>
  <c r="CX197" i="8"/>
  <c r="CY197" i="8"/>
  <c r="CZ197" i="8"/>
  <c r="DA197" i="8"/>
  <c r="DB197" i="8"/>
  <c r="DC197" i="8"/>
  <c r="DD197" i="8"/>
  <c r="DE197" i="8"/>
  <c r="DF197" i="8"/>
  <c r="DG197" i="8"/>
  <c r="BO198" i="8"/>
  <c r="BP198" i="8"/>
  <c r="BQ198" i="8"/>
  <c r="BR198" i="8"/>
  <c r="BS198" i="8"/>
  <c r="BT198" i="8"/>
  <c r="BU198" i="8"/>
  <c r="BV198" i="8"/>
  <c r="BW198" i="8"/>
  <c r="BX198" i="8"/>
  <c r="BY198" i="8"/>
  <c r="BZ198" i="8"/>
  <c r="CA198" i="8"/>
  <c r="CB198" i="8"/>
  <c r="CC198" i="8"/>
  <c r="CD198" i="8"/>
  <c r="CE198" i="8"/>
  <c r="CF198" i="8"/>
  <c r="CG198" i="8"/>
  <c r="CH198" i="8"/>
  <c r="CI198" i="8"/>
  <c r="CJ198" i="8"/>
  <c r="CK198" i="8"/>
  <c r="CL198" i="8"/>
  <c r="CM198" i="8"/>
  <c r="CN198" i="8"/>
  <c r="CO198" i="8"/>
  <c r="CP198" i="8"/>
  <c r="CQ198" i="8"/>
  <c r="CR198" i="8"/>
  <c r="CS198" i="8"/>
  <c r="CT198" i="8"/>
  <c r="CU198" i="8"/>
  <c r="CV198" i="8"/>
  <c r="CW198" i="8"/>
  <c r="CX198" i="8"/>
  <c r="CY198" i="8"/>
  <c r="CZ198" i="8"/>
  <c r="DA198" i="8"/>
  <c r="DB198" i="8"/>
  <c r="DC198" i="8"/>
  <c r="DD198" i="8"/>
  <c r="DE198" i="8"/>
  <c r="DF198" i="8"/>
  <c r="DG198" i="8"/>
  <c r="BO199" i="8"/>
  <c r="BP199" i="8"/>
  <c r="BQ199" i="8"/>
  <c r="BR199" i="8"/>
  <c r="BS199" i="8"/>
  <c r="BT199" i="8"/>
  <c r="BU199" i="8"/>
  <c r="BV199" i="8"/>
  <c r="BW199" i="8"/>
  <c r="BX199" i="8"/>
  <c r="BY199" i="8"/>
  <c r="BZ199" i="8"/>
  <c r="CA199" i="8"/>
  <c r="CB199" i="8"/>
  <c r="CC199" i="8"/>
  <c r="CD199" i="8"/>
  <c r="CE199" i="8"/>
  <c r="CF199" i="8"/>
  <c r="CG199" i="8"/>
  <c r="CH199" i="8"/>
  <c r="CI199" i="8"/>
  <c r="CJ199" i="8"/>
  <c r="CK199" i="8"/>
  <c r="CL199" i="8"/>
  <c r="CM199" i="8"/>
  <c r="CN199" i="8"/>
  <c r="CO199" i="8"/>
  <c r="CP199" i="8"/>
  <c r="CQ199" i="8"/>
  <c r="CR199" i="8"/>
  <c r="CS199" i="8"/>
  <c r="CT199" i="8"/>
  <c r="CU199" i="8"/>
  <c r="CV199" i="8"/>
  <c r="CW199" i="8"/>
  <c r="CX199" i="8"/>
  <c r="CY199" i="8"/>
  <c r="CZ199" i="8"/>
  <c r="DA199" i="8"/>
  <c r="DB199" i="8"/>
  <c r="DC199" i="8"/>
  <c r="DD199" i="8"/>
  <c r="DE199" i="8"/>
  <c r="DF199" i="8"/>
  <c r="DG199" i="8"/>
  <c r="BO200" i="8"/>
  <c r="BP200" i="8"/>
  <c r="BQ200" i="8"/>
  <c r="BR200" i="8"/>
  <c r="BS200" i="8"/>
  <c r="BT200" i="8"/>
  <c r="BU200" i="8"/>
  <c r="BV200" i="8"/>
  <c r="BW200" i="8"/>
  <c r="BX200" i="8"/>
  <c r="BY200" i="8"/>
  <c r="BZ200" i="8"/>
  <c r="CA200" i="8"/>
  <c r="CB200" i="8"/>
  <c r="CC200" i="8"/>
  <c r="CD200" i="8"/>
  <c r="CE200" i="8"/>
  <c r="CF200" i="8"/>
  <c r="CG200" i="8"/>
  <c r="CH200" i="8"/>
  <c r="CI200" i="8"/>
  <c r="CJ200" i="8"/>
  <c r="CK200" i="8"/>
  <c r="CL200" i="8"/>
  <c r="CM200" i="8"/>
  <c r="CN200" i="8"/>
  <c r="CO200" i="8"/>
  <c r="CP200" i="8"/>
  <c r="CQ200" i="8"/>
  <c r="CR200" i="8"/>
  <c r="CS200" i="8"/>
  <c r="CT200" i="8"/>
  <c r="CU200" i="8"/>
  <c r="CV200" i="8"/>
  <c r="CW200" i="8"/>
  <c r="CX200" i="8"/>
  <c r="CY200" i="8"/>
  <c r="CZ200" i="8"/>
  <c r="DA200" i="8"/>
  <c r="DB200" i="8"/>
  <c r="DC200" i="8"/>
  <c r="DD200" i="8"/>
  <c r="DE200" i="8"/>
  <c r="DF200" i="8"/>
  <c r="DG200" i="8"/>
  <c r="BO201" i="8"/>
  <c r="BP201" i="8"/>
  <c r="BQ201" i="8"/>
  <c r="BR201" i="8"/>
  <c r="BS201" i="8"/>
  <c r="BT201" i="8"/>
  <c r="BU201" i="8"/>
  <c r="BV201" i="8"/>
  <c r="BW201" i="8"/>
  <c r="BX201" i="8"/>
  <c r="BY201" i="8"/>
  <c r="BZ201" i="8"/>
  <c r="CA201" i="8"/>
  <c r="CB201" i="8"/>
  <c r="CC201" i="8"/>
  <c r="CD201" i="8"/>
  <c r="CE201" i="8"/>
  <c r="CF201" i="8"/>
  <c r="CG201" i="8"/>
  <c r="CH201" i="8"/>
  <c r="CI201" i="8"/>
  <c r="CJ201" i="8"/>
  <c r="CK201" i="8"/>
  <c r="CL201" i="8"/>
  <c r="CM201" i="8"/>
  <c r="CN201" i="8"/>
  <c r="CO201" i="8"/>
  <c r="CP201" i="8"/>
  <c r="CQ201" i="8"/>
  <c r="CR201" i="8"/>
  <c r="CS201" i="8"/>
  <c r="CT201" i="8"/>
  <c r="CU201" i="8"/>
  <c r="CV201" i="8"/>
  <c r="CW201" i="8"/>
  <c r="CX201" i="8"/>
  <c r="CY201" i="8"/>
  <c r="CZ201" i="8"/>
  <c r="DA201" i="8"/>
  <c r="DB201" i="8"/>
  <c r="DC201" i="8"/>
  <c r="DD201" i="8"/>
  <c r="DE201" i="8"/>
  <c r="DF201" i="8"/>
  <c r="DG201" i="8"/>
  <c r="BO202" i="8"/>
  <c r="BP202" i="8"/>
  <c r="BQ202" i="8"/>
  <c r="BR202" i="8"/>
  <c r="BS202" i="8"/>
  <c r="BT202" i="8"/>
  <c r="BU202" i="8"/>
  <c r="BV202" i="8"/>
  <c r="BW202" i="8"/>
  <c r="BX202" i="8"/>
  <c r="BY202" i="8"/>
  <c r="BZ202" i="8"/>
  <c r="CA202" i="8"/>
  <c r="CB202" i="8"/>
  <c r="CC202" i="8"/>
  <c r="CD202" i="8"/>
  <c r="CE202" i="8"/>
  <c r="CF202" i="8"/>
  <c r="CG202" i="8"/>
  <c r="CH202" i="8"/>
  <c r="CI202" i="8"/>
  <c r="CJ202" i="8"/>
  <c r="CK202" i="8"/>
  <c r="CL202" i="8"/>
  <c r="CM202" i="8"/>
  <c r="CN202" i="8"/>
  <c r="CO202" i="8"/>
  <c r="CP202" i="8"/>
  <c r="CQ202" i="8"/>
  <c r="CR202" i="8"/>
  <c r="CS202" i="8"/>
  <c r="CT202" i="8"/>
  <c r="CU202" i="8"/>
  <c r="CV202" i="8"/>
  <c r="CW202" i="8"/>
  <c r="CX202" i="8"/>
  <c r="CY202" i="8"/>
  <c r="CZ202" i="8"/>
  <c r="DA202" i="8"/>
  <c r="DB202" i="8"/>
  <c r="DC202" i="8"/>
  <c r="DD202" i="8"/>
  <c r="DE202" i="8"/>
  <c r="DF202" i="8"/>
  <c r="DG202" i="8"/>
  <c r="BO203" i="8"/>
  <c r="BP203" i="8"/>
  <c r="BR203" i="8"/>
  <c r="BS203" i="8"/>
  <c r="BT203" i="8"/>
  <c r="BU203" i="8"/>
  <c r="BV203" i="8"/>
  <c r="BW203" i="8"/>
  <c r="BX203" i="8"/>
  <c r="BY203" i="8"/>
  <c r="BZ203" i="8"/>
  <c r="CA203" i="8"/>
  <c r="CB203" i="8"/>
  <c r="CC203" i="8"/>
  <c r="CD203" i="8"/>
  <c r="CE203" i="8"/>
  <c r="CF203" i="8"/>
  <c r="CG203" i="8"/>
  <c r="CH203" i="8"/>
  <c r="CI203" i="8"/>
  <c r="CJ203" i="8"/>
  <c r="CK203" i="8"/>
  <c r="CL203" i="8"/>
  <c r="CM203" i="8"/>
  <c r="CN203" i="8"/>
  <c r="CO203" i="8"/>
  <c r="CP203" i="8"/>
  <c r="CQ203" i="8"/>
  <c r="CR203" i="8"/>
  <c r="CS203" i="8"/>
  <c r="CT203" i="8"/>
  <c r="CU203" i="8"/>
  <c r="CV203" i="8"/>
  <c r="CW203" i="8"/>
  <c r="CX203" i="8"/>
  <c r="CY203" i="8"/>
  <c r="CZ203" i="8"/>
  <c r="DA203" i="8"/>
  <c r="DB203" i="8"/>
  <c r="DC203" i="8"/>
  <c r="DD203" i="8"/>
  <c r="DE203" i="8"/>
  <c r="DF203" i="8"/>
  <c r="DG203" i="8"/>
  <c r="BO204" i="8"/>
  <c r="BP204" i="8"/>
  <c r="BQ204" i="8"/>
  <c r="BR204" i="8"/>
  <c r="BS204" i="8"/>
  <c r="BT204" i="8"/>
  <c r="BU204" i="8"/>
  <c r="BV204" i="8"/>
  <c r="BW204" i="8"/>
  <c r="BX204" i="8"/>
  <c r="BY204" i="8"/>
  <c r="BZ204" i="8"/>
  <c r="CA204" i="8"/>
  <c r="CB204" i="8"/>
  <c r="CC204" i="8"/>
  <c r="CD204" i="8"/>
  <c r="CE204" i="8"/>
  <c r="CF204" i="8"/>
  <c r="CG204" i="8"/>
  <c r="CH204" i="8"/>
  <c r="CI204" i="8"/>
  <c r="CJ204" i="8"/>
  <c r="CK204" i="8"/>
  <c r="CL204" i="8"/>
  <c r="CM204" i="8"/>
  <c r="CN204" i="8"/>
  <c r="CO204" i="8"/>
  <c r="CP204" i="8"/>
  <c r="CQ204" i="8"/>
  <c r="CR204" i="8"/>
  <c r="CS204" i="8"/>
  <c r="CT204" i="8"/>
  <c r="CU204" i="8"/>
  <c r="CV204" i="8"/>
  <c r="CW204" i="8"/>
  <c r="CX204" i="8"/>
  <c r="CY204" i="8"/>
  <c r="CZ204" i="8"/>
  <c r="DA204" i="8"/>
  <c r="DB204" i="8"/>
  <c r="DC204" i="8"/>
  <c r="DD204" i="8"/>
  <c r="DE204" i="8"/>
  <c r="DF204" i="8"/>
  <c r="DG204" i="8"/>
  <c r="BO205" i="8"/>
  <c r="BP205" i="8"/>
  <c r="BQ205" i="8"/>
  <c r="BR205" i="8"/>
  <c r="BS205" i="8"/>
  <c r="BT205" i="8"/>
  <c r="BU205" i="8"/>
  <c r="BV205" i="8"/>
  <c r="BW205" i="8"/>
  <c r="BX205" i="8"/>
  <c r="BY205" i="8"/>
  <c r="BZ205" i="8"/>
  <c r="CA205" i="8"/>
  <c r="CB205" i="8"/>
  <c r="CC205" i="8"/>
  <c r="CD205" i="8"/>
  <c r="CE205" i="8"/>
  <c r="CF205" i="8"/>
  <c r="CG205" i="8"/>
  <c r="CH205" i="8"/>
  <c r="CI205" i="8"/>
  <c r="CJ205" i="8"/>
  <c r="CK205" i="8"/>
  <c r="CL205" i="8"/>
  <c r="CM205" i="8"/>
  <c r="CN205" i="8"/>
  <c r="CO205" i="8"/>
  <c r="CP205" i="8"/>
  <c r="CQ205" i="8"/>
  <c r="CR205" i="8"/>
  <c r="CS205" i="8"/>
  <c r="CT205" i="8"/>
  <c r="CU205" i="8"/>
  <c r="CV205" i="8"/>
  <c r="CW205" i="8"/>
  <c r="CX205" i="8"/>
  <c r="CY205" i="8"/>
  <c r="CZ205" i="8"/>
  <c r="DA205" i="8"/>
  <c r="DB205" i="8"/>
  <c r="DC205" i="8"/>
  <c r="DD205" i="8"/>
  <c r="DE205" i="8"/>
  <c r="DF205" i="8"/>
  <c r="DG205" i="8"/>
  <c r="BO206" i="8"/>
  <c r="BP206" i="8"/>
  <c r="BQ206" i="8"/>
  <c r="BR206" i="8"/>
  <c r="BS206" i="8"/>
  <c r="BT206" i="8"/>
  <c r="BU206" i="8"/>
  <c r="BV206" i="8"/>
  <c r="BW206" i="8"/>
  <c r="BX206" i="8"/>
  <c r="BY206" i="8"/>
  <c r="BZ206" i="8"/>
  <c r="CA206" i="8"/>
  <c r="CB206" i="8"/>
  <c r="CC206" i="8"/>
  <c r="CD206" i="8"/>
  <c r="CE206" i="8"/>
  <c r="CF206" i="8"/>
  <c r="CG206" i="8"/>
  <c r="CH206" i="8"/>
  <c r="CI206" i="8"/>
  <c r="CJ206" i="8"/>
  <c r="CK206" i="8"/>
  <c r="CL206" i="8"/>
  <c r="CM206" i="8"/>
  <c r="CN206" i="8"/>
  <c r="CO206" i="8"/>
  <c r="CP206" i="8"/>
  <c r="CQ206" i="8"/>
  <c r="CR206" i="8"/>
  <c r="CS206" i="8"/>
  <c r="CT206" i="8"/>
  <c r="CU206" i="8"/>
  <c r="CV206" i="8"/>
  <c r="CW206" i="8"/>
  <c r="CX206" i="8"/>
  <c r="CY206" i="8"/>
  <c r="CZ206" i="8"/>
  <c r="DA206" i="8"/>
  <c r="DB206" i="8"/>
  <c r="DC206" i="8"/>
  <c r="DD206" i="8"/>
  <c r="DE206" i="8"/>
  <c r="DF206" i="8"/>
  <c r="DG206" i="8"/>
  <c r="BO207" i="8"/>
  <c r="BP207" i="8"/>
  <c r="BR207" i="8"/>
  <c r="BS207" i="8"/>
  <c r="BT207" i="8"/>
  <c r="BU207" i="8"/>
  <c r="BV207" i="8"/>
  <c r="BW207" i="8"/>
  <c r="BX207" i="8"/>
  <c r="BY207" i="8"/>
  <c r="BZ207" i="8"/>
  <c r="CA207" i="8"/>
  <c r="CB207" i="8"/>
  <c r="CC207" i="8"/>
  <c r="CD207" i="8"/>
  <c r="CE207" i="8"/>
  <c r="CF207" i="8"/>
  <c r="CG207" i="8"/>
  <c r="CH207" i="8"/>
  <c r="CI207" i="8"/>
  <c r="CJ207" i="8"/>
  <c r="CK207" i="8"/>
  <c r="CL207" i="8"/>
  <c r="CM207" i="8"/>
  <c r="CN207" i="8"/>
  <c r="CO207" i="8"/>
  <c r="CP207" i="8"/>
  <c r="CQ207" i="8"/>
  <c r="CR207" i="8"/>
  <c r="CS207" i="8"/>
  <c r="CT207" i="8"/>
  <c r="CU207" i="8"/>
  <c r="CV207" i="8"/>
  <c r="CW207" i="8"/>
  <c r="CX207" i="8"/>
  <c r="CY207" i="8"/>
  <c r="CZ207" i="8"/>
  <c r="DA207" i="8"/>
  <c r="DB207" i="8"/>
  <c r="DC207" i="8"/>
  <c r="DD207" i="8"/>
  <c r="DE207" i="8"/>
  <c r="DF207" i="8"/>
  <c r="DG207" i="8"/>
  <c r="BO208" i="8"/>
  <c r="BP208" i="8"/>
  <c r="BQ208" i="8"/>
  <c r="BR208" i="8"/>
  <c r="BS208" i="8"/>
  <c r="BT208" i="8"/>
  <c r="BU208" i="8"/>
  <c r="BV208" i="8"/>
  <c r="BW208" i="8"/>
  <c r="BX208" i="8"/>
  <c r="BY208" i="8"/>
  <c r="BZ208" i="8"/>
  <c r="CA208" i="8"/>
  <c r="CB208" i="8"/>
  <c r="CC208" i="8"/>
  <c r="CD208" i="8"/>
  <c r="CE208" i="8"/>
  <c r="CF208" i="8"/>
  <c r="CG208" i="8"/>
  <c r="CH208" i="8"/>
  <c r="CI208" i="8"/>
  <c r="CJ208" i="8"/>
  <c r="CK208" i="8"/>
  <c r="CL208" i="8"/>
  <c r="CM208" i="8"/>
  <c r="CN208" i="8"/>
  <c r="CO208" i="8"/>
  <c r="CP208" i="8"/>
  <c r="CQ208" i="8"/>
  <c r="CR208" i="8"/>
  <c r="CS208" i="8"/>
  <c r="CT208" i="8"/>
  <c r="CU208" i="8"/>
  <c r="CV208" i="8"/>
  <c r="CW208" i="8"/>
  <c r="CX208" i="8"/>
  <c r="CY208" i="8"/>
  <c r="CZ208" i="8"/>
  <c r="DA208" i="8"/>
  <c r="DB208" i="8"/>
  <c r="DC208" i="8"/>
  <c r="DD208" i="8"/>
  <c r="DE208" i="8"/>
  <c r="DF208" i="8"/>
  <c r="DG208" i="8"/>
  <c r="BO209" i="8"/>
  <c r="BP209" i="8"/>
  <c r="BR209" i="8"/>
  <c r="BS209" i="8"/>
  <c r="BT209" i="8"/>
  <c r="BU209" i="8"/>
  <c r="BV209" i="8"/>
  <c r="BW209" i="8"/>
  <c r="BX209" i="8"/>
  <c r="BY209" i="8"/>
  <c r="BZ209" i="8"/>
  <c r="CA209" i="8"/>
  <c r="CB209" i="8"/>
  <c r="CC209" i="8"/>
  <c r="CD209" i="8"/>
  <c r="CE209" i="8"/>
  <c r="CF209" i="8"/>
  <c r="CG209" i="8"/>
  <c r="CH209" i="8"/>
  <c r="CI209" i="8"/>
  <c r="CJ209" i="8"/>
  <c r="CK209" i="8"/>
  <c r="CL209" i="8"/>
  <c r="CM209" i="8"/>
  <c r="CN209" i="8"/>
  <c r="CO209" i="8"/>
  <c r="CP209" i="8"/>
  <c r="CQ209" i="8"/>
  <c r="CR209" i="8"/>
  <c r="CS209" i="8"/>
  <c r="CT209" i="8"/>
  <c r="CU209" i="8"/>
  <c r="CV209" i="8"/>
  <c r="CW209" i="8"/>
  <c r="CX209" i="8"/>
  <c r="CY209" i="8"/>
  <c r="CZ209" i="8"/>
  <c r="DA209" i="8"/>
  <c r="DB209" i="8"/>
  <c r="DC209" i="8"/>
  <c r="DD209" i="8"/>
  <c r="DE209" i="8"/>
  <c r="DF209" i="8"/>
  <c r="DG209" i="8"/>
  <c r="BO210" i="8"/>
  <c r="BP210" i="8"/>
  <c r="BQ210" i="8"/>
  <c r="BR210" i="8"/>
  <c r="BS210" i="8"/>
  <c r="BT210" i="8"/>
  <c r="BU210" i="8"/>
  <c r="BV210" i="8"/>
  <c r="BW210" i="8"/>
  <c r="BX210" i="8"/>
  <c r="BY210" i="8"/>
  <c r="BZ210" i="8"/>
  <c r="CA210" i="8"/>
  <c r="CB210" i="8"/>
  <c r="CC210" i="8"/>
  <c r="CD210" i="8"/>
  <c r="CE210" i="8"/>
  <c r="CF210" i="8"/>
  <c r="CG210" i="8"/>
  <c r="CH210" i="8"/>
  <c r="CI210" i="8"/>
  <c r="CJ210" i="8"/>
  <c r="CK210" i="8"/>
  <c r="CL210" i="8"/>
  <c r="CM210" i="8"/>
  <c r="CN210" i="8"/>
  <c r="CO210" i="8"/>
  <c r="CP210" i="8"/>
  <c r="CQ210" i="8"/>
  <c r="CR210" i="8"/>
  <c r="CS210" i="8"/>
  <c r="CT210" i="8"/>
  <c r="CU210" i="8"/>
  <c r="CV210" i="8"/>
  <c r="CW210" i="8"/>
  <c r="CX210" i="8"/>
  <c r="CY210" i="8"/>
  <c r="CZ210" i="8"/>
  <c r="DA210" i="8"/>
  <c r="DB210" i="8"/>
  <c r="DC210" i="8"/>
  <c r="DD210" i="8"/>
  <c r="DE210" i="8"/>
  <c r="DF210" i="8"/>
  <c r="DG210" i="8"/>
  <c r="BO211" i="8"/>
  <c r="BP211" i="8"/>
  <c r="BQ211" i="8"/>
  <c r="BR211" i="8"/>
  <c r="BS211" i="8"/>
  <c r="BT211" i="8"/>
  <c r="BU211" i="8"/>
  <c r="BV211" i="8"/>
  <c r="BW211" i="8"/>
  <c r="BX211" i="8"/>
  <c r="BY211" i="8"/>
  <c r="BZ211" i="8"/>
  <c r="CA211" i="8"/>
  <c r="CB211" i="8"/>
  <c r="CC211" i="8"/>
  <c r="CD211" i="8"/>
  <c r="CE211" i="8"/>
  <c r="CF211" i="8"/>
  <c r="CG211" i="8"/>
  <c r="CH211" i="8"/>
  <c r="CI211" i="8"/>
  <c r="CJ211" i="8"/>
  <c r="CK211" i="8"/>
  <c r="CL211" i="8"/>
  <c r="CM211" i="8"/>
  <c r="CN211" i="8"/>
  <c r="CO211" i="8"/>
  <c r="CP211" i="8"/>
  <c r="CQ211" i="8"/>
  <c r="CR211" i="8"/>
  <c r="CS211" i="8"/>
  <c r="CT211" i="8"/>
  <c r="CU211" i="8"/>
  <c r="CV211" i="8"/>
  <c r="CW211" i="8"/>
  <c r="CX211" i="8"/>
  <c r="CY211" i="8"/>
  <c r="CZ211" i="8"/>
  <c r="DA211" i="8"/>
  <c r="DB211" i="8"/>
  <c r="DC211" i="8"/>
  <c r="DD211" i="8"/>
  <c r="DE211" i="8"/>
  <c r="DF211" i="8"/>
  <c r="DG211" i="8"/>
  <c r="BO212" i="8"/>
  <c r="BP212" i="8"/>
  <c r="BQ212" i="8"/>
  <c r="BR212" i="8"/>
  <c r="BS212" i="8"/>
  <c r="BT212" i="8"/>
  <c r="BU212" i="8"/>
  <c r="BV212" i="8"/>
  <c r="BW212" i="8"/>
  <c r="BX212" i="8"/>
  <c r="BY212" i="8"/>
  <c r="BZ212" i="8"/>
  <c r="CA212" i="8"/>
  <c r="CB212" i="8"/>
  <c r="CC212" i="8"/>
  <c r="CD212" i="8"/>
  <c r="CE212" i="8"/>
  <c r="CF212" i="8"/>
  <c r="CG212" i="8"/>
  <c r="CH212" i="8"/>
  <c r="CI212" i="8"/>
  <c r="CJ212" i="8"/>
  <c r="CK212" i="8"/>
  <c r="CL212" i="8"/>
  <c r="CM212" i="8"/>
  <c r="CN212" i="8"/>
  <c r="CO212" i="8"/>
  <c r="CP212" i="8"/>
  <c r="CQ212" i="8"/>
  <c r="CR212" i="8"/>
  <c r="CS212" i="8"/>
  <c r="CT212" i="8"/>
  <c r="CU212" i="8"/>
  <c r="CV212" i="8"/>
  <c r="CW212" i="8"/>
  <c r="CX212" i="8"/>
  <c r="CY212" i="8"/>
  <c r="CZ212" i="8"/>
  <c r="DA212" i="8"/>
  <c r="DB212" i="8"/>
  <c r="DC212" i="8"/>
  <c r="DD212" i="8"/>
  <c r="DE212" i="8"/>
  <c r="DF212" i="8"/>
  <c r="DG212" i="8"/>
  <c r="BO213" i="8"/>
  <c r="BP213" i="8"/>
  <c r="BQ213" i="8"/>
  <c r="BR213" i="8"/>
  <c r="BS213" i="8"/>
  <c r="BT213" i="8"/>
  <c r="BU213" i="8"/>
  <c r="BV213" i="8"/>
  <c r="BW213" i="8"/>
  <c r="BX213" i="8"/>
  <c r="BY213" i="8"/>
  <c r="BZ213" i="8"/>
  <c r="CA213" i="8"/>
  <c r="CB213" i="8"/>
  <c r="CC213" i="8"/>
  <c r="CD213" i="8"/>
  <c r="CE213" i="8"/>
  <c r="CF213" i="8"/>
  <c r="CG213" i="8"/>
  <c r="CH213" i="8"/>
  <c r="CI213" i="8"/>
  <c r="CJ213" i="8"/>
  <c r="CK213" i="8"/>
  <c r="CL213" i="8"/>
  <c r="CM213" i="8"/>
  <c r="CN213" i="8"/>
  <c r="CO213" i="8"/>
  <c r="CP213" i="8"/>
  <c r="CQ213" i="8"/>
  <c r="CR213" i="8"/>
  <c r="CS213" i="8"/>
  <c r="CT213" i="8"/>
  <c r="CU213" i="8"/>
  <c r="CV213" i="8"/>
  <c r="CW213" i="8"/>
  <c r="CX213" i="8"/>
  <c r="CY213" i="8"/>
  <c r="CZ213" i="8"/>
  <c r="DA213" i="8"/>
  <c r="DB213" i="8"/>
  <c r="DC213" i="8"/>
  <c r="DD213" i="8"/>
  <c r="DE213" i="8"/>
  <c r="DF213" i="8"/>
  <c r="DG213" i="8"/>
  <c r="BO214" i="8"/>
  <c r="BP214" i="8"/>
  <c r="BQ214" i="8"/>
  <c r="BR214" i="8"/>
  <c r="BS214" i="8"/>
  <c r="BT214" i="8"/>
  <c r="BU214" i="8"/>
  <c r="BV214" i="8"/>
  <c r="BW214" i="8"/>
  <c r="BX214" i="8"/>
  <c r="BY214" i="8"/>
  <c r="BZ214" i="8"/>
  <c r="CA214" i="8"/>
  <c r="CB214" i="8"/>
  <c r="CC214" i="8"/>
  <c r="CD214" i="8"/>
  <c r="CE214" i="8"/>
  <c r="CF214" i="8"/>
  <c r="CG214" i="8"/>
  <c r="CH214" i="8"/>
  <c r="CI214" i="8"/>
  <c r="CJ214" i="8"/>
  <c r="CK214" i="8"/>
  <c r="CL214" i="8"/>
  <c r="CM214" i="8"/>
  <c r="CN214" i="8"/>
  <c r="CO214" i="8"/>
  <c r="CP214" i="8"/>
  <c r="CQ214" i="8"/>
  <c r="CR214" i="8"/>
  <c r="CS214" i="8"/>
  <c r="CT214" i="8"/>
  <c r="CU214" i="8"/>
  <c r="CV214" i="8"/>
  <c r="CW214" i="8"/>
  <c r="CX214" i="8"/>
  <c r="CY214" i="8"/>
  <c r="CZ214" i="8"/>
  <c r="DA214" i="8"/>
  <c r="DB214" i="8"/>
  <c r="DC214" i="8"/>
  <c r="DD214" i="8"/>
  <c r="DE214" i="8"/>
  <c r="DF214" i="8"/>
  <c r="DG214" i="8"/>
  <c r="BO215" i="8"/>
  <c r="BP215" i="8"/>
  <c r="BR215" i="8"/>
  <c r="BS215" i="8"/>
  <c r="BT215" i="8"/>
  <c r="BU215" i="8"/>
  <c r="BV215" i="8"/>
  <c r="BW215" i="8"/>
  <c r="BX215" i="8"/>
  <c r="BY215" i="8"/>
  <c r="BZ215" i="8"/>
  <c r="CA215" i="8"/>
  <c r="CB215" i="8"/>
  <c r="CC215" i="8"/>
  <c r="CD215" i="8"/>
  <c r="CE215" i="8"/>
  <c r="CF215" i="8"/>
  <c r="CG215" i="8"/>
  <c r="CH215" i="8"/>
  <c r="CI215" i="8"/>
  <c r="CJ215" i="8"/>
  <c r="CK215" i="8"/>
  <c r="CL215" i="8"/>
  <c r="CM215" i="8"/>
  <c r="CN215" i="8"/>
  <c r="CO215" i="8"/>
  <c r="CP215" i="8"/>
  <c r="CQ215" i="8"/>
  <c r="CR215" i="8"/>
  <c r="CS215" i="8"/>
  <c r="CT215" i="8"/>
  <c r="CU215" i="8"/>
  <c r="CV215" i="8"/>
  <c r="CW215" i="8"/>
  <c r="CX215" i="8"/>
  <c r="CY215" i="8"/>
  <c r="CZ215" i="8"/>
  <c r="DA215" i="8"/>
  <c r="DB215" i="8"/>
  <c r="DC215" i="8"/>
  <c r="DD215" i="8"/>
  <c r="DE215" i="8"/>
  <c r="DF215" i="8"/>
  <c r="DG215" i="8"/>
  <c r="BO216" i="8"/>
  <c r="BP216" i="8"/>
  <c r="BQ216" i="8"/>
  <c r="BR216" i="8"/>
  <c r="BS216" i="8"/>
  <c r="BT216" i="8"/>
  <c r="BU216" i="8"/>
  <c r="BV216" i="8"/>
  <c r="BW216" i="8"/>
  <c r="BX216" i="8"/>
  <c r="BY216" i="8"/>
  <c r="BZ216" i="8"/>
  <c r="CA216" i="8"/>
  <c r="CB216" i="8"/>
  <c r="CC216" i="8"/>
  <c r="CD216" i="8"/>
  <c r="CE216" i="8"/>
  <c r="CF216" i="8"/>
  <c r="CG216" i="8"/>
  <c r="CH216" i="8"/>
  <c r="CI216" i="8"/>
  <c r="CJ216" i="8"/>
  <c r="CK216" i="8"/>
  <c r="CL216" i="8"/>
  <c r="CM216" i="8"/>
  <c r="CN216" i="8"/>
  <c r="CO216" i="8"/>
  <c r="CP216" i="8"/>
  <c r="CQ216" i="8"/>
  <c r="CR216" i="8"/>
  <c r="CS216" i="8"/>
  <c r="CT216" i="8"/>
  <c r="CU216" i="8"/>
  <c r="CV216" i="8"/>
  <c r="CW216" i="8"/>
  <c r="CX216" i="8"/>
  <c r="CY216" i="8"/>
  <c r="CZ216" i="8"/>
  <c r="DA216" i="8"/>
  <c r="DB216" i="8"/>
  <c r="DC216" i="8"/>
  <c r="DD216" i="8"/>
  <c r="DE216" i="8"/>
  <c r="DF216" i="8"/>
  <c r="DG216" i="8"/>
  <c r="BO217" i="8"/>
  <c r="BP217" i="8"/>
  <c r="BQ217" i="8"/>
  <c r="BR217" i="8"/>
  <c r="BS217" i="8"/>
  <c r="BT217" i="8"/>
  <c r="BU217" i="8"/>
  <c r="BV217" i="8"/>
  <c r="BW217" i="8"/>
  <c r="BX217" i="8"/>
  <c r="BY217" i="8"/>
  <c r="BZ217" i="8"/>
  <c r="CA217" i="8"/>
  <c r="CB217" i="8"/>
  <c r="CC217" i="8"/>
  <c r="CD217" i="8"/>
  <c r="CE217" i="8"/>
  <c r="CF217" i="8"/>
  <c r="CG217" i="8"/>
  <c r="CH217" i="8"/>
  <c r="CI217" i="8"/>
  <c r="CJ217" i="8"/>
  <c r="CK217" i="8"/>
  <c r="CL217" i="8"/>
  <c r="CM217" i="8"/>
  <c r="CN217" i="8"/>
  <c r="CO217" i="8"/>
  <c r="CP217" i="8"/>
  <c r="CQ217" i="8"/>
  <c r="CR217" i="8"/>
  <c r="CS217" i="8"/>
  <c r="CT217" i="8"/>
  <c r="CU217" i="8"/>
  <c r="CV217" i="8"/>
  <c r="CW217" i="8"/>
  <c r="CX217" i="8"/>
  <c r="CY217" i="8"/>
  <c r="CZ217" i="8"/>
  <c r="DA217" i="8"/>
  <c r="DB217" i="8"/>
  <c r="DC217" i="8"/>
  <c r="DD217" i="8"/>
  <c r="DE217" i="8"/>
  <c r="DF217" i="8"/>
  <c r="DG217" i="8"/>
  <c r="BQ2" i="1"/>
  <c r="BR2" i="1"/>
  <c r="BS2" i="1"/>
  <c r="BQ3" i="1"/>
  <c r="BR3" i="1"/>
  <c r="BS3" i="1"/>
  <c r="BQ4" i="1"/>
  <c r="BR4" i="1"/>
  <c r="BS4" i="1"/>
  <c r="BQ5" i="1"/>
  <c r="BR5" i="1"/>
  <c r="BS5" i="1"/>
  <c r="BQ6" i="1"/>
  <c r="BR6" i="1"/>
  <c r="BQ7" i="1"/>
  <c r="BR7" i="1"/>
  <c r="BS7" i="1"/>
  <c r="BQ8" i="1"/>
  <c r="BR8" i="1"/>
  <c r="BS8" i="1"/>
  <c r="BQ9" i="1"/>
  <c r="BR9" i="1"/>
  <c r="BS9" i="1"/>
  <c r="BQ10" i="1"/>
  <c r="BR10" i="1"/>
  <c r="BS10" i="1"/>
  <c r="BQ11" i="1"/>
  <c r="BR11" i="1"/>
  <c r="BS11" i="1"/>
  <c r="BQ12" i="1"/>
  <c r="BR12" i="1"/>
  <c r="BS12" i="1"/>
  <c r="BQ13" i="1"/>
  <c r="BR13" i="1"/>
  <c r="BS13" i="1"/>
  <c r="BQ14" i="1"/>
  <c r="BR14" i="1"/>
  <c r="BS14" i="1"/>
  <c r="BQ15" i="1"/>
  <c r="BR15" i="1"/>
  <c r="BS15" i="1"/>
  <c r="BQ16" i="1"/>
  <c r="BR16" i="1"/>
  <c r="BS16" i="1"/>
  <c r="BQ17" i="1"/>
  <c r="BR17" i="1"/>
  <c r="BS17" i="1"/>
  <c r="BQ18" i="1"/>
  <c r="BR18" i="1"/>
  <c r="BS18" i="1"/>
  <c r="BQ19" i="1"/>
  <c r="BR19" i="1"/>
  <c r="BS19" i="1"/>
  <c r="BQ20" i="1"/>
  <c r="BR20" i="1"/>
  <c r="BS20" i="1"/>
  <c r="BQ21" i="1"/>
  <c r="BR21" i="1"/>
  <c r="BS21" i="1"/>
  <c r="BQ22" i="1"/>
  <c r="BR22" i="1"/>
  <c r="BS22" i="1"/>
  <c r="BQ23" i="1"/>
  <c r="BR23" i="1"/>
  <c r="BS23" i="1"/>
  <c r="BQ24" i="1"/>
  <c r="BR24" i="1"/>
  <c r="BS24" i="1"/>
  <c r="BQ25" i="1"/>
  <c r="BR25" i="1"/>
  <c r="BS25" i="1"/>
  <c r="BQ26" i="1"/>
  <c r="BR26" i="1"/>
  <c r="BS26" i="1"/>
  <c r="BQ27" i="1"/>
  <c r="BR27" i="1"/>
  <c r="BS27" i="1"/>
  <c r="BQ28" i="1"/>
  <c r="BR28" i="1"/>
  <c r="BQ29" i="1"/>
  <c r="BR29" i="1"/>
  <c r="BQ30" i="1"/>
  <c r="BR30" i="1"/>
  <c r="BS30" i="1"/>
  <c r="BQ31" i="1"/>
  <c r="BR31" i="1"/>
  <c r="BS31" i="1"/>
  <c r="BQ32" i="1"/>
  <c r="BR32" i="1"/>
  <c r="BS32" i="1"/>
  <c r="BQ33" i="1"/>
  <c r="BR33" i="1"/>
  <c r="BS33" i="1"/>
  <c r="BQ34" i="1"/>
  <c r="BR34" i="1"/>
  <c r="BS34" i="1"/>
  <c r="BQ35" i="1"/>
  <c r="BR35" i="1"/>
  <c r="BS35" i="1"/>
  <c r="BQ36" i="1"/>
  <c r="BR36" i="1"/>
  <c r="BS36" i="1"/>
  <c r="BQ37" i="1"/>
  <c r="BR37" i="1"/>
  <c r="BQ38" i="1"/>
  <c r="BR38" i="1"/>
  <c r="BS38" i="1"/>
  <c r="BQ39" i="1"/>
  <c r="BR39" i="1"/>
  <c r="BS39" i="1"/>
  <c r="BQ40" i="1"/>
  <c r="BR40" i="1"/>
  <c r="BS40" i="1"/>
  <c r="BQ41" i="1"/>
  <c r="BR41" i="1"/>
  <c r="BS41" i="1"/>
  <c r="BQ42" i="1"/>
  <c r="BR42" i="1"/>
  <c r="BS42" i="1"/>
  <c r="BQ43" i="1"/>
  <c r="BR43" i="1"/>
  <c r="BS43" i="1"/>
  <c r="BQ44" i="1"/>
  <c r="BR44" i="1"/>
  <c r="BS44" i="1"/>
  <c r="BQ45" i="1"/>
  <c r="BR45" i="1"/>
  <c r="BS45" i="1"/>
  <c r="BQ46" i="1"/>
  <c r="BR46" i="1"/>
  <c r="BS46" i="1"/>
  <c r="BQ47" i="1"/>
  <c r="BR47" i="1"/>
  <c r="BS47" i="1"/>
  <c r="BQ48" i="1"/>
  <c r="BR48" i="1"/>
  <c r="BS48" i="1"/>
  <c r="BQ49" i="1"/>
  <c r="BR49" i="1"/>
  <c r="BS49" i="1"/>
  <c r="BQ50" i="1"/>
  <c r="BR50" i="1"/>
  <c r="BS50" i="1"/>
  <c r="BQ51" i="1"/>
  <c r="BR51" i="1"/>
  <c r="BS51" i="1"/>
  <c r="BQ52" i="1"/>
  <c r="BR52" i="1"/>
  <c r="BS52" i="1"/>
  <c r="BQ53" i="1"/>
  <c r="BR53" i="1"/>
  <c r="BS53" i="1"/>
  <c r="BQ54" i="1"/>
  <c r="BR54" i="1"/>
  <c r="BS54" i="1"/>
  <c r="BQ55" i="1"/>
  <c r="BR55" i="1"/>
  <c r="BS55" i="1"/>
  <c r="BQ56" i="1"/>
  <c r="BR56" i="1"/>
  <c r="BS56" i="1"/>
  <c r="BQ57" i="1"/>
  <c r="BR57" i="1"/>
  <c r="BS57" i="1"/>
  <c r="BQ58" i="1"/>
  <c r="BR58" i="1"/>
  <c r="BS58" i="1"/>
  <c r="BQ59" i="1"/>
  <c r="BR59" i="1"/>
  <c r="BQ60" i="1"/>
  <c r="BR60" i="1"/>
  <c r="BS60" i="1"/>
  <c r="BQ61" i="1"/>
  <c r="BR61" i="1"/>
  <c r="BS61" i="1"/>
  <c r="BQ62" i="1"/>
  <c r="BR62" i="1"/>
  <c r="BS62" i="1"/>
  <c r="BQ63" i="1"/>
  <c r="BR63" i="1"/>
  <c r="BS63" i="1"/>
  <c r="BQ64" i="1"/>
  <c r="BR64" i="1"/>
  <c r="BS64" i="1"/>
  <c r="BQ65" i="1"/>
  <c r="BR65" i="1"/>
  <c r="BS65" i="1"/>
  <c r="BQ66" i="1"/>
  <c r="BR66" i="1"/>
  <c r="BQ67" i="1"/>
  <c r="BR67" i="1"/>
  <c r="BS67" i="1"/>
  <c r="BQ68" i="1"/>
  <c r="BR68" i="1"/>
  <c r="BS68" i="1"/>
  <c r="BQ69" i="1"/>
  <c r="BR69" i="1"/>
  <c r="BS69" i="1"/>
  <c r="BQ70" i="1"/>
  <c r="BR70" i="1"/>
  <c r="BS70" i="1"/>
  <c r="BQ71" i="1"/>
  <c r="BR71" i="1"/>
  <c r="BS71" i="1"/>
  <c r="BQ72" i="1"/>
  <c r="BR72" i="1"/>
  <c r="BS72" i="1"/>
  <c r="BQ73" i="1"/>
  <c r="BR73" i="1"/>
  <c r="BS73" i="1"/>
  <c r="BQ74" i="1"/>
  <c r="BR74" i="1"/>
  <c r="BS74" i="1"/>
  <c r="BQ75" i="1"/>
  <c r="BR75" i="1"/>
  <c r="BS75" i="1"/>
  <c r="BQ76" i="1"/>
  <c r="BR76" i="1"/>
  <c r="BS76" i="1"/>
  <c r="BQ77" i="1"/>
  <c r="BR77" i="1"/>
  <c r="BS77" i="1"/>
  <c r="BQ78" i="1"/>
  <c r="BR78" i="1"/>
  <c r="BS78" i="1"/>
  <c r="BQ79" i="1"/>
  <c r="BR79" i="1"/>
  <c r="BS79" i="1"/>
  <c r="BQ80" i="1"/>
  <c r="BR80" i="1"/>
  <c r="BS80" i="1"/>
  <c r="BQ81" i="1"/>
  <c r="BR81" i="1"/>
  <c r="BS81" i="1"/>
  <c r="BQ82" i="1"/>
  <c r="BR82" i="1"/>
  <c r="BS82" i="1"/>
  <c r="BQ83" i="1"/>
  <c r="BR83" i="1"/>
  <c r="BS83" i="1"/>
  <c r="BQ84" i="1"/>
  <c r="BR84" i="1"/>
  <c r="BS84" i="1"/>
  <c r="BQ85" i="1"/>
  <c r="BR85" i="1"/>
  <c r="BS85" i="1"/>
  <c r="BQ86" i="1"/>
  <c r="BR86" i="1"/>
  <c r="BS86" i="1"/>
  <c r="BQ87" i="1"/>
  <c r="BR87" i="1"/>
  <c r="BS87" i="1"/>
  <c r="BQ88" i="1"/>
  <c r="BR88" i="1"/>
  <c r="BS88" i="1"/>
  <c r="BQ89" i="1"/>
  <c r="BR89" i="1"/>
  <c r="BS89" i="1"/>
  <c r="BQ90" i="1"/>
  <c r="BR90" i="1"/>
  <c r="BS90" i="1"/>
  <c r="BQ91" i="1"/>
  <c r="BR91" i="1"/>
  <c r="BS91" i="1"/>
  <c r="BQ92" i="1"/>
  <c r="BR92" i="1"/>
  <c r="BS92" i="1"/>
  <c r="BQ93" i="1"/>
  <c r="BR93" i="1"/>
  <c r="BS93" i="1"/>
  <c r="BQ94" i="1"/>
  <c r="BR94" i="1"/>
  <c r="BS94" i="1"/>
  <c r="BQ95" i="1"/>
  <c r="BR95" i="1"/>
  <c r="BS95" i="1"/>
  <c r="BQ96" i="1"/>
  <c r="BR96" i="1"/>
  <c r="BS96" i="1"/>
  <c r="BQ97" i="1"/>
  <c r="BR97" i="1"/>
  <c r="BS97" i="1"/>
  <c r="BQ98" i="1"/>
  <c r="BR98" i="1"/>
  <c r="BS98" i="1"/>
  <c r="BQ99" i="1"/>
  <c r="BR99" i="1"/>
  <c r="BS99" i="1"/>
  <c r="BQ100" i="1"/>
  <c r="BR100" i="1"/>
  <c r="BS100" i="1"/>
  <c r="BQ101" i="1"/>
  <c r="BR101" i="1"/>
  <c r="BS101" i="1"/>
  <c r="BQ102" i="1"/>
  <c r="BR102" i="1"/>
  <c r="BS102" i="1"/>
  <c r="BQ103" i="1"/>
  <c r="BR103" i="1"/>
  <c r="BS103" i="1"/>
  <c r="BQ104" i="1"/>
  <c r="BR104" i="1"/>
  <c r="BS104" i="1"/>
  <c r="BQ105" i="1"/>
  <c r="BR105" i="1"/>
  <c r="BS105" i="1"/>
  <c r="BQ106" i="1"/>
  <c r="BR106" i="1"/>
  <c r="BS106" i="1"/>
  <c r="BQ107" i="1"/>
  <c r="BR107" i="1"/>
  <c r="BS107" i="1"/>
  <c r="BQ108" i="1"/>
  <c r="BR108" i="1"/>
  <c r="BS108" i="1"/>
  <c r="BQ109" i="1"/>
  <c r="BR109" i="1"/>
  <c r="BS109" i="1"/>
  <c r="BQ110" i="1"/>
  <c r="BR110" i="1"/>
  <c r="BS110" i="1"/>
  <c r="BQ111" i="1"/>
  <c r="BR111" i="1"/>
  <c r="BS111" i="1"/>
  <c r="BQ112" i="1"/>
  <c r="BR112" i="1"/>
  <c r="BS112" i="1"/>
  <c r="BQ113" i="1"/>
  <c r="BR113" i="1"/>
  <c r="BS113" i="1"/>
  <c r="BQ114" i="1"/>
  <c r="BR114" i="1"/>
  <c r="BS114" i="1"/>
  <c r="BQ115" i="1"/>
  <c r="BR115" i="1"/>
  <c r="BS115" i="1"/>
  <c r="BQ116" i="1"/>
  <c r="BR116" i="1"/>
  <c r="BS116" i="1"/>
  <c r="BQ117" i="1"/>
  <c r="BR117" i="1"/>
  <c r="BS117" i="1"/>
  <c r="BQ118" i="1"/>
  <c r="BR118" i="1"/>
  <c r="BS118" i="1"/>
  <c r="BQ119" i="1"/>
  <c r="BR119" i="1"/>
  <c r="BS119" i="1"/>
  <c r="BQ120" i="1"/>
  <c r="BR120" i="1"/>
  <c r="BS120" i="1"/>
  <c r="BQ121" i="1"/>
  <c r="BR121" i="1"/>
  <c r="BS121" i="1"/>
  <c r="BQ122" i="1"/>
  <c r="BR122" i="1"/>
  <c r="BS122" i="1"/>
  <c r="BQ123" i="1"/>
  <c r="BR123" i="1"/>
  <c r="BS123" i="1"/>
  <c r="BQ124" i="1"/>
  <c r="BR124" i="1"/>
  <c r="BS124" i="1"/>
  <c r="BQ125" i="1"/>
  <c r="BR125" i="1"/>
  <c r="BS125" i="1"/>
  <c r="BQ126" i="1"/>
  <c r="BR126" i="1"/>
  <c r="BS126" i="1"/>
  <c r="BQ127" i="1"/>
  <c r="BR127" i="1"/>
  <c r="BS127" i="1"/>
  <c r="BQ128" i="1"/>
  <c r="BR128" i="1"/>
  <c r="BS128" i="1"/>
  <c r="BQ129" i="1"/>
  <c r="BR129" i="1"/>
  <c r="BS129" i="1"/>
  <c r="BQ130" i="1"/>
  <c r="BR130" i="1"/>
  <c r="BS130" i="1"/>
  <c r="BQ131" i="1"/>
  <c r="BR131" i="1"/>
  <c r="BS131" i="1"/>
  <c r="BQ132" i="1"/>
  <c r="BR132" i="1"/>
  <c r="BS132" i="1"/>
  <c r="BQ133" i="1"/>
  <c r="BR133" i="1"/>
  <c r="BS133" i="1"/>
  <c r="BQ134" i="1"/>
  <c r="BR134" i="1"/>
  <c r="BS134" i="1"/>
  <c r="BQ135" i="1"/>
  <c r="BR135" i="1"/>
  <c r="BS135" i="1"/>
  <c r="BQ136" i="1"/>
  <c r="BR136" i="1"/>
  <c r="BS136" i="1"/>
  <c r="BQ137" i="1"/>
  <c r="BR137" i="1"/>
  <c r="BS137" i="1"/>
  <c r="BQ138" i="1"/>
  <c r="BR138" i="1"/>
  <c r="BS138" i="1"/>
  <c r="BQ139" i="1"/>
  <c r="BR139" i="1"/>
  <c r="BS139" i="1"/>
  <c r="BQ140" i="1"/>
  <c r="BR140" i="1"/>
  <c r="BS140" i="1"/>
  <c r="BQ141" i="1"/>
  <c r="BR141" i="1"/>
  <c r="BS141" i="1"/>
  <c r="BQ142" i="1"/>
  <c r="BR142" i="1"/>
  <c r="BS142" i="1"/>
  <c r="BQ143" i="1"/>
  <c r="BR143" i="1"/>
  <c r="BS143" i="1"/>
  <c r="BQ144" i="1"/>
  <c r="BR144" i="1"/>
  <c r="BS144" i="1"/>
  <c r="BQ145" i="1"/>
  <c r="BR145" i="1"/>
  <c r="BS145" i="1"/>
</calcChain>
</file>

<file path=xl/sharedStrings.xml><?xml version="1.0" encoding="utf-8"?>
<sst xmlns="http://schemas.openxmlformats.org/spreadsheetml/2006/main" count="4519" uniqueCount="337">
  <si>
    <t>Average of Chiton #</t>
  </si>
  <si>
    <t>StdDev of Chiton #</t>
  </si>
  <si>
    <t>Average of Tonicella spp</t>
  </si>
  <si>
    <t>StdDev of Tonicella spp</t>
  </si>
  <si>
    <t>Add Average of Chiton #</t>
  </si>
  <si>
    <t>Add StdDev of Chiton #</t>
  </si>
  <si>
    <t>Add Average of Tonicella spp</t>
  </si>
  <si>
    <t>Add StdDev of Tonicella spp</t>
  </si>
  <si>
    <t>Control Average of Chiton #</t>
  </si>
  <si>
    <t>Control StdDev of Chiton #</t>
  </si>
  <si>
    <t>Control Average of Tonicella spp</t>
  </si>
  <si>
    <t>Control StdDev of Tonicella spp</t>
  </si>
  <si>
    <t>P1011172_IJ</t>
  </si>
  <si>
    <t>P1011173_IJ</t>
  </si>
  <si>
    <t>P1011177_IJ</t>
  </si>
  <si>
    <t>P1011124_IJ</t>
  </si>
  <si>
    <t>PG3_95_090923_IJ</t>
  </si>
  <si>
    <t>weird snail?</t>
  </si>
  <si>
    <t>Limpet</t>
  </si>
  <si>
    <t>P1011250_IJ</t>
  </si>
  <si>
    <t>P1011251_IJ</t>
  </si>
  <si>
    <t>P1010086_IJ</t>
  </si>
  <si>
    <t>P1010087_IJ</t>
  </si>
  <si>
    <t>P1010088_IJ</t>
  </si>
  <si>
    <t>P1010089_IJ</t>
  </si>
  <si>
    <t>flatworm</t>
  </si>
  <si>
    <t>P1010091_IJ</t>
  </si>
  <si>
    <t>SDR</t>
  </si>
  <si>
    <t>P1010073_IJ</t>
  </si>
  <si>
    <t>P1010074_IJ</t>
  </si>
  <si>
    <t>P1010075_IJ</t>
  </si>
  <si>
    <t>SC4_35_090922_IJ</t>
  </si>
  <si>
    <t>SC4_51_090922_IJ</t>
  </si>
  <si>
    <t>SC4_52_090922_IJ</t>
  </si>
  <si>
    <t>P1010063_IJ</t>
  </si>
  <si>
    <t>P1010182_IJ</t>
  </si>
  <si>
    <t>Amp</t>
  </si>
  <si>
    <t>Mop</t>
  </si>
  <si>
    <t>Ton</t>
  </si>
  <si>
    <t>P1011148_IJ</t>
  </si>
  <si>
    <t>P1011151_IJ</t>
  </si>
  <si>
    <t>P1011152_IJ</t>
  </si>
  <si>
    <t>P1011154_IJ</t>
  </si>
  <si>
    <t>P1011158_IJ</t>
  </si>
  <si>
    <t>P1011136_IJ</t>
  </si>
  <si>
    <t>ON4</t>
  </si>
  <si>
    <t>P1011138_IJ</t>
  </si>
  <si>
    <t>P1011139_IJ</t>
  </si>
  <si>
    <t>P1011141_IJ</t>
  </si>
  <si>
    <t>P1011143_IJ</t>
  </si>
  <si>
    <t>P1011146_IJ</t>
  </si>
  <si>
    <t>CMO</t>
  </si>
  <si>
    <t>TCAt</t>
  </si>
  <si>
    <t>LCO</t>
  </si>
  <si>
    <t>JFU</t>
  </si>
  <si>
    <t>P1010121_IJ</t>
  </si>
  <si>
    <t>PG1_7_090923_IJ</t>
  </si>
  <si>
    <t>PG1_97_090923_IJ</t>
  </si>
  <si>
    <t>P1010134_IJ</t>
  </si>
  <si>
    <t>CAN</t>
  </si>
  <si>
    <t>P1010135_IJ</t>
  </si>
  <si>
    <t>DAL</t>
  </si>
  <si>
    <t>FVE</t>
  </si>
  <si>
    <t>FTR</t>
  </si>
  <si>
    <t>SAC</t>
  </si>
  <si>
    <t>HER</t>
  </si>
  <si>
    <t>SHR</t>
  </si>
  <si>
    <t>JZO</t>
  </si>
  <si>
    <t>P1011253_IJ</t>
  </si>
  <si>
    <t>P1011254_IJ</t>
  </si>
  <si>
    <t>P1011256_IJ</t>
  </si>
  <si>
    <t>P1011260_IJ</t>
  </si>
  <si>
    <t>P1011265_IJ</t>
  </si>
  <si>
    <t>P1011267_IJ</t>
  </si>
  <si>
    <t>P1011268_IJ</t>
  </si>
  <si>
    <t>P1011270_IJ</t>
  </si>
  <si>
    <t>Site</t>
  </si>
  <si>
    <t>Transect</t>
  </si>
  <si>
    <t>SFR</t>
  </si>
  <si>
    <t>P1010136_IJ</t>
  </si>
  <si>
    <t>P1010137_IJ</t>
  </si>
  <si>
    <t>PG3_15_090923_IJ</t>
  </si>
  <si>
    <t>P1011293_IJ</t>
  </si>
  <si>
    <t>P1011294_IJ</t>
  </si>
  <si>
    <t>P1011274_IJ</t>
  </si>
  <si>
    <t>P1011278_IJ</t>
  </si>
  <si>
    <t>P1011280_IJ</t>
  </si>
  <si>
    <t>P1011281_IJ</t>
  </si>
  <si>
    <t>P1011282_IJ</t>
  </si>
  <si>
    <t>P1011283_IJ</t>
  </si>
  <si>
    <t>P1010004_crop</t>
  </si>
  <si>
    <t>Sept</t>
  </si>
  <si>
    <t>P1010005_crop</t>
  </si>
  <si>
    <t>Nudibranch R</t>
  </si>
  <si>
    <t>Chiton #</t>
  </si>
  <si>
    <t>Gastropod #</t>
  </si>
  <si>
    <t>Nudibranch #</t>
  </si>
  <si>
    <t>Little fish #</t>
  </si>
  <si>
    <t>Calliostoma spp. #</t>
  </si>
  <si>
    <t>P1011212_IJ</t>
  </si>
  <si>
    <t>P1011208_IJ</t>
  </si>
  <si>
    <t>ACA</t>
  </si>
  <si>
    <t>P1011216_IJ</t>
  </si>
  <si>
    <t>P1010094_IJ</t>
  </si>
  <si>
    <t>P1010097_IJ</t>
  </si>
  <si>
    <t>P1010098_IJ</t>
  </si>
  <si>
    <t>P1010099_IJ</t>
  </si>
  <si>
    <t>P1010101_IJ</t>
  </si>
  <si>
    <t>P1010102_IJ</t>
  </si>
  <si>
    <t>P1010104_IJ</t>
  </si>
  <si>
    <t>P1010106_IJ</t>
  </si>
  <si>
    <t>P1010108_IJ</t>
  </si>
  <si>
    <t>P1010110_IJ</t>
  </si>
  <si>
    <t>P1010111_IJ</t>
  </si>
  <si>
    <t>P1010112_IJ</t>
  </si>
  <si>
    <t>P1010179_IJ</t>
  </si>
  <si>
    <t>P1010181_IJ</t>
  </si>
  <si>
    <t>AMI</t>
  </si>
  <si>
    <t>P1011218_IJ</t>
  </si>
  <si>
    <t>P1011222_IJ</t>
  </si>
  <si>
    <t>P1011092_IJ</t>
  </si>
  <si>
    <t>Margarites</t>
  </si>
  <si>
    <t>Amphissa</t>
  </si>
  <si>
    <t>Tonicella spp</t>
  </si>
  <si>
    <t>Trochid snails</t>
  </si>
  <si>
    <t>P1010242_IJ</t>
  </si>
  <si>
    <t>ON0_45_090924_IJ</t>
  </si>
  <si>
    <t>ON0_46_090924_IJ</t>
  </si>
  <si>
    <t>ON0_47_090924_IJ</t>
  </si>
  <si>
    <t>ON0_49_090924_IJ</t>
  </si>
  <si>
    <t>P1010226_IJ</t>
  </si>
  <si>
    <t>P1010227_IJ</t>
  </si>
  <si>
    <t>ON2_43_090924_IJ</t>
  </si>
  <si>
    <t>ON2_44_090924_IJ</t>
  </si>
  <si>
    <t>ON2_81_090924_IJ</t>
  </si>
  <si>
    <t>P1010208_IJ</t>
  </si>
  <si>
    <t>P1010210_IJ</t>
  </si>
  <si>
    <t>P1011224_IJ</t>
  </si>
  <si>
    <t>PC</t>
  </si>
  <si>
    <t>P1011258_IJ</t>
  </si>
  <si>
    <t>P1011226_IJ</t>
  </si>
  <si>
    <t>P1010021_IJ</t>
  </si>
  <si>
    <t>P1010023_IJ</t>
  </si>
  <si>
    <t>LME</t>
  </si>
  <si>
    <t>P1010024_IJ</t>
  </si>
  <si>
    <t>P1010025_IJ</t>
  </si>
  <si>
    <t>P1010026_IJ</t>
  </si>
  <si>
    <t>P1010027_IJ</t>
  </si>
  <si>
    <t>P1010084_IJ</t>
  </si>
  <si>
    <t>CST</t>
  </si>
  <si>
    <t>CPA</t>
  </si>
  <si>
    <t>CPA = cucumaria pallida</t>
  </si>
  <si>
    <t>P1010255_IJ</t>
  </si>
  <si>
    <t>P1010256_IJ</t>
  </si>
  <si>
    <t>P1010258_IJ</t>
  </si>
  <si>
    <t>P1010259_IJ</t>
  </si>
  <si>
    <t>P1010260_IJ</t>
  </si>
  <si>
    <t>P1010263_IJ</t>
  </si>
  <si>
    <t>P1010246_IJ</t>
  </si>
  <si>
    <t>P1010247_IJ</t>
  </si>
  <si>
    <t>P1010248_IJ</t>
  </si>
  <si>
    <t>P1010249_IJ</t>
  </si>
  <si>
    <t>P1010250_IJ</t>
  </si>
  <si>
    <t>P1010252_IJ</t>
  </si>
  <si>
    <t>P1010191_IJ</t>
  </si>
  <si>
    <t>P1010192_IJ</t>
  </si>
  <si>
    <t>P1010194_IJ</t>
  </si>
  <si>
    <t>P1010195_IJ</t>
  </si>
  <si>
    <t>P1010197_IJ</t>
  </si>
  <si>
    <t>P1010198_IJ</t>
  </si>
  <si>
    <t>P1010240_IJ</t>
  </si>
  <si>
    <t>Ton 2</t>
  </si>
  <si>
    <t>Ton 3</t>
  </si>
  <si>
    <t>Count</t>
  </si>
  <si>
    <t>SW diversity</t>
  </si>
  <si>
    <t>P1011192_IJ</t>
  </si>
  <si>
    <t>PG</t>
  </si>
  <si>
    <t>PA</t>
  </si>
  <si>
    <t>P1011193_IJ</t>
  </si>
  <si>
    <t>PHE</t>
  </si>
  <si>
    <t>P1010225_IJ</t>
  </si>
  <si>
    <t>PCA</t>
  </si>
  <si>
    <t>P1011180_IJ</t>
  </si>
  <si>
    <t>ON</t>
  </si>
  <si>
    <t>ONA</t>
  </si>
  <si>
    <t>P1011181_IJ</t>
  </si>
  <si>
    <t>P1011182_IJ</t>
  </si>
  <si>
    <t>P1011183_IJ</t>
  </si>
  <si>
    <t>P1011187_IJ</t>
  </si>
  <si>
    <t>P1011188_IJ</t>
  </si>
  <si>
    <t>P1011168_IJ</t>
  </si>
  <si>
    <t>ONB</t>
  </si>
  <si>
    <t>P1011170_IJ</t>
  </si>
  <si>
    <t>P1011171_IJ</t>
  </si>
  <si>
    <t>ON4_71_090924_IJ</t>
  </si>
  <si>
    <t>ON4_72_090924_IJ</t>
  </si>
  <si>
    <t>ON4_73_090924_IJ</t>
  </si>
  <si>
    <t>ON4_74_090924_IJ</t>
  </si>
  <si>
    <t>TIN</t>
  </si>
  <si>
    <t>CLU</t>
  </si>
  <si>
    <t>P1011198_IJ</t>
  </si>
  <si>
    <t>P1011200_IJ</t>
  </si>
  <si>
    <t>P1011203_IJ</t>
  </si>
  <si>
    <t>P1011205_IJ</t>
  </si>
  <si>
    <t>PB</t>
  </si>
  <si>
    <t>SC7_5_090922_IJ</t>
  </si>
  <si>
    <t>Richness</t>
  </si>
  <si>
    <t>PG1</t>
  </si>
  <si>
    <t>P1011227_IJ</t>
  </si>
  <si>
    <t>P1011229_IJ</t>
  </si>
  <si>
    <t>P1011231_IJ</t>
  </si>
  <si>
    <t>P1011233_IJ</t>
  </si>
  <si>
    <t>P1011234_IJ</t>
  </si>
  <si>
    <t>PG3</t>
  </si>
  <si>
    <t>P1011238_IJ</t>
  </si>
  <si>
    <t>P1011240_IJ</t>
  </si>
  <si>
    <t>P1011241_IJ</t>
  </si>
  <si>
    <t>P1011242_IJ</t>
  </si>
  <si>
    <t>P1011245_IJ</t>
  </si>
  <si>
    <t>P1011246_IJ</t>
  </si>
  <si>
    <t>PG6</t>
  </si>
  <si>
    <t>P1011248_IJ</t>
  </si>
  <si>
    <t>TLI</t>
  </si>
  <si>
    <t>Hen</t>
  </si>
  <si>
    <t>Oph</t>
  </si>
  <si>
    <t>P1010184_IJ</t>
  </si>
  <si>
    <t>P1010185_IJ</t>
  </si>
  <si>
    <t>P1010186_IJ</t>
  </si>
  <si>
    <t>P1010066_IJ</t>
  </si>
  <si>
    <t>SC5_34_090922_IJ</t>
  </si>
  <si>
    <t>SC5_47_090922_IJ</t>
  </si>
  <si>
    <t>SC5_49_090922_IJ</t>
  </si>
  <si>
    <t>P1010040_IJ</t>
  </si>
  <si>
    <t>P1010041_IJ</t>
  </si>
  <si>
    <t>P1010042_IJ</t>
  </si>
  <si>
    <t>SC7_2_090922_IJ</t>
  </si>
  <si>
    <t>SC7_3_090922_IJ</t>
  </si>
  <si>
    <t>GHE</t>
  </si>
  <si>
    <t>Data</t>
  </si>
  <si>
    <t>DSA</t>
  </si>
  <si>
    <t>P1010176_IJ</t>
  </si>
  <si>
    <t>P1010177_IJ</t>
  </si>
  <si>
    <t>COR</t>
  </si>
  <si>
    <t>PG6_B_090923_IJ</t>
  </si>
  <si>
    <t>PG6_C_090923_IJ</t>
  </si>
  <si>
    <t>PG6_D_090923_IJ</t>
  </si>
  <si>
    <t>LMA</t>
  </si>
  <si>
    <t>PG6_E_090923_IJ</t>
  </si>
  <si>
    <t>GA5 (Bittium attenuatum?)</t>
  </si>
  <si>
    <t>P1011287_IJ</t>
  </si>
  <si>
    <t>P1011289_IJ</t>
  </si>
  <si>
    <t>P1010117_IJ</t>
  </si>
  <si>
    <t>P1010119_IJ</t>
  </si>
  <si>
    <t>P1010120_IJ</t>
  </si>
  <si>
    <t>BMU</t>
  </si>
  <si>
    <t>ONC</t>
  </si>
  <si>
    <t>P1011125_IJ</t>
  </si>
  <si>
    <t>P1011126_IJ</t>
  </si>
  <si>
    <t>P1011127_IJ</t>
  </si>
  <si>
    <t>P1011129_IJ</t>
  </si>
  <si>
    <t>P1011131_IJ</t>
  </si>
  <si>
    <t>P1011159_IJ</t>
  </si>
  <si>
    <t>ON0</t>
  </si>
  <si>
    <t>P1011162_IJ</t>
  </si>
  <si>
    <t>P1011163_IJ</t>
  </si>
  <si>
    <t>P1011165_IJ</t>
  </si>
  <si>
    <t>P1011166_IJ</t>
  </si>
  <si>
    <t>P1011167_IJ</t>
  </si>
  <si>
    <t>P1011147_IJ</t>
  </si>
  <si>
    <t>ON2</t>
  </si>
  <si>
    <t>P1010006_crop</t>
  </si>
  <si>
    <t>P1010008_IJ</t>
  </si>
  <si>
    <t>P1010009_IJ</t>
  </si>
  <si>
    <t>P1010010_IJ</t>
  </si>
  <si>
    <t>Sculpin</t>
  </si>
  <si>
    <t>WNEM</t>
  </si>
  <si>
    <t>Chiton other</t>
  </si>
  <si>
    <t>Lot</t>
  </si>
  <si>
    <t>Photo</t>
  </si>
  <si>
    <t>Time</t>
  </si>
  <si>
    <t>P1011053_IJ</t>
  </si>
  <si>
    <t>SC</t>
  </si>
  <si>
    <t>A</t>
  </si>
  <si>
    <t>June</t>
  </si>
  <si>
    <t>P1011057_IJ</t>
  </si>
  <si>
    <t>MKE</t>
  </si>
  <si>
    <t>ACO</t>
  </si>
  <si>
    <t>P1011059_IJ</t>
  </si>
  <si>
    <t>P1011061_IJ</t>
  </si>
  <si>
    <t>P1011063_IJ</t>
  </si>
  <si>
    <t>P1010064_IJ</t>
  </si>
  <si>
    <t>eggs</t>
  </si>
  <si>
    <t>P1011068_IJ</t>
  </si>
  <si>
    <t>B</t>
  </si>
  <si>
    <t>P1011070_IJ</t>
  </si>
  <si>
    <t>P1011071_IJ</t>
  </si>
  <si>
    <t>P1011073_IJ</t>
  </si>
  <si>
    <t>P1011074_IJ</t>
  </si>
  <si>
    <t>P1011077_IJ</t>
  </si>
  <si>
    <t>GAS</t>
  </si>
  <si>
    <t>P1011090_IJ</t>
  </si>
  <si>
    <t>C</t>
  </si>
  <si>
    <t>P1011091_IJ</t>
  </si>
  <si>
    <t>CLI</t>
  </si>
  <si>
    <t>MAR</t>
  </si>
  <si>
    <t>MARCLI</t>
  </si>
  <si>
    <t>LVI</t>
  </si>
  <si>
    <t>GA1</t>
  </si>
  <si>
    <t>GA2</t>
  </si>
  <si>
    <t>TCAn</t>
  </si>
  <si>
    <t>CCU</t>
  </si>
  <si>
    <t>NUC</t>
  </si>
  <si>
    <t>P1011093_IJ</t>
  </si>
  <si>
    <t>P1011094_IJ</t>
  </si>
  <si>
    <t>P1011096_IJ</t>
  </si>
  <si>
    <t>P1011296_IJ</t>
  </si>
  <si>
    <t>P1011297_IJ</t>
  </si>
  <si>
    <t>FOR</t>
  </si>
  <si>
    <t>Treatment</t>
  </si>
  <si>
    <t>Add</t>
  </si>
  <si>
    <t>Control</t>
  </si>
  <si>
    <t>P1011298_IJ</t>
  </si>
  <si>
    <t>P1011300_IJ</t>
  </si>
  <si>
    <t>GA3 (MAR!)</t>
  </si>
  <si>
    <t>GA4 (AMP!)</t>
  </si>
  <si>
    <t>CAL</t>
  </si>
  <si>
    <t>P1011302_IJ</t>
  </si>
  <si>
    <t>P1011303_IJ</t>
  </si>
  <si>
    <t>Dorid</t>
  </si>
  <si>
    <t>P1011284_IJ</t>
  </si>
  <si>
    <t>SST</t>
  </si>
  <si>
    <t>P1011285_IJ</t>
  </si>
  <si>
    <t>Chiton R</t>
  </si>
  <si>
    <t>Gastropod R</t>
  </si>
  <si>
    <t>graz.richness</t>
  </si>
  <si>
    <t>consumer.richness</t>
  </si>
  <si>
    <t>consumer.SW 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</si>
</sst>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0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10"/>
      <name val="Verdana"/>
    </font>
    <font>
      <sz val="8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11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Border="1" applyAlignment="1">
      <alignment textRotation="90"/>
    </xf>
    <xf numFmtId="164" fontId="0" fillId="0" borderId="0" xfId="0" applyNumberFormat="1" applyBorder="1" applyAlignment="1">
      <alignment textRotation="90"/>
    </xf>
    <xf numFmtId="0" fontId="0" fillId="2" borderId="0" xfId="0" applyFill="1" applyBorder="1" applyAlignment="1">
      <alignment textRotation="90"/>
    </xf>
    <xf numFmtId="0" fontId="0" fillId="3" borderId="0" xfId="0" applyFill="1" applyBorder="1" applyAlignment="1">
      <alignment textRotation="90"/>
    </xf>
    <xf numFmtId="0" fontId="0" fillId="4" borderId="0" xfId="0" applyFill="1" applyBorder="1" applyAlignment="1">
      <alignment textRotation="90"/>
    </xf>
    <xf numFmtId="0" fontId="0" fillId="5" borderId="0" xfId="0" applyFill="1" applyBorder="1" applyAlignment="1">
      <alignment textRotation="90"/>
    </xf>
    <xf numFmtId="0" fontId="0" fillId="6" borderId="0" xfId="0" applyFill="1" applyBorder="1" applyAlignment="1">
      <alignment textRotation="90"/>
    </xf>
    <xf numFmtId="0" fontId="0" fillId="7" borderId="0" xfId="0" applyFill="1" applyBorder="1" applyAlignment="1">
      <alignment textRotation="90"/>
    </xf>
    <xf numFmtId="0" fontId="0" fillId="8" borderId="0" xfId="0" applyFill="1" applyBorder="1" applyAlignment="1">
      <alignment textRotation="90"/>
    </xf>
    <xf numFmtId="0" fontId="0" fillId="9" borderId="0" xfId="0" applyFill="1" applyBorder="1" applyAlignment="1">
      <alignment textRotation="90"/>
    </xf>
    <xf numFmtId="0" fontId="0" fillId="0" borderId="0" xfId="0" applyAlignment="1">
      <alignment textRotation="90"/>
    </xf>
    <xf numFmtId="0" fontId="0" fillId="0" borderId="0" xfId="0" applyFill="1" applyBorder="1" applyAlignment="1">
      <alignment textRotation="90"/>
    </xf>
    <xf numFmtId="0" fontId="0" fillId="0" borderId="0" xfId="0" applyAlignment="1"/>
    <xf numFmtId="0" fontId="0" fillId="10" borderId="0" xfId="0" applyFill="1" applyAlignme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4" xfId="0" applyNumberFormat="1" applyBorder="1"/>
    <xf numFmtId="0" fontId="0" fillId="0" borderId="0" xfId="0" applyFill="1"/>
    <xf numFmtId="0" fontId="0" fillId="0" borderId="0" xfId="0" applyFill="1" applyAlignment="1"/>
    <xf numFmtId="0" fontId="0" fillId="2" borderId="7" xfId="0" applyFill="1" applyBorder="1" applyAlignment="1">
      <alignment textRotation="90"/>
    </xf>
    <xf numFmtId="0" fontId="3" fillId="0" borderId="0" xfId="0" applyFont="1" applyFill="1" applyBorder="1" applyAlignment="1">
      <alignment textRotation="90"/>
    </xf>
    <xf numFmtId="0" fontId="0" fillId="0" borderId="6" xfId="0" applyNumberFormat="1" applyBorder="1"/>
    <xf numFmtId="0" fontId="0" fillId="0" borderId="8" xfId="0" applyNumberFormat="1" applyBorder="1"/>
    <xf numFmtId="0" fontId="4" fillId="0" borderId="0" xfId="0" applyFont="1" applyBorder="1" applyAlignment="1">
      <alignment textRotation="90"/>
    </xf>
    <xf numFmtId="0" fontId="4" fillId="0" borderId="0" xfId="0" applyFont="1" applyAlignment="1">
      <alignment textRotation="90"/>
    </xf>
    <xf numFmtId="0" fontId="4" fillId="0" borderId="0" xfId="0" applyFont="1" applyAlignment="1"/>
    <xf numFmtId="0" fontId="0" fillId="0" borderId="0" xfId="0" applyFill="1" applyBorder="1" applyAlignment="1"/>
    <xf numFmtId="0" fontId="2" fillId="0" borderId="0" xfId="0" applyFont="1" applyBorder="1" applyAlignment="1">
      <alignment textRotation="90"/>
    </xf>
    <xf numFmtId="0" fontId="2" fillId="0" borderId="0" xfId="0" applyFont="1" applyFill="1" applyBorder="1" applyAlignment="1">
      <alignment textRotation="90"/>
    </xf>
    <xf numFmtId="0" fontId="1" fillId="0" borderId="0" xfId="0" applyFont="1" applyBorder="1" applyAlignment="1">
      <alignment textRotation="90"/>
    </xf>
    <xf numFmtId="0" fontId="1" fillId="0" borderId="0" xfId="0" applyFont="1" applyFill="1" applyBorder="1" applyAlignment="1">
      <alignment textRotation="90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NumberFormat="1" applyBorder="1"/>
    <xf numFmtId="0" fontId="0" fillId="0" borderId="12" xfId="0" applyNumberFormat="1" applyBorder="1"/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10" Type="http://schemas.openxmlformats.org/officeDocument/2006/relationships/styles" Target="styles.xml"/><Relationship Id="rId5" Type="http://schemas.openxmlformats.org/officeDocument/2006/relationships/worksheet" Target="worksheets/sheet5.xml"/><Relationship Id="rId7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9" Type="http://schemas.openxmlformats.org/officeDocument/2006/relationships/theme" Target="theme/theme1.xml"/><Relationship Id="rId3" Type="http://schemas.openxmlformats.org/officeDocument/2006/relationships/worksheet" Target="worksheets/sheet3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996015451856902"/>
          <c:y val="0.0550239395138504"/>
          <c:w val="0.85856531950065"/>
          <c:h val="0.89234475820287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0"/>
            <c:trendlineLbl>
              <c:layout>
                <c:manualLayout>
                  <c:xMode val="edge"/>
                  <c:yMode val="edge"/>
                  <c:x val="0.509959911350734"/>
                  <c:y val="0.0669856654951223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200" b="0" i="0" u="none" strike="noStrike" baseline="0">
                      <a:solidFill>
                        <a:srgbClr val="000000"/>
                      </a:solidFill>
                      <a:latin typeface="Verdana"/>
                      <a:ea typeface="Verdana"/>
                      <a:cs typeface="Verdana"/>
                    </a:defRPr>
                  </a:pPr>
                  <a:endParaRPr lang="en-US"/>
                </a:p>
              </c:txPr>
            </c:trendlineLbl>
          </c:trendline>
          <c:xVal>
            <c:numRef>
              <c:f>all_raw!$BQ$2:$BQ$145</c:f>
              <c:numCache>
                <c:formatCode>General</c:formatCode>
                <c:ptCount val="144"/>
                <c:pt idx="0">
                  <c:v>2.0</c:v>
                </c:pt>
                <c:pt idx="1">
                  <c:v>3.0</c:v>
                </c:pt>
                <c:pt idx="2">
                  <c:v>2.0</c:v>
                </c:pt>
                <c:pt idx="3">
                  <c:v>2.0</c:v>
                </c:pt>
                <c:pt idx="4">
                  <c:v>1.0</c:v>
                </c:pt>
                <c:pt idx="5">
                  <c:v>4.0</c:v>
                </c:pt>
                <c:pt idx="6">
                  <c:v>4.0</c:v>
                </c:pt>
                <c:pt idx="7">
                  <c:v>5.0</c:v>
                </c:pt>
                <c:pt idx="8">
                  <c:v>2.0</c:v>
                </c:pt>
                <c:pt idx="9">
                  <c:v>2.0</c:v>
                </c:pt>
                <c:pt idx="10">
                  <c:v>5.0</c:v>
                </c:pt>
                <c:pt idx="11">
                  <c:v>3.0</c:v>
                </c:pt>
                <c:pt idx="12">
                  <c:v>2.0</c:v>
                </c:pt>
                <c:pt idx="13">
                  <c:v>4.0</c:v>
                </c:pt>
                <c:pt idx="14">
                  <c:v>3.0</c:v>
                </c:pt>
                <c:pt idx="15">
                  <c:v>3.0</c:v>
                </c:pt>
                <c:pt idx="16">
                  <c:v>3.0</c:v>
                </c:pt>
                <c:pt idx="17">
                  <c:v>2.0</c:v>
                </c:pt>
                <c:pt idx="18">
                  <c:v>3.0</c:v>
                </c:pt>
                <c:pt idx="19">
                  <c:v>3.0</c:v>
                </c:pt>
                <c:pt idx="20">
                  <c:v>3.0</c:v>
                </c:pt>
                <c:pt idx="21">
                  <c:v>1.0</c:v>
                </c:pt>
                <c:pt idx="22">
                  <c:v>2.0</c:v>
                </c:pt>
                <c:pt idx="23">
                  <c:v>3.0</c:v>
                </c:pt>
                <c:pt idx="24">
                  <c:v>1.0</c:v>
                </c:pt>
                <c:pt idx="25">
                  <c:v>1.0</c:v>
                </c:pt>
                <c:pt idx="26">
                  <c:v>0.0</c:v>
                </c:pt>
                <c:pt idx="27">
                  <c:v>1.0</c:v>
                </c:pt>
                <c:pt idx="28">
                  <c:v>1.0</c:v>
                </c:pt>
                <c:pt idx="29">
                  <c:v>4.0</c:v>
                </c:pt>
                <c:pt idx="30">
                  <c:v>3.0</c:v>
                </c:pt>
                <c:pt idx="31">
                  <c:v>1.0</c:v>
                </c:pt>
                <c:pt idx="32">
                  <c:v>3.0</c:v>
                </c:pt>
                <c:pt idx="33">
                  <c:v>1.0</c:v>
                </c:pt>
                <c:pt idx="34">
                  <c:v>2.0</c:v>
                </c:pt>
                <c:pt idx="35">
                  <c:v>1.0</c:v>
                </c:pt>
                <c:pt idx="36">
                  <c:v>4.0</c:v>
                </c:pt>
                <c:pt idx="37">
                  <c:v>4.0</c:v>
                </c:pt>
                <c:pt idx="38">
                  <c:v>5.0</c:v>
                </c:pt>
                <c:pt idx="39">
                  <c:v>4.0</c:v>
                </c:pt>
                <c:pt idx="40">
                  <c:v>5.0</c:v>
                </c:pt>
                <c:pt idx="41">
                  <c:v>6.0</c:v>
                </c:pt>
                <c:pt idx="42">
                  <c:v>9.0</c:v>
                </c:pt>
                <c:pt idx="43">
                  <c:v>6.0</c:v>
                </c:pt>
                <c:pt idx="44">
                  <c:v>7.0</c:v>
                </c:pt>
                <c:pt idx="45">
                  <c:v>11.0</c:v>
                </c:pt>
                <c:pt idx="46">
                  <c:v>5.0</c:v>
                </c:pt>
                <c:pt idx="47">
                  <c:v>11.0</c:v>
                </c:pt>
                <c:pt idx="48">
                  <c:v>8.0</c:v>
                </c:pt>
                <c:pt idx="49">
                  <c:v>7.0</c:v>
                </c:pt>
                <c:pt idx="50">
                  <c:v>9.0</c:v>
                </c:pt>
                <c:pt idx="51">
                  <c:v>8.0</c:v>
                </c:pt>
                <c:pt idx="52">
                  <c:v>7.0</c:v>
                </c:pt>
                <c:pt idx="53">
                  <c:v>8.0</c:v>
                </c:pt>
                <c:pt idx="54">
                  <c:v>2.0</c:v>
                </c:pt>
                <c:pt idx="55">
                  <c:v>3.0</c:v>
                </c:pt>
                <c:pt idx="56">
                  <c:v>1.0</c:v>
                </c:pt>
                <c:pt idx="57">
                  <c:v>1.0</c:v>
                </c:pt>
                <c:pt idx="58">
                  <c:v>3.0</c:v>
                </c:pt>
                <c:pt idx="59">
                  <c:v>1.0</c:v>
                </c:pt>
                <c:pt idx="60">
                  <c:v>1.0</c:v>
                </c:pt>
                <c:pt idx="61">
                  <c:v>1.0</c:v>
                </c:pt>
                <c:pt idx="62">
                  <c:v>2.0</c:v>
                </c:pt>
                <c:pt idx="63">
                  <c:v>2.0</c:v>
                </c:pt>
                <c:pt idx="64">
                  <c:v>1.0</c:v>
                </c:pt>
                <c:pt idx="65">
                  <c:v>3.0</c:v>
                </c:pt>
                <c:pt idx="66">
                  <c:v>5.0</c:v>
                </c:pt>
                <c:pt idx="67">
                  <c:v>3.0</c:v>
                </c:pt>
                <c:pt idx="68">
                  <c:v>2.0</c:v>
                </c:pt>
                <c:pt idx="69">
                  <c:v>5.0</c:v>
                </c:pt>
                <c:pt idx="70">
                  <c:v>3.0</c:v>
                </c:pt>
                <c:pt idx="71">
                  <c:v>4.0</c:v>
                </c:pt>
                <c:pt idx="72">
                  <c:v>1.0</c:v>
                </c:pt>
                <c:pt idx="73">
                  <c:v>3.0</c:v>
                </c:pt>
                <c:pt idx="74">
                  <c:v>3.0</c:v>
                </c:pt>
                <c:pt idx="75">
                  <c:v>1.0</c:v>
                </c:pt>
                <c:pt idx="76">
                  <c:v>3.0</c:v>
                </c:pt>
                <c:pt idx="77">
                  <c:v>2.0</c:v>
                </c:pt>
                <c:pt idx="78">
                  <c:v>8.0</c:v>
                </c:pt>
                <c:pt idx="79">
                  <c:v>3.0</c:v>
                </c:pt>
                <c:pt idx="80">
                  <c:v>8.0</c:v>
                </c:pt>
                <c:pt idx="81">
                  <c:v>3.0</c:v>
                </c:pt>
                <c:pt idx="82">
                  <c:v>3.0</c:v>
                </c:pt>
                <c:pt idx="83">
                  <c:v>2.0</c:v>
                </c:pt>
                <c:pt idx="84">
                  <c:v>9.0</c:v>
                </c:pt>
                <c:pt idx="85">
                  <c:v>8.0</c:v>
                </c:pt>
                <c:pt idx="86">
                  <c:v>8.0</c:v>
                </c:pt>
                <c:pt idx="87">
                  <c:v>9.0</c:v>
                </c:pt>
                <c:pt idx="88">
                  <c:v>7.0</c:v>
                </c:pt>
                <c:pt idx="89">
                  <c:v>5.0</c:v>
                </c:pt>
                <c:pt idx="90">
                  <c:v>4.0</c:v>
                </c:pt>
                <c:pt idx="91">
                  <c:v>5.0</c:v>
                </c:pt>
                <c:pt idx="92">
                  <c:v>6.0</c:v>
                </c:pt>
                <c:pt idx="93">
                  <c:v>3.0</c:v>
                </c:pt>
                <c:pt idx="94">
                  <c:v>6.0</c:v>
                </c:pt>
                <c:pt idx="95">
                  <c:v>2.0</c:v>
                </c:pt>
                <c:pt idx="96">
                  <c:v>7.0</c:v>
                </c:pt>
                <c:pt idx="97">
                  <c:v>6.0</c:v>
                </c:pt>
                <c:pt idx="98">
                  <c:v>3.0</c:v>
                </c:pt>
                <c:pt idx="99">
                  <c:v>7.0</c:v>
                </c:pt>
                <c:pt idx="100">
                  <c:v>6.0</c:v>
                </c:pt>
                <c:pt idx="101">
                  <c:v>6.0</c:v>
                </c:pt>
                <c:pt idx="102">
                  <c:v>7.0</c:v>
                </c:pt>
                <c:pt idx="103">
                  <c:v>10.0</c:v>
                </c:pt>
                <c:pt idx="104">
                  <c:v>3.0</c:v>
                </c:pt>
                <c:pt idx="105">
                  <c:v>7.0</c:v>
                </c:pt>
                <c:pt idx="106">
                  <c:v>7.0</c:v>
                </c:pt>
                <c:pt idx="107">
                  <c:v>5.0</c:v>
                </c:pt>
                <c:pt idx="108">
                  <c:v>5.0</c:v>
                </c:pt>
                <c:pt idx="109">
                  <c:v>4.0</c:v>
                </c:pt>
                <c:pt idx="110">
                  <c:v>6.0</c:v>
                </c:pt>
                <c:pt idx="111">
                  <c:v>7.0</c:v>
                </c:pt>
                <c:pt idx="112">
                  <c:v>6.0</c:v>
                </c:pt>
                <c:pt idx="113">
                  <c:v>2.0</c:v>
                </c:pt>
                <c:pt idx="114">
                  <c:v>5.0</c:v>
                </c:pt>
                <c:pt idx="115">
                  <c:v>6.0</c:v>
                </c:pt>
                <c:pt idx="116">
                  <c:v>6.0</c:v>
                </c:pt>
                <c:pt idx="117">
                  <c:v>8.0</c:v>
                </c:pt>
                <c:pt idx="118">
                  <c:v>8.0</c:v>
                </c:pt>
                <c:pt idx="119">
                  <c:v>3.0</c:v>
                </c:pt>
                <c:pt idx="120">
                  <c:v>4.0</c:v>
                </c:pt>
                <c:pt idx="121">
                  <c:v>7.0</c:v>
                </c:pt>
                <c:pt idx="122">
                  <c:v>9.0</c:v>
                </c:pt>
                <c:pt idx="123">
                  <c:v>7.0</c:v>
                </c:pt>
                <c:pt idx="124">
                  <c:v>10.0</c:v>
                </c:pt>
                <c:pt idx="125">
                  <c:v>10.0</c:v>
                </c:pt>
                <c:pt idx="126">
                  <c:v>4.0</c:v>
                </c:pt>
                <c:pt idx="127">
                  <c:v>4.0</c:v>
                </c:pt>
                <c:pt idx="128">
                  <c:v>9.0</c:v>
                </c:pt>
                <c:pt idx="129">
                  <c:v>10.0</c:v>
                </c:pt>
                <c:pt idx="130">
                  <c:v>6.0</c:v>
                </c:pt>
                <c:pt idx="131">
                  <c:v>7.0</c:v>
                </c:pt>
                <c:pt idx="132">
                  <c:v>6.0</c:v>
                </c:pt>
                <c:pt idx="133">
                  <c:v>6.0</c:v>
                </c:pt>
                <c:pt idx="134">
                  <c:v>7.0</c:v>
                </c:pt>
                <c:pt idx="135">
                  <c:v>3.0</c:v>
                </c:pt>
                <c:pt idx="136">
                  <c:v>4.0</c:v>
                </c:pt>
                <c:pt idx="137">
                  <c:v>6.0</c:v>
                </c:pt>
                <c:pt idx="138">
                  <c:v>6.0</c:v>
                </c:pt>
                <c:pt idx="139">
                  <c:v>10.0</c:v>
                </c:pt>
                <c:pt idx="140">
                  <c:v>8.0</c:v>
                </c:pt>
                <c:pt idx="141">
                  <c:v>4.0</c:v>
                </c:pt>
                <c:pt idx="142">
                  <c:v>7.0</c:v>
                </c:pt>
                <c:pt idx="143">
                  <c:v>4.0</c:v>
                </c:pt>
              </c:numCache>
            </c:numRef>
          </c:xVal>
          <c:yVal>
            <c:numRef>
              <c:f>all_raw!$BS$2:$BS$145</c:f>
              <c:numCache>
                <c:formatCode>General</c:formatCode>
                <c:ptCount val="144"/>
                <c:pt idx="0">
                  <c:v>0.636514168294813</c:v>
                </c:pt>
                <c:pt idx="1">
                  <c:v>1.011404264707352</c:v>
                </c:pt>
                <c:pt idx="2">
                  <c:v>0.693147180559945</c:v>
                </c:pt>
                <c:pt idx="3">
                  <c:v>0.693147180559945</c:v>
                </c:pt>
                <c:pt idx="4">
                  <c:v>0.0</c:v>
                </c:pt>
                <c:pt idx="5">
                  <c:v>1.386294361119891</c:v>
                </c:pt>
                <c:pt idx="6">
                  <c:v>1.329661348854758</c:v>
                </c:pt>
                <c:pt idx="7">
                  <c:v>1.6094379124341</c:v>
                </c:pt>
                <c:pt idx="8">
                  <c:v>0.636514168294813</c:v>
                </c:pt>
                <c:pt idx="9">
                  <c:v>0.636514168294813</c:v>
                </c:pt>
                <c:pt idx="10">
                  <c:v>1.549826045878202</c:v>
                </c:pt>
                <c:pt idx="11">
                  <c:v>1.039720770839918</c:v>
                </c:pt>
                <c:pt idx="12">
                  <c:v>0.636514168294813</c:v>
                </c:pt>
                <c:pt idx="13">
                  <c:v>1.277034259466139</c:v>
                </c:pt>
                <c:pt idx="14">
                  <c:v>1.039720770839918</c:v>
                </c:pt>
                <c:pt idx="15">
                  <c:v>1.09861228866811</c:v>
                </c:pt>
                <c:pt idx="16">
                  <c:v>0.867563228481461</c:v>
                </c:pt>
                <c:pt idx="17">
                  <c:v>0.693147180559945</c:v>
                </c:pt>
                <c:pt idx="18">
                  <c:v>1.039720770839918</c:v>
                </c:pt>
                <c:pt idx="19">
                  <c:v>1.039720770839918</c:v>
                </c:pt>
                <c:pt idx="20">
                  <c:v>1.09861228866811</c:v>
                </c:pt>
                <c:pt idx="21">
                  <c:v>0.0</c:v>
                </c:pt>
                <c:pt idx="22">
                  <c:v>0.636514168294813</c:v>
                </c:pt>
                <c:pt idx="23">
                  <c:v>1.09861228866811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</c:v>
                </c:pt>
                <c:pt idx="28">
                  <c:v>0.0</c:v>
                </c:pt>
                <c:pt idx="29">
                  <c:v>1.332179040210122</c:v>
                </c:pt>
                <c:pt idx="30">
                  <c:v>1.09861228866811</c:v>
                </c:pt>
                <c:pt idx="31">
                  <c:v>0.0</c:v>
                </c:pt>
                <c:pt idx="32">
                  <c:v>1.039720770839918</c:v>
                </c:pt>
                <c:pt idx="33">
                  <c:v>0.0</c:v>
                </c:pt>
                <c:pt idx="34">
                  <c:v>0.636514168294813</c:v>
                </c:pt>
                <c:pt idx="35">
                  <c:v>0.0</c:v>
                </c:pt>
                <c:pt idx="36">
                  <c:v>1.332179040210122</c:v>
                </c:pt>
                <c:pt idx="37">
                  <c:v>1.308605387253449</c:v>
                </c:pt>
                <c:pt idx="38">
                  <c:v>1.418483661945656</c:v>
                </c:pt>
                <c:pt idx="39">
                  <c:v>1.242453324894</c:v>
                </c:pt>
                <c:pt idx="40">
                  <c:v>1.475076311054695</c:v>
                </c:pt>
                <c:pt idx="41">
                  <c:v>1.732867951399863</c:v>
                </c:pt>
                <c:pt idx="42">
                  <c:v>2.069202465820362</c:v>
                </c:pt>
                <c:pt idx="43">
                  <c:v>1.747868097466757</c:v>
                </c:pt>
                <c:pt idx="44">
                  <c:v>1.717075980198882</c:v>
                </c:pt>
                <c:pt idx="45">
                  <c:v>2.260233853174674</c:v>
                </c:pt>
                <c:pt idx="46">
                  <c:v>1.427061043380725</c:v>
                </c:pt>
                <c:pt idx="47">
                  <c:v>2.282374376159249</c:v>
                </c:pt>
                <c:pt idx="48">
                  <c:v>1.749493825393662</c:v>
                </c:pt>
                <c:pt idx="49">
                  <c:v>1.886696784658078</c:v>
                </c:pt>
                <c:pt idx="50">
                  <c:v>1.913303656753166</c:v>
                </c:pt>
                <c:pt idx="51">
                  <c:v>1.870568889415637</c:v>
                </c:pt>
                <c:pt idx="52">
                  <c:v>1.804371619152846</c:v>
                </c:pt>
                <c:pt idx="53">
                  <c:v>2.025326220770067</c:v>
                </c:pt>
                <c:pt idx="54">
                  <c:v>0.693147180559945</c:v>
                </c:pt>
                <c:pt idx="55">
                  <c:v>1.09861228866811</c:v>
                </c:pt>
                <c:pt idx="56">
                  <c:v>0.0</c:v>
                </c:pt>
                <c:pt idx="57">
                  <c:v>0.0</c:v>
                </c:pt>
                <c:pt idx="58">
                  <c:v>1.09861228866811</c:v>
                </c:pt>
                <c:pt idx="59">
                  <c:v>0.0</c:v>
                </c:pt>
                <c:pt idx="60">
                  <c:v>0.0</c:v>
                </c:pt>
                <c:pt idx="61">
                  <c:v>0.0</c:v>
                </c:pt>
                <c:pt idx="62">
                  <c:v>0.693147180559945</c:v>
                </c:pt>
                <c:pt idx="63">
                  <c:v>0.636514168294813</c:v>
                </c:pt>
                <c:pt idx="64">
                  <c:v>0.0</c:v>
                </c:pt>
                <c:pt idx="65">
                  <c:v>1.09861228866811</c:v>
                </c:pt>
                <c:pt idx="66">
                  <c:v>1.549826045878202</c:v>
                </c:pt>
                <c:pt idx="67">
                  <c:v>1.039720770839918</c:v>
                </c:pt>
                <c:pt idx="68">
                  <c:v>0.693147180559945</c:v>
                </c:pt>
                <c:pt idx="69">
                  <c:v>1.560710409041406</c:v>
                </c:pt>
                <c:pt idx="70">
                  <c:v>1.09861228866811</c:v>
                </c:pt>
                <c:pt idx="71">
                  <c:v>1.332179040210122</c:v>
                </c:pt>
                <c:pt idx="72">
                  <c:v>0.0</c:v>
                </c:pt>
                <c:pt idx="73">
                  <c:v>1.039720770839918</c:v>
                </c:pt>
                <c:pt idx="74">
                  <c:v>1.09861228866811</c:v>
                </c:pt>
                <c:pt idx="75">
                  <c:v>0.0</c:v>
                </c:pt>
                <c:pt idx="76">
                  <c:v>1.039720770839918</c:v>
                </c:pt>
                <c:pt idx="77">
                  <c:v>0.693147180559945</c:v>
                </c:pt>
                <c:pt idx="78">
                  <c:v>1.927392126139274</c:v>
                </c:pt>
                <c:pt idx="79">
                  <c:v>0.955699891112534</c:v>
                </c:pt>
                <c:pt idx="80">
                  <c:v>2.079441541679836</c:v>
                </c:pt>
                <c:pt idx="81">
                  <c:v>0.79026796807459</c:v>
                </c:pt>
                <c:pt idx="82">
                  <c:v>1.09861228866811</c:v>
                </c:pt>
                <c:pt idx="83">
                  <c:v>0.693147180559945</c:v>
                </c:pt>
                <c:pt idx="84">
                  <c:v>1.562489359332507</c:v>
                </c:pt>
                <c:pt idx="85">
                  <c:v>1.781519856371832</c:v>
                </c:pt>
                <c:pt idx="86">
                  <c:v>1.710538320902139</c:v>
                </c:pt>
                <c:pt idx="87">
                  <c:v>1.915765316728204</c:v>
                </c:pt>
                <c:pt idx="88">
                  <c:v>1.410353392425713</c:v>
                </c:pt>
                <c:pt idx="89">
                  <c:v>1.296361159791056</c:v>
                </c:pt>
                <c:pt idx="90">
                  <c:v>1.386294361119891</c:v>
                </c:pt>
                <c:pt idx="91">
                  <c:v>1.39043779493948</c:v>
                </c:pt>
                <c:pt idx="92">
                  <c:v>1.279614564908273</c:v>
                </c:pt>
                <c:pt idx="93">
                  <c:v>1.039720770839918</c:v>
                </c:pt>
                <c:pt idx="94">
                  <c:v>1.676987774322417</c:v>
                </c:pt>
                <c:pt idx="95">
                  <c:v>0.693147180559945</c:v>
                </c:pt>
                <c:pt idx="96">
                  <c:v>1.442928837054575</c:v>
                </c:pt>
                <c:pt idx="97">
                  <c:v>1.387477062609779</c:v>
                </c:pt>
                <c:pt idx="98">
                  <c:v>0.639031859650177</c:v>
                </c:pt>
                <c:pt idx="99">
                  <c:v>1.777975573240908</c:v>
                </c:pt>
                <c:pt idx="100">
                  <c:v>1.28487876782417</c:v>
                </c:pt>
                <c:pt idx="101">
                  <c:v>1.201559154773792</c:v>
                </c:pt>
                <c:pt idx="102">
                  <c:v>1.55406420930902</c:v>
                </c:pt>
                <c:pt idx="103">
                  <c:v>1.986530236621055</c:v>
                </c:pt>
                <c:pt idx="104">
                  <c:v>0.535961049709069</c:v>
                </c:pt>
                <c:pt idx="105">
                  <c:v>1.645916830017468</c:v>
                </c:pt>
                <c:pt idx="106">
                  <c:v>1.463832571004065</c:v>
                </c:pt>
                <c:pt idx="107">
                  <c:v>1.303288263696064</c:v>
                </c:pt>
                <c:pt idx="108">
                  <c:v>1.6094379124341</c:v>
                </c:pt>
                <c:pt idx="109">
                  <c:v>1.242453324894</c:v>
                </c:pt>
                <c:pt idx="110">
                  <c:v>1.631345420808597</c:v>
                </c:pt>
                <c:pt idx="111">
                  <c:v>1.831020481113516</c:v>
                </c:pt>
                <c:pt idx="112">
                  <c:v>1.676987774322417</c:v>
                </c:pt>
                <c:pt idx="113">
                  <c:v>0.693147180559945</c:v>
                </c:pt>
                <c:pt idx="114">
                  <c:v>1.418483661945656</c:v>
                </c:pt>
                <c:pt idx="115">
                  <c:v>1.58216994292525</c:v>
                </c:pt>
                <c:pt idx="116">
                  <c:v>1.425336621739413</c:v>
                </c:pt>
                <c:pt idx="117">
                  <c:v>1.693427537358534</c:v>
                </c:pt>
                <c:pt idx="118">
                  <c:v>1.839789586841252</c:v>
                </c:pt>
                <c:pt idx="119">
                  <c:v>0.974314752869349</c:v>
                </c:pt>
                <c:pt idx="120">
                  <c:v>1.174149449854548</c:v>
                </c:pt>
                <c:pt idx="121">
                  <c:v>1.495499675539719</c:v>
                </c:pt>
                <c:pt idx="122">
                  <c:v>1.828728522316364</c:v>
                </c:pt>
                <c:pt idx="123">
                  <c:v>1.591448685908888</c:v>
                </c:pt>
                <c:pt idx="124">
                  <c:v>1.948223226320436</c:v>
                </c:pt>
                <c:pt idx="125">
                  <c:v>1.933802413046323</c:v>
                </c:pt>
                <c:pt idx="126">
                  <c:v>1.279854225833668</c:v>
                </c:pt>
                <c:pt idx="127">
                  <c:v>1.277034259466139</c:v>
                </c:pt>
                <c:pt idx="128">
                  <c:v>1.871160414231807</c:v>
                </c:pt>
                <c:pt idx="129">
                  <c:v>2.271868512696563</c:v>
                </c:pt>
                <c:pt idx="130">
                  <c:v>1.732867951399863</c:v>
                </c:pt>
                <c:pt idx="131">
                  <c:v>1.783853960355616</c:v>
                </c:pt>
                <c:pt idx="132">
                  <c:v>1.455643247553952</c:v>
                </c:pt>
                <c:pt idx="133">
                  <c:v>1.611472204260726</c:v>
                </c:pt>
                <c:pt idx="134">
                  <c:v>1.635743495231497</c:v>
                </c:pt>
                <c:pt idx="135">
                  <c:v>0.830471712436292</c:v>
                </c:pt>
                <c:pt idx="136">
                  <c:v>1.123130821077698</c:v>
                </c:pt>
                <c:pt idx="137">
                  <c:v>1.470098870755394</c:v>
                </c:pt>
                <c:pt idx="138">
                  <c:v>1.673118362643251</c:v>
                </c:pt>
                <c:pt idx="139">
                  <c:v>2.16012981083637</c:v>
                </c:pt>
                <c:pt idx="140">
                  <c:v>1.567909940430758</c:v>
                </c:pt>
                <c:pt idx="141">
                  <c:v>0.853944698279419</c:v>
                </c:pt>
                <c:pt idx="142">
                  <c:v>1.581093750171823</c:v>
                </c:pt>
                <c:pt idx="143">
                  <c:v>1.214889653949121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114664"/>
        <c:axId val="464117960"/>
      </c:scatterChart>
      <c:valAx>
        <c:axId val="464114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64117960"/>
        <c:crosses val="autoZero"/>
        <c:crossBetween val="midCat"/>
      </c:valAx>
      <c:valAx>
        <c:axId val="464117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6411466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01660208162964"/>
          <c:y val="0.057575672384481"/>
          <c:w val="0.82780145881732"/>
          <c:h val="0.887877474139627"/>
        </c:manualLayout>
      </c:layout>
      <c:barChart>
        <c:barDir val="col"/>
        <c:grouping val="clustered"/>
        <c:varyColors val="0"/>
        <c:ser>
          <c:idx val="0"/>
          <c:order val="0"/>
          <c:tx>
            <c:v>Urchin</c:v>
          </c:tx>
          <c:spPr>
            <a:solidFill>
              <a:srgbClr val="63AAFE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(all_edit!$DO$6,all_edit!$DO$10,all_edit!$DO$14)</c:f>
                <c:numCache>
                  <c:formatCode>General</c:formatCode>
                  <c:ptCount val="3"/>
                  <c:pt idx="0">
                    <c:v>0.618346942400842</c:v>
                  </c:pt>
                  <c:pt idx="1">
                    <c:v>2.517909704704629</c:v>
                  </c:pt>
                  <c:pt idx="2">
                    <c:v>0.594088525786005</c:v>
                  </c:pt>
                </c:numCache>
              </c:numRef>
            </c:plus>
            <c:minus>
              <c:numRef>
                <c:f>(all_edit!$DO$6,all_edit!$DO$10,all_edit!$DO$14)</c:f>
                <c:numCache>
                  <c:formatCode>General</c:formatCode>
                  <c:ptCount val="3"/>
                  <c:pt idx="0">
                    <c:v>0.618346942400842</c:v>
                  </c:pt>
                  <c:pt idx="1">
                    <c:v>2.517909704704629</c:v>
                  </c:pt>
                  <c:pt idx="2">
                    <c:v>0.594088525786005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(all_edit!$DM$5,all_edit!$DM$9,all_edit!$DM$13)</c:f>
              <c:strCache>
                <c:ptCount val="3"/>
                <c:pt idx="0">
                  <c:v>ON</c:v>
                </c:pt>
                <c:pt idx="1">
                  <c:v>PG</c:v>
                </c:pt>
                <c:pt idx="2">
                  <c:v>SC</c:v>
                </c:pt>
              </c:strCache>
            </c:strRef>
          </c:cat>
          <c:val>
            <c:numRef>
              <c:f>(all_edit!$DO$5,all_edit!$DO$9,all_edit!$DO$13)</c:f>
              <c:numCache>
                <c:formatCode>General</c:formatCode>
                <c:ptCount val="3"/>
                <c:pt idx="0">
                  <c:v>0.5</c:v>
                </c:pt>
                <c:pt idx="1">
                  <c:v>2.888888888888889</c:v>
                </c:pt>
                <c:pt idx="2">
                  <c:v>0.333333333333333</c:v>
                </c:pt>
              </c:numCache>
            </c:numRef>
          </c:val>
        </c:ser>
        <c:ser>
          <c:idx val="1"/>
          <c:order val="1"/>
          <c:tx>
            <c:v>Control</c:v>
          </c:tx>
          <c:spPr>
            <a:solidFill>
              <a:srgbClr val="DD2D32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errBars>
            <c:errBarType val="both"/>
            <c:errValType val="cust"/>
            <c:noEndCap val="0"/>
            <c:plus>
              <c:numRef>
                <c:f>(all_edit!$DO$22,all_edit!$DO$26,all_edit!$DO$30)</c:f>
                <c:numCache>
                  <c:formatCode>General</c:formatCode>
                  <c:ptCount val="3"/>
                  <c:pt idx="0">
                    <c:v>0.427792631946499</c:v>
                  </c:pt>
                  <c:pt idx="1">
                    <c:v>1.864704851446077</c:v>
                  </c:pt>
                  <c:pt idx="2">
                    <c:v>0.9582800496696</c:v>
                  </c:pt>
                </c:numCache>
              </c:numRef>
            </c:plus>
            <c:minus>
              <c:numRef>
                <c:f>(all_edit!$DO$22,all_edit!$DO$26,all_edit!$DO$30)</c:f>
                <c:numCache>
                  <c:formatCode>General</c:formatCode>
                  <c:ptCount val="3"/>
                  <c:pt idx="0">
                    <c:v>0.427792631946499</c:v>
                  </c:pt>
                  <c:pt idx="1">
                    <c:v>1.864704851446077</c:v>
                  </c:pt>
                  <c:pt idx="2">
                    <c:v>0.9582800496696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val>
            <c:numRef>
              <c:f>(all_edit!$DO$21,all_edit!$DO$25,all_edit!$DO$29)</c:f>
              <c:numCache>
                <c:formatCode>General</c:formatCode>
                <c:ptCount val="3"/>
                <c:pt idx="0">
                  <c:v>0.222222222222222</c:v>
                </c:pt>
                <c:pt idx="1">
                  <c:v>1.777777777777778</c:v>
                </c:pt>
                <c:pt idx="2">
                  <c:v>0.722222222222222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210952"/>
        <c:axId val="419214200"/>
      </c:barChart>
      <c:catAx>
        <c:axId val="419210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192142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19214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192109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1826228979261"/>
          <c:y val="0.269696570643095"/>
          <c:w val="0.0892116860379568"/>
          <c:h val="0.0757574636637907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.0" l="0.75" r="0.75" t="1.0" header="0.5" footer="0.5"/>
    <c:pageSetup paperSize="0" orientation="landscape" horizontalDpi="-4" verticalDpi="-4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0636703974302148"/>
          <c:y val="0.0561798330721049"/>
          <c:w val="0.825842507844845"/>
          <c:h val="0.890450354192862"/>
        </c:manualLayout>
      </c:layout>
      <c:barChart>
        <c:barDir val="col"/>
        <c:grouping val="clustered"/>
        <c:varyColors val="0"/>
        <c:ser>
          <c:idx val="0"/>
          <c:order val="0"/>
          <c:tx>
            <c:v>Urchin</c:v>
          </c:tx>
          <c:spPr>
            <a:solidFill>
              <a:srgbClr val="63AAFE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errBars>
            <c:errBarType val="both"/>
            <c:errValType val="cust"/>
            <c:noEndCap val="1"/>
            <c:plus>
              <c:numRef>
                <c:f>(all_edit!$DP$6,all_edit!$DP$10,all_edit!$DP$14)</c:f>
                <c:numCache>
                  <c:formatCode>General</c:formatCode>
                  <c:ptCount val="3"/>
                  <c:pt idx="0">
                    <c:v>0.900254139862666</c:v>
                  </c:pt>
                  <c:pt idx="1">
                    <c:v>4.041047557190724</c:v>
                  </c:pt>
                  <c:pt idx="2">
                    <c:v>1.689065178277792</c:v>
                  </c:pt>
                </c:numCache>
              </c:numRef>
            </c:plus>
            <c:minus>
              <c:numRef>
                <c:f>(all_edit!$DP$6,all_edit!$DP$10,all_edit!$DP$14)</c:f>
                <c:numCache>
                  <c:formatCode>General</c:formatCode>
                  <c:ptCount val="3"/>
                  <c:pt idx="0">
                    <c:v>0.900254139862666</c:v>
                  </c:pt>
                  <c:pt idx="1">
                    <c:v>4.041047557190724</c:v>
                  </c:pt>
                  <c:pt idx="2">
                    <c:v>1.689065178277792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cat>
            <c:strRef>
              <c:f>(all_edit!$DM$5,all_edit!$DM$9,all_edit!$DM$13)</c:f>
              <c:strCache>
                <c:ptCount val="3"/>
                <c:pt idx="0">
                  <c:v>ON</c:v>
                </c:pt>
                <c:pt idx="1">
                  <c:v>PG</c:v>
                </c:pt>
                <c:pt idx="2">
                  <c:v>SC</c:v>
                </c:pt>
              </c:strCache>
            </c:strRef>
          </c:cat>
          <c:val>
            <c:numRef>
              <c:f>(all_edit!$DP$5,all_edit!$DP$9,all_edit!$DP$13)</c:f>
              <c:numCache>
                <c:formatCode>General</c:formatCode>
                <c:ptCount val="3"/>
                <c:pt idx="0">
                  <c:v>0.888888888888889</c:v>
                </c:pt>
                <c:pt idx="1">
                  <c:v>5.277777777777778</c:v>
                </c:pt>
                <c:pt idx="2">
                  <c:v>2.166666666666666</c:v>
                </c:pt>
              </c:numCache>
            </c:numRef>
          </c:val>
        </c:ser>
        <c:ser>
          <c:idx val="1"/>
          <c:order val="1"/>
          <c:tx>
            <c:v>Control</c:v>
          </c:tx>
          <c:spPr>
            <a:solidFill>
              <a:srgbClr val="DD2D32"/>
            </a:solidFill>
            <a:ln w="25400">
              <a:noFill/>
            </a:ln>
            <a:effectLst>
              <a:outerShdw dist="35921" dir="2700000" algn="br">
                <a:srgbClr val="000000"/>
              </a:outerShdw>
            </a:effectLst>
          </c:spPr>
          <c:invertIfNegative val="0"/>
          <c:errBars>
            <c:errBarType val="both"/>
            <c:errValType val="cust"/>
            <c:noEndCap val="1"/>
            <c:plus>
              <c:numRef>
                <c:f>(all_edit!$DP$22,all_edit!$DP$26,all_edit!$DP$30)</c:f>
                <c:numCache>
                  <c:formatCode>General</c:formatCode>
                  <c:ptCount val="3"/>
                  <c:pt idx="0">
                    <c:v>0.777544316035229</c:v>
                  </c:pt>
                  <c:pt idx="1">
                    <c:v>1.098126747211439</c:v>
                  </c:pt>
                  <c:pt idx="2">
                    <c:v>1.17851130197758</c:v>
                  </c:pt>
                </c:numCache>
              </c:numRef>
            </c:plus>
            <c:minus>
              <c:numRef>
                <c:f>(all_edit!$DP$22,all_edit!$DP$26,all_edit!$DP$30)</c:f>
                <c:numCache>
                  <c:formatCode>General</c:formatCode>
                  <c:ptCount val="3"/>
                  <c:pt idx="0">
                    <c:v>0.777544316035229</c:v>
                  </c:pt>
                  <c:pt idx="1">
                    <c:v>1.098126747211439</c:v>
                  </c:pt>
                  <c:pt idx="2">
                    <c:v>1.17851130197758</c:v>
                  </c:pt>
                </c:numCache>
              </c:numRef>
            </c:minus>
            <c:spPr>
              <a:ln w="12700">
                <a:solidFill>
                  <a:srgbClr val="000000"/>
                </a:solidFill>
                <a:prstDash val="solid"/>
              </a:ln>
            </c:spPr>
          </c:errBars>
          <c:val>
            <c:numRef>
              <c:f>(all_edit!$DP$21,all_edit!$DP$25,all_edit!$DP$29)</c:f>
              <c:numCache>
                <c:formatCode>General</c:formatCode>
                <c:ptCount val="3"/>
                <c:pt idx="0">
                  <c:v>0.388888888888889</c:v>
                </c:pt>
                <c:pt idx="1">
                  <c:v>2.5</c:v>
                </c:pt>
                <c:pt idx="2">
                  <c:v>0.722222222222222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4069560"/>
        <c:axId val="463924600"/>
      </c:barChart>
      <c:catAx>
        <c:axId val="464069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63924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3924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Verdana"/>
                <a:ea typeface="Verdana"/>
                <a:cs typeface="Verdana"/>
              </a:defRPr>
            </a:pPr>
            <a:endParaRPr lang="en-US"/>
          </a:p>
        </c:txPr>
        <c:crossAx val="46406956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1048538025465"/>
          <c:y val="0.269663198746103"/>
          <c:w val="0.0880149611535322"/>
          <c:h val="0.0758427746473416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5" b="0" i="0" u="none" strike="noStrike" baseline="0">
              <a:solidFill>
                <a:srgbClr val="000000"/>
              </a:solidFill>
              <a:latin typeface="Verdana"/>
              <a:ea typeface="Verdana"/>
              <a:cs typeface="Verdana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Verdana"/>
          <a:ea typeface="Verdana"/>
          <a:cs typeface="Verdana"/>
        </a:defRPr>
      </a:pPr>
      <a:endParaRPr lang="en-US"/>
    </a:p>
  </c:txPr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469900</xdr:colOff>
      <xdr:row>0</xdr:row>
      <xdr:rowOff>723900</xdr:rowOff>
    </xdr:from>
    <xdr:to>
      <xdr:col>81</xdr:col>
      <xdr:colOff>177800</xdr:colOff>
      <xdr:row>33</xdr:row>
      <xdr:rowOff>0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120</xdr:col>
      <xdr:colOff>469900</xdr:colOff>
      <xdr:row>5</xdr:row>
      <xdr:rowOff>139700</xdr:rowOff>
    </xdr:from>
    <xdr:to>
      <xdr:col>126</xdr:col>
      <xdr:colOff>876300</xdr:colOff>
      <xdr:row>31</xdr:row>
      <xdr:rowOff>38100</xdr:rowOff>
    </xdr:to>
    <xdr:graphicFrame macro="">
      <xdr:nvGraphicFramePr>
        <xdr:cNvPr id="40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120</xdr:col>
      <xdr:colOff>0</xdr:colOff>
      <xdr:row>32</xdr:row>
      <xdr:rowOff>0</xdr:rowOff>
    </xdr:from>
    <xdr:to>
      <xdr:col>127</xdr:col>
      <xdr:colOff>114300</xdr:colOff>
      <xdr:row>59</xdr:row>
      <xdr:rowOff>63500</xdr:rowOff>
    </xdr:to>
    <xdr:graphicFrame macro="">
      <xdr:nvGraphicFramePr>
        <xdr:cNvPr id="409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/Microsoft%20Office%202011/Office/Add-Ins/Diversity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definedNames>
      <definedName name="shannonweaver"/>
    </defined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obin Elahi" refreshedDate="4.8544453821839086E+117" createdVersion="1" recordCount="216">
  <cacheSource type="worksheet">
    <worksheetSource ref="A1:CR217" sheet="all_edit"/>
  </cacheSource>
  <cacheFields count="96">
    <cacheField name="Photo" numFmtId="0">
      <sharedItems/>
    </cacheField>
    <cacheField name="Site" numFmtId="0">
      <sharedItems count="3">
        <s v="SC"/>
        <s v="PG"/>
        <s v="ON"/>
      </sharedItems>
    </cacheField>
    <cacheField name="Transect" numFmtId="0">
      <sharedItems containsMixedTypes="1" containsNumber="1" containsInteger="1" minValue="4" maxValue="7" count="18">
        <s v="A"/>
        <s v="B"/>
        <s v="C"/>
        <n v="4"/>
        <n v="5"/>
        <n v="7"/>
        <s v="PA"/>
        <s v="PB"/>
        <s v="PC"/>
        <s v="PG1"/>
        <s v="PG3"/>
        <s v="PG6"/>
        <s v="ONA"/>
        <s v="ONB"/>
        <s v="ONC"/>
        <s v="ON0"/>
        <s v="ON2"/>
        <s v="ON4"/>
      </sharedItems>
    </cacheField>
    <cacheField name="Treatment" numFmtId="0">
      <sharedItems count="2">
        <s v="Add"/>
        <s v="Control"/>
      </sharedItems>
    </cacheField>
    <cacheField name="Time" numFmtId="0">
      <sharedItems count="2">
        <s v="June"/>
        <s v="Sept"/>
      </sharedItems>
    </cacheField>
    <cacheField name="SFR" numFmtId="0">
      <sharedItems containsSemiMixedTypes="0" containsString="0" containsNumber="1" containsInteger="1" minValue="0" maxValue="1" count="2">
        <n v="0"/>
        <n v="1"/>
      </sharedItems>
    </cacheField>
    <cacheField name="SDR" numFmtId="0">
      <sharedItems containsSemiMixedTypes="0" containsString="0" containsNumber="1" containsInteger="1" minValue="0" maxValue="1" count="2">
        <n v="0"/>
        <n v="1"/>
      </sharedItems>
    </cacheField>
    <cacheField name="PHE" numFmtId="0">
      <sharedItems containsSemiMixedTypes="0" containsString="0" containsNumber="1" containsInteger="1" minValue="0" maxValue="1" count="2">
        <n v="0"/>
        <n v="1"/>
      </sharedItems>
    </cacheField>
    <cacheField name="SST" numFmtId="0">
      <sharedItems containsSemiMixedTypes="0" containsString="0" containsNumber="1" containsInteger="1" minValue="0" maxValue="1" count="2">
        <n v="0"/>
        <n v="1"/>
      </sharedItems>
    </cacheField>
    <cacheField name="PCA" numFmtId="0">
      <sharedItems containsSemiMixedTypes="0" containsString="0" containsNumber="1" containsInteger="1" minValue="0" maxValue="1" count="2">
        <n v="0"/>
        <n v="1"/>
      </sharedItems>
    </cacheField>
    <cacheField name="Oph" numFmtId="0">
      <sharedItems containsSemiMixedTypes="0" containsString="0" containsNumber="1" containsInteger="1" minValue="0" maxValue="1" count="2">
        <n v="0"/>
        <n v="1"/>
      </sharedItems>
    </cacheField>
    <cacheField name="CPA" numFmtId="0">
      <sharedItems containsSemiMixedTypes="0" containsString="0" containsNumber="1" containsInteger="1" minValue="0" maxValue="1" count="2">
        <n v="0"/>
        <n v="1"/>
      </sharedItems>
    </cacheField>
    <cacheField name="Hen" numFmtId="0">
      <sharedItems containsSemiMixedTypes="0" containsString="0" containsNumber="1" containsInteger="1" minValue="0" maxValue="2" count="3">
        <n v="0"/>
        <n v="1"/>
        <n v="2"/>
      </sharedItems>
    </cacheField>
    <cacheField name="CST" numFmtId="0">
      <sharedItems containsSemiMixedTypes="0" containsString="0" containsNumber="1" containsInteger="1" minValue="0" maxValue="1" count="2">
        <n v="0"/>
        <n v="1"/>
      </sharedItems>
    </cacheField>
    <cacheField name="Ton" numFmtId="0">
      <sharedItems containsSemiMixedTypes="0" containsString="0" containsNumber="1" containsInteger="1" minValue="0" maxValue="10" count="11">
        <n v="0"/>
        <n v="1"/>
        <n v="5"/>
        <n v="3"/>
        <n v="2"/>
        <n v="6"/>
        <n v="4"/>
        <n v="7"/>
        <n v="9"/>
        <n v="8"/>
        <n v="10"/>
      </sharedItems>
    </cacheField>
    <cacheField name="TLI" numFmtId="0">
      <sharedItems containsSemiMixedTypes="0" containsString="0" containsNumber="1" containsInteger="1" minValue="0" maxValue="2" count="3">
        <n v="0"/>
        <n v="1"/>
        <n v="2"/>
      </sharedItems>
    </cacheField>
    <cacheField name="TIN" numFmtId="0">
      <sharedItems containsSemiMixedTypes="0" containsString="0" containsNumber="1" containsInteger="1" minValue="0" maxValue="1" count="2">
        <n v="0"/>
        <n v="1"/>
      </sharedItems>
    </cacheField>
    <cacheField name="Ton 2" numFmtId="0">
      <sharedItems containsSemiMixedTypes="0" containsString="0" containsNumber="1" containsInteger="1" minValue="0" maxValue="1" count="2">
        <n v="0"/>
        <n v="1"/>
      </sharedItems>
    </cacheField>
    <cacheField name="Ton 3" numFmtId="0">
      <sharedItems containsSemiMixedTypes="0" containsString="0" containsNumber="1" containsInteger="1" minValue="0" maxValue="1" count="2">
        <n v="0"/>
        <n v="1"/>
      </sharedItems>
    </cacheField>
    <cacheField name="MKE" numFmtId="0">
      <sharedItems containsSemiMixedTypes="0" containsString="0" containsNumber="1" containsInteger="1" minValue="0" maxValue="2" count="3">
        <n v="0"/>
        <n v="1"/>
        <n v="2"/>
      </sharedItems>
    </cacheField>
    <cacheField name="Mop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LME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hiton other" numFmtId="0">
      <sharedItems containsSemiMixedTypes="0" containsString="0" containsNumber="1" containsInteger="1" minValue="0" maxValue="2" count="3">
        <n v="0"/>
        <n v="1"/>
        <n v="2"/>
      </sharedItems>
    </cacheField>
    <cacheField name="Lot" numFmtId="0">
      <sharedItems containsSemiMixedTypes="0" containsString="0" containsNumber="1" containsInteger="1" minValue="0" maxValue="2" count="3">
        <n v="0"/>
        <n v="1"/>
        <n v="2"/>
      </sharedItems>
    </cacheField>
    <cacheField name="AMI" numFmtId="0">
      <sharedItems containsSemiMixedTypes="0" containsString="0" containsNumber="1" containsInteger="1" minValue="0" maxValue="4" count="5">
        <n v="0"/>
        <n v="4"/>
        <n v="2"/>
        <n v="3"/>
        <n v="1"/>
      </sharedItems>
    </cacheField>
    <cacheField name="CCU" numFmtId="0">
      <sharedItems containsSemiMixedTypes="0" containsString="0" containsNumber="1" containsInteger="1" minValue="0" maxValue="1" count="2">
        <n v="0"/>
        <n v="1"/>
      </sharedItems>
    </cacheField>
    <cacheField name="Limpet" numFmtId="0">
      <sharedItems containsSemiMixedTypes="0" containsString="0" containsNumber="1" containsInteger="1" minValue="0" maxValue="2" count="3">
        <n v="0"/>
        <n v="1"/>
        <n v="2"/>
      </sharedItems>
    </cacheField>
    <cacheField name="CLI" numFmtId="0">
      <sharedItems containsSemiMixedTypes="0" containsString="0" containsNumber="1" containsInteger="1" minValue="0" maxValue="8" count="9">
        <n v="2"/>
        <n v="3"/>
        <n v="0"/>
        <n v="1"/>
        <n v="4"/>
        <n v="5"/>
        <n v="8"/>
        <n v="6"/>
        <n v="7"/>
      </sharedItems>
    </cacheField>
    <cacheField name="CAN" numFmtId="0">
      <sharedItems containsSemiMixedTypes="0" containsString="0" containsNumber="1" containsInteger="1" minValue="0" maxValue="1" count="2">
        <n v="0"/>
        <n v="1"/>
      </sharedItems>
    </cacheField>
    <cacheField name="CAL" numFmtId="0">
      <sharedItems containsSemiMixedTypes="0" containsString="0" containsNumber="1" containsInteger="1" minValue="0" maxValue="13" count="12">
        <n v="0"/>
        <n v="1"/>
        <n v="3"/>
        <n v="2"/>
        <n v="9"/>
        <n v="6"/>
        <n v="8"/>
        <n v="5"/>
        <n v="4"/>
        <n v="11"/>
        <n v="7"/>
        <n v="13"/>
      </sharedItems>
    </cacheField>
    <cacheField name="MAR" numFmtId="0">
      <sharedItems containsSemiMixedTypes="0" containsString="0" containsNumber="1" containsInteger="1" minValue="0" maxValue="19" count="19">
        <n v="0"/>
        <n v="2"/>
        <n v="1"/>
        <n v="3"/>
        <n v="4"/>
        <n v="8"/>
        <n v="6"/>
        <n v="17"/>
        <n v="13"/>
        <n v="16"/>
        <n v="19"/>
        <n v="15"/>
        <n v="12"/>
        <n v="11"/>
        <n v="10"/>
        <n v="5"/>
        <n v="14"/>
        <n v="9"/>
        <n v="7"/>
      </sharedItems>
    </cacheField>
    <cacheField name="LVI" numFmtId="0">
      <sharedItems containsSemiMixedTypes="0" containsString="0" containsNumber="1" containsInteger="1" minValue="0" maxValue="0" count="1">
        <n v="0"/>
      </sharedItems>
    </cacheField>
    <cacheField name="Amp" numFmtId="0">
      <sharedItems containsSemiMixedTypes="0" containsString="0" containsNumber="1" containsInteger="1" minValue="0" maxValue="11" count="6">
        <n v="0"/>
        <n v="1"/>
        <n v="4"/>
        <n v="2"/>
        <n v="3"/>
        <n v="11"/>
      </sharedItems>
    </cacheField>
    <cacheField name="GA1" numFmtId="0">
      <sharedItems containsSemiMixedTypes="0" containsString="0" containsNumber="1" containsInteger="1" minValue="0" maxValue="2" count="3">
        <n v="0"/>
        <n v="1"/>
        <n v="2"/>
      </sharedItems>
    </cacheField>
    <cacheField name="GA2" numFmtId="0">
      <sharedItems containsSemiMixedTypes="0" containsString="0" containsNumber="1" containsInteger="1" minValue="0" maxValue="0" count="1">
        <n v="0"/>
      </sharedItems>
    </cacheField>
    <cacheField name="GA3 (MAR!)" numFmtId="0">
      <sharedItems containsSemiMixedTypes="0" containsString="0" containsNumber="1" containsInteger="1" minValue="0" maxValue="0" count="1">
        <n v="0"/>
      </sharedItems>
    </cacheField>
    <cacheField name="GA4 (AMP!)" numFmtId="0">
      <sharedItems containsSemiMixedTypes="0" containsString="0" containsNumber="1" containsInteger="1" minValue="0" maxValue="1" count="2">
        <n v="0"/>
        <n v="1"/>
      </sharedItems>
    </cacheField>
    <cacheField name="GA5 (Bittium attenuatum?)" numFmtId="0">
      <sharedItems containsSemiMixedTypes="0" containsString="0" containsNumber="1" containsInteger="1" minValue="0" maxValue="2" count="3">
        <n v="0"/>
        <n v="1"/>
        <n v="2"/>
      </sharedItems>
    </cacheField>
    <cacheField name="TCAn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FOR" numFmtId="0">
      <sharedItems containsSemiMixedTypes="0" containsString="0" containsNumber="1" containsInteger="1" minValue="0" maxValue="2" count="2">
        <n v="0"/>
        <n v="2"/>
      </sharedItems>
    </cacheField>
    <cacheField name="NUC" numFmtId="0">
      <sharedItems containsSemiMixedTypes="0" containsString="0" containsNumber="1" containsInteger="1" minValue="0" maxValue="1" count="2">
        <n v="0"/>
        <n v="1"/>
      </sharedItems>
    </cacheField>
    <cacheField name="BMU" numFmtId="0">
      <sharedItems containsSemiMixedTypes="0" containsString="0" containsNumber="1" containsInteger="1" minValue="0" maxValue="1" count="2">
        <n v="0"/>
        <n v="1"/>
      </sharedItems>
    </cacheField>
    <cacheField name="GAS" numFmtId="0">
      <sharedItems containsSemiMixedTypes="0" containsString="0" containsNumber="1" containsInteger="1" minValue="0" maxValue="3" count="4">
        <n v="0"/>
        <n v="2"/>
        <n v="1"/>
        <n v="3"/>
      </sharedItems>
    </cacheField>
    <cacheField name="ACO" numFmtId="0">
      <sharedItems containsSemiMixedTypes="0" containsString="0" containsNumber="1" containsInteger="1" minValue="0" maxValue="1" count="2">
        <n v="1"/>
        <n v="0"/>
      </sharedItems>
    </cacheField>
    <cacheField name="GHE" numFmtId="0">
      <sharedItems containsSemiMixedTypes="0" containsString="0" containsNumber="1" containsInteger="1" minValue="0" maxValue="1" count="2">
        <n v="0"/>
        <n v="1"/>
      </sharedItems>
    </cacheField>
    <cacheField name="DSA" numFmtId="0">
      <sharedItems containsSemiMixedTypes="0" containsString="0" containsNumber="1" containsInteger="1" minValue="0" maxValue="0" count="1">
        <n v="0"/>
      </sharedItems>
    </cacheField>
    <cacheField name="CMO" numFmtId="0">
      <sharedItems containsSemiMixedTypes="0" containsString="0" containsNumber="1" containsInteger="1" minValue="0" maxValue="1" count="2">
        <n v="0"/>
        <n v="1"/>
      </sharedItems>
    </cacheField>
    <cacheField name="TCAt" numFmtId="0">
      <sharedItems containsSemiMixedTypes="0" containsString="0" containsNumber="1" containsInteger="1" minValue="0" maxValue="1" count="2">
        <n v="0"/>
        <n v="1"/>
      </sharedItems>
    </cacheField>
    <cacheField name="LCO" numFmtId="0">
      <sharedItems containsSemiMixedTypes="0" containsString="0" containsNumber="1" containsInteger="1" minValue="0" maxValue="0" count="1">
        <n v="0"/>
      </sharedItems>
    </cacheField>
    <cacheField name="CLU" numFmtId="0">
      <sharedItems containsSemiMixedTypes="0" containsString="0" containsNumber="1" containsInteger="1" minValue="0" maxValue="1" count="2">
        <n v="0"/>
        <n v="1"/>
      </sharedItems>
    </cacheField>
    <cacheField name="Dorid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ACA" numFmtId="0">
      <sharedItems containsSemiMixedTypes="0" containsString="0" containsNumber="1" containsInteger="1" minValue="0" maxValue="1" count="2">
        <n v="0"/>
        <n v="1"/>
      </sharedItems>
    </cacheField>
    <cacheField name="JFU" numFmtId="0">
      <sharedItems containsSemiMixedTypes="0" containsString="0" containsNumber="1" containsInteger="1" minValue="0" maxValue="1" count="2">
        <n v="0"/>
        <n v="1"/>
      </sharedItems>
    </cacheField>
    <cacheField name="DAL" numFmtId="0">
      <sharedItems containsSemiMixedTypes="0" containsString="0" containsNumber="1" containsInteger="1" minValue="0" maxValue="1" count="2">
        <n v="0"/>
        <n v="1"/>
      </sharedItems>
    </cacheField>
    <cacheField name="FVE" numFmtId="0">
      <sharedItems containsSemiMixedTypes="0" containsString="0" containsNumber="1" containsInteger="1" minValue="0" maxValue="4" count="5">
        <n v="0"/>
        <n v="3"/>
        <n v="1"/>
        <n v="2"/>
        <n v="4"/>
      </sharedItems>
    </cacheField>
    <cacheField name="FTR" numFmtId="0">
      <sharedItems containsSemiMixedTypes="0" containsString="0" containsNumber="1" containsInteger="1" minValue="0" maxValue="1" count="2">
        <n v="0"/>
        <n v="1"/>
      </sharedItems>
    </cacheField>
    <cacheField name="flatworm" numFmtId="0">
      <sharedItems containsSemiMixedTypes="0" containsString="0" containsNumber="1" containsInteger="1" minValue="0" maxValue="1" count="2">
        <n v="0"/>
        <n v="1"/>
      </sharedItems>
    </cacheField>
    <cacheField name="SAC" numFmtId="0">
      <sharedItems containsSemiMixedTypes="0" containsString="0" containsNumber="1" containsInteger="1" minValue="0" maxValue="2" count="3">
        <n v="0"/>
        <n v="1"/>
        <n v="2"/>
      </sharedItems>
    </cacheField>
    <cacheField name="COR" numFmtId="0">
      <sharedItems containsSemiMixedTypes="0" containsString="0" containsNumber="1" containsInteger="1" minValue="0" maxValue="1" count="2">
        <n v="0"/>
        <n v="1"/>
      </sharedItems>
    </cacheField>
    <cacheField name="LMA" numFmtId="0">
      <sharedItems containsSemiMixedTypes="0" containsString="0" containsNumber="1" containsInteger="1" minValue="0" maxValue="1" count="2">
        <n v="0"/>
        <n v="1"/>
      </sharedItems>
    </cacheField>
    <cacheField name="HER" numFmtId="0">
      <sharedItems containsSemiMixedTypes="0" containsString="0" containsNumber="1" containsInteger="1" minValue="0" maxValue="5" count="6">
        <n v="0"/>
        <n v="1"/>
        <n v="5"/>
        <n v="4"/>
        <n v="2"/>
        <n v="3"/>
      </sharedItems>
    </cacheField>
    <cacheField name="SHR" numFmtId="0">
      <sharedItems containsSemiMixedTypes="0" containsString="0" containsNumber="1" containsInteger="1" minValue="0" maxValue="4" count="5">
        <n v="0"/>
        <n v="2"/>
        <n v="1"/>
        <n v="3"/>
        <n v="4"/>
      </sharedItems>
    </cacheField>
    <cacheField name="JZO" numFmtId="0">
      <sharedItems containsSemiMixedTypes="0" containsString="0" containsNumber="1" containsInteger="1" minValue="0" maxValue="2" count="3">
        <n v="0"/>
        <n v="1"/>
        <n v="2"/>
      </sharedItems>
    </cacheField>
    <cacheField name="Sculpin" numFmtId="0">
      <sharedItems containsSemiMixedTypes="0" containsString="0" containsNumber="1" containsInteger="1" minValue="0" maxValue="0" count="1">
        <n v="0"/>
      </sharedItems>
    </cacheField>
    <cacheField name="WNEM" numFmtId="0">
      <sharedItems containsSemiMixedTypes="0" containsString="0" containsNumber="1" containsInteger="1" minValue="0" maxValue="1" count="2">
        <n v="0"/>
        <n v="1"/>
      </sharedItems>
    </cacheField>
    <cacheField name="eggs" numFmtId="0">
      <sharedItems containsSemiMixedTypes="0" containsString="0" containsNumber="1" containsInteger="1" minValue="0" maxValue="4" count="4">
        <n v="0"/>
        <n v="2"/>
        <n v="1"/>
        <n v="4"/>
      </sharedItems>
    </cacheField>
    <cacheField name="Richness" numFmtId="0">
      <sharedItems containsSemiMixedTypes="0" containsString="0" containsNumber="1" containsInteger="1" minValue="0" maxValue="11" count="12">
        <n v="2"/>
        <n v="3"/>
        <n v="1"/>
        <n v="4"/>
        <n v="5"/>
        <n v="0"/>
        <n v="6"/>
        <n v="9"/>
        <n v="7"/>
        <n v="11"/>
        <n v="8"/>
        <n v="10"/>
      </sharedItems>
    </cacheField>
    <cacheField name="Count" numFmtId="0">
      <sharedItems containsSemiMixedTypes="0" containsString="0" containsNumber="1" containsInteger="1" minValue="0" maxValue="37"/>
    </cacheField>
    <cacheField name="SW diversity" numFmtId="0">
      <sharedItems containsMixedTypes="1" containsNumber="1" minValue="0" maxValue="2.282374376159249"/>
    </cacheField>
    <cacheField name="Chiton R" numFmtId="0">
      <sharedItems containsSemiMixedTypes="0" containsString="0" containsNumber="1" containsInteger="1" minValue="0" maxValue="4" count="5">
        <n v="0"/>
        <n v="2"/>
        <n v="1"/>
        <n v="4"/>
        <n v="3"/>
      </sharedItems>
    </cacheField>
    <cacheField name="Gastropod R" numFmtId="0">
      <sharedItems containsSemiMixedTypes="0" containsString="0" containsNumber="1" containsInteger="1" minValue="0" maxValue="7" count="8">
        <n v="1"/>
        <n v="3"/>
        <n v="2"/>
        <n v="4"/>
        <n v="0"/>
        <n v="5"/>
        <n v="6"/>
        <n v="7"/>
      </sharedItems>
    </cacheField>
    <cacheField name="Nudibranch R" numFmtId="0">
      <sharedItems containsSemiMixedTypes="0" containsString="0" containsNumber="1" containsInteger="1" minValue="0" maxValue="2" count="3">
        <n v="1"/>
        <n v="0"/>
        <n v="2"/>
      </sharedItems>
    </cacheField>
    <cacheField name="Tonicella spp" numFmtId="0">
      <sharedItems containsSemiMixedTypes="0" containsString="0" containsNumber="1" containsInteger="1" minValue="0" maxValue="10" count="10">
        <n v="0"/>
        <n v="2"/>
        <n v="1"/>
        <n v="5"/>
        <n v="4"/>
        <n v="3"/>
        <n v="7"/>
        <n v="9"/>
        <n v="10"/>
        <n v="8"/>
      </sharedItems>
    </cacheField>
    <cacheField name="Chiton #" numFmtId="0">
      <sharedItems containsSemiMixedTypes="0" containsString="0" containsNumber="1" containsInteger="1" minValue="0" maxValue="12" count="11">
        <n v="0"/>
        <n v="2"/>
        <n v="1"/>
        <n v="3"/>
        <n v="5"/>
        <n v="4"/>
        <n v="6"/>
        <n v="7"/>
        <n v="8"/>
        <n v="10"/>
        <n v="12"/>
      </sharedItems>
    </cacheField>
    <cacheField name="Calliostoma spp. #" numFmtId="0">
      <sharedItems containsSemiMixedTypes="0" containsString="0" containsNumber="1" containsInteger="1" minValue="0" maxValue="18" count="15">
        <n v="2"/>
        <n v="3"/>
        <n v="0"/>
        <n v="1"/>
        <n v="5"/>
        <n v="4"/>
        <n v="9"/>
        <n v="10"/>
        <n v="6"/>
        <n v="7"/>
        <n v="11"/>
        <n v="15"/>
        <n v="18"/>
        <n v="13"/>
        <n v="14"/>
      </sharedItems>
    </cacheField>
    <cacheField name="Margarites" numFmtId="0">
      <sharedItems containsSemiMixedTypes="0" containsString="0" containsNumber="1" containsInteger="1" minValue="0" maxValue="19" count="19">
        <n v="0"/>
        <n v="2"/>
        <n v="1"/>
        <n v="3"/>
        <n v="4"/>
        <n v="8"/>
        <n v="6"/>
        <n v="17"/>
        <n v="13"/>
        <n v="16"/>
        <n v="19"/>
        <n v="15"/>
        <n v="12"/>
        <n v="11"/>
        <n v="10"/>
        <n v="5"/>
        <n v="14"/>
        <n v="9"/>
        <n v="7"/>
      </sharedItems>
    </cacheField>
    <cacheField name="Trochid snails" numFmtId="0">
      <sharedItems containsSemiMixedTypes="0" containsString="0" containsNumber="1" containsInteger="1" minValue="0" maxValue="28" count="26">
        <n v="2"/>
        <n v="3"/>
        <n v="0"/>
        <n v="4"/>
        <n v="1"/>
        <n v="5"/>
        <n v="7"/>
        <n v="8"/>
        <n v="10"/>
        <n v="9"/>
        <n v="12"/>
        <n v="22"/>
        <n v="23"/>
        <n v="13"/>
        <n v="28"/>
        <n v="6"/>
        <n v="11"/>
        <n v="21"/>
        <n v="15"/>
        <n v="26"/>
        <n v="20"/>
        <n v="24"/>
        <n v="16"/>
        <n v="14"/>
        <n v="18"/>
        <n v="27"/>
      </sharedItems>
    </cacheField>
    <cacheField name="Amphissa" numFmtId="0">
      <sharedItems containsSemiMixedTypes="0" containsString="0" containsNumber="1" containsInteger="1" minValue="0" maxValue="11" count="6">
        <n v="0"/>
        <n v="1"/>
        <n v="4"/>
        <n v="2"/>
        <n v="3"/>
        <n v="11"/>
      </sharedItems>
    </cacheField>
    <cacheField name="Gastropod #" numFmtId="0">
      <sharedItems containsSemiMixedTypes="0" containsString="0" containsNumber="1" containsInteger="1" minValue="0" maxValue="33" count="28">
        <n v="2"/>
        <n v="6"/>
        <n v="1"/>
        <n v="4"/>
        <n v="5"/>
        <n v="3"/>
        <n v="7"/>
        <n v="0"/>
        <n v="9"/>
        <n v="8"/>
        <n v="11"/>
        <n v="12"/>
        <n v="10"/>
        <n v="13"/>
        <n v="24"/>
        <n v="25"/>
        <n v="14"/>
        <n v="33"/>
        <n v="23"/>
        <n v="15"/>
        <n v="16"/>
        <n v="31"/>
        <n v="21"/>
        <n v="22"/>
        <n v="17"/>
        <n v="18"/>
        <n v="20"/>
        <n v="29"/>
      </sharedItems>
    </cacheField>
    <cacheField name="Nudibranch #" numFmtId="0">
      <sharedItems containsSemiMixedTypes="0" containsString="0" containsNumber="1" containsInteger="1" minValue="0" maxValue="4" count="5">
        <n v="1"/>
        <n v="0"/>
        <n v="3"/>
        <n v="4"/>
        <n v="2"/>
      </sharedItems>
    </cacheField>
    <cacheField name="Little fish #" numFmtId="0">
      <sharedItems containsSemiMixedTypes="0" containsString="0" containsNumber="1" containsInteger="1" minValue="0" maxValue="2" count="3">
        <n v="0"/>
        <n v="1"/>
        <n v="2"/>
      </sharedItems>
    </cacheField>
    <cacheField name="Richness2" numFmtId="0">
      <sharedItems containsSemiMixedTypes="0" containsString="0" containsNumber="1" minValue="0" maxValue="3.3166247903553998" count="12">
        <n v="1.4142135623730951"/>
        <n v="1.7320508075688772"/>
        <n v="1"/>
        <n v="2"/>
        <n v="2.2360679774997898"/>
        <n v="0"/>
        <n v="2.4494897427831779"/>
        <n v="3"/>
        <n v="2.6457513110645907"/>
        <n v="3.3166247903553998"/>
        <n v="2.8284271247461903"/>
        <n v="3.1622776601683795"/>
      </sharedItems>
    </cacheField>
    <cacheField name="Count2" numFmtId="0">
      <sharedItems containsSemiMixedTypes="0" containsString="0" containsNumber="1" minValue="0" maxValue="6.0827625302982193"/>
    </cacheField>
    <cacheField name="SW diversity2" numFmtId="0">
      <sharedItems containsMixedTypes="1" containsNumber="1" minValue="0" maxValue="1.510752916978567"/>
    </cacheField>
    <cacheField name="Chiton R2" numFmtId="0">
      <sharedItems containsSemiMixedTypes="0" containsString="0" containsNumber="1" minValue="0" maxValue="2" count="5">
        <n v="0"/>
        <n v="1.4142135623730951"/>
        <n v="1"/>
        <n v="2"/>
        <n v="1.7320508075688772"/>
      </sharedItems>
    </cacheField>
    <cacheField name="Gastropod R2" numFmtId="0">
      <sharedItems containsSemiMixedTypes="0" containsString="0" containsNumber="1" minValue="0" maxValue="2.6457513110645907" count="8">
        <n v="1"/>
        <n v="1.7320508075688772"/>
        <n v="1.4142135623730951"/>
        <n v="2"/>
        <n v="0"/>
        <n v="2.2360679774997898"/>
        <n v="2.4494897427831779"/>
        <n v="2.6457513110645907"/>
      </sharedItems>
    </cacheField>
    <cacheField name="Nudibranch R2" numFmtId="0">
      <sharedItems containsSemiMixedTypes="0" containsString="0" containsNumber="1" minValue="0" maxValue="1.4142135623730951" count="3">
        <n v="1"/>
        <n v="0"/>
        <n v="1.4142135623730951"/>
      </sharedItems>
    </cacheField>
    <cacheField name="Tonicella spp2" numFmtId="0">
      <sharedItems containsSemiMixedTypes="0" containsString="0" containsNumber="1" minValue="0" maxValue="3.1622776601683795" count="10">
        <n v="0"/>
        <n v="1.4142135623730951"/>
        <n v="1"/>
        <n v="2.2360679774997898"/>
        <n v="2"/>
        <n v="1.7320508075688772"/>
        <n v="2.6457513110645907"/>
        <n v="3"/>
        <n v="3.1622776601683795"/>
        <n v="2.8284271247461903"/>
      </sharedItems>
    </cacheField>
    <cacheField name="Chiton #2" numFmtId="0">
      <sharedItems containsSemiMixedTypes="0" containsString="0" containsNumber="1" minValue="0" maxValue="3.4641016151377544" count="11">
        <n v="0"/>
        <n v="1.4142135623730951"/>
        <n v="1"/>
        <n v="1.7320508075688772"/>
        <n v="2.2360679774997898"/>
        <n v="2"/>
        <n v="2.4494897427831779"/>
        <n v="2.6457513110645907"/>
        <n v="2.8284271247461903"/>
        <n v="3.1622776601683795"/>
        <n v="3.4641016151377544"/>
      </sharedItems>
    </cacheField>
    <cacheField name="Calliostoma spp. #2" numFmtId="0">
      <sharedItems containsSemiMixedTypes="0" containsString="0" containsNumber="1" minValue="0" maxValue="4.2426406871192848" count="15">
        <n v="1.4142135623730951"/>
        <n v="1.7320508075688772"/>
        <n v="0"/>
        <n v="1"/>
        <n v="2.2360679774997898"/>
        <n v="2"/>
        <n v="3"/>
        <n v="3.1622776601683795"/>
        <n v="2.4494897427831779"/>
        <n v="2.6457513110645907"/>
        <n v="3.3166247903553998"/>
        <n v="3.872983346207417"/>
        <n v="4.2426406871192848"/>
        <n v="3.6055512754639891"/>
        <n v="3.7416573867739413"/>
      </sharedItems>
    </cacheField>
    <cacheField name="Margarites2" numFmtId="0">
      <sharedItems containsSemiMixedTypes="0" containsString="0" containsNumber="1" minValue="0" maxValue="4.358898943540674" count="19">
        <n v="0"/>
        <n v="1.4142135623730951"/>
        <n v="1"/>
        <n v="1.7320508075688772"/>
        <n v="2"/>
        <n v="2.8284271247461903"/>
        <n v="2.4494897427831779"/>
        <n v="4.1231056256176606"/>
        <n v="3.6055512754639891"/>
        <n v="4"/>
        <n v="4.358898943540674"/>
        <n v="3.872983346207417"/>
        <n v="3.4641016151377544"/>
        <n v="3.3166247903553998"/>
        <n v="3.1622776601683795"/>
        <n v="2.2360679774997898"/>
        <n v="3.7416573867739413"/>
        <n v="3"/>
        <n v="2.6457513110645907"/>
      </sharedItems>
    </cacheField>
    <cacheField name="Trochid snails2" numFmtId="0">
      <sharedItems containsSemiMixedTypes="0" containsString="0" containsNumber="1" minValue="0" maxValue="5.2915026221291814" count="26">
        <n v="1.4142135623730951"/>
        <n v="1.7320508075688772"/>
        <n v="0"/>
        <n v="2"/>
        <n v="1"/>
        <n v="2.2360679774997898"/>
        <n v="2.6457513110645907"/>
        <n v="2.8284271247461903"/>
        <n v="3.1622776601683795"/>
        <n v="3"/>
        <n v="3.4641016151377544"/>
        <n v="4.6904157598234297"/>
        <n v="4.7958315233127191"/>
        <n v="3.6055512754639891"/>
        <n v="5.2915026221291814"/>
        <n v="2.4494897427831779"/>
        <n v="3.3166247903553998"/>
        <n v="4.5825756949558398"/>
        <n v="3.872983346207417"/>
        <n v="5.0990195135927845"/>
        <n v="4.4721359549995796"/>
        <n v="4.8989794855663558"/>
        <n v="4"/>
        <n v="3.7416573867739413"/>
        <n v="4.2426406871192848"/>
        <n v="5.196152422706632"/>
      </sharedItems>
    </cacheField>
    <cacheField name="Amphissa2" numFmtId="0">
      <sharedItems containsSemiMixedTypes="0" containsString="0" containsNumber="1" minValue="0" maxValue="3.3166247903553998" count="6">
        <n v="0"/>
        <n v="1"/>
        <n v="2"/>
        <n v="1.4142135623730951"/>
        <n v="1.7320508075688772"/>
        <n v="3.3166247903553998"/>
      </sharedItems>
    </cacheField>
    <cacheField name="Gastropod #2" numFmtId="0">
      <sharedItems containsSemiMixedTypes="0" containsString="0" containsNumber="1" minValue="0" maxValue="5.7445626465380286" count="28">
        <n v="1.4142135623730951"/>
        <n v="2.4494897427831779"/>
        <n v="1"/>
        <n v="2"/>
        <n v="2.2360679774997898"/>
        <n v="1.7320508075688772"/>
        <n v="2.6457513110645907"/>
        <n v="0"/>
        <n v="3"/>
        <n v="2.8284271247461903"/>
        <n v="3.3166247903553998"/>
        <n v="3.4641016151377544"/>
        <n v="3.1622776601683795"/>
        <n v="3.6055512754639891"/>
        <n v="4.8989794855663558"/>
        <n v="5"/>
        <n v="3.7416573867739413"/>
        <n v="5.7445626465380286"/>
        <n v="4.7958315233127191"/>
        <n v="3.872983346207417"/>
        <n v="4"/>
        <n v="5.5677643628300215"/>
        <n v="4.5825756949558398"/>
        <n v="4.6904157598234297"/>
        <n v="4.1231056256176606"/>
        <n v="4.2426406871192848"/>
        <n v="4.4721359549995796"/>
        <n v="5.3851648071345037"/>
      </sharedItems>
    </cacheField>
    <cacheField name="Nudibranch #2" numFmtId="0">
      <sharedItems containsSemiMixedTypes="0" containsString="0" containsNumber="1" minValue="0" maxValue="2" count="5">
        <n v="1"/>
        <n v="0"/>
        <n v="1.7320508075688772"/>
        <n v="2"/>
        <n v="1.4142135623730951"/>
      </sharedItems>
    </cacheField>
    <cacheField name="Little fish #2" numFmtId="0">
      <sharedItems containsSemiMixedTypes="0" containsString="0" containsNumber="1" minValue="0" maxValue="1.4142135623730951" count="3">
        <n v="0"/>
        <n v="1"/>
        <n v="1.41421356237309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6">
  <r>
    <s v="P1011053_IJ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0"/>
    <x v="0"/>
    <x v="0"/>
    <x v="0"/>
    <x v="0"/>
    <x v="0"/>
    <x v="0"/>
    <x v="0"/>
    <x v="0"/>
    <x v="0"/>
    <x v="0"/>
    <x v="0"/>
    <x v="0"/>
    <n v="1.7320508075688772"/>
    <n v="0.79781838051953446"/>
    <x v="0"/>
    <x v="0"/>
    <x v="0"/>
    <x v="0"/>
    <x v="0"/>
    <x v="0"/>
    <x v="0"/>
    <x v="0"/>
    <x v="0"/>
    <x v="0"/>
    <x v="0"/>
    <x v="0"/>
  </r>
  <r>
    <s v="P1011057_IJ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6"/>
    <n v="1.0114042647073518"/>
    <x v="0"/>
    <x v="1"/>
    <x v="1"/>
    <x v="0"/>
    <x v="0"/>
    <x v="1"/>
    <x v="0"/>
    <x v="1"/>
    <x v="0"/>
    <x v="1"/>
    <x v="1"/>
    <x v="0"/>
    <x v="1"/>
    <n v="2.4494897427831779"/>
    <n v="1.0056859672419376"/>
    <x v="0"/>
    <x v="1"/>
    <x v="1"/>
    <x v="0"/>
    <x v="0"/>
    <x v="1"/>
    <x v="0"/>
    <x v="1"/>
    <x v="0"/>
    <x v="1"/>
    <x v="1"/>
    <x v="0"/>
  </r>
  <r>
    <s v="P1011059_IJ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n v="2"/>
    <n v="0.69314718055994529"/>
    <x v="0"/>
    <x v="0"/>
    <x v="1"/>
    <x v="0"/>
    <x v="0"/>
    <x v="2"/>
    <x v="0"/>
    <x v="2"/>
    <x v="0"/>
    <x v="2"/>
    <x v="1"/>
    <x v="1"/>
    <x v="0"/>
    <n v="1.4142135623730951"/>
    <n v="0.83255461115769769"/>
    <x v="0"/>
    <x v="0"/>
    <x v="1"/>
    <x v="0"/>
    <x v="0"/>
    <x v="2"/>
    <x v="0"/>
    <x v="2"/>
    <x v="0"/>
    <x v="2"/>
    <x v="1"/>
    <x v="1"/>
  </r>
  <r>
    <s v="P1011061_IJ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"/>
    <n v="0.69314718055994529"/>
    <x v="0"/>
    <x v="2"/>
    <x v="1"/>
    <x v="0"/>
    <x v="0"/>
    <x v="0"/>
    <x v="1"/>
    <x v="3"/>
    <x v="0"/>
    <x v="3"/>
    <x v="1"/>
    <x v="0"/>
    <x v="0"/>
    <n v="2"/>
    <n v="0.83255461115769769"/>
    <x v="0"/>
    <x v="2"/>
    <x v="1"/>
    <x v="0"/>
    <x v="0"/>
    <x v="0"/>
    <x v="1"/>
    <x v="3"/>
    <x v="0"/>
    <x v="3"/>
    <x v="1"/>
    <x v="0"/>
  </r>
  <r>
    <s v="P1011063_IJ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2"/>
    <x v="4"/>
    <x v="0"/>
    <x v="2"/>
    <x v="1"/>
    <x v="0"/>
    <x v="2"/>
    <n v="1"/>
    <n v="0"/>
    <x v="0"/>
    <x v="0"/>
    <x v="1"/>
    <x v="0"/>
    <x v="0"/>
    <x v="2"/>
    <x v="2"/>
    <x v="4"/>
    <x v="0"/>
    <x v="2"/>
    <x v="1"/>
    <x v="0"/>
  </r>
  <r>
    <s v="P1010064_IJ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2"/>
    <x v="0"/>
    <x v="0"/>
    <x v="2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3"/>
    <n v="4"/>
    <n v="1.3862943611198906"/>
    <x v="1"/>
    <x v="2"/>
    <x v="1"/>
    <x v="1"/>
    <x v="1"/>
    <x v="2"/>
    <x v="2"/>
    <x v="4"/>
    <x v="1"/>
    <x v="0"/>
    <x v="1"/>
    <x v="0"/>
    <x v="3"/>
    <n v="2"/>
    <n v="1.1774100225154747"/>
    <x v="1"/>
    <x v="2"/>
    <x v="1"/>
    <x v="1"/>
    <x v="1"/>
    <x v="2"/>
    <x v="2"/>
    <x v="4"/>
    <x v="1"/>
    <x v="0"/>
    <x v="1"/>
    <x v="0"/>
  </r>
  <r>
    <s v="P1011068_IJ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3"/>
    <n v="6"/>
    <n v="1.3296613488547582"/>
    <x v="0"/>
    <x v="1"/>
    <x v="1"/>
    <x v="0"/>
    <x v="0"/>
    <x v="0"/>
    <x v="0"/>
    <x v="0"/>
    <x v="1"/>
    <x v="4"/>
    <x v="1"/>
    <x v="0"/>
    <x v="3"/>
    <n v="2.4494897427831779"/>
    <n v="1.153109426227519"/>
    <x v="0"/>
    <x v="1"/>
    <x v="1"/>
    <x v="0"/>
    <x v="0"/>
    <x v="0"/>
    <x v="0"/>
    <x v="0"/>
    <x v="1"/>
    <x v="4"/>
    <x v="1"/>
    <x v="0"/>
  </r>
  <r>
    <s v="P1011070_IJ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x v="0"/>
    <x v="1"/>
    <x v="0"/>
    <x v="0"/>
    <x v="1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4"/>
    <n v="5"/>
    <n v="1.6094379124341005"/>
    <x v="0"/>
    <x v="3"/>
    <x v="1"/>
    <x v="0"/>
    <x v="0"/>
    <x v="3"/>
    <x v="0"/>
    <x v="4"/>
    <x v="1"/>
    <x v="3"/>
    <x v="1"/>
    <x v="1"/>
    <x v="4"/>
    <n v="2.2360679774997898"/>
    <n v="1.2686362411795198"/>
    <x v="0"/>
    <x v="3"/>
    <x v="1"/>
    <x v="0"/>
    <x v="0"/>
    <x v="3"/>
    <x v="0"/>
    <x v="4"/>
    <x v="1"/>
    <x v="3"/>
    <x v="1"/>
    <x v="1"/>
  </r>
  <r>
    <s v="P1011071_IJ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0"/>
    <x v="2"/>
    <x v="1"/>
    <x v="0"/>
    <x v="0"/>
    <x v="2"/>
    <x v="0"/>
    <x v="2"/>
    <x v="1"/>
    <x v="5"/>
    <x v="1"/>
    <x v="0"/>
    <x v="0"/>
    <n v="1.7320508075688772"/>
    <n v="0.79781838051953446"/>
    <x v="0"/>
    <x v="2"/>
    <x v="1"/>
    <x v="0"/>
    <x v="0"/>
    <x v="2"/>
    <x v="0"/>
    <x v="2"/>
    <x v="1"/>
    <x v="5"/>
    <x v="1"/>
    <x v="0"/>
  </r>
  <r>
    <s v="P1011073_IJ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0"/>
    <x v="2"/>
    <x v="1"/>
    <x v="0"/>
    <x v="0"/>
    <x v="0"/>
    <x v="0"/>
    <x v="0"/>
    <x v="0"/>
    <x v="5"/>
    <x v="1"/>
    <x v="0"/>
    <x v="0"/>
    <n v="1.7320508075688772"/>
    <n v="0.79781838051953446"/>
    <x v="0"/>
    <x v="2"/>
    <x v="1"/>
    <x v="0"/>
    <x v="0"/>
    <x v="0"/>
    <x v="0"/>
    <x v="0"/>
    <x v="0"/>
    <x v="5"/>
    <x v="1"/>
    <x v="0"/>
  </r>
  <r>
    <s v="P1011074_IJ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3"/>
    <x v="0"/>
    <x v="0"/>
    <x v="0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n v="7"/>
    <n v="1.5498260458782016"/>
    <x v="2"/>
    <x v="3"/>
    <x v="1"/>
    <x v="2"/>
    <x v="2"/>
    <x v="3"/>
    <x v="0"/>
    <x v="4"/>
    <x v="1"/>
    <x v="1"/>
    <x v="1"/>
    <x v="0"/>
    <x v="4"/>
    <n v="2.6457513110645907"/>
    <n v="1.2449200961821612"/>
    <x v="2"/>
    <x v="3"/>
    <x v="1"/>
    <x v="2"/>
    <x v="2"/>
    <x v="3"/>
    <x v="0"/>
    <x v="4"/>
    <x v="1"/>
    <x v="1"/>
    <x v="1"/>
    <x v="0"/>
  </r>
  <r>
    <s v="P1011077_IJ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1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n v="4"/>
    <n v="1.0397207708399179"/>
    <x v="0"/>
    <x v="1"/>
    <x v="1"/>
    <x v="0"/>
    <x v="0"/>
    <x v="2"/>
    <x v="0"/>
    <x v="2"/>
    <x v="0"/>
    <x v="3"/>
    <x v="1"/>
    <x v="0"/>
    <x v="1"/>
    <n v="2"/>
    <n v="1.0196669901688089"/>
    <x v="0"/>
    <x v="1"/>
    <x v="1"/>
    <x v="0"/>
    <x v="0"/>
    <x v="2"/>
    <x v="0"/>
    <x v="2"/>
    <x v="0"/>
    <x v="3"/>
    <x v="1"/>
    <x v="0"/>
  </r>
  <r>
    <s v="P1011090_IJ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0"/>
    <x v="2"/>
    <x v="1"/>
    <x v="0"/>
    <x v="0"/>
    <x v="0"/>
    <x v="2"/>
    <x v="1"/>
    <x v="0"/>
    <x v="5"/>
    <x v="1"/>
    <x v="0"/>
    <x v="0"/>
    <n v="1.7320508075688772"/>
    <n v="0.79781838051953446"/>
    <x v="0"/>
    <x v="2"/>
    <x v="1"/>
    <x v="0"/>
    <x v="0"/>
    <x v="0"/>
    <x v="2"/>
    <x v="1"/>
    <x v="0"/>
    <x v="5"/>
    <x v="1"/>
    <x v="0"/>
  </r>
  <r>
    <s v="P1011091_IJ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7"/>
    <n v="1.277034259466139"/>
    <x v="0"/>
    <x v="3"/>
    <x v="1"/>
    <x v="0"/>
    <x v="0"/>
    <x v="4"/>
    <x v="0"/>
    <x v="5"/>
    <x v="1"/>
    <x v="6"/>
    <x v="1"/>
    <x v="0"/>
    <x v="3"/>
    <n v="2.6457513110645907"/>
    <n v="1.1300594052819255"/>
    <x v="0"/>
    <x v="3"/>
    <x v="1"/>
    <x v="0"/>
    <x v="0"/>
    <x v="4"/>
    <x v="0"/>
    <x v="5"/>
    <x v="1"/>
    <x v="6"/>
    <x v="1"/>
    <x v="0"/>
  </r>
  <r>
    <s v="P1011092_IJ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4"/>
    <n v="1.0397207708399179"/>
    <x v="2"/>
    <x v="2"/>
    <x v="1"/>
    <x v="0"/>
    <x v="2"/>
    <x v="0"/>
    <x v="2"/>
    <x v="1"/>
    <x v="0"/>
    <x v="5"/>
    <x v="1"/>
    <x v="0"/>
    <x v="1"/>
    <n v="2"/>
    <n v="1.0196669901688089"/>
    <x v="2"/>
    <x v="2"/>
    <x v="1"/>
    <x v="0"/>
    <x v="2"/>
    <x v="0"/>
    <x v="2"/>
    <x v="1"/>
    <x v="0"/>
    <x v="5"/>
    <x v="1"/>
    <x v="0"/>
  </r>
  <r>
    <s v="P1011093_IJ"/>
    <x v="0"/>
    <x v="2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2"/>
    <x v="0"/>
    <x v="1"/>
    <x v="0"/>
    <x v="2"/>
    <x v="2"/>
    <x v="0"/>
    <x v="2"/>
    <x v="0"/>
    <x v="2"/>
    <x v="1"/>
    <x v="0"/>
    <x v="1"/>
    <n v="1.7320508075688772"/>
    <n v="1.0481470739682048"/>
    <x v="2"/>
    <x v="0"/>
    <x v="1"/>
    <x v="0"/>
    <x v="2"/>
    <x v="2"/>
    <x v="0"/>
    <x v="2"/>
    <x v="0"/>
    <x v="2"/>
    <x v="1"/>
    <x v="0"/>
  </r>
  <r>
    <s v="P1011094_IJ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n v="6"/>
    <n v="0.86756322848146117"/>
    <x v="0"/>
    <x v="2"/>
    <x v="1"/>
    <x v="0"/>
    <x v="0"/>
    <x v="5"/>
    <x v="2"/>
    <x v="5"/>
    <x v="0"/>
    <x v="4"/>
    <x v="1"/>
    <x v="1"/>
    <x v="1"/>
    <n v="2.4494897427831779"/>
    <n v="0.93143074271867421"/>
    <x v="0"/>
    <x v="2"/>
    <x v="1"/>
    <x v="0"/>
    <x v="0"/>
    <x v="5"/>
    <x v="2"/>
    <x v="5"/>
    <x v="0"/>
    <x v="4"/>
    <x v="1"/>
    <x v="1"/>
  </r>
  <r>
    <s v="P1011096_IJ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2"/>
    <x v="4"/>
    <x v="1"/>
    <x v="0"/>
    <x v="2"/>
    <x v="2"/>
    <x v="0"/>
    <x v="2"/>
    <x v="0"/>
    <x v="7"/>
    <x v="1"/>
    <x v="0"/>
    <x v="0"/>
    <n v="1.4142135623730951"/>
    <n v="0.83255461115769769"/>
    <x v="2"/>
    <x v="4"/>
    <x v="1"/>
    <x v="0"/>
    <x v="2"/>
    <x v="2"/>
    <x v="0"/>
    <x v="2"/>
    <x v="0"/>
    <x v="7"/>
    <x v="1"/>
    <x v="0"/>
  </r>
  <r>
    <s v="P1011296_IJ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1"/>
    <n v="4"/>
    <n v="1.0397207708399179"/>
    <x v="2"/>
    <x v="2"/>
    <x v="1"/>
    <x v="0"/>
    <x v="2"/>
    <x v="2"/>
    <x v="0"/>
    <x v="2"/>
    <x v="0"/>
    <x v="5"/>
    <x v="1"/>
    <x v="0"/>
    <x v="1"/>
    <n v="2"/>
    <n v="1.0196669901688089"/>
    <x v="2"/>
    <x v="2"/>
    <x v="1"/>
    <x v="0"/>
    <x v="2"/>
    <x v="2"/>
    <x v="0"/>
    <x v="2"/>
    <x v="0"/>
    <x v="5"/>
    <x v="1"/>
    <x v="0"/>
  </r>
  <r>
    <s v="P1011297_IJ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n v="4"/>
    <n v="1.0397207708399179"/>
    <x v="2"/>
    <x v="4"/>
    <x v="0"/>
    <x v="0"/>
    <x v="1"/>
    <x v="2"/>
    <x v="0"/>
    <x v="2"/>
    <x v="0"/>
    <x v="7"/>
    <x v="0"/>
    <x v="1"/>
    <x v="1"/>
    <n v="2"/>
    <n v="1.0196669901688089"/>
    <x v="2"/>
    <x v="4"/>
    <x v="0"/>
    <x v="0"/>
    <x v="1"/>
    <x v="2"/>
    <x v="0"/>
    <x v="2"/>
    <x v="0"/>
    <x v="7"/>
    <x v="0"/>
    <x v="1"/>
  </r>
  <r>
    <s v="P1011298_IJ"/>
    <x v="0"/>
    <x v="3"/>
    <x v="1"/>
    <x v="0"/>
    <x v="0"/>
    <x v="0"/>
    <x v="0"/>
    <x v="0"/>
    <x v="0"/>
    <x v="0"/>
    <x v="0"/>
    <x v="1"/>
    <x v="0"/>
    <x v="0"/>
    <x v="0"/>
    <x v="0"/>
    <x v="0"/>
    <x v="0"/>
    <x v="1"/>
    <x v="2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1"/>
    <x v="4"/>
    <x v="1"/>
    <x v="0"/>
    <x v="1"/>
    <x v="2"/>
    <x v="0"/>
    <x v="2"/>
    <x v="0"/>
    <x v="7"/>
    <x v="1"/>
    <x v="0"/>
    <x v="1"/>
    <n v="1.7320508075688772"/>
    <n v="1.0481470739682048"/>
    <x v="1"/>
    <x v="4"/>
    <x v="1"/>
    <x v="0"/>
    <x v="1"/>
    <x v="2"/>
    <x v="0"/>
    <x v="2"/>
    <x v="0"/>
    <x v="7"/>
    <x v="1"/>
    <x v="0"/>
  </r>
  <r>
    <s v="P1011300_IJ"/>
    <x v="0"/>
    <x v="3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1302_IJ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3"/>
    <n v="0.63651416829481278"/>
    <x v="0"/>
    <x v="0"/>
    <x v="1"/>
    <x v="0"/>
    <x v="0"/>
    <x v="2"/>
    <x v="0"/>
    <x v="2"/>
    <x v="0"/>
    <x v="0"/>
    <x v="1"/>
    <x v="0"/>
    <x v="0"/>
    <n v="1.7320508075688772"/>
    <n v="0.79781838051953446"/>
    <x v="0"/>
    <x v="0"/>
    <x v="1"/>
    <x v="0"/>
    <x v="0"/>
    <x v="2"/>
    <x v="0"/>
    <x v="2"/>
    <x v="0"/>
    <x v="0"/>
    <x v="1"/>
    <x v="0"/>
  </r>
  <r>
    <s v="P1011303_IJ"/>
    <x v="0"/>
    <x v="3"/>
    <x v="1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2"/>
    <x v="4"/>
    <x v="0"/>
    <x v="0"/>
    <x v="2"/>
    <x v="2"/>
    <x v="0"/>
    <x v="2"/>
    <x v="0"/>
    <x v="7"/>
    <x v="0"/>
    <x v="0"/>
    <x v="1"/>
    <n v="1.7320508075688772"/>
    <n v="1.0481470739682048"/>
    <x v="2"/>
    <x v="4"/>
    <x v="0"/>
    <x v="0"/>
    <x v="2"/>
    <x v="2"/>
    <x v="0"/>
    <x v="2"/>
    <x v="0"/>
    <x v="7"/>
    <x v="0"/>
    <x v="0"/>
  </r>
  <r>
    <s v="P1011284_IJ"/>
    <x v="0"/>
    <x v="4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285_IJ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4"/>
    <n v="0"/>
    <x v="0"/>
    <x v="0"/>
    <x v="1"/>
    <x v="0"/>
    <x v="0"/>
    <x v="2"/>
    <x v="0"/>
    <x v="2"/>
    <x v="2"/>
    <x v="3"/>
    <x v="1"/>
    <x v="0"/>
    <x v="2"/>
    <n v="2"/>
    <n v="0"/>
    <x v="0"/>
    <x v="0"/>
    <x v="1"/>
    <x v="0"/>
    <x v="0"/>
    <x v="2"/>
    <x v="0"/>
    <x v="2"/>
    <x v="2"/>
    <x v="3"/>
    <x v="1"/>
    <x v="0"/>
  </r>
  <r>
    <s v="P1011287_IJ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289_IJ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1"/>
    <x v="2"/>
    <x v="1"/>
    <x v="0"/>
    <x v="2"/>
    <n v="1"/>
    <n v="0"/>
    <x v="0"/>
    <x v="0"/>
    <x v="1"/>
    <x v="0"/>
    <x v="0"/>
    <x v="2"/>
    <x v="0"/>
    <x v="2"/>
    <x v="1"/>
    <x v="2"/>
    <x v="1"/>
    <x v="0"/>
  </r>
  <r>
    <s v="P1011293_IJ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3"/>
    <x v="0"/>
    <x v="4"/>
    <x v="0"/>
    <x v="2"/>
    <x v="1"/>
    <x v="0"/>
    <x v="2"/>
    <n v="1"/>
    <n v="0"/>
    <x v="0"/>
    <x v="0"/>
    <x v="1"/>
    <x v="0"/>
    <x v="0"/>
    <x v="3"/>
    <x v="0"/>
    <x v="4"/>
    <x v="0"/>
    <x v="2"/>
    <x v="1"/>
    <x v="0"/>
  </r>
  <r>
    <s v="P1011294_IJ"/>
    <x v="0"/>
    <x v="4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3"/>
    <n v="5"/>
    <n v="1.3321790402101223"/>
    <x v="1"/>
    <x v="4"/>
    <x v="0"/>
    <x v="0"/>
    <x v="1"/>
    <x v="2"/>
    <x v="0"/>
    <x v="2"/>
    <x v="0"/>
    <x v="7"/>
    <x v="0"/>
    <x v="0"/>
    <x v="3"/>
    <n v="2.2360679774997898"/>
    <n v="1.1542006065715449"/>
    <x v="1"/>
    <x v="4"/>
    <x v="0"/>
    <x v="0"/>
    <x v="1"/>
    <x v="2"/>
    <x v="0"/>
    <x v="2"/>
    <x v="0"/>
    <x v="7"/>
    <x v="0"/>
    <x v="0"/>
  </r>
  <r>
    <s v="P1011274_IJ"/>
    <x v="0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1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0"/>
    <x v="1"/>
    <x v="1"/>
    <x v="0"/>
    <x v="0"/>
    <x v="2"/>
    <x v="0"/>
    <x v="2"/>
    <x v="1"/>
    <x v="5"/>
    <x v="1"/>
    <x v="0"/>
    <x v="1"/>
    <n v="1.7320508075688772"/>
    <n v="1.0481470739682048"/>
    <x v="0"/>
    <x v="1"/>
    <x v="1"/>
    <x v="0"/>
    <x v="0"/>
    <x v="2"/>
    <x v="0"/>
    <x v="2"/>
    <x v="1"/>
    <x v="5"/>
    <x v="1"/>
    <x v="0"/>
  </r>
  <r>
    <s v="P1011278_IJ"/>
    <x v="0"/>
    <x v="5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1280_IJ"/>
    <x v="0"/>
    <x v="5"/>
    <x v="1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n v="4"/>
    <n v="1.0397207708399179"/>
    <x v="2"/>
    <x v="4"/>
    <x v="1"/>
    <x v="0"/>
    <x v="2"/>
    <x v="2"/>
    <x v="0"/>
    <x v="2"/>
    <x v="0"/>
    <x v="7"/>
    <x v="1"/>
    <x v="1"/>
    <x v="1"/>
    <n v="2"/>
    <n v="1.0196669901688089"/>
    <x v="2"/>
    <x v="4"/>
    <x v="1"/>
    <x v="0"/>
    <x v="2"/>
    <x v="2"/>
    <x v="0"/>
    <x v="2"/>
    <x v="0"/>
    <x v="7"/>
    <x v="1"/>
    <x v="1"/>
  </r>
  <r>
    <s v="P1011281_IJ"/>
    <x v="0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2"/>
    <n v="1"/>
    <n v="0"/>
    <x v="2"/>
    <x v="4"/>
    <x v="1"/>
    <x v="0"/>
    <x v="2"/>
    <x v="2"/>
    <x v="0"/>
    <x v="2"/>
    <x v="0"/>
    <x v="7"/>
    <x v="1"/>
    <x v="0"/>
    <x v="2"/>
    <n v="1"/>
    <n v="0"/>
    <x v="2"/>
    <x v="4"/>
    <x v="1"/>
    <x v="0"/>
    <x v="2"/>
    <x v="2"/>
    <x v="0"/>
    <x v="2"/>
    <x v="0"/>
    <x v="7"/>
    <x v="1"/>
    <x v="0"/>
  </r>
  <r>
    <s v="P1011282_IJ"/>
    <x v="0"/>
    <x v="5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1"/>
    <x v="4"/>
    <x v="1"/>
    <x v="2"/>
    <x v="3"/>
    <x v="2"/>
    <x v="0"/>
    <x v="2"/>
    <x v="0"/>
    <x v="7"/>
    <x v="1"/>
    <x v="0"/>
    <x v="0"/>
    <n v="1.7320508075688772"/>
    <n v="0.79781838051953446"/>
    <x v="1"/>
    <x v="4"/>
    <x v="1"/>
    <x v="2"/>
    <x v="3"/>
    <x v="2"/>
    <x v="0"/>
    <x v="2"/>
    <x v="0"/>
    <x v="7"/>
    <x v="1"/>
    <x v="0"/>
  </r>
  <r>
    <s v="P1011283_IJ"/>
    <x v="0"/>
    <x v="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0004_crop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5"/>
    <n v="1.3321790402101223"/>
    <x v="1"/>
    <x v="0"/>
    <x v="0"/>
    <x v="0"/>
    <x v="1"/>
    <x v="2"/>
    <x v="0"/>
    <x v="2"/>
    <x v="0"/>
    <x v="0"/>
    <x v="0"/>
    <x v="0"/>
    <x v="3"/>
    <n v="2.2360679774997898"/>
    <n v="1.1542006065715449"/>
    <x v="1"/>
    <x v="0"/>
    <x v="0"/>
    <x v="0"/>
    <x v="1"/>
    <x v="2"/>
    <x v="0"/>
    <x v="2"/>
    <x v="0"/>
    <x v="0"/>
    <x v="0"/>
    <x v="0"/>
  </r>
  <r>
    <s v="P1010005_crop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3"/>
    <n v="12"/>
    <n v="1.3086053872534491"/>
    <x v="0"/>
    <x v="2"/>
    <x v="0"/>
    <x v="0"/>
    <x v="0"/>
    <x v="0"/>
    <x v="0"/>
    <x v="0"/>
    <x v="0"/>
    <x v="3"/>
    <x v="2"/>
    <x v="0"/>
    <x v="3"/>
    <n v="3.4641016151377544"/>
    <n v="1.1439429125849983"/>
    <x v="0"/>
    <x v="2"/>
    <x v="0"/>
    <x v="0"/>
    <x v="0"/>
    <x v="0"/>
    <x v="0"/>
    <x v="0"/>
    <x v="0"/>
    <x v="3"/>
    <x v="2"/>
    <x v="0"/>
  </r>
  <r>
    <s v="P1010006_crop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4"/>
    <x v="0"/>
    <x v="0"/>
    <x v="3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n v="10"/>
    <n v="1.4184836619456564"/>
    <x v="2"/>
    <x v="3"/>
    <x v="1"/>
    <x v="0"/>
    <x v="2"/>
    <x v="5"/>
    <x v="3"/>
    <x v="6"/>
    <x v="0"/>
    <x v="8"/>
    <x v="1"/>
    <x v="0"/>
    <x v="4"/>
    <n v="3.1622776601683795"/>
    <n v="1.1910011175249402"/>
    <x v="2"/>
    <x v="3"/>
    <x v="1"/>
    <x v="0"/>
    <x v="2"/>
    <x v="5"/>
    <x v="3"/>
    <x v="6"/>
    <x v="0"/>
    <x v="8"/>
    <x v="1"/>
    <x v="0"/>
  </r>
  <r>
    <s v="P1010008_IJ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3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3"/>
    <n v="6"/>
    <n v="1.242453324894"/>
    <x v="0"/>
    <x v="1"/>
    <x v="1"/>
    <x v="0"/>
    <x v="0"/>
    <x v="2"/>
    <x v="3"/>
    <x v="1"/>
    <x v="1"/>
    <x v="4"/>
    <x v="1"/>
    <x v="1"/>
    <x v="3"/>
    <n v="2.4494897427831779"/>
    <n v="1.1146539036373577"/>
    <x v="0"/>
    <x v="1"/>
    <x v="1"/>
    <x v="0"/>
    <x v="0"/>
    <x v="2"/>
    <x v="3"/>
    <x v="1"/>
    <x v="1"/>
    <x v="4"/>
    <x v="1"/>
    <x v="1"/>
  </r>
  <r>
    <s v="P1010009_IJ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1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4"/>
    <n v="7"/>
    <n v="1.4750763110546947"/>
    <x v="0"/>
    <x v="3"/>
    <x v="1"/>
    <x v="0"/>
    <x v="0"/>
    <x v="1"/>
    <x v="2"/>
    <x v="3"/>
    <x v="1"/>
    <x v="1"/>
    <x v="1"/>
    <x v="0"/>
    <x v="4"/>
    <n v="2.6457513110645907"/>
    <n v="1.2145271965068114"/>
    <x v="0"/>
    <x v="3"/>
    <x v="1"/>
    <x v="0"/>
    <x v="0"/>
    <x v="1"/>
    <x v="2"/>
    <x v="3"/>
    <x v="1"/>
    <x v="1"/>
    <x v="1"/>
    <x v="0"/>
  </r>
  <r>
    <s v="P1010010_IJ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1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6"/>
    <n v="8"/>
    <n v="1.7328679513998633"/>
    <x v="2"/>
    <x v="3"/>
    <x v="1"/>
    <x v="2"/>
    <x v="2"/>
    <x v="1"/>
    <x v="0"/>
    <x v="1"/>
    <x v="0"/>
    <x v="1"/>
    <x v="1"/>
    <x v="0"/>
    <x v="6"/>
    <n v="2.8284271247461903"/>
    <n v="1.3163844238670797"/>
    <x v="2"/>
    <x v="3"/>
    <x v="1"/>
    <x v="2"/>
    <x v="2"/>
    <x v="1"/>
    <x v="0"/>
    <x v="1"/>
    <x v="0"/>
    <x v="1"/>
    <x v="1"/>
    <x v="0"/>
  </r>
  <r>
    <s v="P1010021_IJ"/>
    <x v="0"/>
    <x v="1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1"/>
    <x v="0"/>
    <x v="1"/>
    <x v="0"/>
    <x v="0"/>
    <x v="3"/>
    <x v="0"/>
    <x v="0"/>
    <x v="0"/>
    <x v="0"/>
    <x v="0"/>
    <x v="2"/>
    <x v="0"/>
    <x v="0"/>
    <x v="0"/>
    <x v="0"/>
    <x v="1"/>
    <x v="0"/>
    <x v="0"/>
    <x v="0"/>
    <x v="0"/>
    <x v="0"/>
    <x v="0"/>
    <x v="2"/>
    <x v="0"/>
    <x v="0"/>
    <x v="1"/>
    <x v="0"/>
    <x v="0"/>
    <x v="0"/>
    <x v="0"/>
    <x v="0"/>
    <x v="0"/>
    <x v="1"/>
    <x v="0"/>
    <x v="0"/>
    <x v="0"/>
    <x v="0"/>
    <x v="0"/>
    <x v="7"/>
    <n v="14"/>
    <n v="2.0692024658203625"/>
    <x v="2"/>
    <x v="5"/>
    <x v="2"/>
    <x v="2"/>
    <x v="2"/>
    <x v="5"/>
    <x v="0"/>
    <x v="3"/>
    <x v="3"/>
    <x v="9"/>
    <x v="3"/>
    <x v="0"/>
    <x v="7"/>
    <n v="3.7416573867739413"/>
    <n v="1.4384722680053177"/>
    <x v="2"/>
    <x v="5"/>
    <x v="2"/>
    <x v="2"/>
    <x v="2"/>
    <x v="5"/>
    <x v="0"/>
    <x v="3"/>
    <x v="3"/>
    <x v="9"/>
    <x v="3"/>
    <x v="0"/>
  </r>
  <r>
    <s v="P1010023_IJ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3"/>
    <x v="0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6"/>
    <n v="7"/>
    <n v="1.7478680974667573"/>
    <x v="1"/>
    <x v="2"/>
    <x v="0"/>
    <x v="0"/>
    <x v="1"/>
    <x v="3"/>
    <x v="1"/>
    <x v="1"/>
    <x v="0"/>
    <x v="5"/>
    <x v="0"/>
    <x v="0"/>
    <x v="6"/>
    <n v="2.6457513110645907"/>
    <n v="1.3220696265578289"/>
    <x v="1"/>
    <x v="2"/>
    <x v="0"/>
    <x v="0"/>
    <x v="1"/>
    <x v="3"/>
    <x v="1"/>
    <x v="1"/>
    <x v="0"/>
    <x v="5"/>
    <x v="0"/>
    <x v="0"/>
  </r>
  <r>
    <s v="P1010024_IJ"/>
    <x v="0"/>
    <x v="1"/>
    <x v="0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0"/>
    <x v="0"/>
    <x v="0"/>
    <x v="3"/>
    <x v="0"/>
    <x v="2"/>
    <x v="4"/>
    <x v="0"/>
    <x v="1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16"/>
    <n v="1.7170759801988817"/>
    <x v="2"/>
    <x v="6"/>
    <x v="1"/>
    <x v="3"/>
    <x v="4"/>
    <x v="5"/>
    <x v="4"/>
    <x v="7"/>
    <x v="1"/>
    <x v="10"/>
    <x v="1"/>
    <x v="0"/>
    <x v="8"/>
    <n v="4"/>
    <n v="1.3103724585776677"/>
    <x v="2"/>
    <x v="6"/>
    <x v="1"/>
    <x v="3"/>
    <x v="4"/>
    <x v="5"/>
    <x v="4"/>
    <x v="7"/>
    <x v="1"/>
    <x v="10"/>
    <x v="1"/>
    <x v="0"/>
  </r>
  <r>
    <s v="P1010025_IJ"/>
    <x v="0"/>
    <x v="1"/>
    <x v="0"/>
    <x v="1"/>
    <x v="0"/>
    <x v="0"/>
    <x v="0"/>
    <x v="0"/>
    <x v="0"/>
    <x v="1"/>
    <x v="0"/>
    <x v="0"/>
    <x v="0"/>
    <x v="3"/>
    <x v="0"/>
    <x v="0"/>
    <x v="1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1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3"/>
    <x v="2"/>
    <x v="2"/>
    <x v="0"/>
    <x v="0"/>
    <x v="0"/>
    <x v="9"/>
    <n v="19"/>
    <n v="2.2602338531746744"/>
    <x v="1"/>
    <x v="5"/>
    <x v="1"/>
    <x v="4"/>
    <x v="5"/>
    <x v="0"/>
    <x v="2"/>
    <x v="1"/>
    <x v="1"/>
    <x v="6"/>
    <x v="1"/>
    <x v="2"/>
    <x v="9"/>
    <n v="4.358898943540674"/>
    <n v="1.5034074142343035"/>
    <x v="1"/>
    <x v="5"/>
    <x v="1"/>
    <x v="4"/>
    <x v="5"/>
    <x v="0"/>
    <x v="2"/>
    <x v="1"/>
    <x v="1"/>
    <x v="6"/>
    <x v="1"/>
    <x v="2"/>
  </r>
  <r>
    <s v="P1010026_IJ"/>
    <x v="0"/>
    <x v="1"/>
    <x v="0"/>
    <x v="1"/>
    <x v="1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2"/>
    <x v="0"/>
    <x v="0"/>
    <x v="0"/>
    <x v="0"/>
    <x v="2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n v="8"/>
    <n v="1.2130075659799042"/>
    <x v="1"/>
    <x v="0"/>
    <x v="1"/>
    <x v="2"/>
    <x v="3"/>
    <x v="2"/>
    <x v="0"/>
    <x v="2"/>
    <x v="2"/>
    <x v="3"/>
    <x v="1"/>
    <x v="0"/>
    <x v="3"/>
    <n v="2.8284271247461903"/>
    <n v="1.1013662270016746"/>
    <x v="1"/>
    <x v="0"/>
    <x v="1"/>
    <x v="2"/>
    <x v="3"/>
    <x v="2"/>
    <x v="0"/>
    <x v="2"/>
    <x v="2"/>
    <x v="3"/>
    <x v="1"/>
    <x v="0"/>
  </r>
  <r>
    <s v="P1010027_IJ"/>
    <x v="0"/>
    <x v="1"/>
    <x v="0"/>
    <x v="1"/>
    <x v="0"/>
    <x v="0"/>
    <x v="0"/>
    <x v="0"/>
    <x v="0"/>
    <x v="0"/>
    <x v="0"/>
    <x v="0"/>
    <x v="0"/>
    <x v="1"/>
    <x v="1"/>
    <x v="0"/>
    <x v="0"/>
    <x v="0"/>
    <x v="1"/>
    <x v="0"/>
    <x v="3"/>
    <x v="0"/>
    <x v="1"/>
    <x v="0"/>
    <x v="0"/>
    <x v="0"/>
    <x v="3"/>
    <x v="0"/>
    <x v="0"/>
    <x v="1"/>
    <x v="0"/>
    <x v="0"/>
    <x v="0"/>
    <x v="0"/>
    <x v="0"/>
    <x v="0"/>
    <x v="0"/>
    <x v="3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9"/>
    <n v="17"/>
    <n v="2.282374376159249"/>
    <x v="3"/>
    <x v="5"/>
    <x v="1"/>
    <x v="1"/>
    <x v="6"/>
    <x v="3"/>
    <x v="1"/>
    <x v="1"/>
    <x v="0"/>
    <x v="8"/>
    <x v="1"/>
    <x v="1"/>
    <x v="9"/>
    <n v="4.1231056256176606"/>
    <n v="1.510752916978567"/>
    <x v="3"/>
    <x v="5"/>
    <x v="1"/>
    <x v="1"/>
    <x v="6"/>
    <x v="3"/>
    <x v="1"/>
    <x v="1"/>
    <x v="0"/>
    <x v="8"/>
    <x v="1"/>
    <x v="1"/>
  </r>
  <r>
    <s v="P1010084_IJ"/>
    <x v="0"/>
    <x v="2"/>
    <x v="0"/>
    <x v="1"/>
    <x v="0"/>
    <x v="0"/>
    <x v="0"/>
    <x v="0"/>
    <x v="0"/>
    <x v="0"/>
    <x v="1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5"/>
    <x v="0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10"/>
    <n v="19"/>
    <n v="1.7494938253936618"/>
    <x v="1"/>
    <x v="1"/>
    <x v="1"/>
    <x v="2"/>
    <x v="1"/>
    <x v="0"/>
    <x v="5"/>
    <x v="8"/>
    <x v="3"/>
    <x v="11"/>
    <x v="1"/>
    <x v="0"/>
    <x v="10"/>
    <n v="4.358898943540674"/>
    <n v="1.3226843256777718"/>
    <x v="1"/>
    <x v="1"/>
    <x v="1"/>
    <x v="2"/>
    <x v="1"/>
    <x v="0"/>
    <x v="5"/>
    <x v="8"/>
    <x v="3"/>
    <x v="11"/>
    <x v="1"/>
    <x v="0"/>
  </r>
  <r>
    <s v="P1010086_IJ"/>
    <x v="0"/>
    <x v="2"/>
    <x v="0"/>
    <x v="1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1"/>
    <x v="0"/>
    <x v="0"/>
    <x v="0"/>
    <x v="2"/>
    <x v="0"/>
    <x v="0"/>
    <x v="1"/>
    <x v="0"/>
    <x v="1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8"/>
    <n v="10"/>
    <n v="1.8866967846580784"/>
    <x v="2"/>
    <x v="3"/>
    <x v="0"/>
    <x v="1"/>
    <x v="1"/>
    <x v="2"/>
    <x v="1"/>
    <x v="0"/>
    <x v="1"/>
    <x v="1"/>
    <x v="0"/>
    <x v="0"/>
    <x v="8"/>
    <n v="3.1622776601683795"/>
    <n v="1.3735708153051587"/>
    <x v="2"/>
    <x v="3"/>
    <x v="0"/>
    <x v="1"/>
    <x v="1"/>
    <x v="2"/>
    <x v="1"/>
    <x v="0"/>
    <x v="1"/>
    <x v="1"/>
    <x v="0"/>
    <x v="0"/>
  </r>
  <r>
    <s v="P1010087_IJ"/>
    <x v="0"/>
    <x v="2"/>
    <x v="0"/>
    <x v="1"/>
    <x v="0"/>
    <x v="0"/>
    <x v="0"/>
    <x v="0"/>
    <x v="0"/>
    <x v="0"/>
    <x v="1"/>
    <x v="0"/>
    <x v="0"/>
    <x v="1"/>
    <x v="0"/>
    <x v="0"/>
    <x v="0"/>
    <x v="0"/>
    <x v="0"/>
    <x v="2"/>
    <x v="0"/>
    <x v="0"/>
    <x v="0"/>
    <x v="0"/>
    <x v="1"/>
    <x v="0"/>
    <x v="1"/>
    <x v="0"/>
    <x v="0"/>
    <x v="6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4"/>
    <x v="1"/>
    <x v="0"/>
    <x v="0"/>
    <x v="0"/>
    <x v="7"/>
    <n v="19"/>
    <n v="1.9133036567531658"/>
    <x v="1"/>
    <x v="1"/>
    <x v="1"/>
    <x v="2"/>
    <x v="1"/>
    <x v="1"/>
    <x v="6"/>
    <x v="9"/>
    <x v="0"/>
    <x v="12"/>
    <x v="1"/>
    <x v="1"/>
    <x v="7"/>
    <n v="4.358898943540674"/>
    <n v="1.383222200788133"/>
    <x v="1"/>
    <x v="1"/>
    <x v="1"/>
    <x v="2"/>
    <x v="1"/>
    <x v="1"/>
    <x v="6"/>
    <x v="9"/>
    <x v="0"/>
    <x v="12"/>
    <x v="1"/>
    <x v="1"/>
  </r>
  <r>
    <s v="P1010088_IJ"/>
    <x v="0"/>
    <x v="2"/>
    <x v="0"/>
    <x v="1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1"/>
    <x v="0"/>
    <x v="0"/>
    <x v="0"/>
    <x v="5"/>
    <x v="0"/>
    <x v="0"/>
    <x v="4"/>
    <x v="0"/>
    <x v="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0"/>
    <n v="17"/>
    <n v="1.8705688894156369"/>
    <x v="1"/>
    <x v="5"/>
    <x v="1"/>
    <x v="2"/>
    <x v="1"/>
    <x v="4"/>
    <x v="4"/>
    <x v="9"/>
    <x v="1"/>
    <x v="13"/>
    <x v="1"/>
    <x v="0"/>
    <x v="10"/>
    <n v="4.1231056256176606"/>
    <n v="1.3676874238712722"/>
    <x v="1"/>
    <x v="5"/>
    <x v="1"/>
    <x v="2"/>
    <x v="1"/>
    <x v="4"/>
    <x v="4"/>
    <x v="9"/>
    <x v="1"/>
    <x v="13"/>
    <x v="1"/>
    <x v="0"/>
  </r>
  <r>
    <s v="P1010089_IJ"/>
    <x v="0"/>
    <x v="2"/>
    <x v="0"/>
    <x v="1"/>
    <x v="0"/>
    <x v="0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0"/>
    <x v="0"/>
    <x v="1"/>
    <x v="0"/>
    <x v="0"/>
    <x v="0"/>
    <x v="0"/>
    <x v="4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0"/>
    <x v="0"/>
    <x v="0"/>
    <x v="0"/>
    <x v="0"/>
    <x v="8"/>
    <n v="13"/>
    <n v="1.8043716191528456"/>
    <x v="1"/>
    <x v="2"/>
    <x v="1"/>
    <x v="0"/>
    <x v="5"/>
    <x v="1"/>
    <x v="0"/>
    <x v="1"/>
    <x v="4"/>
    <x v="1"/>
    <x v="1"/>
    <x v="0"/>
    <x v="8"/>
    <n v="3.6055512754639891"/>
    <n v="1.3432690047614608"/>
    <x v="1"/>
    <x v="2"/>
    <x v="1"/>
    <x v="0"/>
    <x v="5"/>
    <x v="1"/>
    <x v="0"/>
    <x v="1"/>
    <x v="4"/>
    <x v="1"/>
    <x v="1"/>
    <x v="0"/>
  </r>
  <r>
    <s v="P1010091_IJ"/>
    <x v="0"/>
    <x v="2"/>
    <x v="0"/>
    <x v="1"/>
    <x v="0"/>
    <x v="1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3"/>
    <x v="0"/>
    <x v="0"/>
    <x v="2"/>
    <x v="0"/>
    <x v="1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8"/>
    <n v="9"/>
    <n v="1.8891591637540217"/>
    <x v="2"/>
    <x v="3"/>
    <x v="1"/>
    <x v="1"/>
    <x v="1"/>
    <x v="3"/>
    <x v="2"/>
    <x v="0"/>
    <x v="1"/>
    <x v="3"/>
    <x v="1"/>
    <x v="0"/>
    <x v="8"/>
    <n v="3"/>
    <n v="1.3744668652805063"/>
    <x v="2"/>
    <x v="3"/>
    <x v="1"/>
    <x v="1"/>
    <x v="1"/>
    <x v="3"/>
    <x v="2"/>
    <x v="0"/>
    <x v="1"/>
    <x v="3"/>
    <x v="1"/>
    <x v="0"/>
  </r>
  <r>
    <s v="P1010073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n v="2"/>
    <n v="0.69314718055994529"/>
    <x v="0"/>
    <x v="4"/>
    <x v="1"/>
    <x v="0"/>
    <x v="0"/>
    <x v="2"/>
    <x v="0"/>
    <x v="2"/>
    <x v="0"/>
    <x v="7"/>
    <x v="1"/>
    <x v="1"/>
    <x v="0"/>
    <n v="1.4142135623730951"/>
    <n v="0.83255461115769769"/>
    <x v="0"/>
    <x v="4"/>
    <x v="1"/>
    <x v="0"/>
    <x v="0"/>
    <x v="2"/>
    <x v="0"/>
    <x v="2"/>
    <x v="0"/>
    <x v="7"/>
    <x v="1"/>
    <x v="1"/>
  </r>
  <r>
    <s v="P1010074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1"/>
    <n v="3"/>
    <n v="1.0986122886681096"/>
    <x v="2"/>
    <x v="4"/>
    <x v="1"/>
    <x v="0"/>
    <x v="2"/>
    <x v="2"/>
    <x v="0"/>
    <x v="2"/>
    <x v="0"/>
    <x v="7"/>
    <x v="1"/>
    <x v="1"/>
    <x v="1"/>
    <n v="1.7320508075688772"/>
    <n v="1.0481470739682048"/>
    <x v="2"/>
    <x v="4"/>
    <x v="1"/>
    <x v="0"/>
    <x v="2"/>
    <x v="2"/>
    <x v="0"/>
    <x v="2"/>
    <x v="0"/>
    <x v="7"/>
    <x v="1"/>
    <x v="1"/>
  </r>
  <r>
    <s v="P1010075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2"/>
    <n v="0"/>
    <x v="2"/>
    <x v="4"/>
    <x v="1"/>
    <x v="0"/>
    <x v="1"/>
    <x v="2"/>
    <x v="0"/>
    <x v="2"/>
    <x v="0"/>
    <x v="7"/>
    <x v="1"/>
    <x v="0"/>
    <x v="2"/>
    <n v="1.4142135623730951"/>
    <n v="0"/>
    <x v="2"/>
    <x v="4"/>
    <x v="1"/>
    <x v="0"/>
    <x v="1"/>
    <x v="2"/>
    <x v="0"/>
    <x v="2"/>
    <x v="0"/>
    <x v="7"/>
    <x v="1"/>
    <x v="0"/>
  </r>
  <r>
    <s v="SC4_35_090922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SC4_51_090922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2"/>
    <x v="0"/>
    <x v="0"/>
    <x v="0"/>
    <x v="0"/>
    <x v="1"/>
    <n v="3"/>
    <n v="1.0986122886681096"/>
    <x v="2"/>
    <x v="4"/>
    <x v="0"/>
    <x v="0"/>
    <x v="2"/>
    <x v="2"/>
    <x v="0"/>
    <x v="2"/>
    <x v="0"/>
    <x v="7"/>
    <x v="0"/>
    <x v="0"/>
    <x v="1"/>
    <n v="1.7320508075688772"/>
    <n v="1.0481470739682048"/>
    <x v="2"/>
    <x v="4"/>
    <x v="0"/>
    <x v="0"/>
    <x v="2"/>
    <x v="2"/>
    <x v="0"/>
    <x v="2"/>
    <x v="0"/>
    <x v="7"/>
    <x v="0"/>
    <x v="0"/>
  </r>
  <r>
    <s v="SC4_52_090922_IJ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n v="1"/>
    <n v="0"/>
    <x v="0"/>
    <x v="4"/>
    <x v="1"/>
    <x v="0"/>
    <x v="0"/>
    <x v="2"/>
    <x v="0"/>
    <x v="2"/>
    <x v="0"/>
    <x v="7"/>
    <x v="1"/>
    <x v="1"/>
    <x v="2"/>
    <n v="1"/>
    <n v="0"/>
    <x v="0"/>
    <x v="4"/>
    <x v="1"/>
    <x v="0"/>
    <x v="0"/>
    <x v="2"/>
    <x v="0"/>
    <x v="2"/>
    <x v="0"/>
    <x v="7"/>
    <x v="1"/>
    <x v="1"/>
  </r>
  <r>
    <s v="P1010063_IJ"/>
    <x v="0"/>
    <x v="4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0064_IJ"/>
    <x v="0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n v="2"/>
    <n v="0"/>
    <x v="0"/>
    <x v="4"/>
    <x v="1"/>
    <x v="0"/>
    <x v="0"/>
    <x v="2"/>
    <x v="0"/>
    <x v="2"/>
    <x v="0"/>
    <x v="7"/>
    <x v="1"/>
    <x v="0"/>
    <x v="2"/>
    <n v="1.4142135623730951"/>
    <n v="0"/>
    <x v="0"/>
    <x v="4"/>
    <x v="1"/>
    <x v="0"/>
    <x v="0"/>
    <x v="2"/>
    <x v="0"/>
    <x v="2"/>
    <x v="0"/>
    <x v="7"/>
    <x v="1"/>
    <x v="0"/>
  </r>
  <r>
    <s v="P1010066_IJ"/>
    <x v="0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n v="2"/>
    <n v="0.69314718055994529"/>
    <x v="0"/>
    <x v="4"/>
    <x v="1"/>
    <x v="0"/>
    <x v="0"/>
    <x v="2"/>
    <x v="0"/>
    <x v="2"/>
    <x v="0"/>
    <x v="7"/>
    <x v="1"/>
    <x v="1"/>
    <x v="0"/>
    <n v="1.4142135623730951"/>
    <n v="0.83255461115769769"/>
    <x v="0"/>
    <x v="4"/>
    <x v="1"/>
    <x v="0"/>
    <x v="0"/>
    <x v="2"/>
    <x v="0"/>
    <x v="2"/>
    <x v="0"/>
    <x v="7"/>
    <x v="1"/>
    <x v="1"/>
  </r>
  <r>
    <s v="SC5_34_090922_IJ"/>
    <x v="0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3"/>
    <n v="0.63651416829481278"/>
    <x v="2"/>
    <x v="0"/>
    <x v="1"/>
    <x v="0"/>
    <x v="2"/>
    <x v="0"/>
    <x v="0"/>
    <x v="0"/>
    <x v="0"/>
    <x v="0"/>
    <x v="1"/>
    <x v="0"/>
    <x v="0"/>
    <n v="1.7320508075688772"/>
    <n v="0.79781838051953446"/>
    <x v="2"/>
    <x v="0"/>
    <x v="1"/>
    <x v="0"/>
    <x v="2"/>
    <x v="0"/>
    <x v="0"/>
    <x v="0"/>
    <x v="0"/>
    <x v="0"/>
    <x v="1"/>
    <x v="0"/>
  </r>
  <r>
    <s v="SC5_47_090922_IJ"/>
    <x v="0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3"/>
    <x v="0"/>
    <x v="4"/>
    <x v="0"/>
    <x v="2"/>
    <x v="1"/>
    <x v="0"/>
    <x v="2"/>
    <n v="1"/>
    <n v="0"/>
    <x v="0"/>
    <x v="0"/>
    <x v="1"/>
    <x v="0"/>
    <x v="0"/>
    <x v="3"/>
    <x v="0"/>
    <x v="4"/>
    <x v="0"/>
    <x v="2"/>
    <x v="1"/>
    <x v="0"/>
  </r>
  <r>
    <s v="SC5_49_090922_IJ"/>
    <x v="0"/>
    <x v="4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1"/>
    <n v="3"/>
    <n v="1.0986122886681096"/>
    <x v="0"/>
    <x v="0"/>
    <x v="1"/>
    <x v="0"/>
    <x v="0"/>
    <x v="3"/>
    <x v="0"/>
    <x v="4"/>
    <x v="0"/>
    <x v="2"/>
    <x v="1"/>
    <x v="1"/>
    <x v="1"/>
    <n v="1.7320508075688772"/>
    <n v="1.0481470739682048"/>
    <x v="0"/>
    <x v="0"/>
    <x v="1"/>
    <x v="0"/>
    <x v="0"/>
    <x v="3"/>
    <x v="0"/>
    <x v="4"/>
    <x v="0"/>
    <x v="2"/>
    <x v="1"/>
    <x v="1"/>
  </r>
  <r>
    <s v="P1010040_IJ"/>
    <x v="0"/>
    <x v="5"/>
    <x v="1"/>
    <x v="1"/>
    <x v="0"/>
    <x v="0"/>
    <x v="0"/>
    <x v="0"/>
    <x v="0"/>
    <x v="0"/>
    <x v="0"/>
    <x v="0"/>
    <x v="0"/>
    <x v="0"/>
    <x v="0"/>
    <x v="0"/>
    <x v="0"/>
    <x v="0"/>
    <x v="2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4"/>
    <n v="7"/>
    <n v="1.5498260458782016"/>
    <x v="4"/>
    <x v="0"/>
    <x v="1"/>
    <x v="0"/>
    <x v="5"/>
    <x v="0"/>
    <x v="0"/>
    <x v="0"/>
    <x v="0"/>
    <x v="0"/>
    <x v="1"/>
    <x v="0"/>
    <x v="4"/>
    <n v="2.6457513110645907"/>
    <n v="1.2449200961821612"/>
    <x v="4"/>
    <x v="0"/>
    <x v="1"/>
    <x v="0"/>
    <x v="5"/>
    <x v="0"/>
    <x v="0"/>
    <x v="0"/>
    <x v="0"/>
    <x v="0"/>
    <x v="1"/>
    <x v="0"/>
  </r>
  <r>
    <s v="P1010041_IJ"/>
    <x v="0"/>
    <x v="5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n v="4"/>
    <n v="1.0397207708399179"/>
    <x v="1"/>
    <x v="4"/>
    <x v="1"/>
    <x v="2"/>
    <x v="3"/>
    <x v="2"/>
    <x v="0"/>
    <x v="2"/>
    <x v="0"/>
    <x v="7"/>
    <x v="1"/>
    <x v="0"/>
    <x v="1"/>
    <n v="2"/>
    <n v="1.0196669901688089"/>
    <x v="1"/>
    <x v="4"/>
    <x v="1"/>
    <x v="2"/>
    <x v="3"/>
    <x v="2"/>
    <x v="0"/>
    <x v="2"/>
    <x v="0"/>
    <x v="7"/>
    <x v="1"/>
    <x v="0"/>
  </r>
  <r>
    <s v="P1010042_IJ"/>
    <x v="0"/>
    <x v="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2"/>
    <x v="0"/>
    <x v="1"/>
    <x v="0"/>
    <x v="2"/>
    <x v="3"/>
    <x v="0"/>
    <x v="4"/>
    <x v="0"/>
    <x v="2"/>
    <x v="1"/>
    <x v="0"/>
    <x v="0"/>
    <n v="1.4142135623730951"/>
    <n v="0.83255461115769769"/>
    <x v="2"/>
    <x v="0"/>
    <x v="1"/>
    <x v="0"/>
    <x v="2"/>
    <x v="3"/>
    <x v="0"/>
    <x v="4"/>
    <x v="0"/>
    <x v="2"/>
    <x v="1"/>
    <x v="0"/>
  </r>
  <r>
    <s v="SC7_2_090922_IJ"/>
    <x v="0"/>
    <x v="5"/>
    <x v="1"/>
    <x v="1"/>
    <x v="0"/>
    <x v="0"/>
    <x v="0"/>
    <x v="0"/>
    <x v="0"/>
    <x v="1"/>
    <x v="1"/>
    <x v="1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4"/>
    <n v="6"/>
    <n v="1.5607104090414063"/>
    <x v="0"/>
    <x v="0"/>
    <x v="1"/>
    <x v="0"/>
    <x v="0"/>
    <x v="2"/>
    <x v="0"/>
    <x v="2"/>
    <x v="3"/>
    <x v="0"/>
    <x v="1"/>
    <x v="0"/>
    <x v="4"/>
    <n v="2.4494897427831779"/>
    <n v="1.2492839585304081"/>
    <x v="0"/>
    <x v="0"/>
    <x v="1"/>
    <x v="0"/>
    <x v="0"/>
    <x v="2"/>
    <x v="0"/>
    <x v="2"/>
    <x v="3"/>
    <x v="0"/>
    <x v="1"/>
    <x v="0"/>
  </r>
  <r>
    <s v="SC7_3_090922_IJ"/>
    <x v="0"/>
    <x v="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1"/>
    <n v="3"/>
    <n v="1.0986122886681096"/>
    <x v="0"/>
    <x v="0"/>
    <x v="1"/>
    <x v="0"/>
    <x v="0"/>
    <x v="3"/>
    <x v="0"/>
    <x v="4"/>
    <x v="0"/>
    <x v="2"/>
    <x v="1"/>
    <x v="0"/>
    <x v="1"/>
    <n v="1.7320508075688772"/>
    <n v="1.0481470739682048"/>
    <x v="0"/>
    <x v="0"/>
    <x v="1"/>
    <x v="0"/>
    <x v="0"/>
    <x v="3"/>
    <x v="0"/>
    <x v="4"/>
    <x v="0"/>
    <x v="2"/>
    <x v="1"/>
    <x v="0"/>
  </r>
  <r>
    <s v="SC7_5_090922_IJ"/>
    <x v="0"/>
    <x v="5"/>
    <x v="1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3"/>
    <n v="5"/>
    <n v="1.3321790402101223"/>
    <x v="0"/>
    <x v="2"/>
    <x v="0"/>
    <x v="0"/>
    <x v="0"/>
    <x v="2"/>
    <x v="0"/>
    <x v="2"/>
    <x v="1"/>
    <x v="0"/>
    <x v="4"/>
    <x v="0"/>
    <x v="3"/>
    <n v="2.2360679774997898"/>
    <n v="1.1542006065715449"/>
    <x v="0"/>
    <x v="2"/>
    <x v="0"/>
    <x v="0"/>
    <x v="0"/>
    <x v="2"/>
    <x v="0"/>
    <x v="2"/>
    <x v="1"/>
    <x v="0"/>
    <x v="4"/>
    <x v="0"/>
  </r>
  <r>
    <s v="P1011192_IJ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0"/>
    <x v="2"/>
    <x v="1"/>
    <x v="0"/>
    <x v="2"/>
    <n v="1"/>
    <n v="0"/>
    <x v="0"/>
    <x v="0"/>
    <x v="1"/>
    <x v="0"/>
    <x v="0"/>
    <x v="2"/>
    <x v="0"/>
    <x v="2"/>
    <x v="0"/>
    <x v="2"/>
    <x v="1"/>
    <x v="0"/>
  </r>
  <r>
    <s v="P1011193_IJ"/>
    <x v="1"/>
    <x v="6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1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4"/>
    <n v="1.0397207708399179"/>
    <x v="2"/>
    <x v="2"/>
    <x v="1"/>
    <x v="2"/>
    <x v="2"/>
    <x v="2"/>
    <x v="1"/>
    <x v="0"/>
    <x v="0"/>
    <x v="5"/>
    <x v="1"/>
    <x v="0"/>
    <x v="1"/>
    <n v="2"/>
    <n v="1.0196669901688089"/>
    <x v="2"/>
    <x v="2"/>
    <x v="1"/>
    <x v="2"/>
    <x v="2"/>
    <x v="2"/>
    <x v="1"/>
    <x v="0"/>
    <x v="0"/>
    <x v="5"/>
    <x v="1"/>
    <x v="0"/>
  </r>
  <r>
    <s v="P1011198_IJ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2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0"/>
    <x v="1"/>
    <x v="1"/>
    <x v="0"/>
    <x v="0"/>
    <x v="3"/>
    <x v="2"/>
    <x v="0"/>
    <x v="1"/>
    <x v="5"/>
    <x v="1"/>
    <x v="0"/>
    <x v="1"/>
    <n v="1.7320508075688772"/>
    <n v="1.0481470739682048"/>
    <x v="0"/>
    <x v="1"/>
    <x v="1"/>
    <x v="0"/>
    <x v="0"/>
    <x v="3"/>
    <x v="2"/>
    <x v="0"/>
    <x v="1"/>
    <x v="5"/>
    <x v="1"/>
    <x v="0"/>
  </r>
  <r>
    <s v="P1011200_IJ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2"/>
    <x v="4"/>
    <x v="0"/>
    <x v="2"/>
    <x v="1"/>
    <x v="0"/>
    <x v="2"/>
    <n v="1"/>
    <n v="0"/>
    <x v="0"/>
    <x v="0"/>
    <x v="1"/>
    <x v="0"/>
    <x v="0"/>
    <x v="2"/>
    <x v="2"/>
    <x v="4"/>
    <x v="0"/>
    <x v="2"/>
    <x v="1"/>
    <x v="0"/>
  </r>
  <r>
    <s v="P1011203_IJ"/>
    <x v="1"/>
    <x v="6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1"/>
    <n v="4"/>
    <n v="1.0397207708399179"/>
    <x v="1"/>
    <x v="4"/>
    <x v="0"/>
    <x v="5"/>
    <x v="3"/>
    <x v="2"/>
    <x v="0"/>
    <x v="2"/>
    <x v="0"/>
    <x v="7"/>
    <x v="0"/>
    <x v="0"/>
    <x v="1"/>
    <n v="2"/>
    <n v="1.0196669901688089"/>
    <x v="1"/>
    <x v="4"/>
    <x v="0"/>
    <x v="5"/>
    <x v="3"/>
    <x v="2"/>
    <x v="0"/>
    <x v="2"/>
    <x v="0"/>
    <x v="7"/>
    <x v="0"/>
    <x v="0"/>
  </r>
  <r>
    <s v="P1011205_IJ"/>
    <x v="1"/>
    <x v="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0"/>
    <x v="2"/>
    <x v="1"/>
    <x v="0"/>
    <x v="0"/>
    <x v="3"/>
    <x v="2"/>
    <x v="0"/>
    <x v="0"/>
    <x v="0"/>
    <x v="1"/>
    <x v="0"/>
    <x v="0"/>
    <n v="1.4142135623730951"/>
    <n v="0.83255461115769769"/>
    <x v="0"/>
    <x v="2"/>
    <x v="1"/>
    <x v="0"/>
    <x v="0"/>
    <x v="3"/>
    <x v="2"/>
    <x v="0"/>
    <x v="0"/>
    <x v="0"/>
    <x v="1"/>
    <x v="0"/>
  </r>
  <r>
    <s v="P1011208_IJ"/>
    <x v="1"/>
    <x v="7"/>
    <x v="0"/>
    <x v="0"/>
    <x v="0"/>
    <x v="0"/>
    <x v="0"/>
    <x v="0"/>
    <x v="0"/>
    <x v="0"/>
    <x v="0"/>
    <x v="0"/>
    <x v="0"/>
    <x v="3"/>
    <x v="1"/>
    <x v="0"/>
    <x v="0"/>
    <x v="0"/>
    <x v="0"/>
    <x v="0"/>
    <x v="1"/>
    <x v="0"/>
    <x v="0"/>
    <x v="0"/>
    <x v="0"/>
    <x v="0"/>
    <x v="1"/>
    <x v="0"/>
    <x v="3"/>
    <x v="4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0"/>
    <n v="16"/>
    <n v="1.9273921261392744"/>
    <x v="4"/>
    <x v="3"/>
    <x v="0"/>
    <x v="4"/>
    <x v="4"/>
    <x v="4"/>
    <x v="4"/>
    <x v="9"/>
    <x v="0"/>
    <x v="12"/>
    <x v="0"/>
    <x v="0"/>
    <x v="10"/>
    <n v="4"/>
    <n v="1.3883054873259251"/>
    <x v="4"/>
    <x v="3"/>
    <x v="0"/>
    <x v="4"/>
    <x v="4"/>
    <x v="4"/>
    <x v="4"/>
    <x v="9"/>
    <x v="0"/>
    <x v="12"/>
    <x v="0"/>
    <x v="0"/>
  </r>
  <r>
    <s v="P1011212_IJ"/>
    <x v="1"/>
    <x v="7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1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7"/>
    <n v="0.95569989111253428"/>
    <x v="1"/>
    <x v="0"/>
    <x v="1"/>
    <x v="1"/>
    <x v="3"/>
    <x v="5"/>
    <x v="0"/>
    <x v="3"/>
    <x v="0"/>
    <x v="3"/>
    <x v="1"/>
    <x v="0"/>
    <x v="1"/>
    <n v="2.6457513110645907"/>
    <n v="0.97759904414465049"/>
    <x v="1"/>
    <x v="0"/>
    <x v="1"/>
    <x v="1"/>
    <x v="3"/>
    <x v="5"/>
    <x v="0"/>
    <x v="3"/>
    <x v="0"/>
    <x v="3"/>
    <x v="1"/>
    <x v="0"/>
  </r>
  <r>
    <s v="P1011216_IJ"/>
    <x v="1"/>
    <x v="7"/>
    <x v="0"/>
    <x v="0"/>
    <x v="0"/>
    <x v="0"/>
    <x v="0"/>
    <x v="0"/>
    <x v="0"/>
    <x v="0"/>
    <x v="0"/>
    <x v="0"/>
    <x v="0"/>
    <x v="1"/>
    <x v="1"/>
    <x v="0"/>
    <x v="1"/>
    <x v="0"/>
    <x v="1"/>
    <x v="0"/>
    <x v="0"/>
    <x v="0"/>
    <x v="0"/>
    <x v="0"/>
    <x v="0"/>
    <x v="0"/>
    <x v="3"/>
    <x v="0"/>
    <x v="0"/>
    <x v="2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0"/>
    <n v="8"/>
    <n v="2.0794415416798357"/>
    <x v="3"/>
    <x v="1"/>
    <x v="1"/>
    <x v="5"/>
    <x v="5"/>
    <x v="3"/>
    <x v="2"/>
    <x v="0"/>
    <x v="1"/>
    <x v="5"/>
    <x v="1"/>
    <x v="1"/>
    <x v="10"/>
    <n v="2.8284271247461903"/>
    <n v="1.442026886600883"/>
    <x v="3"/>
    <x v="1"/>
    <x v="1"/>
    <x v="5"/>
    <x v="5"/>
    <x v="3"/>
    <x v="2"/>
    <x v="0"/>
    <x v="1"/>
    <x v="5"/>
    <x v="1"/>
    <x v="1"/>
  </r>
  <r>
    <s v="P1011218_IJ"/>
    <x v="1"/>
    <x v="7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4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13"/>
    <n v="0.79026796807459032"/>
    <x v="2"/>
    <x v="2"/>
    <x v="1"/>
    <x v="2"/>
    <x v="2"/>
    <x v="6"/>
    <x v="3"/>
    <x v="10"/>
    <x v="0"/>
    <x v="11"/>
    <x v="1"/>
    <x v="0"/>
    <x v="1"/>
    <n v="3.6055512754639891"/>
    <n v="0.88897017276992496"/>
    <x v="2"/>
    <x v="2"/>
    <x v="1"/>
    <x v="2"/>
    <x v="2"/>
    <x v="6"/>
    <x v="3"/>
    <x v="10"/>
    <x v="0"/>
    <x v="11"/>
    <x v="1"/>
    <x v="0"/>
  </r>
  <r>
    <s v="P1011222_IJ"/>
    <x v="1"/>
    <x v="7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1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2"/>
    <x v="2"/>
    <x v="1"/>
    <x v="0"/>
    <x v="2"/>
    <x v="3"/>
    <x v="2"/>
    <x v="0"/>
    <x v="0"/>
    <x v="0"/>
    <x v="1"/>
    <x v="0"/>
    <x v="1"/>
    <n v="1.7320508075688772"/>
    <n v="1.0481470739682048"/>
    <x v="2"/>
    <x v="2"/>
    <x v="1"/>
    <x v="0"/>
    <x v="2"/>
    <x v="3"/>
    <x v="2"/>
    <x v="0"/>
    <x v="0"/>
    <x v="0"/>
    <x v="1"/>
    <x v="0"/>
  </r>
  <r>
    <s v="P1011224_IJ"/>
    <x v="1"/>
    <x v="7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2"/>
    <x v="0"/>
    <x v="1"/>
    <x v="2"/>
    <x v="2"/>
    <x v="2"/>
    <x v="0"/>
    <x v="2"/>
    <x v="0"/>
    <x v="2"/>
    <x v="1"/>
    <x v="0"/>
    <x v="0"/>
    <n v="1.4142135623730951"/>
    <n v="0.83255461115769769"/>
    <x v="2"/>
    <x v="0"/>
    <x v="1"/>
    <x v="2"/>
    <x v="2"/>
    <x v="2"/>
    <x v="0"/>
    <x v="2"/>
    <x v="0"/>
    <x v="2"/>
    <x v="1"/>
    <x v="0"/>
  </r>
  <r>
    <s v="P1011258_IJ"/>
    <x v="1"/>
    <x v="8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1"/>
    <x v="0"/>
    <x v="0"/>
    <x v="0"/>
    <x v="0"/>
    <x v="0"/>
    <x v="1"/>
    <x v="0"/>
    <x v="3"/>
    <x v="7"/>
    <x v="0"/>
    <x v="1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10"/>
    <n v="29"/>
    <n v="1.4313442802594321"/>
    <x v="1"/>
    <x v="5"/>
    <x v="1"/>
    <x v="5"/>
    <x v="5"/>
    <x v="4"/>
    <x v="7"/>
    <x v="11"/>
    <x v="1"/>
    <x v="14"/>
    <x v="1"/>
    <x v="0"/>
    <x v="10"/>
    <n v="5.3851648071345037"/>
    <n v="1.196388014090509"/>
    <x v="1"/>
    <x v="5"/>
    <x v="1"/>
    <x v="5"/>
    <x v="5"/>
    <x v="4"/>
    <x v="7"/>
    <x v="11"/>
    <x v="1"/>
    <x v="14"/>
    <x v="1"/>
    <x v="0"/>
  </r>
  <r>
    <s v="P1011260_IJ"/>
    <x v="1"/>
    <x v="8"/>
    <x v="0"/>
    <x v="0"/>
    <x v="0"/>
    <x v="0"/>
    <x v="0"/>
    <x v="0"/>
    <x v="0"/>
    <x v="0"/>
    <x v="0"/>
    <x v="0"/>
    <x v="0"/>
    <x v="5"/>
    <x v="1"/>
    <x v="0"/>
    <x v="0"/>
    <x v="0"/>
    <x v="0"/>
    <x v="0"/>
    <x v="0"/>
    <x v="0"/>
    <x v="0"/>
    <x v="0"/>
    <x v="0"/>
    <x v="0"/>
    <x v="3"/>
    <x v="0"/>
    <x v="4"/>
    <x v="8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8"/>
    <n v="33"/>
    <n v="1.5190465305721117"/>
    <x v="1"/>
    <x v="3"/>
    <x v="1"/>
    <x v="6"/>
    <x v="7"/>
    <x v="7"/>
    <x v="8"/>
    <x v="12"/>
    <x v="0"/>
    <x v="15"/>
    <x v="1"/>
    <x v="0"/>
    <x v="8"/>
    <n v="5.7445626465380286"/>
    <n v="1.2324960570209187"/>
    <x v="1"/>
    <x v="3"/>
    <x v="1"/>
    <x v="6"/>
    <x v="7"/>
    <x v="7"/>
    <x v="8"/>
    <x v="12"/>
    <x v="0"/>
    <x v="15"/>
    <x v="1"/>
    <x v="0"/>
  </r>
  <r>
    <s v="P1011265_IJ"/>
    <x v="1"/>
    <x v="8"/>
    <x v="0"/>
    <x v="0"/>
    <x v="0"/>
    <x v="0"/>
    <x v="0"/>
    <x v="0"/>
    <x v="0"/>
    <x v="0"/>
    <x v="0"/>
    <x v="0"/>
    <x v="0"/>
    <x v="6"/>
    <x v="1"/>
    <x v="0"/>
    <x v="0"/>
    <x v="0"/>
    <x v="0"/>
    <x v="0"/>
    <x v="1"/>
    <x v="0"/>
    <x v="1"/>
    <x v="0"/>
    <x v="0"/>
    <x v="0"/>
    <x v="2"/>
    <x v="0"/>
    <x v="5"/>
    <x v="9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30"/>
    <n v="1.3792922544726756"/>
    <x v="4"/>
    <x v="3"/>
    <x v="1"/>
    <x v="3"/>
    <x v="6"/>
    <x v="8"/>
    <x v="9"/>
    <x v="11"/>
    <x v="1"/>
    <x v="14"/>
    <x v="1"/>
    <x v="0"/>
    <x v="8"/>
    <n v="5.4772255750516612"/>
    <n v="1.1744327373130721"/>
    <x v="4"/>
    <x v="3"/>
    <x v="1"/>
    <x v="3"/>
    <x v="6"/>
    <x v="8"/>
    <x v="9"/>
    <x v="11"/>
    <x v="1"/>
    <x v="14"/>
    <x v="1"/>
    <x v="0"/>
  </r>
  <r>
    <s v="P1011267_IJ"/>
    <x v="1"/>
    <x v="8"/>
    <x v="0"/>
    <x v="0"/>
    <x v="0"/>
    <x v="0"/>
    <x v="0"/>
    <x v="0"/>
    <x v="0"/>
    <x v="0"/>
    <x v="0"/>
    <x v="0"/>
    <x v="0"/>
    <x v="3"/>
    <x v="0"/>
    <x v="0"/>
    <x v="0"/>
    <x v="1"/>
    <x v="1"/>
    <x v="0"/>
    <x v="1"/>
    <x v="0"/>
    <x v="0"/>
    <x v="0"/>
    <x v="0"/>
    <x v="0"/>
    <x v="1"/>
    <x v="0"/>
    <x v="3"/>
    <x v="5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0"/>
    <n v="20"/>
    <n v="1.7650572522256289"/>
    <x v="3"/>
    <x v="3"/>
    <x v="1"/>
    <x v="4"/>
    <x v="6"/>
    <x v="4"/>
    <x v="5"/>
    <x v="13"/>
    <x v="1"/>
    <x v="16"/>
    <x v="1"/>
    <x v="0"/>
    <x v="10"/>
    <n v="4.4721359549995796"/>
    <n v="1.3285545725432693"/>
    <x v="3"/>
    <x v="3"/>
    <x v="1"/>
    <x v="4"/>
    <x v="6"/>
    <x v="4"/>
    <x v="5"/>
    <x v="13"/>
    <x v="1"/>
    <x v="16"/>
    <x v="1"/>
    <x v="0"/>
  </r>
  <r>
    <s v="P1011268_IJ"/>
    <x v="1"/>
    <x v="8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1"/>
    <x v="0"/>
    <x v="0"/>
    <x v="3"/>
    <x v="0"/>
    <x v="6"/>
    <x v="1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8"/>
    <n v="37"/>
    <n v="1.4103533924257126"/>
    <x v="2"/>
    <x v="5"/>
    <x v="1"/>
    <x v="5"/>
    <x v="3"/>
    <x v="6"/>
    <x v="10"/>
    <x v="14"/>
    <x v="1"/>
    <x v="17"/>
    <x v="1"/>
    <x v="0"/>
    <x v="8"/>
    <n v="6.0827625302982193"/>
    <n v="1.1875830044362006"/>
    <x v="2"/>
    <x v="5"/>
    <x v="1"/>
    <x v="5"/>
    <x v="3"/>
    <x v="6"/>
    <x v="10"/>
    <x v="14"/>
    <x v="1"/>
    <x v="17"/>
    <x v="1"/>
    <x v="0"/>
  </r>
  <r>
    <s v="P1011270_IJ"/>
    <x v="1"/>
    <x v="8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1"/>
    <x v="1"/>
    <x v="1"/>
    <x v="0"/>
    <x v="0"/>
    <x v="0"/>
    <x v="2"/>
    <x v="0"/>
    <x v="5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4"/>
    <n v="14"/>
    <n v="1.2963611597910563"/>
    <x v="4"/>
    <x v="2"/>
    <x v="1"/>
    <x v="3"/>
    <x v="7"/>
    <x v="8"/>
    <x v="0"/>
    <x v="15"/>
    <x v="0"/>
    <x v="6"/>
    <x v="1"/>
    <x v="0"/>
    <x v="4"/>
    <n v="3.7416573867739413"/>
    <n v="1.13857856988047"/>
    <x v="4"/>
    <x v="2"/>
    <x v="1"/>
    <x v="3"/>
    <x v="7"/>
    <x v="8"/>
    <x v="0"/>
    <x v="15"/>
    <x v="0"/>
    <x v="6"/>
    <x v="1"/>
    <x v="0"/>
  </r>
  <r>
    <s v="P1011226_IJ"/>
    <x v="1"/>
    <x v="9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3"/>
    <n v="4"/>
    <n v="1.3862943611198906"/>
    <x v="0"/>
    <x v="0"/>
    <x v="0"/>
    <x v="0"/>
    <x v="0"/>
    <x v="2"/>
    <x v="2"/>
    <x v="4"/>
    <x v="0"/>
    <x v="2"/>
    <x v="0"/>
    <x v="1"/>
    <x v="3"/>
    <n v="2"/>
    <n v="1.1774100225154747"/>
    <x v="0"/>
    <x v="0"/>
    <x v="0"/>
    <x v="0"/>
    <x v="0"/>
    <x v="2"/>
    <x v="2"/>
    <x v="4"/>
    <x v="0"/>
    <x v="2"/>
    <x v="0"/>
    <x v="1"/>
  </r>
  <r>
    <s v="P1011227_IJ"/>
    <x v="1"/>
    <x v="9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6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3"/>
    <n v="14"/>
    <n v="1.1973401339967784"/>
    <x v="0"/>
    <x v="1"/>
    <x v="0"/>
    <x v="0"/>
    <x v="0"/>
    <x v="4"/>
    <x v="6"/>
    <x v="16"/>
    <x v="1"/>
    <x v="11"/>
    <x v="4"/>
    <x v="0"/>
    <x v="3"/>
    <n v="3.7416573867739413"/>
    <n v="1.0942303843326497"/>
    <x v="0"/>
    <x v="1"/>
    <x v="0"/>
    <x v="0"/>
    <x v="0"/>
    <x v="4"/>
    <x v="6"/>
    <x v="16"/>
    <x v="1"/>
    <x v="11"/>
    <x v="4"/>
    <x v="0"/>
  </r>
  <r>
    <s v="P1011229_IJ"/>
    <x v="1"/>
    <x v="9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5"/>
    <x v="0"/>
    <x v="1"/>
    <x v="11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6"/>
    <n v="26"/>
    <n v="1.2796145649082733"/>
    <x v="2"/>
    <x v="3"/>
    <x v="1"/>
    <x v="2"/>
    <x v="2"/>
    <x v="8"/>
    <x v="11"/>
    <x v="17"/>
    <x v="0"/>
    <x v="18"/>
    <x v="1"/>
    <x v="0"/>
    <x v="6"/>
    <n v="5.0990195135927845"/>
    <n v="1.131200497218894"/>
    <x v="2"/>
    <x v="3"/>
    <x v="1"/>
    <x v="2"/>
    <x v="2"/>
    <x v="8"/>
    <x v="11"/>
    <x v="17"/>
    <x v="0"/>
    <x v="18"/>
    <x v="1"/>
    <x v="0"/>
  </r>
  <r>
    <s v="P1011231_IJ"/>
    <x v="1"/>
    <x v="9"/>
    <x v="1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3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4"/>
    <n v="1.0397207708399179"/>
    <x v="2"/>
    <x v="2"/>
    <x v="1"/>
    <x v="1"/>
    <x v="1"/>
    <x v="3"/>
    <x v="2"/>
    <x v="0"/>
    <x v="0"/>
    <x v="0"/>
    <x v="1"/>
    <x v="0"/>
    <x v="1"/>
    <n v="2"/>
    <n v="1.0196669901688089"/>
    <x v="2"/>
    <x v="2"/>
    <x v="1"/>
    <x v="1"/>
    <x v="1"/>
    <x v="3"/>
    <x v="2"/>
    <x v="0"/>
    <x v="0"/>
    <x v="0"/>
    <x v="1"/>
    <x v="0"/>
  </r>
  <r>
    <s v="P1011233_IJ"/>
    <x v="1"/>
    <x v="9"/>
    <x v="1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1"/>
    <x v="2"/>
    <x v="0"/>
    <x v="0"/>
    <x v="3"/>
    <x v="0"/>
    <x v="0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n v="8"/>
    <n v="1.4941751382893083"/>
    <x v="2"/>
    <x v="3"/>
    <x v="1"/>
    <x v="2"/>
    <x v="2"/>
    <x v="3"/>
    <x v="3"/>
    <x v="3"/>
    <x v="0"/>
    <x v="6"/>
    <x v="1"/>
    <x v="0"/>
    <x v="4"/>
    <n v="2.8284271247461903"/>
    <n v="1.2223645684857314"/>
    <x v="2"/>
    <x v="3"/>
    <x v="1"/>
    <x v="2"/>
    <x v="2"/>
    <x v="3"/>
    <x v="3"/>
    <x v="3"/>
    <x v="0"/>
    <x v="6"/>
    <x v="1"/>
    <x v="0"/>
  </r>
  <r>
    <s v="P1011234_IJ"/>
    <x v="1"/>
    <x v="9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2"/>
    <x v="4"/>
    <x v="1"/>
    <x v="2"/>
    <x v="2"/>
    <x v="2"/>
    <x v="0"/>
    <x v="2"/>
    <x v="0"/>
    <x v="7"/>
    <x v="1"/>
    <x v="0"/>
    <x v="0"/>
    <n v="1.4142135623730951"/>
    <n v="0.83255461115769769"/>
    <x v="2"/>
    <x v="4"/>
    <x v="1"/>
    <x v="2"/>
    <x v="2"/>
    <x v="2"/>
    <x v="0"/>
    <x v="2"/>
    <x v="0"/>
    <x v="7"/>
    <x v="1"/>
    <x v="0"/>
  </r>
  <r>
    <s v="P1011238_IJ"/>
    <x v="1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6"/>
    <x v="0"/>
    <x v="1"/>
    <x v="12"/>
    <x v="0"/>
    <x v="0"/>
    <x v="1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25"/>
    <n v="1.3052475651876174"/>
    <x v="2"/>
    <x v="5"/>
    <x v="1"/>
    <x v="0"/>
    <x v="2"/>
    <x v="6"/>
    <x v="12"/>
    <x v="17"/>
    <x v="0"/>
    <x v="14"/>
    <x v="1"/>
    <x v="0"/>
    <x v="6"/>
    <n v="5"/>
    <n v="1.1424743170800897"/>
    <x v="2"/>
    <x v="5"/>
    <x v="1"/>
    <x v="0"/>
    <x v="2"/>
    <x v="6"/>
    <x v="12"/>
    <x v="17"/>
    <x v="0"/>
    <x v="14"/>
    <x v="1"/>
    <x v="0"/>
  </r>
  <r>
    <s v="P1011240_IJ"/>
    <x v="1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3"/>
    <x v="13"/>
    <x v="0"/>
    <x v="0"/>
    <x v="1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25"/>
    <n v="1.387477062609779"/>
    <x v="0"/>
    <x v="6"/>
    <x v="1"/>
    <x v="0"/>
    <x v="0"/>
    <x v="7"/>
    <x v="13"/>
    <x v="17"/>
    <x v="0"/>
    <x v="15"/>
    <x v="1"/>
    <x v="0"/>
    <x v="6"/>
    <n v="5"/>
    <n v="1.1779121625188267"/>
    <x v="0"/>
    <x v="6"/>
    <x v="1"/>
    <x v="0"/>
    <x v="0"/>
    <x v="7"/>
    <x v="13"/>
    <x v="17"/>
    <x v="0"/>
    <x v="15"/>
    <x v="1"/>
    <x v="0"/>
  </r>
  <r>
    <s v="P1011241_IJ"/>
    <x v="1"/>
    <x v="1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10"/>
    <n v="0.63903185965017695"/>
    <x v="0"/>
    <x v="1"/>
    <x v="1"/>
    <x v="0"/>
    <x v="0"/>
    <x v="6"/>
    <x v="0"/>
    <x v="9"/>
    <x v="0"/>
    <x v="12"/>
    <x v="1"/>
    <x v="0"/>
    <x v="1"/>
    <n v="3.1622776601683795"/>
    <n v="0.79939468327615049"/>
    <x v="0"/>
    <x v="1"/>
    <x v="1"/>
    <x v="0"/>
    <x v="0"/>
    <x v="6"/>
    <x v="0"/>
    <x v="9"/>
    <x v="0"/>
    <x v="12"/>
    <x v="1"/>
    <x v="0"/>
  </r>
  <r>
    <s v="P1011242_IJ"/>
    <x v="1"/>
    <x v="1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5"/>
    <x v="0"/>
    <x v="3"/>
    <x v="4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6"/>
    <n v="19"/>
    <n v="1.6595892270053696"/>
    <x v="2"/>
    <x v="3"/>
    <x v="1"/>
    <x v="3"/>
    <x v="4"/>
    <x v="9"/>
    <x v="4"/>
    <x v="16"/>
    <x v="0"/>
    <x v="13"/>
    <x v="1"/>
    <x v="0"/>
    <x v="6"/>
    <n v="4.358898943540674"/>
    <n v="1.288250451971731"/>
    <x v="2"/>
    <x v="3"/>
    <x v="1"/>
    <x v="3"/>
    <x v="4"/>
    <x v="9"/>
    <x v="4"/>
    <x v="16"/>
    <x v="0"/>
    <x v="13"/>
    <x v="1"/>
    <x v="0"/>
  </r>
  <r>
    <s v="P1011245_IJ"/>
    <x v="1"/>
    <x v="1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1"/>
    <x v="0"/>
    <x v="0"/>
    <x v="0"/>
    <x v="2"/>
    <x v="0"/>
    <x v="2"/>
    <x v="14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17"/>
    <n v="1.28487876782417"/>
    <x v="1"/>
    <x v="3"/>
    <x v="1"/>
    <x v="2"/>
    <x v="1"/>
    <x v="1"/>
    <x v="14"/>
    <x v="13"/>
    <x v="0"/>
    <x v="19"/>
    <x v="1"/>
    <x v="0"/>
    <x v="6"/>
    <n v="4.1231056256176606"/>
    <n v="1.1335249303937562"/>
    <x v="1"/>
    <x v="3"/>
    <x v="1"/>
    <x v="2"/>
    <x v="1"/>
    <x v="1"/>
    <x v="14"/>
    <x v="13"/>
    <x v="0"/>
    <x v="19"/>
    <x v="1"/>
    <x v="0"/>
  </r>
  <r>
    <s v="P1011246_IJ"/>
    <x v="1"/>
    <x v="10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2"/>
    <x v="0"/>
    <x v="2"/>
    <x v="12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6"/>
    <n v="19"/>
    <n v="1.2015591547737916"/>
    <x v="1"/>
    <x v="1"/>
    <x v="1"/>
    <x v="1"/>
    <x v="1"/>
    <x v="1"/>
    <x v="12"/>
    <x v="18"/>
    <x v="1"/>
    <x v="20"/>
    <x v="1"/>
    <x v="1"/>
    <x v="6"/>
    <n v="4.358898943540674"/>
    <n v="1.0961565375318398"/>
    <x v="1"/>
    <x v="1"/>
    <x v="1"/>
    <x v="1"/>
    <x v="1"/>
    <x v="1"/>
    <x v="12"/>
    <x v="18"/>
    <x v="1"/>
    <x v="20"/>
    <x v="1"/>
    <x v="1"/>
  </r>
  <r>
    <s v="P1011248_IJ"/>
    <x v="1"/>
    <x v="11"/>
    <x v="1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1"/>
    <x v="5"/>
    <x v="0"/>
    <x v="5"/>
    <x v="11"/>
    <x v="0"/>
    <x v="4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33"/>
    <n v="1.5540642093090198"/>
    <x v="2"/>
    <x v="6"/>
    <x v="1"/>
    <x v="1"/>
    <x v="1"/>
    <x v="10"/>
    <x v="11"/>
    <x v="19"/>
    <x v="4"/>
    <x v="21"/>
    <x v="1"/>
    <x v="0"/>
    <x v="8"/>
    <n v="5.7445626465380286"/>
    <n v="1.246621116983432"/>
    <x v="2"/>
    <x v="6"/>
    <x v="1"/>
    <x v="1"/>
    <x v="1"/>
    <x v="10"/>
    <x v="11"/>
    <x v="19"/>
    <x v="4"/>
    <x v="21"/>
    <x v="1"/>
    <x v="0"/>
  </r>
  <r>
    <s v="P1011250_IJ"/>
    <x v="1"/>
    <x v="11"/>
    <x v="1"/>
    <x v="0"/>
    <x v="0"/>
    <x v="0"/>
    <x v="0"/>
    <x v="0"/>
    <x v="0"/>
    <x v="1"/>
    <x v="0"/>
    <x v="0"/>
    <x v="0"/>
    <x v="4"/>
    <x v="0"/>
    <x v="0"/>
    <x v="0"/>
    <x v="0"/>
    <x v="0"/>
    <x v="0"/>
    <x v="0"/>
    <x v="1"/>
    <x v="1"/>
    <x v="0"/>
    <x v="0"/>
    <x v="0"/>
    <x v="3"/>
    <x v="0"/>
    <x v="5"/>
    <x v="15"/>
    <x v="0"/>
    <x v="1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1"/>
    <n v="20"/>
    <n v="1.9865302366210549"/>
    <x v="1"/>
    <x v="6"/>
    <x v="1"/>
    <x v="1"/>
    <x v="3"/>
    <x v="9"/>
    <x v="15"/>
    <x v="10"/>
    <x v="1"/>
    <x v="19"/>
    <x v="1"/>
    <x v="1"/>
    <x v="11"/>
    <n v="4.4721359549995796"/>
    <n v="1.4094432363955118"/>
    <x v="1"/>
    <x v="6"/>
    <x v="1"/>
    <x v="1"/>
    <x v="3"/>
    <x v="9"/>
    <x v="15"/>
    <x v="10"/>
    <x v="1"/>
    <x v="19"/>
    <x v="1"/>
    <x v="1"/>
  </r>
  <r>
    <s v="P1011251_IJ"/>
    <x v="1"/>
    <x v="1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13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13"/>
    <n v="0.53596104970906944"/>
    <x v="0"/>
    <x v="1"/>
    <x v="1"/>
    <x v="0"/>
    <x v="0"/>
    <x v="3"/>
    <x v="13"/>
    <x v="10"/>
    <x v="1"/>
    <x v="13"/>
    <x v="1"/>
    <x v="0"/>
    <x v="1"/>
    <n v="3.6055512754639891"/>
    <n v="0.73209360720407157"/>
    <x v="0"/>
    <x v="1"/>
    <x v="1"/>
    <x v="0"/>
    <x v="0"/>
    <x v="3"/>
    <x v="13"/>
    <x v="10"/>
    <x v="1"/>
    <x v="13"/>
    <x v="1"/>
    <x v="0"/>
  </r>
  <r>
    <s v="P1011253_IJ"/>
    <x v="1"/>
    <x v="11"/>
    <x v="1"/>
    <x v="0"/>
    <x v="0"/>
    <x v="0"/>
    <x v="0"/>
    <x v="0"/>
    <x v="0"/>
    <x v="0"/>
    <x v="0"/>
    <x v="0"/>
    <x v="0"/>
    <x v="5"/>
    <x v="0"/>
    <x v="0"/>
    <x v="1"/>
    <x v="0"/>
    <x v="0"/>
    <x v="0"/>
    <x v="0"/>
    <x v="0"/>
    <x v="0"/>
    <x v="0"/>
    <x v="0"/>
    <x v="0"/>
    <x v="3"/>
    <x v="0"/>
    <x v="1"/>
    <x v="15"/>
    <x v="0"/>
    <x v="1"/>
    <x v="0"/>
    <x v="0"/>
    <x v="0"/>
    <x v="0"/>
    <x v="0"/>
    <x v="1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17"/>
    <n v="1.6459168300174678"/>
    <x v="1"/>
    <x v="5"/>
    <x v="1"/>
    <x v="6"/>
    <x v="7"/>
    <x v="0"/>
    <x v="15"/>
    <x v="6"/>
    <x v="1"/>
    <x v="12"/>
    <x v="1"/>
    <x v="0"/>
    <x v="8"/>
    <n v="4.1231056256176606"/>
    <n v="1.2829329016037696"/>
    <x v="1"/>
    <x v="5"/>
    <x v="1"/>
    <x v="6"/>
    <x v="7"/>
    <x v="0"/>
    <x v="15"/>
    <x v="6"/>
    <x v="1"/>
    <x v="12"/>
    <x v="1"/>
    <x v="0"/>
  </r>
  <r>
    <s v="P1011254_IJ"/>
    <x v="1"/>
    <x v="11"/>
    <x v="1"/>
    <x v="0"/>
    <x v="0"/>
    <x v="0"/>
    <x v="0"/>
    <x v="0"/>
    <x v="0"/>
    <x v="0"/>
    <x v="0"/>
    <x v="0"/>
    <x v="0"/>
    <x v="4"/>
    <x v="0"/>
    <x v="0"/>
    <x v="0"/>
    <x v="0"/>
    <x v="0"/>
    <x v="0"/>
    <x v="1"/>
    <x v="0"/>
    <x v="0"/>
    <x v="0"/>
    <x v="0"/>
    <x v="0"/>
    <x v="4"/>
    <x v="0"/>
    <x v="3"/>
    <x v="16"/>
    <x v="0"/>
    <x v="3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26"/>
    <n v="1.4638325710040647"/>
    <x v="1"/>
    <x v="5"/>
    <x v="1"/>
    <x v="1"/>
    <x v="3"/>
    <x v="8"/>
    <x v="16"/>
    <x v="20"/>
    <x v="3"/>
    <x v="18"/>
    <x v="1"/>
    <x v="0"/>
    <x v="8"/>
    <n v="5.0990195135927845"/>
    <n v="1.2098894871037043"/>
    <x v="1"/>
    <x v="5"/>
    <x v="1"/>
    <x v="1"/>
    <x v="3"/>
    <x v="8"/>
    <x v="16"/>
    <x v="20"/>
    <x v="3"/>
    <x v="18"/>
    <x v="1"/>
    <x v="0"/>
  </r>
  <r>
    <s v="P1011256_IJ"/>
    <x v="1"/>
    <x v="11"/>
    <x v="1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5"/>
    <x v="0"/>
    <x v="7"/>
    <x v="16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26"/>
    <n v="1.1647320726340007"/>
    <x v="2"/>
    <x v="1"/>
    <x v="1"/>
    <x v="1"/>
    <x v="1"/>
    <x v="7"/>
    <x v="16"/>
    <x v="21"/>
    <x v="0"/>
    <x v="14"/>
    <x v="1"/>
    <x v="0"/>
    <x v="3"/>
    <n v="5.0990195135927845"/>
    <n v="1.0792275351537324"/>
    <x v="2"/>
    <x v="1"/>
    <x v="1"/>
    <x v="1"/>
    <x v="1"/>
    <x v="7"/>
    <x v="16"/>
    <x v="21"/>
    <x v="0"/>
    <x v="14"/>
    <x v="1"/>
    <x v="0"/>
  </r>
  <r>
    <s v="P1010094_IJ"/>
    <x v="1"/>
    <x v="6"/>
    <x v="0"/>
    <x v="1"/>
    <x v="0"/>
    <x v="0"/>
    <x v="0"/>
    <x v="0"/>
    <x v="0"/>
    <x v="0"/>
    <x v="0"/>
    <x v="1"/>
    <x v="0"/>
    <x v="1"/>
    <x v="0"/>
    <x v="0"/>
    <x v="0"/>
    <x v="0"/>
    <x v="0"/>
    <x v="2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n v="5"/>
    <n v="1.6094379124341005"/>
    <x v="4"/>
    <x v="0"/>
    <x v="1"/>
    <x v="2"/>
    <x v="3"/>
    <x v="2"/>
    <x v="0"/>
    <x v="2"/>
    <x v="0"/>
    <x v="2"/>
    <x v="1"/>
    <x v="0"/>
    <x v="4"/>
    <n v="2.2360679774997898"/>
    <n v="1.2686362411795198"/>
    <x v="4"/>
    <x v="0"/>
    <x v="1"/>
    <x v="2"/>
    <x v="3"/>
    <x v="2"/>
    <x v="0"/>
    <x v="2"/>
    <x v="0"/>
    <x v="2"/>
    <x v="1"/>
    <x v="0"/>
  </r>
  <r>
    <s v="P1010097_IJ"/>
    <x v="1"/>
    <x v="6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2"/>
    <x v="0"/>
    <x v="1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6"/>
    <n v="1.2424533248940002"/>
    <x v="1"/>
    <x v="2"/>
    <x v="1"/>
    <x v="2"/>
    <x v="1"/>
    <x v="3"/>
    <x v="3"/>
    <x v="3"/>
    <x v="0"/>
    <x v="3"/>
    <x v="1"/>
    <x v="0"/>
    <x v="3"/>
    <n v="2.4494897427831779"/>
    <n v="1.1146539036373577"/>
    <x v="1"/>
    <x v="2"/>
    <x v="1"/>
    <x v="2"/>
    <x v="1"/>
    <x v="3"/>
    <x v="3"/>
    <x v="3"/>
    <x v="0"/>
    <x v="3"/>
    <x v="1"/>
    <x v="0"/>
  </r>
  <r>
    <s v="P1010098_IJ"/>
    <x v="1"/>
    <x v="6"/>
    <x v="0"/>
    <x v="1"/>
    <x v="0"/>
    <x v="0"/>
    <x v="0"/>
    <x v="0"/>
    <x v="0"/>
    <x v="0"/>
    <x v="0"/>
    <x v="0"/>
    <x v="0"/>
    <x v="3"/>
    <x v="0"/>
    <x v="0"/>
    <x v="1"/>
    <x v="0"/>
    <x v="0"/>
    <x v="0"/>
    <x v="4"/>
    <x v="0"/>
    <x v="0"/>
    <x v="0"/>
    <x v="0"/>
    <x v="0"/>
    <x v="3"/>
    <x v="0"/>
    <x v="0"/>
    <x v="3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13"/>
    <n v="1.6313454208085969"/>
    <x v="4"/>
    <x v="1"/>
    <x v="1"/>
    <x v="4"/>
    <x v="8"/>
    <x v="3"/>
    <x v="3"/>
    <x v="3"/>
    <x v="0"/>
    <x v="4"/>
    <x v="1"/>
    <x v="0"/>
    <x v="6"/>
    <n v="3.6055512754639891"/>
    <n v="1.2772413322503295"/>
    <x v="4"/>
    <x v="1"/>
    <x v="1"/>
    <x v="4"/>
    <x v="8"/>
    <x v="3"/>
    <x v="3"/>
    <x v="3"/>
    <x v="0"/>
    <x v="4"/>
    <x v="1"/>
    <x v="0"/>
  </r>
  <r>
    <s v="P1010099_IJ"/>
    <x v="1"/>
    <x v="6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2"/>
    <x v="0"/>
    <x v="0"/>
    <x v="3"/>
    <x v="0"/>
    <x v="0"/>
    <x v="1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8"/>
    <n v="9"/>
    <n v="1.8310204811135165"/>
    <x v="2"/>
    <x v="3"/>
    <x v="1"/>
    <x v="2"/>
    <x v="2"/>
    <x v="2"/>
    <x v="3"/>
    <x v="1"/>
    <x v="0"/>
    <x v="1"/>
    <x v="1"/>
    <x v="1"/>
    <x v="8"/>
    <n v="3"/>
    <n v="1.3531520539516306"/>
    <x v="2"/>
    <x v="3"/>
    <x v="1"/>
    <x v="2"/>
    <x v="2"/>
    <x v="2"/>
    <x v="3"/>
    <x v="1"/>
    <x v="0"/>
    <x v="1"/>
    <x v="1"/>
    <x v="1"/>
  </r>
  <r>
    <s v="P1010101_IJ"/>
    <x v="1"/>
    <x v="6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1"/>
    <x v="0"/>
    <x v="0"/>
    <x v="0"/>
    <x v="6"/>
    <n v="9"/>
    <n v="1.6769877743224173"/>
    <x v="1"/>
    <x v="2"/>
    <x v="1"/>
    <x v="2"/>
    <x v="1"/>
    <x v="0"/>
    <x v="0"/>
    <x v="0"/>
    <x v="0"/>
    <x v="5"/>
    <x v="1"/>
    <x v="1"/>
    <x v="6"/>
    <n v="3"/>
    <n v="1.2949856270717515"/>
    <x v="1"/>
    <x v="2"/>
    <x v="1"/>
    <x v="2"/>
    <x v="1"/>
    <x v="0"/>
    <x v="0"/>
    <x v="0"/>
    <x v="0"/>
    <x v="5"/>
    <x v="1"/>
    <x v="1"/>
  </r>
  <r>
    <s v="P1010102_IJ"/>
    <x v="1"/>
    <x v="6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n v="2"/>
    <n v="0.69314718055994529"/>
    <x v="0"/>
    <x v="0"/>
    <x v="1"/>
    <x v="0"/>
    <x v="0"/>
    <x v="3"/>
    <x v="0"/>
    <x v="4"/>
    <x v="0"/>
    <x v="2"/>
    <x v="1"/>
    <x v="0"/>
    <x v="0"/>
    <n v="1.4142135623730951"/>
    <n v="0.83255461115769769"/>
    <x v="0"/>
    <x v="0"/>
    <x v="1"/>
    <x v="0"/>
    <x v="0"/>
    <x v="3"/>
    <x v="0"/>
    <x v="4"/>
    <x v="0"/>
    <x v="2"/>
    <x v="1"/>
    <x v="0"/>
  </r>
  <r>
    <s v="P1010104_IJ"/>
    <x v="1"/>
    <x v="7"/>
    <x v="0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4"/>
    <x v="0"/>
    <x v="1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4"/>
    <n v="10"/>
    <n v="1.4184836619456564"/>
    <x v="2"/>
    <x v="1"/>
    <x v="0"/>
    <x v="5"/>
    <x v="3"/>
    <x v="4"/>
    <x v="2"/>
    <x v="15"/>
    <x v="0"/>
    <x v="1"/>
    <x v="0"/>
    <x v="0"/>
    <x v="4"/>
    <n v="3.1622776601683795"/>
    <n v="1.1910011175249402"/>
    <x v="2"/>
    <x v="1"/>
    <x v="0"/>
    <x v="5"/>
    <x v="3"/>
    <x v="4"/>
    <x v="2"/>
    <x v="15"/>
    <x v="0"/>
    <x v="1"/>
    <x v="0"/>
    <x v="0"/>
  </r>
  <r>
    <s v="P1010106_IJ"/>
    <x v="1"/>
    <x v="7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5"/>
    <x v="0"/>
    <x v="8"/>
    <x v="2"/>
    <x v="0"/>
    <x v="4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15"/>
    <n v="1.5821699429252505"/>
    <x v="2"/>
    <x v="5"/>
    <x v="1"/>
    <x v="2"/>
    <x v="2"/>
    <x v="6"/>
    <x v="2"/>
    <x v="8"/>
    <x v="4"/>
    <x v="16"/>
    <x v="1"/>
    <x v="0"/>
    <x v="6"/>
    <n v="3.872983346207417"/>
    <n v="1.2578433697902336"/>
    <x v="2"/>
    <x v="5"/>
    <x v="1"/>
    <x v="2"/>
    <x v="2"/>
    <x v="6"/>
    <x v="2"/>
    <x v="8"/>
    <x v="4"/>
    <x v="16"/>
    <x v="1"/>
    <x v="0"/>
  </r>
  <r>
    <s v="P1010108_IJ"/>
    <x v="1"/>
    <x v="7"/>
    <x v="0"/>
    <x v="1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17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6"/>
    <n v="17"/>
    <n v="1.4253366217394134"/>
    <x v="1"/>
    <x v="1"/>
    <x v="1"/>
    <x v="1"/>
    <x v="1"/>
    <x v="5"/>
    <x v="17"/>
    <x v="13"/>
    <x v="0"/>
    <x v="13"/>
    <x v="1"/>
    <x v="0"/>
    <x v="6"/>
    <n v="4.1231056256176606"/>
    <n v="1.1938746256368018"/>
    <x v="1"/>
    <x v="1"/>
    <x v="1"/>
    <x v="1"/>
    <x v="1"/>
    <x v="5"/>
    <x v="17"/>
    <x v="13"/>
    <x v="0"/>
    <x v="13"/>
    <x v="1"/>
    <x v="0"/>
  </r>
  <r>
    <s v="P1010110_IJ"/>
    <x v="1"/>
    <x v="7"/>
    <x v="0"/>
    <x v="1"/>
    <x v="0"/>
    <x v="0"/>
    <x v="0"/>
    <x v="0"/>
    <x v="0"/>
    <x v="0"/>
    <x v="0"/>
    <x v="0"/>
    <x v="0"/>
    <x v="3"/>
    <x v="0"/>
    <x v="0"/>
    <x v="0"/>
    <x v="0"/>
    <x v="1"/>
    <x v="0"/>
    <x v="1"/>
    <x v="0"/>
    <x v="1"/>
    <x v="0"/>
    <x v="0"/>
    <x v="0"/>
    <x v="4"/>
    <x v="0"/>
    <x v="9"/>
    <x v="15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0"/>
    <n v="27"/>
    <n v="1.6934275373585339"/>
    <x v="4"/>
    <x v="3"/>
    <x v="1"/>
    <x v="5"/>
    <x v="4"/>
    <x v="11"/>
    <x v="15"/>
    <x v="20"/>
    <x v="0"/>
    <x v="22"/>
    <x v="1"/>
    <x v="0"/>
    <x v="10"/>
    <n v="5.196152422706632"/>
    <n v="1.3013176158642186"/>
    <x v="4"/>
    <x v="3"/>
    <x v="1"/>
    <x v="5"/>
    <x v="4"/>
    <x v="11"/>
    <x v="15"/>
    <x v="20"/>
    <x v="0"/>
    <x v="22"/>
    <x v="1"/>
    <x v="0"/>
  </r>
  <r>
    <s v="P1010111_IJ"/>
    <x v="1"/>
    <x v="7"/>
    <x v="0"/>
    <x v="1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2"/>
    <x v="0"/>
    <x v="8"/>
    <x v="2"/>
    <x v="0"/>
    <x v="4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10"/>
    <n v="17"/>
    <n v="1.8397895868412522"/>
    <x v="2"/>
    <x v="5"/>
    <x v="1"/>
    <x v="3"/>
    <x v="4"/>
    <x v="5"/>
    <x v="2"/>
    <x v="5"/>
    <x v="4"/>
    <x v="12"/>
    <x v="1"/>
    <x v="1"/>
    <x v="10"/>
    <n v="4.1231056256176606"/>
    <n v="1.3563884350882871"/>
    <x v="2"/>
    <x v="5"/>
    <x v="1"/>
    <x v="3"/>
    <x v="4"/>
    <x v="5"/>
    <x v="2"/>
    <x v="5"/>
    <x v="4"/>
    <x v="12"/>
    <x v="1"/>
    <x v="1"/>
  </r>
  <r>
    <s v="P1010112_IJ"/>
    <x v="1"/>
    <x v="7"/>
    <x v="0"/>
    <x v="1"/>
    <x v="0"/>
    <x v="0"/>
    <x v="0"/>
    <x v="0"/>
    <x v="0"/>
    <x v="0"/>
    <x v="0"/>
    <x v="0"/>
    <x v="0"/>
    <x v="3"/>
    <x v="0"/>
    <x v="0"/>
    <x v="1"/>
    <x v="0"/>
    <x v="0"/>
    <x v="0"/>
    <x v="0"/>
    <x v="0"/>
    <x v="0"/>
    <x v="0"/>
    <x v="0"/>
    <x v="0"/>
    <x v="2"/>
    <x v="0"/>
    <x v="8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8"/>
    <n v="0.97431475286934943"/>
    <x v="1"/>
    <x v="0"/>
    <x v="1"/>
    <x v="4"/>
    <x v="5"/>
    <x v="5"/>
    <x v="0"/>
    <x v="3"/>
    <x v="0"/>
    <x v="3"/>
    <x v="1"/>
    <x v="0"/>
    <x v="1"/>
    <n v="2.8284271247461903"/>
    <n v="0.98707383354506439"/>
    <x v="1"/>
    <x v="0"/>
    <x v="1"/>
    <x v="4"/>
    <x v="5"/>
    <x v="5"/>
    <x v="0"/>
    <x v="3"/>
    <x v="0"/>
    <x v="3"/>
    <x v="1"/>
    <x v="0"/>
  </r>
  <r>
    <s v="P1010179_IJ"/>
    <x v="1"/>
    <x v="8"/>
    <x v="0"/>
    <x v="1"/>
    <x v="0"/>
    <x v="0"/>
    <x v="0"/>
    <x v="0"/>
    <x v="0"/>
    <x v="0"/>
    <x v="0"/>
    <x v="0"/>
    <x v="0"/>
    <x v="7"/>
    <x v="0"/>
    <x v="0"/>
    <x v="0"/>
    <x v="0"/>
    <x v="0"/>
    <x v="0"/>
    <x v="0"/>
    <x v="0"/>
    <x v="0"/>
    <x v="0"/>
    <x v="0"/>
    <x v="0"/>
    <x v="3"/>
    <x v="0"/>
    <x v="6"/>
    <x v="8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29"/>
    <n v="1.1741494498545479"/>
    <x v="2"/>
    <x v="1"/>
    <x v="1"/>
    <x v="6"/>
    <x v="7"/>
    <x v="6"/>
    <x v="8"/>
    <x v="11"/>
    <x v="0"/>
    <x v="23"/>
    <x v="1"/>
    <x v="0"/>
    <x v="3"/>
    <n v="5.3851648071345037"/>
    <n v="1.0835817688825093"/>
    <x v="2"/>
    <x v="1"/>
    <x v="1"/>
    <x v="6"/>
    <x v="7"/>
    <x v="6"/>
    <x v="8"/>
    <x v="11"/>
    <x v="0"/>
    <x v="23"/>
    <x v="1"/>
    <x v="0"/>
  </r>
  <r>
    <s v="P1010181_IJ"/>
    <x v="1"/>
    <x v="8"/>
    <x v="0"/>
    <x v="1"/>
    <x v="0"/>
    <x v="0"/>
    <x v="0"/>
    <x v="0"/>
    <x v="0"/>
    <x v="0"/>
    <x v="0"/>
    <x v="0"/>
    <x v="0"/>
    <x v="2"/>
    <x v="0"/>
    <x v="0"/>
    <x v="0"/>
    <x v="0"/>
    <x v="0"/>
    <x v="2"/>
    <x v="0"/>
    <x v="0"/>
    <x v="1"/>
    <x v="3"/>
    <x v="0"/>
    <x v="0"/>
    <x v="2"/>
    <x v="0"/>
    <x v="1"/>
    <x v="0"/>
    <x v="0"/>
    <x v="5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8"/>
    <n v="23"/>
    <n v="1.495499675539719"/>
    <x v="1"/>
    <x v="3"/>
    <x v="1"/>
    <x v="3"/>
    <x v="6"/>
    <x v="3"/>
    <x v="0"/>
    <x v="4"/>
    <x v="5"/>
    <x v="20"/>
    <x v="1"/>
    <x v="1"/>
    <x v="8"/>
    <n v="4.7958315233127191"/>
    <n v="1.2229062415163801"/>
    <x v="1"/>
    <x v="3"/>
    <x v="1"/>
    <x v="3"/>
    <x v="6"/>
    <x v="3"/>
    <x v="0"/>
    <x v="4"/>
    <x v="5"/>
    <x v="20"/>
    <x v="1"/>
    <x v="1"/>
  </r>
  <r>
    <s v="P1010182_IJ"/>
    <x v="1"/>
    <x v="8"/>
    <x v="0"/>
    <x v="1"/>
    <x v="0"/>
    <x v="0"/>
    <x v="0"/>
    <x v="0"/>
    <x v="0"/>
    <x v="0"/>
    <x v="0"/>
    <x v="0"/>
    <x v="0"/>
    <x v="8"/>
    <x v="0"/>
    <x v="0"/>
    <x v="0"/>
    <x v="0"/>
    <x v="0"/>
    <x v="2"/>
    <x v="0"/>
    <x v="0"/>
    <x v="2"/>
    <x v="4"/>
    <x v="0"/>
    <x v="1"/>
    <x v="3"/>
    <x v="0"/>
    <x v="8"/>
    <x v="15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7"/>
    <n v="25"/>
    <n v="1.8287285223163636"/>
    <x v="1"/>
    <x v="7"/>
    <x v="1"/>
    <x v="7"/>
    <x v="9"/>
    <x v="4"/>
    <x v="15"/>
    <x v="8"/>
    <x v="1"/>
    <x v="19"/>
    <x v="1"/>
    <x v="0"/>
    <x v="7"/>
    <n v="5"/>
    <n v="1.3523048925136534"/>
    <x v="1"/>
    <x v="7"/>
    <x v="1"/>
    <x v="7"/>
    <x v="9"/>
    <x v="4"/>
    <x v="15"/>
    <x v="8"/>
    <x v="1"/>
    <x v="19"/>
    <x v="1"/>
    <x v="0"/>
  </r>
  <r>
    <s v="P1010184_IJ"/>
    <x v="1"/>
    <x v="8"/>
    <x v="0"/>
    <x v="1"/>
    <x v="0"/>
    <x v="0"/>
    <x v="0"/>
    <x v="0"/>
    <x v="0"/>
    <x v="0"/>
    <x v="0"/>
    <x v="0"/>
    <x v="0"/>
    <x v="8"/>
    <x v="1"/>
    <x v="0"/>
    <x v="0"/>
    <x v="0"/>
    <x v="0"/>
    <x v="0"/>
    <x v="2"/>
    <x v="0"/>
    <x v="1"/>
    <x v="0"/>
    <x v="0"/>
    <x v="0"/>
    <x v="2"/>
    <x v="0"/>
    <x v="10"/>
    <x v="3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8"/>
    <n v="24"/>
    <n v="1.5914486859088879"/>
    <x v="4"/>
    <x v="3"/>
    <x v="1"/>
    <x v="8"/>
    <x v="10"/>
    <x v="9"/>
    <x v="3"/>
    <x v="8"/>
    <x v="0"/>
    <x v="11"/>
    <x v="1"/>
    <x v="0"/>
    <x v="8"/>
    <n v="4.8989794855663558"/>
    <n v="1.2615263318333423"/>
    <x v="4"/>
    <x v="3"/>
    <x v="1"/>
    <x v="8"/>
    <x v="10"/>
    <x v="9"/>
    <x v="3"/>
    <x v="8"/>
    <x v="0"/>
    <x v="11"/>
    <x v="1"/>
    <x v="0"/>
  </r>
  <r>
    <s v="P1010185_IJ"/>
    <x v="1"/>
    <x v="8"/>
    <x v="0"/>
    <x v="1"/>
    <x v="0"/>
    <x v="0"/>
    <x v="0"/>
    <x v="0"/>
    <x v="0"/>
    <x v="0"/>
    <x v="0"/>
    <x v="0"/>
    <x v="0"/>
    <x v="9"/>
    <x v="0"/>
    <x v="0"/>
    <x v="0"/>
    <x v="0"/>
    <x v="0"/>
    <x v="2"/>
    <x v="3"/>
    <x v="0"/>
    <x v="1"/>
    <x v="0"/>
    <x v="0"/>
    <x v="0"/>
    <x v="0"/>
    <x v="0"/>
    <x v="10"/>
    <x v="18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1"/>
    <x v="0"/>
    <x v="0"/>
    <x v="0"/>
    <x v="11"/>
    <n v="32"/>
    <n v="1.9482232263204364"/>
    <x v="4"/>
    <x v="3"/>
    <x v="1"/>
    <x v="9"/>
    <x v="10"/>
    <x v="6"/>
    <x v="18"/>
    <x v="22"/>
    <x v="0"/>
    <x v="24"/>
    <x v="1"/>
    <x v="1"/>
    <x v="11"/>
    <n v="5.6568542494923806"/>
    <n v="1.3957876723629696"/>
    <x v="4"/>
    <x v="3"/>
    <x v="1"/>
    <x v="9"/>
    <x v="10"/>
    <x v="6"/>
    <x v="18"/>
    <x v="22"/>
    <x v="0"/>
    <x v="24"/>
    <x v="1"/>
    <x v="1"/>
  </r>
  <r>
    <s v="P1010186_IJ"/>
    <x v="1"/>
    <x v="8"/>
    <x v="0"/>
    <x v="1"/>
    <x v="0"/>
    <x v="0"/>
    <x v="0"/>
    <x v="0"/>
    <x v="0"/>
    <x v="0"/>
    <x v="0"/>
    <x v="0"/>
    <x v="0"/>
    <x v="10"/>
    <x v="0"/>
    <x v="0"/>
    <x v="0"/>
    <x v="0"/>
    <x v="0"/>
    <x v="0"/>
    <x v="1"/>
    <x v="1"/>
    <x v="0"/>
    <x v="0"/>
    <x v="0"/>
    <x v="0"/>
    <x v="1"/>
    <x v="0"/>
    <x v="5"/>
    <x v="15"/>
    <x v="0"/>
    <x v="1"/>
    <x v="2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11"/>
    <n v="31"/>
    <n v="1.9338024130463234"/>
    <x v="4"/>
    <x v="5"/>
    <x v="0"/>
    <x v="8"/>
    <x v="10"/>
    <x v="6"/>
    <x v="15"/>
    <x v="23"/>
    <x v="1"/>
    <x v="24"/>
    <x v="0"/>
    <x v="0"/>
    <x v="11"/>
    <n v="5.5677643628300215"/>
    <n v="1.3906122439581508"/>
    <x v="4"/>
    <x v="5"/>
    <x v="0"/>
    <x v="8"/>
    <x v="10"/>
    <x v="6"/>
    <x v="15"/>
    <x v="23"/>
    <x v="1"/>
    <x v="24"/>
    <x v="0"/>
    <x v="0"/>
  </r>
  <r>
    <s v="P1010117_IJ"/>
    <x v="1"/>
    <x v="9"/>
    <x v="1"/>
    <x v="1"/>
    <x v="0"/>
    <x v="0"/>
    <x v="0"/>
    <x v="0"/>
    <x v="0"/>
    <x v="0"/>
    <x v="0"/>
    <x v="0"/>
    <x v="0"/>
    <x v="4"/>
    <x v="0"/>
    <x v="0"/>
    <x v="0"/>
    <x v="0"/>
    <x v="0"/>
    <x v="2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3"/>
    <n v="10"/>
    <n v="1.2798542258336676"/>
    <x v="1"/>
    <x v="0"/>
    <x v="0"/>
    <x v="1"/>
    <x v="3"/>
    <x v="1"/>
    <x v="0"/>
    <x v="1"/>
    <x v="0"/>
    <x v="5"/>
    <x v="3"/>
    <x v="0"/>
    <x v="3"/>
    <n v="3.1622776601683795"/>
    <n v="1.1313064243756719"/>
    <x v="1"/>
    <x v="0"/>
    <x v="0"/>
    <x v="1"/>
    <x v="3"/>
    <x v="1"/>
    <x v="0"/>
    <x v="1"/>
    <x v="0"/>
    <x v="5"/>
    <x v="3"/>
    <x v="0"/>
  </r>
  <r>
    <s v="P1010119_IJ"/>
    <x v="1"/>
    <x v="9"/>
    <x v="1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3"/>
    <n v="7"/>
    <n v="1.277034259466139"/>
    <x v="2"/>
    <x v="0"/>
    <x v="0"/>
    <x v="5"/>
    <x v="3"/>
    <x v="2"/>
    <x v="0"/>
    <x v="2"/>
    <x v="0"/>
    <x v="2"/>
    <x v="0"/>
    <x v="0"/>
    <x v="3"/>
    <n v="2.6457513110645907"/>
    <n v="1.1300594052819255"/>
    <x v="2"/>
    <x v="0"/>
    <x v="0"/>
    <x v="5"/>
    <x v="3"/>
    <x v="2"/>
    <x v="0"/>
    <x v="2"/>
    <x v="0"/>
    <x v="2"/>
    <x v="0"/>
    <x v="0"/>
  </r>
  <r>
    <s v="P1010120_IJ"/>
    <x v="1"/>
    <x v="9"/>
    <x v="1"/>
    <x v="1"/>
    <x v="0"/>
    <x v="0"/>
    <x v="0"/>
    <x v="0"/>
    <x v="0"/>
    <x v="0"/>
    <x v="0"/>
    <x v="0"/>
    <x v="0"/>
    <x v="1"/>
    <x v="0"/>
    <x v="0"/>
    <x v="1"/>
    <x v="0"/>
    <x v="0"/>
    <x v="2"/>
    <x v="0"/>
    <x v="0"/>
    <x v="1"/>
    <x v="0"/>
    <x v="0"/>
    <x v="0"/>
    <x v="7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0"/>
    <x v="0"/>
    <x v="0"/>
    <x v="7"/>
    <n v="14"/>
    <n v="1.8711604142318066"/>
    <x v="4"/>
    <x v="1"/>
    <x v="1"/>
    <x v="1"/>
    <x v="3"/>
    <x v="8"/>
    <x v="0"/>
    <x v="15"/>
    <x v="0"/>
    <x v="9"/>
    <x v="1"/>
    <x v="1"/>
    <x v="7"/>
    <n v="3.7416573867739413"/>
    <n v="1.3679036567798941"/>
    <x v="4"/>
    <x v="1"/>
    <x v="1"/>
    <x v="1"/>
    <x v="3"/>
    <x v="8"/>
    <x v="0"/>
    <x v="15"/>
    <x v="0"/>
    <x v="9"/>
    <x v="1"/>
    <x v="1"/>
  </r>
  <r>
    <s v="P1010121_IJ"/>
    <x v="1"/>
    <x v="9"/>
    <x v="1"/>
    <x v="1"/>
    <x v="0"/>
    <x v="0"/>
    <x v="0"/>
    <x v="0"/>
    <x v="0"/>
    <x v="1"/>
    <x v="0"/>
    <x v="0"/>
    <x v="0"/>
    <x v="1"/>
    <x v="0"/>
    <x v="0"/>
    <x v="0"/>
    <x v="0"/>
    <x v="0"/>
    <x v="0"/>
    <x v="1"/>
    <x v="1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1"/>
    <x v="2"/>
    <x v="1"/>
    <x v="0"/>
    <x v="0"/>
    <x v="0"/>
    <x v="11"/>
    <n v="11"/>
    <n v="2.2718685126965625"/>
    <x v="4"/>
    <x v="2"/>
    <x v="0"/>
    <x v="2"/>
    <x v="3"/>
    <x v="1"/>
    <x v="0"/>
    <x v="1"/>
    <x v="0"/>
    <x v="5"/>
    <x v="0"/>
    <x v="1"/>
    <x v="11"/>
    <n v="3.3166247903553998"/>
    <n v="1.5072718774980718"/>
    <x v="4"/>
    <x v="2"/>
    <x v="0"/>
    <x v="2"/>
    <x v="3"/>
    <x v="1"/>
    <x v="0"/>
    <x v="1"/>
    <x v="0"/>
    <x v="5"/>
    <x v="0"/>
    <x v="1"/>
  </r>
  <r>
    <s v="PG1_7_090923_IJ"/>
    <x v="1"/>
    <x v="9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3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6"/>
    <n v="8"/>
    <n v="1.7328679513998633"/>
    <x v="2"/>
    <x v="3"/>
    <x v="0"/>
    <x v="2"/>
    <x v="2"/>
    <x v="5"/>
    <x v="2"/>
    <x v="5"/>
    <x v="0"/>
    <x v="1"/>
    <x v="0"/>
    <x v="0"/>
    <x v="6"/>
    <n v="2.8284271247461903"/>
    <n v="1.3163844238670797"/>
    <x v="2"/>
    <x v="3"/>
    <x v="0"/>
    <x v="2"/>
    <x v="2"/>
    <x v="5"/>
    <x v="2"/>
    <x v="5"/>
    <x v="0"/>
    <x v="1"/>
    <x v="0"/>
    <x v="0"/>
  </r>
  <r>
    <s v="PG1_97_090923_IJ"/>
    <x v="1"/>
    <x v="9"/>
    <x v="1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2"/>
    <x v="0"/>
    <x v="0"/>
    <x v="0"/>
    <x v="0"/>
    <x v="4"/>
    <x v="0"/>
    <x v="1"/>
    <x v="4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8"/>
    <n v="15"/>
    <n v="1.7838539603556165"/>
    <x v="1"/>
    <x v="3"/>
    <x v="0"/>
    <x v="0"/>
    <x v="3"/>
    <x v="4"/>
    <x v="4"/>
    <x v="9"/>
    <x v="0"/>
    <x v="10"/>
    <x v="0"/>
    <x v="0"/>
    <x v="8"/>
    <n v="3.872983346207417"/>
    <n v="1.3356099581672849"/>
    <x v="1"/>
    <x v="3"/>
    <x v="0"/>
    <x v="0"/>
    <x v="3"/>
    <x v="4"/>
    <x v="4"/>
    <x v="9"/>
    <x v="0"/>
    <x v="10"/>
    <x v="0"/>
    <x v="0"/>
  </r>
  <r>
    <s v="P1010134_IJ"/>
    <x v="1"/>
    <x v="10"/>
    <x v="1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5"/>
    <x v="0"/>
    <x v="11"/>
    <x v="6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6"/>
    <n v="29"/>
    <n v="1.4556432475539522"/>
    <x v="2"/>
    <x v="3"/>
    <x v="1"/>
    <x v="5"/>
    <x v="3"/>
    <x v="12"/>
    <x v="6"/>
    <x v="21"/>
    <x v="0"/>
    <x v="15"/>
    <x v="1"/>
    <x v="0"/>
    <x v="6"/>
    <n v="5.3851648071345037"/>
    <n v="1.206500413408115"/>
    <x v="2"/>
    <x v="3"/>
    <x v="1"/>
    <x v="5"/>
    <x v="3"/>
    <x v="12"/>
    <x v="6"/>
    <x v="21"/>
    <x v="0"/>
    <x v="15"/>
    <x v="1"/>
    <x v="0"/>
  </r>
  <r>
    <s v="P1010135_IJ"/>
    <x v="1"/>
    <x v="10"/>
    <x v="1"/>
    <x v="1"/>
    <x v="0"/>
    <x v="0"/>
    <x v="0"/>
    <x v="0"/>
    <x v="0"/>
    <x v="0"/>
    <x v="0"/>
    <x v="0"/>
    <x v="0"/>
    <x v="6"/>
    <x v="0"/>
    <x v="0"/>
    <x v="0"/>
    <x v="0"/>
    <x v="0"/>
    <x v="0"/>
    <x v="1"/>
    <x v="0"/>
    <x v="1"/>
    <x v="0"/>
    <x v="0"/>
    <x v="0"/>
    <x v="4"/>
    <x v="0"/>
    <x v="2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14"/>
    <n v="1.6114722042607263"/>
    <x v="1"/>
    <x v="3"/>
    <x v="1"/>
    <x v="4"/>
    <x v="4"/>
    <x v="9"/>
    <x v="0"/>
    <x v="6"/>
    <x v="1"/>
    <x v="8"/>
    <x v="1"/>
    <x v="0"/>
    <x v="6"/>
    <n v="3.7416573867739413"/>
    <n v="1.2694377512350601"/>
    <x v="1"/>
    <x v="3"/>
    <x v="1"/>
    <x v="4"/>
    <x v="4"/>
    <x v="9"/>
    <x v="0"/>
    <x v="6"/>
    <x v="1"/>
    <x v="8"/>
    <x v="1"/>
    <x v="0"/>
  </r>
  <r>
    <s v="P1010136_IJ"/>
    <x v="1"/>
    <x v="10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3"/>
    <x v="0"/>
    <x v="5"/>
    <x v="3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8"/>
    <n v="14"/>
    <n v="1.6357434952314973"/>
    <x v="1"/>
    <x v="3"/>
    <x v="1"/>
    <x v="2"/>
    <x v="1"/>
    <x v="9"/>
    <x v="3"/>
    <x v="8"/>
    <x v="0"/>
    <x v="10"/>
    <x v="1"/>
    <x v="1"/>
    <x v="8"/>
    <n v="3.7416573867739413"/>
    <n v="1.2789618818524253"/>
    <x v="1"/>
    <x v="3"/>
    <x v="1"/>
    <x v="2"/>
    <x v="1"/>
    <x v="9"/>
    <x v="3"/>
    <x v="8"/>
    <x v="0"/>
    <x v="10"/>
    <x v="1"/>
    <x v="1"/>
  </r>
  <r>
    <s v="P1010137_IJ"/>
    <x v="1"/>
    <x v="1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4"/>
    <x v="0"/>
    <x v="4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14"/>
    <n v="0.8304717124362917"/>
    <x v="2"/>
    <x v="2"/>
    <x v="1"/>
    <x v="0"/>
    <x v="2"/>
    <x v="13"/>
    <x v="0"/>
    <x v="13"/>
    <x v="0"/>
    <x v="13"/>
    <x v="1"/>
    <x v="0"/>
    <x v="1"/>
    <n v="3.7416573867739413"/>
    <n v="0.91130220697433395"/>
    <x v="2"/>
    <x v="2"/>
    <x v="1"/>
    <x v="0"/>
    <x v="2"/>
    <x v="13"/>
    <x v="0"/>
    <x v="13"/>
    <x v="0"/>
    <x v="13"/>
    <x v="1"/>
    <x v="0"/>
  </r>
  <r>
    <s v="PG3_11_090923_IJ"/>
    <x v="1"/>
    <x v="10"/>
    <x v="1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8"/>
    <x v="0"/>
    <x v="0"/>
    <x v="1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n v="22"/>
    <n v="1.123130821077698"/>
    <x v="2"/>
    <x v="2"/>
    <x v="1"/>
    <x v="5"/>
    <x v="3"/>
    <x v="9"/>
    <x v="13"/>
    <x v="24"/>
    <x v="0"/>
    <x v="25"/>
    <x v="1"/>
    <x v="0"/>
    <x v="3"/>
    <n v="4.6904157598234297"/>
    <n v="1.0597786660797139"/>
    <x v="2"/>
    <x v="2"/>
    <x v="1"/>
    <x v="5"/>
    <x v="3"/>
    <x v="9"/>
    <x v="13"/>
    <x v="24"/>
    <x v="0"/>
    <x v="25"/>
    <x v="1"/>
    <x v="0"/>
  </r>
  <r>
    <s v="PG3_15_090923_IJ"/>
    <x v="1"/>
    <x v="10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0"/>
    <x v="0"/>
    <x v="0"/>
    <x v="8"/>
    <x v="0"/>
    <x v="6"/>
    <x v="15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6"/>
    <n v="23"/>
    <n v="1.4700988707553939"/>
    <x v="1"/>
    <x v="1"/>
    <x v="1"/>
    <x v="2"/>
    <x v="1"/>
    <x v="11"/>
    <x v="15"/>
    <x v="20"/>
    <x v="0"/>
    <x v="26"/>
    <x v="1"/>
    <x v="0"/>
    <x v="6"/>
    <n v="4.7958315233127191"/>
    <n v="1.2124763382249544"/>
    <x v="1"/>
    <x v="1"/>
    <x v="1"/>
    <x v="2"/>
    <x v="1"/>
    <x v="11"/>
    <x v="15"/>
    <x v="20"/>
    <x v="0"/>
    <x v="26"/>
    <x v="1"/>
    <x v="0"/>
  </r>
  <r>
    <s v="P1010176_IJ"/>
    <x v="1"/>
    <x v="11"/>
    <x v="1"/>
    <x v="1"/>
    <x v="0"/>
    <x v="0"/>
    <x v="0"/>
    <x v="0"/>
    <x v="0"/>
    <x v="0"/>
    <x v="0"/>
    <x v="0"/>
    <x v="0"/>
    <x v="4"/>
    <x v="0"/>
    <x v="0"/>
    <x v="1"/>
    <x v="0"/>
    <x v="0"/>
    <x v="0"/>
    <x v="0"/>
    <x v="0"/>
    <x v="0"/>
    <x v="0"/>
    <x v="0"/>
    <x v="0"/>
    <x v="4"/>
    <x v="0"/>
    <x v="2"/>
    <x v="3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6"/>
    <n v="14"/>
    <n v="1.6731183626432509"/>
    <x v="1"/>
    <x v="3"/>
    <x v="1"/>
    <x v="5"/>
    <x v="3"/>
    <x v="9"/>
    <x v="3"/>
    <x v="8"/>
    <x v="0"/>
    <x v="10"/>
    <x v="1"/>
    <x v="0"/>
    <x v="6"/>
    <n v="3.7416573867739413"/>
    <n v="1.2934907663540745"/>
    <x v="1"/>
    <x v="3"/>
    <x v="1"/>
    <x v="5"/>
    <x v="3"/>
    <x v="9"/>
    <x v="3"/>
    <x v="8"/>
    <x v="0"/>
    <x v="10"/>
    <x v="1"/>
    <x v="0"/>
  </r>
  <r>
    <s v="P1010177_IJ"/>
    <x v="1"/>
    <x v="11"/>
    <x v="1"/>
    <x v="1"/>
    <x v="0"/>
    <x v="0"/>
    <x v="0"/>
    <x v="0"/>
    <x v="0"/>
    <x v="0"/>
    <x v="0"/>
    <x v="0"/>
    <x v="0"/>
    <x v="3"/>
    <x v="0"/>
    <x v="0"/>
    <x v="0"/>
    <x v="0"/>
    <x v="0"/>
    <x v="0"/>
    <x v="0"/>
    <x v="1"/>
    <x v="0"/>
    <x v="0"/>
    <x v="0"/>
    <x v="2"/>
    <x v="3"/>
    <x v="0"/>
    <x v="3"/>
    <x v="15"/>
    <x v="0"/>
    <x v="2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4"/>
    <x v="1"/>
    <x v="0"/>
    <x v="0"/>
    <x v="0"/>
    <x v="0"/>
    <x v="11"/>
    <n v="23"/>
    <n v="2.1601298108363691"/>
    <x v="1"/>
    <x v="5"/>
    <x v="1"/>
    <x v="5"/>
    <x v="5"/>
    <x v="1"/>
    <x v="15"/>
    <x v="7"/>
    <x v="2"/>
    <x v="16"/>
    <x v="1"/>
    <x v="0"/>
    <x v="11"/>
    <n v="4.7958315233127191"/>
    <n v="1.4697380075497704"/>
    <x v="1"/>
    <x v="5"/>
    <x v="1"/>
    <x v="5"/>
    <x v="5"/>
    <x v="1"/>
    <x v="15"/>
    <x v="7"/>
    <x v="2"/>
    <x v="16"/>
    <x v="1"/>
    <x v="0"/>
  </r>
  <r>
    <s v="PG6_B_090923_IJ"/>
    <x v="1"/>
    <x v="1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1"/>
    <x v="0"/>
    <x v="0"/>
    <x v="4"/>
    <x v="0"/>
    <x v="0"/>
    <x v="6"/>
    <x v="0"/>
    <x v="5"/>
    <x v="8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0"/>
    <n v="32"/>
    <n v="1.5679099404307582"/>
    <x v="1"/>
    <x v="5"/>
    <x v="1"/>
    <x v="2"/>
    <x v="1"/>
    <x v="14"/>
    <x v="8"/>
    <x v="25"/>
    <x v="0"/>
    <x v="27"/>
    <x v="1"/>
    <x v="1"/>
    <x v="10"/>
    <n v="5.6568542494923806"/>
    <n v="1.2521621062908581"/>
    <x v="1"/>
    <x v="5"/>
    <x v="1"/>
    <x v="2"/>
    <x v="1"/>
    <x v="14"/>
    <x v="8"/>
    <x v="25"/>
    <x v="0"/>
    <x v="27"/>
    <x v="1"/>
    <x v="1"/>
  </r>
  <r>
    <s v="PG6_C_090923_IJ"/>
    <x v="1"/>
    <x v="1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3"/>
    <x v="16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19"/>
    <n v="0.85394469827941943"/>
    <x v="2"/>
    <x v="1"/>
    <x v="1"/>
    <x v="2"/>
    <x v="2"/>
    <x v="5"/>
    <x v="16"/>
    <x v="24"/>
    <x v="0"/>
    <x v="25"/>
    <x v="1"/>
    <x v="0"/>
    <x v="3"/>
    <n v="4.358898943540674"/>
    <n v="0.92409128243881811"/>
    <x v="2"/>
    <x v="1"/>
    <x v="1"/>
    <x v="2"/>
    <x v="2"/>
    <x v="5"/>
    <x v="16"/>
    <x v="24"/>
    <x v="0"/>
    <x v="25"/>
    <x v="1"/>
    <x v="0"/>
  </r>
  <r>
    <s v="PG6_D_090923_IJ"/>
    <x v="1"/>
    <x v="11"/>
    <x v="1"/>
    <x v="1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6"/>
    <x v="0"/>
    <x v="3"/>
    <x v="4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8"/>
    <n v="18"/>
    <n v="1.5810937501718234"/>
    <x v="1"/>
    <x v="3"/>
    <x v="1"/>
    <x v="1"/>
    <x v="1"/>
    <x v="7"/>
    <x v="4"/>
    <x v="23"/>
    <x v="0"/>
    <x v="19"/>
    <x v="1"/>
    <x v="0"/>
    <x v="8"/>
    <n v="4.2426406871192848"/>
    <n v="1.2574155041877857"/>
    <x v="1"/>
    <x v="3"/>
    <x v="1"/>
    <x v="1"/>
    <x v="1"/>
    <x v="7"/>
    <x v="4"/>
    <x v="23"/>
    <x v="0"/>
    <x v="19"/>
    <x v="1"/>
    <x v="0"/>
  </r>
  <r>
    <s v="PG6_E_090923_IJ"/>
    <x v="1"/>
    <x v="11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4"/>
    <x v="0"/>
    <x v="1"/>
    <x v="3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n v="9"/>
    <n v="1.2148896539491205"/>
    <x v="2"/>
    <x v="1"/>
    <x v="1"/>
    <x v="2"/>
    <x v="2"/>
    <x v="4"/>
    <x v="3"/>
    <x v="7"/>
    <x v="0"/>
    <x v="9"/>
    <x v="1"/>
    <x v="0"/>
    <x v="3"/>
    <n v="3"/>
    <n v="1.1022203291307597"/>
    <x v="2"/>
    <x v="1"/>
    <x v="1"/>
    <x v="2"/>
    <x v="2"/>
    <x v="4"/>
    <x v="3"/>
    <x v="7"/>
    <x v="0"/>
    <x v="9"/>
    <x v="1"/>
    <x v="0"/>
  </r>
  <r>
    <s v="P1011180_IJ"/>
    <x v="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1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6"/>
    <n v="1.0114042647073518"/>
    <x v="2"/>
    <x v="2"/>
    <x v="1"/>
    <x v="0"/>
    <x v="2"/>
    <x v="2"/>
    <x v="1"/>
    <x v="0"/>
    <x v="0"/>
    <x v="4"/>
    <x v="1"/>
    <x v="0"/>
    <x v="1"/>
    <n v="2.4494897427831779"/>
    <n v="1.0056859672419376"/>
    <x v="2"/>
    <x v="2"/>
    <x v="1"/>
    <x v="0"/>
    <x v="2"/>
    <x v="2"/>
    <x v="1"/>
    <x v="0"/>
    <x v="0"/>
    <x v="4"/>
    <x v="1"/>
    <x v="0"/>
  </r>
  <r>
    <s v="P1011181_IJ"/>
    <x v="2"/>
    <x v="1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n v="4"/>
    <n v="1.0397207708399179"/>
    <x v="0"/>
    <x v="0"/>
    <x v="1"/>
    <x v="0"/>
    <x v="0"/>
    <x v="0"/>
    <x v="0"/>
    <x v="0"/>
    <x v="0"/>
    <x v="0"/>
    <x v="1"/>
    <x v="0"/>
    <x v="1"/>
    <n v="2"/>
    <n v="1.0196669901688089"/>
    <x v="0"/>
    <x v="0"/>
    <x v="1"/>
    <x v="0"/>
    <x v="0"/>
    <x v="0"/>
    <x v="0"/>
    <x v="0"/>
    <x v="0"/>
    <x v="0"/>
    <x v="1"/>
    <x v="0"/>
  </r>
  <r>
    <s v="P1011182_IJ"/>
    <x v="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0"/>
    <x v="0"/>
    <x v="1"/>
    <x v="0"/>
    <x v="0"/>
    <x v="2"/>
    <x v="0"/>
    <x v="2"/>
    <x v="1"/>
    <x v="2"/>
    <x v="1"/>
    <x v="0"/>
    <x v="0"/>
    <n v="1.4142135623730951"/>
    <n v="0.83255461115769769"/>
    <x v="0"/>
    <x v="0"/>
    <x v="1"/>
    <x v="0"/>
    <x v="0"/>
    <x v="2"/>
    <x v="0"/>
    <x v="2"/>
    <x v="1"/>
    <x v="2"/>
    <x v="1"/>
    <x v="0"/>
  </r>
  <r>
    <s v="P1011183_IJ"/>
    <x v="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n v="4"/>
    <n v="1.0397207708399179"/>
    <x v="0"/>
    <x v="2"/>
    <x v="1"/>
    <x v="0"/>
    <x v="0"/>
    <x v="0"/>
    <x v="0"/>
    <x v="0"/>
    <x v="0"/>
    <x v="5"/>
    <x v="1"/>
    <x v="0"/>
    <x v="1"/>
    <n v="2"/>
    <n v="1.0196669901688089"/>
    <x v="0"/>
    <x v="2"/>
    <x v="1"/>
    <x v="0"/>
    <x v="0"/>
    <x v="0"/>
    <x v="0"/>
    <x v="0"/>
    <x v="0"/>
    <x v="5"/>
    <x v="1"/>
    <x v="0"/>
  </r>
  <r>
    <s v="P1011187_IJ"/>
    <x v="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0"/>
    <x v="2"/>
    <x v="1"/>
    <x v="0"/>
    <x v="0"/>
    <x v="3"/>
    <x v="0"/>
    <x v="4"/>
    <x v="1"/>
    <x v="0"/>
    <x v="1"/>
    <x v="0"/>
    <x v="0"/>
    <n v="1.4142135623730951"/>
    <n v="0.83255461115769769"/>
    <x v="0"/>
    <x v="2"/>
    <x v="1"/>
    <x v="0"/>
    <x v="0"/>
    <x v="3"/>
    <x v="0"/>
    <x v="4"/>
    <x v="1"/>
    <x v="0"/>
    <x v="1"/>
    <x v="0"/>
  </r>
  <r>
    <s v="P1011188_IJ"/>
    <x v="2"/>
    <x v="1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1"/>
    <n v="6"/>
    <n v="0.86756322848146117"/>
    <x v="0"/>
    <x v="0"/>
    <x v="0"/>
    <x v="0"/>
    <x v="0"/>
    <x v="5"/>
    <x v="0"/>
    <x v="3"/>
    <x v="0"/>
    <x v="3"/>
    <x v="0"/>
    <x v="0"/>
    <x v="1"/>
    <n v="2.4494897427831779"/>
    <n v="0.93143074271867421"/>
    <x v="0"/>
    <x v="0"/>
    <x v="0"/>
    <x v="0"/>
    <x v="0"/>
    <x v="5"/>
    <x v="0"/>
    <x v="3"/>
    <x v="0"/>
    <x v="3"/>
    <x v="0"/>
    <x v="0"/>
  </r>
  <r>
    <s v="P1011168_IJ"/>
    <x v="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70_IJ"/>
    <x v="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1171_IJ"/>
    <x v="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n v="2"/>
    <n v="0.69314718055994529"/>
    <x v="0"/>
    <x v="4"/>
    <x v="0"/>
    <x v="0"/>
    <x v="0"/>
    <x v="2"/>
    <x v="0"/>
    <x v="2"/>
    <x v="0"/>
    <x v="7"/>
    <x v="0"/>
    <x v="0"/>
    <x v="0"/>
    <n v="1.4142135623730951"/>
    <n v="0.83255461115769769"/>
    <x v="0"/>
    <x v="4"/>
    <x v="0"/>
    <x v="0"/>
    <x v="0"/>
    <x v="2"/>
    <x v="0"/>
    <x v="2"/>
    <x v="0"/>
    <x v="7"/>
    <x v="0"/>
    <x v="0"/>
  </r>
  <r>
    <s v="P1011172_IJ"/>
    <x v="2"/>
    <x v="1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4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2"/>
    <x v="2"/>
    <x v="1"/>
    <x v="0"/>
    <x v="2"/>
    <x v="2"/>
    <x v="2"/>
    <x v="4"/>
    <x v="0"/>
    <x v="0"/>
    <x v="1"/>
    <x v="0"/>
    <x v="1"/>
    <n v="1.7320508075688772"/>
    <n v="1.0481470739682048"/>
    <x v="2"/>
    <x v="2"/>
    <x v="1"/>
    <x v="0"/>
    <x v="2"/>
    <x v="2"/>
    <x v="2"/>
    <x v="4"/>
    <x v="0"/>
    <x v="0"/>
    <x v="1"/>
    <x v="0"/>
  </r>
  <r>
    <s v="P1011173_IJ"/>
    <x v="2"/>
    <x v="13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4"/>
    <n v="0.56233514461880829"/>
    <x v="2"/>
    <x v="0"/>
    <x v="1"/>
    <x v="0"/>
    <x v="2"/>
    <x v="1"/>
    <x v="0"/>
    <x v="1"/>
    <x v="0"/>
    <x v="5"/>
    <x v="1"/>
    <x v="0"/>
    <x v="0"/>
    <n v="2"/>
    <n v="0.74989008835882631"/>
    <x v="2"/>
    <x v="0"/>
    <x v="1"/>
    <x v="0"/>
    <x v="2"/>
    <x v="1"/>
    <x v="0"/>
    <x v="1"/>
    <x v="0"/>
    <x v="5"/>
    <x v="1"/>
    <x v="0"/>
  </r>
  <r>
    <s v="P1011177_IJ"/>
    <x v="2"/>
    <x v="13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3"/>
    <n v="4"/>
    <n v="1.3862943611198906"/>
    <x v="1"/>
    <x v="4"/>
    <x v="2"/>
    <x v="2"/>
    <x v="1"/>
    <x v="2"/>
    <x v="0"/>
    <x v="2"/>
    <x v="0"/>
    <x v="7"/>
    <x v="4"/>
    <x v="0"/>
    <x v="3"/>
    <n v="2"/>
    <n v="1.1774100225154747"/>
    <x v="1"/>
    <x v="4"/>
    <x v="2"/>
    <x v="2"/>
    <x v="1"/>
    <x v="2"/>
    <x v="0"/>
    <x v="2"/>
    <x v="0"/>
    <x v="7"/>
    <x v="4"/>
    <x v="0"/>
  </r>
  <r>
    <s v="P1011124_IJ"/>
    <x v="2"/>
    <x v="14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0"/>
    <x v="3"/>
    <n v="4"/>
    <n v="1.3862943611198906"/>
    <x v="2"/>
    <x v="0"/>
    <x v="0"/>
    <x v="2"/>
    <x v="2"/>
    <x v="2"/>
    <x v="2"/>
    <x v="4"/>
    <x v="0"/>
    <x v="2"/>
    <x v="0"/>
    <x v="0"/>
    <x v="3"/>
    <n v="2"/>
    <n v="1.1774100225154747"/>
    <x v="2"/>
    <x v="0"/>
    <x v="0"/>
    <x v="2"/>
    <x v="2"/>
    <x v="2"/>
    <x v="2"/>
    <x v="4"/>
    <x v="0"/>
    <x v="2"/>
    <x v="0"/>
    <x v="0"/>
  </r>
  <r>
    <s v="P1011125_IJ"/>
    <x v="2"/>
    <x v="14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n v="2"/>
    <n v="0.69314718055994529"/>
    <x v="2"/>
    <x v="4"/>
    <x v="1"/>
    <x v="2"/>
    <x v="2"/>
    <x v="2"/>
    <x v="0"/>
    <x v="2"/>
    <x v="0"/>
    <x v="7"/>
    <x v="1"/>
    <x v="1"/>
    <x v="0"/>
    <n v="1.4142135623730951"/>
    <n v="0.83255461115769769"/>
    <x v="2"/>
    <x v="4"/>
    <x v="1"/>
    <x v="2"/>
    <x v="2"/>
    <x v="2"/>
    <x v="0"/>
    <x v="2"/>
    <x v="0"/>
    <x v="7"/>
    <x v="1"/>
    <x v="1"/>
  </r>
  <r>
    <s v="P1011126_IJ"/>
    <x v="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27_IJ"/>
    <x v="2"/>
    <x v="14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2"/>
    <x v="4"/>
    <x v="1"/>
    <x v="2"/>
    <x v="2"/>
    <x v="2"/>
    <x v="0"/>
    <x v="2"/>
    <x v="0"/>
    <x v="7"/>
    <x v="1"/>
    <x v="0"/>
    <x v="2"/>
    <n v="1"/>
    <n v="0"/>
    <x v="2"/>
    <x v="4"/>
    <x v="1"/>
    <x v="2"/>
    <x v="2"/>
    <x v="2"/>
    <x v="0"/>
    <x v="2"/>
    <x v="0"/>
    <x v="7"/>
    <x v="1"/>
    <x v="0"/>
  </r>
  <r>
    <s v="P1011129_IJ"/>
    <x v="2"/>
    <x v="14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5"/>
    <x v="0"/>
    <x v="0"/>
    <x v="0"/>
    <x v="1"/>
    <x v="0"/>
    <x v="0"/>
    <n v="4"/>
    <n v="0.56233514461880829"/>
    <x v="2"/>
    <x v="4"/>
    <x v="1"/>
    <x v="2"/>
    <x v="2"/>
    <x v="2"/>
    <x v="0"/>
    <x v="2"/>
    <x v="0"/>
    <x v="7"/>
    <x v="1"/>
    <x v="0"/>
    <x v="0"/>
    <n v="2"/>
    <n v="0.74989008835882631"/>
    <x v="2"/>
    <x v="4"/>
    <x v="1"/>
    <x v="2"/>
    <x v="2"/>
    <x v="2"/>
    <x v="0"/>
    <x v="2"/>
    <x v="0"/>
    <x v="7"/>
    <x v="1"/>
    <x v="0"/>
  </r>
  <r>
    <s v="P1011131_IJ"/>
    <x v="2"/>
    <x v="14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2"/>
    <n v="1"/>
    <n v="0"/>
    <x v="0"/>
    <x v="4"/>
    <x v="0"/>
    <x v="0"/>
    <x v="0"/>
    <x v="2"/>
    <x v="0"/>
    <x v="2"/>
    <x v="0"/>
    <x v="7"/>
    <x v="0"/>
    <x v="0"/>
    <x v="2"/>
    <n v="1"/>
    <n v="0"/>
    <x v="0"/>
    <x v="4"/>
    <x v="0"/>
    <x v="0"/>
    <x v="0"/>
    <x v="2"/>
    <x v="0"/>
    <x v="2"/>
    <x v="0"/>
    <x v="7"/>
    <x v="0"/>
    <x v="0"/>
  </r>
  <r>
    <s v="P1011159_IJ"/>
    <x v="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2"/>
    <x v="4"/>
    <x v="0"/>
    <x v="2"/>
    <x v="1"/>
    <x v="0"/>
    <x v="2"/>
    <n v="1"/>
    <n v="0"/>
    <x v="0"/>
    <x v="0"/>
    <x v="1"/>
    <x v="0"/>
    <x v="0"/>
    <x v="2"/>
    <x v="2"/>
    <x v="4"/>
    <x v="0"/>
    <x v="2"/>
    <x v="1"/>
    <x v="0"/>
  </r>
  <r>
    <s v="P1011162_IJ"/>
    <x v="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0"/>
    <x v="2"/>
    <x v="1"/>
    <x v="0"/>
    <x v="2"/>
    <n v="1"/>
    <n v="0"/>
    <x v="0"/>
    <x v="0"/>
    <x v="1"/>
    <x v="0"/>
    <x v="0"/>
    <x v="2"/>
    <x v="0"/>
    <x v="2"/>
    <x v="0"/>
    <x v="2"/>
    <x v="1"/>
    <x v="0"/>
  </r>
  <r>
    <s v="P1011163_IJ"/>
    <x v="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65_IJ"/>
    <x v="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0"/>
    <x v="2"/>
    <x v="1"/>
    <x v="0"/>
    <x v="2"/>
    <n v="1"/>
    <n v="0"/>
    <x v="0"/>
    <x v="0"/>
    <x v="1"/>
    <x v="0"/>
    <x v="0"/>
    <x v="2"/>
    <x v="0"/>
    <x v="2"/>
    <x v="0"/>
    <x v="2"/>
    <x v="1"/>
    <x v="0"/>
  </r>
  <r>
    <s v="P1011166_IJ"/>
    <x v="2"/>
    <x v="15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5"/>
    <n v="1.0549201679861442"/>
    <x v="0"/>
    <x v="1"/>
    <x v="1"/>
    <x v="0"/>
    <x v="0"/>
    <x v="0"/>
    <x v="2"/>
    <x v="1"/>
    <x v="3"/>
    <x v="4"/>
    <x v="1"/>
    <x v="0"/>
    <x v="1"/>
    <n v="2.2360679774997898"/>
    <n v="1.0270930668572076"/>
    <x v="0"/>
    <x v="1"/>
    <x v="1"/>
    <x v="0"/>
    <x v="0"/>
    <x v="0"/>
    <x v="2"/>
    <x v="1"/>
    <x v="3"/>
    <x v="4"/>
    <x v="1"/>
    <x v="0"/>
  </r>
  <r>
    <s v="P1011167_IJ"/>
    <x v="2"/>
    <x v="15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2"/>
    <x v="4"/>
    <x v="1"/>
    <x v="2"/>
    <x v="2"/>
    <x v="2"/>
    <x v="0"/>
    <x v="2"/>
    <x v="0"/>
    <x v="7"/>
    <x v="1"/>
    <x v="0"/>
    <x v="2"/>
    <n v="1"/>
    <n v="0"/>
    <x v="2"/>
    <x v="4"/>
    <x v="1"/>
    <x v="2"/>
    <x v="2"/>
    <x v="2"/>
    <x v="0"/>
    <x v="2"/>
    <x v="0"/>
    <x v="7"/>
    <x v="1"/>
    <x v="0"/>
  </r>
  <r>
    <s v="P1011147_IJ"/>
    <x v="2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n v="2"/>
    <n v="0.69314718055994529"/>
    <x v="0"/>
    <x v="4"/>
    <x v="1"/>
    <x v="0"/>
    <x v="0"/>
    <x v="2"/>
    <x v="0"/>
    <x v="2"/>
    <x v="0"/>
    <x v="7"/>
    <x v="1"/>
    <x v="1"/>
    <x v="0"/>
    <n v="1.4142135623730951"/>
    <n v="0.83255461115769769"/>
    <x v="0"/>
    <x v="4"/>
    <x v="1"/>
    <x v="0"/>
    <x v="0"/>
    <x v="2"/>
    <x v="0"/>
    <x v="2"/>
    <x v="0"/>
    <x v="7"/>
    <x v="1"/>
    <x v="1"/>
  </r>
  <r>
    <s v="P1011148_IJ"/>
    <x v="2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2"/>
    <x v="4"/>
    <x v="1"/>
    <x v="0"/>
    <x v="2"/>
    <x v="2"/>
    <x v="0"/>
    <x v="2"/>
    <x v="0"/>
    <x v="7"/>
    <x v="1"/>
    <x v="0"/>
    <x v="2"/>
    <n v="1"/>
    <n v="0"/>
    <x v="2"/>
    <x v="4"/>
    <x v="1"/>
    <x v="0"/>
    <x v="2"/>
    <x v="2"/>
    <x v="0"/>
    <x v="2"/>
    <x v="0"/>
    <x v="7"/>
    <x v="1"/>
    <x v="0"/>
  </r>
  <r>
    <s v="P1011151_IJ"/>
    <x v="2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0"/>
    <n v="2"/>
    <n v="0.69314718055994529"/>
    <x v="0"/>
    <x v="4"/>
    <x v="1"/>
    <x v="0"/>
    <x v="0"/>
    <x v="2"/>
    <x v="0"/>
    <x v="2"/>
    <x v="0"/>
    <x v="7"/>
    <x v="1"/>
    <x v="1"/>
    <x v="0"/>
    <n v="1.4142135623730951"/>
    <n v="0.83255461115769769"/>
    <x v="0"/>
    <x v="4"/>
    <x v="1"/>
    <x v="0"/>
    <x v="0"/>
    <x v="2"/>
    <x v="0"/>
    <x v="2"/>
    <x v="0"/>
    <x v="7"/>
    <x v="1"/>
    <x v="1"/>
  </r>
  <r>
    <s v="P1011152_IJ"/>
    <x v="2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e v="#VALUE!"/>
    <x v="0"/>
    <x v="4"/>
    <x v="1"/>
    <x v="0"/>
    <x v="0"/>
    <x v="2"/>
    <x v="0"/>
    <x v="2"/>
    <x v="0"/>
    <x v="7"/>
    <x v="1"/>
    <x v="0"/>
    <x v="5"/>
    <n v="0"/>
    <e v="#VALUE!"/>
    <x v="0"/>
    <x v="4"/>
    <x v="1"/>
    <x v="0"/>
    <x v="0"/>
    <x v="2"/>
    <x v="0"/>
    <x v="2"/>
    <x v="0"/>
    <x v="7"/>
    <x v="1"/>
    <x v="0"/>
  </r>
  <r>
    <s v="P1011154_IJ"/>
    <x v="2"/>
    <x v="16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2"/>
    <x v="4"/>
    <x v="1"/>
    <x v="2"/>
    <x v="2"/>
    <x v="2"/>
    <x v="0"/>
    <x v="2"/>
    <x v="0"/>
    <x v="7"/>
    <x v="1"/>
    <x v="0"/>
    <x v="0"/>
    <n v="1.4142135623730951"/>
    <n v="0.83255461115769769"/>
    <x v="2"/>
    <x v="4"/>
    <x v="1"/>
    <x v="2"/>
    <x v="2"/>
    <x v="2"/>
    <x v="0"/>
    <x v="2"/>
    <x v="0"/>
    <x v="7"/>
    <x v="1"/>
    <x v="0"/>
  </r>
  <r>
    <s v="P1011158_IJ"/>
    <x v="2"/>
    <x v="16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36_IJ"/>
    <x v="2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38_IJ"/>
    <x v="2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0"/>
    <x v="0"/>
    <x v="0"/>
    <x v="0"/>
    <x v="0"/>
    <x v="3"/>
    <x v="0"/>
    <x v="4"/>
    <x v="0"/>
    <x v="2"/>
    <x v="0"/>
    <x v="0"/>
    <x v="0"/>
    <n v="1.4142135623730951"/>
    <n v="0.83255461115769769"/>
    <x v="0"/>
    <x v="0"/>
    <x v="0"/>
    <x v="0"/>
    <x v="0"/>
    <x v="3"/>
    <x v="0"/>
    <x v="4"/>
    <x v="0"/>
    <x v="2"/>
    <x v="0"/>
    <x v="0"/>
  </r>
  <r>
    <s v="P1011139_IJ"/>
    <x v="2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0"/>
    <x v="2"/>
    <x v="1"/>
    <x v="0"/>
    <x v="2"/>
    <n v="1"/>
    <n v="0"/>
    <x v="0"/>
    <x v="0"/>
    <x v="1"/>
    <x v="0"/>
    <x v="0"/>
    <x v="2"/>
    <x v="0"/>
    <x v="2"/>
    <x v="0"/>
    <x v="2"/>
    <x v="1"/>
    <x v="0"/>
  </r>
  <r>
    <s v="P1011141_IJ"/>
    <x v="2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1143_IJ"/>
    <x v="2"/>
    <x v="17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1"/>
    <x v="2"/>
    <x v="1"/>
    <x v="0"/>
    <x v="2"/>
    <n v="1"/>
    <n v="0"/>
    <x v="0"/>
    <x v="0"/>
    <x v="1"/>
    <x v="0"/>
    <x v="0"/>
    <x v="2"/>
    <x v="0"/>
    <x v="2"/>
    <x v="1"/>
    <x v="2"/>
    <x v="1"/>
    <x v="0"/>
  </r>
  <r>
    <s v="P1011146_IJ"/>
    <x v="2"/>
    <x v="17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2"/>
    <x v="4"/>
    <x v="1"/>
    <x v="2"/>
    <x v="2"/>
    <x v="2"/>
    <x v="0"/>
    <x v="2"/>
    <x v="0"/>
    <x v="7"/>
    <x v="1"/>
    <x v="0"/>
    <x v="0"/>
    <n v="1.4142135623730951"/>
    <n v="0.83255461115769769"/>
    <x v="2"/>
    <x v="4"/>
    <x v="1"/>
    <x v="2"/>
    <x v="2"/>
    <x v="2"/>
    <x v="0"/>
    <x v="2"/>
    <x v="0"/>
    <x v="7"/>
    <x v="1"/>
    <x v="0"/>
  </r>
  <r>
    <s v="P1010255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0256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0"/>
    <x v="2"/>
    <x v="1"/>
    <x v="0"/>
    <x v="0"/>
    <x v="3"/>
    <x v="2"/>
    <x v="0"/>
    <x v="0"/>
    <x v="0"/>
    <x v="1"/>
    <x v="0"/>
    <x v="0"/>
    <n v="1.4142135623730951"/>
    <n v="0.83255461115769769"/>
    <x v="0"/>
    <x v="2"/>
    <x v="1"/>
    <x v="0"/>
    <x v="0"/>
    <x v="3"/>
    <x v="2"/>
    <x v="0"/>
    <x v="0"/>
    <x v="0"/>
    <x v="1"/>
    <x v="0"/>
  </r>
  <r>
    <s v="P1010258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n v="3"/>
    <n v="1.0986122886681096"/>
    <x v="2"/>
    <x v="0"/>
    <x v="1"/>
    <x v="0"/>
    <x v="2"/>
    <x v="2"/>
    <x v="2"/>
    <x v="4"/>
    <x v="0"/>
    <x v="2"/>
    <x v="1"/>
    <x v="0"/>
    <x v="1"/>
    <n v="1.7320508075688772"/>
    <n v="1.0481470739682048"/>
    <x v="2"/>
    <x v="0"/>
    <x v="1"/>
    <x v="0"/>
    <x v="2"/>
    <x v="2"/>
    <x v="2"/>
    <x v="4"/>
    <x v="0"/>
    <x v="2"/>
    <x v="1"/>
    <x v="0"/>
  </r>
  <r>
    <s v="P1010259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0260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n v="5"/>
    <n v="1.3321790402101223"/>
    <x v="2"/>
    <x v="2"/>
    <x v="1"/>
    <x v="0"/>
    <x v="2"/>
    <x v="1"/>
    <x v="0"/>
    <x v="1"/>
    <x v="0"/>
    <x v="5"/>
    <x v="1"/>
    <x v="0"/>
    <x v="3"/>
    <n v="2.2360679774997898"/>
    <n v="1.1542006065715449"/>
    <x v="2"/>
    <x v="2"/>
    <x v="1"/>
    <x v="0"/>
    <x v="2"/>
    <x v="1"/>
    <x v="0"/>
    <x v="1"/>
    <x v="0"/>
    <x v="5"/>
    <x v="1"/>
    <x v="0"/>
  </r>
  <r>
    <s v="P1010263_IJ"/>
    <x v="2"/>
    <x v="12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3"/>
    <x v="0"/>
    <x v="0"/>
    <x v="0"/>
    <x v="0"/>
    <x v="0"/>
    <x v="4"/>
    <x v="0"/>
    <x v="1"/>
    <x v="0"/>
    <x v="0"/>
    <x v="0"/>
    <x v="4"/>
    <n v="7"/>
    <n v="1.5498260458782016"/>
    <x v="2"/>
    <x v="0"/>
    <x v="0"/>
    <x v="0"/>
    <x v="2"/>
    <x v="3"/>
    <x v="0"/>
    <x v="4"/>
    <x v="0"/>
    <x v="2"/>
    <x v="4"/>
    <x v="1"/>
    <x v="4"/>
    <n v="2.6457513110645907"/>
    <n v="1.2449200961821612"/>
    <x v="2"/>
    <x v="0"/>
    <x v="0"/>
    <x v="0"/>
    <x v="2"/>
    <x v="3"/>
    <x v="0"/>
    <x v="4"/>
    <x v="0"/>
    <x v="2"/>
    <x v="4"/>
    <x v="1"/>
  </r>
  <r>
    <s v="P1010246_IJ"/>
    <x v="2"/>
    <x v="1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1"/>
    <n v="3"/>
    <n v="1.0986122886681096"/>
    <x v="2"/>
    <x v="4"/>
    <x v="1"/>
    <x v="2"/>
    <x v="2"/>
    <x v="2"/>
    <x v="0"/>
    <x v="2"/>
    <x v="0"/>
    <x v="7"/>
    <x v="1"/>
    <x v="0"/>
    <x v="1"/>
    <n v="1.7320508075688772"/>
    <n v="1.0481470739682048"/>
    <x v="2"/>
    <x v="4"/>
    <x v="1"/>
    <x v="2"/>
    <x v="2"/>
    <x v="2"/>
    <x v="0"/>
    <x v="2"/>
    <x v="0"/>
    <x v="7"/>
    <x v="1"/>
    <x v="0"/>
  </r>
  <r>
    <s v="P1010247_IJ"/>
    <x v="2"/>
    <x v="13"/>
    <x v="0"/>
    <x v="1"/>
    <x v="0"/>
    <x v="0"/>
    <x v="0"/>
    <x v="0"/>
    <x v="0"/>
    <x v="0"/>
    <x v="0"/>
    <x v="0"/>
    <x v="0"/>
    <x v="1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3"/>
    <n v="5"/>
    <n v="1.3321790402101223"/>
    <x v="1"/>
    <x v="0"/>
    <x v="1"/>
    <x v="1"/>
    <x v="1"/>
    <x v="0"/>
    <x v="0"/>
    <x v="0"/>
    <x v="0"/>
    <x v="0"/>
    <x v="1"/>
    <x v="0"/>
    <x v="3"/>
    <n v="2.2360679774997898"/>
    <n v="1.1542006065715449"/>
    <x v="1"/>
    <x v="0"/>
    <x v="1"/>
    <x v="1"/>
    <x v="1"/>
    <x v="0"/>
    <x v="0"/>
    <x v="0"/>
    <x v="0"/>
    <x v="0"/>
    <x v="1"/>
    <x v="0"/>
  </r>
  <r>
    <s v="P1010248_IJ"/>
    <x v="2"/>
    <x v="1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3"/>
    <n v="5"/>
    <n v="1.3321790402101223"/>
    <x v="2"/>
    <x v="2"/>
    <x v="1"/>
    <x v="2"/>
    <x v="2"/>
    <x v="0"/>
    <x v="0"/>
    <x v="0"/>
    <x v="0"/>
    <x v="5"/>
    <x v="1"/>
    <x v="1"/>
    <x v="3"/>
    <n v="2.2360679774997898"/>
    <n v="1.1542006065715449"/>
    <x v="2"/>
    <x v="2"/>
    <x v="1"/>
    <x v="2"/>
    <x v="2"/>
    <x v="0"/>
    <x v="0"/>
    <x v="0"/>
    <x v="0"/>
    <x v="5"/>
    <x v="1"/>
    <x v="1"/>
  </r>
  <r>
    <s v="P1010249_IJ"/>
    <x v="2"/>
    <x v="13"/>
    <x v="0"/>
    <x v="1"/>
    <x v="0"/>
    <x v="0"/>
    <x v="0"/>
    <x v="0"/>
    <x v="0"/>
    <x v="0"/>
    <x v="0"/>
    <x v="0"/>
    <x v="0"/>
    <x v="4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n v="4"/>
    <n v="1.0397207708399179"/>
    <x v="2"/>
    <x v="0"/>
    <x v="0"/>
    <x v="1"/>
    <x v="1"/>
    <x v="2"/>
    <x v="0"/>
    <x v="2"/>
    <x v="0"/>
    <x v="2"/>
    <x v="0"/>
    <x v="0"/>
    <x v="1"/>
    <n v="2"/>
    <n v="1.0196669901688089"/>
    <x v="2"/>
    <x v="0"/>
    <x v="0"/>
    <x v="1"/>
    <x v="1"/>
    <x v="2"/>
    <x v="0"/>
    <x v="2"/>
    <x v="0"/>
    <x v="2"/>
    <x v="0"/>
    <x v="0"/>
  </r>
  <r>
    <s v="P1010250_IJ"/>
    <x v="2"/>
    <x v="1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3"/>
    <x v="0"/>
    <x v="0"/>
    <x v="0"/>
    <x v="2"/>
    <x v="0"/>
    <x v="0"/>
    <x v="0"/>
    <x v="0"/>
    <x v="0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n v="6"/>
    <n v="1.329661348854758"/>
    <x v="0"/>
    <x v="1"/>
    <x v="1"/>
    <x v="0"/>
    <x v="0"/>
    <x v="0"/>
    <x v="0"/>
    <x v="0"/>
    <x v="0"/>
    <x v="4"/>
    <x v="1"/>
    <x v="0"/>
    <x v="3"/>
    <n v="2.4494897427831779"/>
    <n v="1.153109426227519"/>
    <x v="0"/>
    <x v="1"/>
    <x v="1"/>
    <x v="0"/>
    <x v="0"/>
    <x v="0"/>
    <x v="0"/>
    <x v="0"/>
    <x v="0"/>
    <x v="4"/>
    <x v="1"/>
    <x v="0"/>
  </r>
  <r>
    <s v="P1010252_IJ"/>
    <x v="2"/>
    <x v="13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2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n v="4"/>
    <n v="1.0397207708399179"/>
    <x v="0"/>
    <x v="2"/>
    <x v="1"/>
    <x v="0"/>
    <x v="0"/>
    <x v="3"/>
    <x v="0"/>
    <x v="4"/>
    <x v="0"/>
    <x v="5"/>
    <x v="1"/>
    <x v="0"/>
    <x v="1"/>
    <n v="2"/>
    <n v="1.0196669901688089"/>
    <x v="0"/>
    <x v="2"/>
    <x v="1"/>
    <x v="0"/>
    <x v="0"/>
    <x v="3"/>
    <x v="0"/>
    <x v="4"/>
    <x v="0"/>
    <x v="5"/>
    <x v="1"/>
    <x v="0"/>
  </r>
  <r>
    <s v="P1010191_IJ"/>
    <x v="2"/>
    <x v="1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4"/>
    <x v="0"/>
    <x v="0"/>
    <x v="0"/>
    <x v="0"/>
    <x v="0"/>
    <x v="1"/>
    <n v="4"/>
    <n v="1.0397207708399179"/>
    <x v="0"/>
    <x v="0"/>
    <x v="0"/>
    <x v="0"/>
    <x v="0"/>
    <x v="3"/>
    <x v="0"/>
    <x v="4"/>
    <x v="0"/>
    <x v="2"/>
    <x v="0"/>
    <x v="0"/>
    <x v="1"/>
    <n v="2"/>
    <n v="1.0196669901688089"/>
    <x v="0"/>
    <x v="0"/>
    <x v="0"/>
    <x v="0"/>
    <x v="0"/>
    <x v="3"/>
    <x v="0"/>
    <x v="4"/>
    <x v="0"/>
    <x v="2"/>
    <x v="0"/>
    <x v="0"/>
  </r>
  <r>
    <s v="P1010192_IJ"/>
    <x v="2"/>
    <x v="14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2"/>
    <x v="0"/>
    <x v="1"/>
    <x v="0"/>
    <x v="0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4"/>
    <n v="6"/>
    <n v="1.5607104090414063"/>
    <x v="2"/>
    <x v="2"/>
    <x v="1"/>
    <x v="2"/>
    <x v="2"/>
    <x v="3"/>
    <x v="0"/>
    <x v="4"/>
    <x v="3"/>
    <x v="5"/>
    <x v="1"/>
    <x v="1"/>
    <x v="4"/>
    <n v="2.4494897427831779"/>
    <n v="1.2492839585304081"/>
    <x v="2"/>
    <x v="2"/>
    <x v="1"/>
    <x v="2"/>
    <x v="2"/>
    <x v="3"/>
    <x v="0"/>
    <x v="4"/>
    <x v="3"/>
    <x v="5"/>
    <x v="1"/>
    <x v="1"/>
  </r>
  <r>
    <s v="P1010194_IJ"/>
    <x v="2"/>
    <x v="14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4"/>
    <x v="0"/>
    <x v="0"/>
    <x v="0"/>
    <x v="0"/>
    <x v="0"/>
    <x v="1"/>
    <n v="4"/>
    <n v="1.0397207708399179"/>
    <x v="0"/>
    <x v="2"/>
    <x v="1"/>
    <x v="0"/>
    <x v="0"/>
    <x v="0"/>
    <x v="0"/>
    <x v="0"/>
    <x v="0"/>
    <x v="0"/>
    <x v="1"/>
    <x v="0"/>
    <x v="1"/>
    <n v="2"/>
    <n v="1.0196669901688089"/>
    <x v="0"/>
    <x v="2"/>
    <x v="1"/>
    <x v="0"/>
    <x v="0"/>
    <x v="0"/>
    <x v="0"/>
    <x v="0"/>
    <x v="0"/>
    <x v="0"/>
    <x v="1"/>
    <x v="0"/>
  </r>
  <r>
    <s v="P1010195_IJ"/>
    <x v="2"/>
    <x v="14"/>
    <x v="0"/>
    <x v="1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0"/>
    <x v="0"/>
    <x v="0"/>
    <x v="0"/>
    <x v="3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4"/>
    <x v="0"/>
    <x v="0"/>
    <x v="0"/>
    <x v="0"/>
    <x v="0"/>
    <x v="6"/>
    <n v="7"/>
    <n v="1.7478680974667573"/>
    <x v="1"/>
    <x v="2"/>
    <x v="0"/>
    <x v="2"/>
    <x v="1"/>
    <x v="3"/>
    <x v="0"/>
    <x v="4"/>
    <x v="1"/>
    <x v="0"/>
    <x v="0"/>
    <x v="0"/>
    <x v="6"/>
    <n v="2.6457513110645907"/>
    <n v="1.3220696265578289"/>
    <x v="1"/>
    <x v="2"/>
    <x v="0"/>
    <x v="2"/>
    <x v="1"/>
    <x v="3"/>
    <x v="0"/>
    <x v="4"/>
    <x v="1"/>
    <x v="0"/>
    <x v="0"/>
    <x v="0"/>
  </r>
  <r>
    <s v="P1010197_IJ"/>
    <x v="2"/>
    <x v="14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"/>
    <n v="0.69314718055994529"/>
    <x v="2"/>
    <x v="0"/>
    <x v="1"/>
    <x v="2"/>
    <x v="2"/>
    <x v="2"/>
    <x v="0"/>
    <x v="2"/>
    <x v="1"/>
    <x v="2"/>
    <x v="1"/>
    <x v="0"/>
    <x v="0"/>
    <n v="1.4142135623730951"/>
    <n v="0.83255461115769769"/>
    <x v="2"/>
    <x v="0"/>
    <x v="1"/>
    <x v="2"/>
    <x v="2"/>
    <x v="2"/>
    <x v="0"/>
    <x v="2"/>
    <x v="1"/>
    <x v="2"/>
    <x v="1"/>
    <x v="0"/>
  </r>
  <r>
    <s v="P1010198_IJ"/>
    <x v="2"/>
    <x v="14"/>
    <x v="0"/>
    <x v="1"/>
    <x v="0"/>
    <x v="0"/>
    <x v="0"/>
    <x v="0"/>
    <x v="0"/>
    <x v="0"/>
    <x v="0"/>
    <x v="0"/>
    <x v="0"/>
    <x v="4"/>
    <x v="1"/>
    <x v="0"/>
    <x v="0"/>
    <x v="0"/>
    <x v="0"/>
    <x v="0"/>
    <x v="0"/>
    <x v="0"/>
    <x v="0"/>
    <x v="0"/>
    <x v="0"/>
    <x v="0"/>
    <x v="2"/>
    <x v="1"/>
    <x v="1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4"/>
    <n v="6"/>
    <n v="1.5607104090414063"/>
    <x v="1"/>
    <x v="2"/>
    <x v="1"/>
    <x v="5"/>
    <x v="3"/>
    <x v="0"/>
    <x v="0"/>
    <x v="0"/>
    <x v="0"/>
    <x v="0"/>
    <x v="1"/>
    <x v="0"/>
    <x v="4"/>
    <n v="2.4494897427831779"/>
    <n v="1.2492839585304081"/>
    <x v="1"/>
    <x v="2"/>
    <x v="1"/>
    <x v="5"/>
    <x v="3"/>
    <x v="0"/>
    <x v="0"/>
    <x v="0"/>
    <x v="0"/>
    <x v="0"/>
    <x v="1"/>
    <x v="0"/>
  </r>
  <r>
    <s v="P1010240_IJ"/>
    <x v="2"/>
    <x v="1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0"/>
    <x v="0"/>
    <x v="3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1"/>
    <n v="5"/>
    <n v="0.95027053923323468"/>
    <x v="0"/>
    <x v="2"/>
    <x v="1"/>
    <x v="0"/>
    <x v="0"/>
    <x v="3"/>
    <x v="0"/>
    <x v="4"/>
    <x v="0"/>
    <x v="3"/>
    <x v="1"/>
    <x v="0"/>
    <x v="1"/>
    <n v="2.2360679774997898"/>
    <n v="0.97481820830000643"/>
    <x v="0"/>
    <x v="2"/>
    <x v="1"/>
    <x v="0"/>
    <x v="0"/>
    <x v="3"/>
    <x v="0"/>
    <x v="4"/>
    <x v="0"/>
    <x v="3"/>
    <x v="1"/>
    <x v="0"/>
  </r>
  <r>
    <s v="P1010242_IJ"/>
    <x v="2"/>
    <x v="15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n v="1"/>
    <n v="0"/>
    <x v="0"/>
    <x v="0"/>
    <x v="1"/>
    <x v="0"/>
    <x v="0"/>
    <x v="2"/>
    <x v="0"/>
    <x v="2"/>
    <x v="0"/>
    <x v="2"/>
    <x v="1"/>
    <x v="0"/>
    <x v="2"/>
    <n v="1"/>
    <n v="0"/>
    <x v="0"/>
    <x v="0"/>
    <x v="1"/>
    <x v="0"/>
    <x v="0"/>
    <x v="2"/>
    <x v="0"/>
    <x v="2"/>
    <x v="0"/>
    <x v="2"/>
    <x v="1"/>
    <x v="0"/>
  </r>
  <r>
    <s v="ON0_45_090924_IJ"/>
    <x v="2"/>
    <x v="1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0"/>
    <x v="0"/>
    <x v="0"/>
    <x v="0"/>
    <x v="0"/>
    <x v="0"/>
    <x v="2"/>
    <x v="0"/>
    <x v="0"/>
    <x v="0"/>
    <x v="2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n v="3"/>
    <n v="1.0986122886681096"/>
    <x v="0"/>
    <x v="1"/>
    <x v="1"/>
    <x v="0"/>
    <x v="0"/>
    <x v="3"/>
    <x v="0"/>
    <x v="4"/>
    <x v="0"/>
    <x v="5"/>
    <x v="1"/>
    <x v="0"/>
    <x v="1"/>
    <n v="1.7320508075688772"/>
    <n v="1.0481470739682048"/>
    <x v="0"/>
    <x v="1"/>
    <x v="1"/>
    <x v="0"/>
    <x v="0"/>
    <x v="3"/>
    <x v="0"/>
    <x v="4"/>
    <x v="0"/>
    <x v="5"/>
    <x v="1"/>
    <x v="0"/>
  </r>
  <r>
    <s v="ON0_46_090924_IJ"/>
    <x v="2"/>
    <x v="1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ON0_47_090924_IJ"/>
    <x v="2"/>
    <x v="1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ON0_49_090924_IJ"/>
    <x v="2"/>
    <x v="15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n v="4"/>
    <n v="1.0397207708399179"/>
    <x v="0"/>
    <x v="0"/>
    <x v="1"/>
    <x v="0"/>
    <x v="0"/>
    <x v="2"/>
    <x v="0"/>
    <x v="2"/>
    <x v="0"/>
    <x v="2"/>
    <x v="1"/>
    <x v="0"/>
    <x v="1"/>
    <n v="2"/>
    <n v="1.0196669901688089"/>
    <x v="0"/>
    <x v="0"/>
    <x v="1"/>
    <x v="0"/>
    <x v="0"/>
    <x v="2"/>
    <x v="0"/>
    <x v="2"/>
    <x v="0"/>
    <x v="2"/>
    <x v="1"/>
    <x v="0"/>
  </r>
  <r>
    <s v="P1010225_IJ"/>
    <x v="2"/>
    <x v="16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n v="2"/>
    <n v="0.69314718055994529"/>
    <x v="2"/>
    <x v="4"/>
    <x v="1"/>
    <x v="0"/>
    <x v="2"/>
    <x v="2"/>
    <x v="0"/>
    <x v="2"/>
    <x v="0"/>
    <x v="7"/>
    <x v="1"/>
    <x v="0"/>
    <x v="0"/>
    <n v="1.4142135623730951"/>
    <n v="0.83255461115769769"/>
    <x v="2"/>
    <x v="4"/>
    <x v="1"/>
    <x v="0"/>
    <x v="2"/>
    <x v="2"/>
    <x v="0"/>
    <x v="2"/>
    <x v="0"/>
    <x v="7"/>
    <x v="1"/>
    <x v="0"/>
  </r>
  <r>
    <s v="P1010226_IJ"/>
    <x v="2"/>
    <x v="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P1010227_IJ"/>
    <x v="2"/>
    <x v="16"/>
    <x v="1"/>
    <x v="1"/>
    <x v="0"/>
    <x v="0"/>
    <x v="0"/>
    <x v="0"/>
    <x v="1"/>
    <x v="0"/>
    <x v="0"/>
    <x v="0"/>
    <x v="0"/>
    <x v="4"/>
    <x v="0"/>
    <x v="0"/>
    <x v="0"/>
    <x v="0"/>
    <x v="0"/>
    <x v="0"/>
    <x v="1"/>
    <x v="0"/>
    <x v="0"/>
    <x v="0"/>
    <x v="1"/>
    <x v="0"/>
    <x v="2"/>
    <x v="0"/>
    <x v="0"/>
    <x v="1"/>
    <x v="0"/>
    <x v="1"/>
    <x v="0"/>
    <x v="0"/>
    <x v="0"/>
    <x v="0"/>
    <x v="0"/>
    <x v="0"/>
    <x v="0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3"/>
    <x v="0"/>
    <x v="0"/>
    <x v="0"/>
    <x v="0"/>
    <x v="8"/>
    <n v="11"/>
    <n v="1.8462202193216335"/>
    <x v="1"/>
    <x v="3"/>
    <x v="1"/>
    <x v="1"/>
    <x v="3"/>
    <x v="2"/>
    <x v="1"/>
    <x v="0"/>
    <x v="1"/>
    <x v="4"/>
    <x v="1"/>
    <x v="0"/>
    <x v="8"/>
    <n v="3.3166247903553998"/>
    <n v="1.358756865418399"/>
    <x v="1"/>
    <x v="3"/>
    <x v="1"/>
    <x v="1"/>
    <x v="3"/>
    <x v="2"/>
    <x v="1"/>
    <x v="0"/>
    <x v="1"/>
    <x v="4"/>
    <x v="1"/>
    <x v="0"/>
  </r>
  <r>
    <s v="ON2_43_090924_IJ"/>
    <x v="2"/>
    <x v="16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ON2_44_090924_IJ"/>
    <x v="2"/>
    <x v="16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1"/>
    <x v="0"/>
    <x v="0"/>
    <x v="3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n v="5"/>
    <n v="1.3321790402101223"/>
    <x v="2"/>
    <x v="2"/>
    <x v="1"/>
    <x v="2"/>
    <x v="2"/>
    <x v="3"/>
    <x v="0"/>
    <x v="4"/>
    <x v="3"/>
    <x v="5"/>
    <x v="1"/>
    <x v="0"/>
    <x v="3"/>
    <n v="2.2360679774997898"/>
    <n v="1.1542006065715449"/>
    <x v="2"/>
    <x v="2"/>
    <x v="1"/>
    <x v="2"/>
    <x v="2"/>
    <x v="3"/>
    <x v="0"/>
    <x v="4"/>
    <x v="3"/>
    <x v="5"/>
    <x v="1"/>
    <x v="0"/>
  </r>
  <r>
    <s v="ON2_81_090924_IJ"/>
    <x v="2"/>
    <x v="16"/>
    <x v="1"/>
    <x v="1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2"/>
    <n v="1"/>
    <n v="0"/>
    <x v="0"/>
    <x v="4"/>
    <x v="1"/>
    <x v="0"/>
    <x v="0"/>
    <x v="2"/>
    <x v="0"/>
    <x v="2"/>
    <x v="0"/>
    <x v="7"/>
    <x v="1"/>
    <x v="0"/>
    <x v="2"/>
    <n v="1"/>
    <n v="0"/>
    <x v="0"/>
    <x v="4"/>
    <x v="1"/>
    <x v="0"/>
    <x v="0"/>
    <x v="2"/>
    <x v="0"/>
    <x v="2"/>
    <x v="0"/>
    <x v="7"/>
    <x v="1"/>
    <x v="0"/>
  </r>
  <r>
    <s v="P1010208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1"/>
    <x v="0"/>
    <x v="0"/>
    <x v="0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1"/>
    <n v="3"/>
    <n v="1.0986122886681096"/>
    <x v="0"/>
    <x v="2"/>
    <x v="0"/>
    <x v="0"/>
    <x v="0"/>
    <x v="3"/>
    <x v="0"/>
    <x v="4"/>
    <x v="0"/>
    <x v="0"/>
    <x v="0"/>
    <x v="0"/>
    <x v="1"/>
    <n v="1.7320508075688772"/>
    <n v="1.0481470739682048"/>
    <x v="0"/>
    <x v="2"/>
    <x v="0"/>
    <x v="0"/>
    <x v="0"/>
    <x v="3"/>
    <x v="0"/>
    <x v="4"/>
    <x v="0"/>
    <x v="0"/>
    <x v="0"/>
    <x v="0"/>
  </r>
  <r>
    <s v="P1010210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3"/>
    <n v="4"/>
    <n v="1.3862943611198906"/>
    <x v="2"/>
    <x v="2"/>
    <x v="1"/>
    <x v="0"/>
    <x v="2"/>
    <x v="2"/>
    <x v="0"/>
    <x v="2"/>
    <x v="1"/>
    <x v="0"/>
    <x v="1"/>
    <x v="0"/>
    <x v="3"/>
    <n v="2"/>
    <n v="1.1774100225154747"/>
    <x v="2"/>
    <x v="2"/>
    <x v="1"/>
    <x v="0"/>
    <x v="2"/>
    <x v="2"/>
    <x v="0"/>
    <x v="2"/>
    <x v="1"/>
    <x v="0"/>
    <x v="1"/>
    <x v="0"/>
  </r>
  <r>
    <s v="ON4_71_090924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1"/>
    <x v="0"/>
    <x v="0"/>
    <x v="0"/>
    <x v="0"/>
    <x v="0"/>
    <x v="1"/>
    <x v="2"/>
    <x v="0"/>
    <x v="0"/>
    <x v="0"/>
    <x v="0"/>
    <x v="3"/>
    <n v="6"/>
    <n v="1.242453324894"/>
    <x v="0"/>
    <x v="0"/>
    <x v="0"/>
    <x v="0"/>
    <x v="0"/>
    <x v="2"/>
    <x v="2"/>
    <x v="4"/>
    <x v="0"/>
    <x v="2"/>
    <x v="2"/>
    <x v="0"/>
    <x v="3"/>
    <n v="2.4494897427831779"/>
    <n v="1.1146539036373577"/>
    <x v="0"/>
    <x v="0"/>
    <x v="0"/>
    <x v="0"/>
    <x v="0"/>
    <x v="2"/>
    <x v="2"/>
    <x v="4"/>
    <x v="0"/>
    <x v="2"/>
    <x v="2"/>
    <x v="0"/>
  </r>
  <r>
    <s v="ON4_72_090924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5"/>
    <n v="0"/>
    <n v="0"/>
    <x v="0"/>
    <x v="4"/>
    <x v="1"/>
    <x v="0"/>
    <x v="0"/>
    <x v="2"/>
    <x v="0"/>
    <x v="2"/>
    <x v="0"/>
    <x v="7"/>
    <x v="1"/>
    <x v="0"/>
    <x v="5"/>
    <n v="0"/>
    <n v="0"/>
    <x v="0"/>
    <x v="4"/>
    <x v="1"/>
    <x v="0"/>
    <x v="0"/>
    <x v="2"/>
    <x v="0"/>
    <x v="2"/>
    <x v="0"/>
    <x v="7"/>
    <x v="1"/>
    <x v="0"/>
  </r>
  <r>
    <s v="ON4_73_090924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1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n v="4"/>
    <n v="1.0397207708399179"/>
    <x v="2"/>
    <x v="0"/>
    <x v="1"/>
    <x v="0"/>
    <x v="2"/>
    <x v="2"/>
    <x v="0"/>
    <x v="2"/>
    <x v="0"/>
    <x v="2"/>
    <x v="1"/>
    <x v="0"/>
    <x v="1"/>
    <n v="2"/>
    <n v="1.0196669901688089"/>
    <x v="2"/>
    <x v="0"/>
    <x v="1"/>
    <x v="0"/>
    <x v="2"/>
    <x v="2"/>
    <x v="0"/>
    <x v="2"/>
    <x v="0"/>
    <x v="2"/>
    <x v="1"/>
    <x v="0"/>
  </r>
  <r>
    <s v="ON4_74_090924_IJ"/>
    <x v="2"/>
    <x v="17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2"/>
    <x v="0"/>
    <x v="0"/>
    <x v="0"/>
    <x v="0"/>
    <x v="1"/>
    <x v="0"/>
    <x v="0"/>
    <x v="0"/>
    <x v="0"/>
    <x v="0"/>
    <x v="0"/>
    <x v="0"/>
    <x v="0"/>
    <x v="0"/>
    <x v="0"/>
    <x v="3"/>
    <x v="0"/>
    <x v="0"/>
    <x v="0"/>
    <x v="0"/>
    <x v="0"/>
    <x v="1"/>
    <x v="0"/>
    <x v="0"/>
    <x v="0"/>
    <x v="0"/>
    <x v="0"/>
    <x v="1"/>
    <n v="4"/>
    <n v="1.0397207708399179"/>
    <x v="0"/>
    <x v="0"/>
    <x v="0"/>
    <x v="0"/>
    <x v="0"/>
    <x v="2"/>
    <x v="0"/>
    <x v="2"/>
    <x v="0"/>
    <x v="2"/>
    <x v="4"/>
    <x v="0"/>
    <x v="1"/>
    <n v="2"/>
    <n v="1.0196669901688089"/>
    <x v="0"/>
    <x v="0"/>
    <x v="0"/>
    <x v="0"/>
    <x v="0"/>
    <x v="2"/>
    <x v="0"/>
    <x v="2"/>
    <x v="0"/>
    <x v="2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dataOnRows="1" autoFormatId="0" applyNumberFormats="0" applyBorderFormats="0" applyFontFormats="0" applyPatternFormats="0" applyAlignmentFormats="0" applyWidthHeightFormats="1" dataCaption="Data" showMultipleLabel="0" showMemberPropertyTips="0" useAutoFormatting="1" rowGrandTotals="0" colGrandTotals="0" indent="0" compact="0" compactData="0" gridDropZones="1">
  <location ref="DL3:DP36" firstHeaderRow="1" firstDataRow="2" firstDataCol="3"/>
  <pivotFields count="96">
    <pivotField compact="0" outline="0" subtotalTop="0" showAll="0" includeNewItemsInFilter="1"/>
    <pivotField axis="axisRow" compact="0" outline="0" subtotalTop="0" showAll="0" includeNewItemsInFilter="1">
      <items count="4">
        <item x="2"/>
        <item x="1"/>
        <item x="0"/>
        <item t="default"/>
      </items>
    </pivotField>
    <pivotField compact="0" outline="0" subtotalTop="0" showAll="0" includeNewItemsInFilter="1"/>
    <pivotField axis="axisRow" compact="0" outline="0" subtotalTop="0" showAll="0" includeNewItemsInFilter="1">
      <items count="3">
        <item x="0"/>
        <item x="1"/>
        <item t="default"/>
      </items>
    </pivotField>
    <pivotField axis="axisCol" compact="0" outline="0" subtotalTop="0" showAll="0" includeNewItemsInFilter="1">
      <items count="3">
        <item x="0"/>
        <item x="1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avgSubtotal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3">
    <field x="3"/>
    <field x="1"/>
    <field x="-2"/>
  </rowFields>
  <rowItems count="32">
    <i>
      <x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t="default">
      <x/>
    </i>
    <i t="default" i="1">
      <x/>
    </i>
    <i t="default" i="2">
      <x/>
    </i>
    <i t="default" i="3">
      <x/>
    </i>
    <i>
      <x v="1"/>
      <x/>
      <x/>
    </i>
    <i r="2" i="1">
      <x v="1"/>
    </i>
    <i r="2" i="2">
      <x v="2"/>
    </i>
    <i r="2" i="3">
      <x v="3"/>
    </i>
    <i r="1">
      <x v="1"/>
      <x/>
    </i>
    <i r="2" i="1">
      <x v="1"/>
    </i>
    <i r="2" i="2">
      <x v="2"/>
    </i>
    <i r="2" i="3">
      <x v="3"/>
    </i>
    <i r="1">
      <x v="2"/>
      <x/>
    </i>
    <i r="2" i="1">
      <x v="1"/>
    </i>
    <i r="2" i="2">
      <x v="2"/>
    </i>
    <i r="2" i="3">
      <x v="3"/>
    </i>
    <i t="default">
      <x v="1"/>
    </i>
    <i t="default" i="1">
      <x v="1"/>
    </i>
    <i t="default" i="2">
      <x v="1"/>
    </i>
    <i t="default" i="3">
      <x v="1"/>
    </i>
  </rowItems>
  <colFields count="1">
    <field x="4"/>
  </colFields>
  <colItems count="2">
    <i>
      <x/>
    </i>
    <i>
      <x v="1"/>
    </i>
  </colItems>
  <dataFields count="4">
    <dataField name="Average of Chiton #" fld="73" subtotal="average" baseField="0" baseItem="0"/>
    <dataField name="StdDev of Chiton #" fld="73" subtotal="stdDev" baseField="0" baseItem="0"/>
    <dataField name="Average of Tonicella spp" fld="72" subtotal="average" baseField="0" baseItem="0"/>
    <dataField name="StdDev of Tonicella spp" fld="72" subtotal="stdDev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baseColWidth="10" defaultRowHeight="13" x14ac:dyDescent="0"/>
  <sheetData/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baseColWidth="10" defaultRowHeight="13" x14ac:dyDescent="0"/>
  <sheetData/>
  <phoneticPr fontId="5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17"/>
  <sheetViews>
    <sheetView zoomScale="11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A24" sqref="AA24"/>
    </sheetView>
  </sheetViews>
  <sheetFormatPr baseColWidth="10" defaultRowHeight="13" x14ac:dyDescent="0"/>
  <cols>
    <col min="1" max="1" width="14.7109375" style="13" customWidth="1"/>
    <col min="2" max="2" width="2.7109375" style="13" bestFit="1" customWidth="1"/>
    <col min="3" max="3" width="4.140625" style="13" bestFit="1" customWidth="1"/>
    <col min="4" max="4" width="4.140625" style="13" customWidth="1"/>
    <col min="5" max="5" width="4.7109375" style="13" customWidth="1"/>
    <col min="6" max="6" width="2.7109375" style="13" bestFit="1" customWidth="1"/>
    <col min="7" max="10" width="2.7109375" style="13" customWidth="1"/>
    <col min="11" max="11" width="2.7109375" style="13" bestFit="1" customWidth="1"/>
    <col min="12" max="14" width="2.7109375" style="13" customWidth="1"/>
    <col min="15" max="15" width="3" style="13" bestFit="1" customWidth="1"/>
    <col min="16" max="19" width="3" style="13" customWidth="1"/>
    <col min="20" max="20" width="2.7109375" style="13" customWidth="1"/>
    <col min="21" max="21" width="2.7109375" style="13" bestFit="1" customWidth="1"/>
    <col min="22" max="26" width="2.7109375" style="13" customWidth="1"/>
    <col min="27" max="27" width="3" style="13" bestFit="1" customWidth="1"/>
    <col min="28" max="29" width="3" style="13" customWidth="1"/>
    <col min="30" max="31" width="3" style="13" bestFit="1" customWidth="1"/>
    <col min="32" max="32" width="2.7109375" style="13" bestFit="1" customWidth="1"/>
    <col min="33" max="33" width="2.7109375" style="13" customWidth="1"/>
    <col min="34" max="40" width="2.7109375" style="13" bestFit="1" customWidth="1"/>
    <col min="41" max="41" width="2.7109375" style="13" customWidth="1"/>
    <col min="42" max="42" width="2.7109375" style="13" bestFit="1" customWidth="1"/>
    <col min="43" max="45" width="2.7109375" style="13" customWidth="1"/>
    <col min="46" max="50" width="2.7109375" style="13" bestFit="1" customWidth="1"/>
    <col min="51" max="53" width="2.7109375" style="13" customWidth="1"/>
    <col min="54" max="57" width="2.7109375" style="13" bestFit="1" customWidth="1"/>
    <col min="58" max="58" width="2.7109375" style="13" customWidth="1"/>
    <col min="59" max="59" width="2.7109375" style="13" bestFit="1" customWidth="1"/>
    <col min="60" max="61" width="2.7109375" style="13" customWidth="1"/>
    <col min="62" max="67" width="2.7109375" style="13" bestFit="1" customWidth="1"/>
    <col min="68" max="70" width="10.7109375" style="13"/>
    <col min="71" max="71" width="12" style="13" bestFit="1" customWidth="1"/>
    <col min="72" max="74" width="10.7109375" style="13"/>
    <col min="75" max="16384" width="10.7109375" style="11"/>
  </cols>
  <sheetData>
    <row r="1" spans="1:71" s="1" customFormat="1" ht="59" customHeight="1">
      <c r="A1" s="1" t="s">
        <v>278</v>
      </c>
      <c r="B1" s="2" t="s">
        <v>76</v>
      </c>
      <c r="C1" s="2" t="s">
        <v>77</v>
      </c>
      <c r="D1" s="2" t="s">
        <v>318</v>
      </c>
      <c r="E1" s="1" t="s">
        <v>279</v>
      </c>
      <c r="F1" s="3" t="s">
        <v>78</v>
      </c>
      <c r="G1" s="3" t="s">
        <v>27</v>
      </c>
      <c r="H1" s="3" t="s">
        <v>179</v>
      </c>
      <c r="I1" s="3" t="s">
        <v>330</v>
      </c>
      <c r="J1" s="3" t="s">
        <v>223</v>
      </c>
      <c r="K1" s="3" t="s">
        <v>224</v>
      </c>
      <c r="L1" s="3" t="s">
        <v>181</v>
      </c>
      <c r="M1" s="3" t="s">
        <v>150</v>
      </c>
      <c r="N1" s="4" t="s">
        <v>149</v>
      </c>
      <c r="O1" s="4" t="s">
        <v>38</v>
      </c>
      <c r="P1" s="4" t="s">
        <v>222</v>
      </c>
      <c r="Q1" s="4" t="s">
        <v>198</v>
      </c>
      <c r="R1" s="4" t="s">
        <v>171</v>
      </c>
      <c r="S1" s="4" t="s">
        <v>172</v>
      </c>
      <c r="T1" s="4" t="s">
        <v>285</v>
      </c>
      <c r="U1" s="4" t="s">
        <v>37</v>
      </c>
      <c r="V1" s="4" t="s">
        <v>143</v>
      </c>
      <c r="W1" s="4" t="s">
        <v>276</v>
      </c>
      <c r="X1" s="5" t="s">
        <v>277</v>
      </c>
      <c r="Y1" s="5" t="s">
        <v>117</v>
      </c>
      <c r="Z1" s="5" t="s">
        <v>18</v>
      </c>
      <c r="AA1" s="5" t="s">
        <v>303</v>
      </c>
      <c r="AB1" s="5" t="s">
        <v>59</v>
      </c>
      <c r="AC1" s="5" t="s">
        <v>325</v>
      </c>
      <c r="AD1" s="5" t="s">
        <v>304</v>
      </c>
      <c r="AE1" s="5" t="s">
        <v>305</v>
      </c>
      <c r="AF1" s="5" t="s">
        <v>306</v>
      </c>
      <c r="AG1" s="5" t="s">
        <v>36</v>
      </c>
      <c r="AH1" s="5" t="s">
        <v>307</v>
      </c>
      <c r="AI1" s="5" t="s">
        <v>308</v>
      </c>
      <c r="AJ1" s="5" t="s">
        <v>323</v>
      </c>
      <c r="AK1" s="5" t="s">
        <v>324</v>
      </c>
      <c r="AL1" s="5" t="s">
        <v>248</v>
      </c>
      <c r="AM1" s="5" t="s">
        <v>309</v>
      </c>
      <c r="AN1" s="5" t="s">
        <v>310</v>
      </c>
      <c r="AO1" s="5" t="s">
        <v>317</v>
      </c>
      <c r="AP1" s="5" t="s">
        <v>311</v>
      </c>
      <c r="AQ1" s="5" t="s">
        <v>254</v>
      </c>
      <c r="AR1" s="5" t="s">
        <v>299</v>
      </c>
      <c r="AS1" s="6" t="s">
        <v>286</v>
      </c>
      <c r="AT1" s="6" t="s">
        <v>237</v>
      </c>
      <c r="AU1" s="6" t="s">
        <v>239</v>
      </c>
      <c r="AV1" s="6" t="s">
        <v>51</v>
      </c>
      <c r="AW1" s="6" t="s">
        <v>52</v>
      </c>
      <c r="AX1" s="6" t="s">
        <v>53</v>
      </c>
      <c r="AY1" s="6" t="s">
        <v>199</v>
      </c>
      <c r="AZ1" s="6" t="s">
        <v>328</v>
      </c>
      <c r="BA1" s="6" t="s">
        <v>101</v>
      </c>
      <c r="BB1" s="7" t="s">
        <v>54</v>
      </c>
      <c r="BC1" s="7" t="s">
        <v>61</v>
      </c>
      <c r="BD1" s="8" t="s">
        <v>62</v>
      </c>
      <c r="BE1" s="8" t="s">
        <v>63</v>
      </c>
      <c r="BF1" s="12" t="s">
        <v>25</v>
      </c>
      <c r="BG1" s="9" t="s">
        <v>64</v>
      </c>
      <c r="BH1" s="9" t="s">
        <v>242</v>
      </c>
      <c r="BI1" s="9" t="s">
        <v>246</v>
      </c>
      <c r="BJ1" s="9" t="s">
        <v>65</v>
      </c>
      <c r="BK1" s="9" t="s">
        <v>66</v>
      </c>
      <c r="BL1" s="10" t="s">
        <v>67</v>
      </c>
      <c r="BM1" s="10" t="s">
        <v>274</v>
      </c>
      <c r="BN1" s="1" t="s">
        <v>275</v>
      </c>
      <c r="BO1" s="1" t="s">
        <v>291</v>
      </c>
      <c r="BQ1" s="1" t="s">
        <v>206</v>
      </c>
      <c r="BR1" s="1" t="s">
        <v>173</v>
      </c>
      <c r="BS1" s="1" t="s">
        <v>174</v>
      </c>
    </row>
    <row r="2" spans="1:71">
      <c r="A2" s="13" t="s">
        <v>280</v>
      </c>
      <c r="B2" s="13" t="s">
        <v>281</v>
      </c>
      <c r="C2" s="13" t="s">
        <v>282</v>
      </c>
      <c r="D2" s="13" t="s">
        <v>319</v>
      </c>
      <c r="E2" s="13" t="s">
        <v>283</v>
      </c>
      <c r="AA2" s="13">
        <v>2</v>
      </c>
      <c r="AS2" s="13">
        <v>1</v>
      </c>
      <c r="BQ2">
        <f t="shared" ref="BQ2:BQ19" si="0">COUNTIF(F2:BM2, "&gt;0")</f>
        <v>2</v>
      </c>
      <c r="BR2" s="13">
        <f>SUM(F2:BM2)</f>
        <v>3</v>
      </c>
      <c r="BS2" s="13">
        <f>[1]!shannonweaver(F2:BM2)</f>
        <v>0.63651416829481278</v>
      </c>
    </row>
    <row r="3" spans="1:71">
      <c r="A3" s="13" t="s">
        <v>284</v>
      </c>
      <c r="B3" s="13" t="s">
        <v>281</v>
      </c>
      <c r="C3" s="13" t="s">
        <v>282</v>
      </c>
      <c r="D3" s="13" t="s">
        <v>319</v>
      </c>
      <c r="E3" s="13" t="s">
        <v>283</v>
      </c>
      <c r="X3" s="13">
        <v>1</v>
      </c>
      <c r="AA3" s="13">
        <v>3</v>
      </c>
      <c r="AM3" s="13">
        <v>2</v>
      </c>
      <c r="BQ3">
        <f t="shared" si="0"/>
        <v>3</v>
      </c>
      <c r="BR3" s="13">
        <f t="shared" ref="BR3:BR66" si="1">SUM(F3:BM3)</f>
        <v>6</v>
      </c>
      <c r="BS3" s="13">
        <f>[1]!shannonweaver(F3:BM3)</f>
        <v>1.0114042647073518</v>
      </c>
    </row>
    <row r="4" spans="1:71">
      <c r="A4" s="13" t="s">
        <v>287</v>
      </c>
      <c r="B4" s="13" t="s">
        <v>281</v>
      </c>
      <c r="C4" s="13" t="s">
        <v>282</v>
      </c>
      <c r="D4" s="13" t="s">
        <v>319</v>
      </c>
      <c r="E4" s="13" t="s">
        <v>283</v>
      </c>
      <c r="AM4" s="13">
        <v>1</v>
      </c>
      <c r="BL4" s="13">
        <v>1</v>
      </c>
      <c r="BQ4">
        <f t="shared" si="0"/>
        <v>2</v>
      </c>
      <c r="BR4" s="13">
        <f t="shared" si="1"/>
        <v>2</v>
      </c>
      <c r="BS4" s="13">
        <f>[1]!shannonweaver(F4:BM4)</f>
        <v>0.69314718055994529</v>
      </c>
    </row>
    <row r="5" spans="1:71">
      <c r="A5" s="13" t="s">
        <v>288</v>
      </c>
      <c r="B5" s="13" t="s">
        <v>281</v>
      </c>
      <c r="C5" s="13" t="s">
        <v>282</v>
      </c>
      <c r="D5" s="13" t="s">
        <v>319</v>
      </c>
      <c r="E5" s="13" t="s">
        <v>283</v>
      </c>
      <c r="AA5" s="13">
        <v>2</v>
      </c>
      <c r="AD5" s="13">
        <v>2</v>
      </c>
      <c r="BQ5">
        <f t="shared" si="0"/>
        <v>2</v>
      </c>
      <c r="BR5" s="13">
        <f t="shared" si="1"/>
        <v>4</v>
      </c>
      <c r="BS5" s="13">
        <f>[1]!shannonweaver(F5:BM5)</f>
        <v>0.69314718055994529</v>
      </c>
    </row>
    <row r="6" spans="1:71">
      <c r="A6" s="13" t="s">
        <v>289</v>
      </c>
      <c r="B6" s="13" t="s">
        <v>281</v>
      </c>
      <c r="C6" s="13" t="s">
        <v>282</v>
      </c>
      <c r="D6" s="13" t="s">
        <v>319</v>
      </c>
      <c r="E6" s="13" t="s">
        <v>283</v>
      </c>
      <c r="AD6" s="13">
        <v>1</v>
      </c>
      <c r="BQ6">
        <f t="shared" si="0"/>
        <v>1</v>
      </c>
      <c r="BR6" s="13">
        <f t="shared" si="1"/>
        <v>1</v>
      </c>
      <c r="BS6" s="13">
        <v>0</v>
      </c>
    </row>
    <row r="7" spans="1:71">
      <c r="A7" s="13" t="s">
        <v>290</v>
      </c>
      <c r="B7" s="13" t="s">
        <v>281</v>
      </c>
      <c r="C7" s="13" t="s">
        <v>282</v>
      </c>
      <c r="D7" s="13" t="s">
        <v>319</v>
      </c>
      <c r="E7" s="13" t="s">
        <v>283</v>
      </c>
      <c r="O7" s="13">
        <v>1</v>
      </c>
      <c r="R7" s="13">
        <v>1</v>
      </c>
      <c r="AD7" s="13">
        <v>1</v>
      </c>
      <c r="AG7" s="13">
        <v>1</v>
      </c>
      <c r="BO7" s="13">
        <v>2</v>
      </c>
      <c r="BQ7">
        <f t="shared" si="0"/>
        <v>4</v>
      </c>
      <c r="BR7" s="13">
        <f t="shared" si="1"/>
        <v>4</v>
      </c>
      <c r="BS7" s="13">
        <f>[1]!shannonweaver(F7:BM7)</f>
        <v>1.3862943611198906</v>
      </c>
    </row>
    <row r="8" spans="1:71">
      <c r="A8" s="13" t="s">
        <v>292</v>
      </c>
      <c r="B8" s="13" t="s">
        <v>281</v>
      </c>
      <c r="C8" s="13" t="s">
        <v>293</v>
      </c>
      <c r="D8" s="13" t="s">
        <v>319</v>
      </c>
      <c r="E8" s="13" t="s">
        <v>283</v>
      </c>
      <c r="K8" s="13">
        <v>1</v>
      </c>
      <c r="AA8" s="13">
        <v>2</v>
      </c>
      <c r="AG8" s="13">
        <v>1</v>
      </c>
      <c r="AM8" s="13">
        <v>2</v>
      </c>
      <c r="BO8" s="13">
        <v>1</v>
      </c>
      <c r="BQ8">
        <f t="shared" si="0"/>
        <v>4</v>
      </c>
      <c r="BR8" s="13">
        <f t="shared" si="1"/>
        <v>6</v>
      </c>
      <c r="BS8" s="13">
        <f>[1]!shannonweaver(F8:BM8)</f>
        <v>1.3296613488547582</v>
      </c>
    </row>
    <row r="9" spans="1:71">
      <c r="A9" t="s">
        <v>294</v>
      </c>
      <c r="B9" s="13" t="s">
        <v>281</v>
      </c>
      <c r="C9" s="13" t="s">
        <v>293</v>
      </c>
      <c r="D9" s="13" t="s">
        <v>319</v>
      </c>
      <c r="E9" s="13" t="s">
        <v>283</v>
      </c>
      <c r="AC9" s="13">
        <v>1</v>
      </c>
      <c r="AG9" s="13">
        <v>1</v>
      </c>
      <c r="AM9" s="13">
        <v>1</v>
      </c>
      <c r="AN9" s="13">
        <v>1</v>
      </c>
      <c r="BL9" s="13">
        <v>1</v>
      </c>
      <c r="BQ9">
        <f t="shared" si="0"/>
        <v>5</v>
      </c>
      <c r="BR9" s="13">
        <f t="shared" si="1"/>
        <v>5</v>
      </c>
      <c r="BS9" s="13">
        <f>[1]!shannonweaver(F9:BM9)</f>
        <v>1.6094379124341005</v>
      </c>
    </row>
    <row r="10" spans="1:71">
      <c r="A10" s="13" t="s">
        <v>295</v>
      </c>
      <c r="B10" s="13" t="s">
        <v>281</v>
      </c>
      <c r="C10" s="13" t="s">
        <v>293</v>
      </c>
      <c r="D10" s="13" t="s">
        <v>319</v>
      </c>
      <c r="E10" s="13" t="s">
        <v>283</v>
      </c>
      <c r="AG10" s="13">
        <v>1</v>
      </c>
      <c r="AM10" s="13">
        <v>2</v>
      </c>
      <c r="BQ10">
        <f t="shared" si="0"/>
        <v>2</v>
      </c>
      <c r="BR10" s="13">
        <f t="shared" si="1"/>
        <v>3</v>
      </c>
      <c r="BS10" s="13">
        <f>[1]!shannonweaver(F10:BM10)</f>
        <v>0.63651416829481278</v>
      </c>
    </row>
    <row r="11" spans="1:71">
      <c r="A11" s="13" t="s">
        <v>296</v>
      </c>
      <c r="B11" s="13" t="s">
        <v>281</v>
      </c>
      <c r="C11" s="13" t="s">
        <v>293</v>
      </c>
      <c r="D11" s="13" t="s">
        <v>319</v>
      </c>
      <c r="E11" s="13" t="s">
        <v>283</v>
      </c>
      <c r="AA11" s="13">
        <v>2</v>
      </c>
      <c r="AM11" s="13">
        <v>1</v>
      </c>
      <c r="BQ11">
        <f t="shared" si="0"/>
        <v>2</v>
      </c>
      <c r="BR11" s="13">
        <f t="shared" si="1"/>
        <v>3</v>
      </c>
      <c r="BS11" s="13">
        <f>[1]!shannonweaver(F11:BM11)</f>
        <v>0.63651416829481278</v>
      </c>
    </row>
    <row r="12" spans="1:71">
      <c r="A12" s="13" t="s">
        <v>297</v>
      </c>
      <c r="B12" s="13" t="s">
        <v>281</v>
      </c>
      <c r="C12" s="13" t="s">
        <v>293</v>
      </c>
      <c r="D12" s="13" t="s">
        <v>319</v>
      </c>
      <c r="E12" s="13" t="s">
        <v>283</v>
      </c>
      <c r="O12" s="13">
        <v>1</v>
      </c>
      <c r="X12" s="13">
        <v>2</v>
      </c>
      <c r="AA12" s="13">
        <v>1</v>
      </c>
      <c r="AG12" s="13">
        <v>1</v>
      </c>
      <c r="AM12" s="13">
        <v>2</v>
      </c>
      <c r="BQ12">
        <f t="shared" si="0"/>
        <v>5</v>
      </c>
      <c r="BR12" s="13">
        <f t="shared" si="1"/>
        <v>7</v>
      </c>
      <c r="BS12" s="13">
        <f>[1]!shannonweaver(F12:BM12)</f>
        <v>1.5498260458782016</v>
      </c>
    </row>
    <row r="13" spans="1:71">
      <c r="A13" s="13" t="s">
        <v>298</v>
      </c>
      <c r="B13" s="13" t="s">
        <v>281</v>
      </c>
      <c r="C13" s="13" t="s">
        <v>293</v>
      </c>
      <c r="D13" s="13" t="s">
        <v>319</v>
      </c>
      <c r="E13" s="13" t="s">
        <v>283</v>
      </c>
      <c r="AH13" s="13">
        <v>1</v>
      </c>
      <c r="AL13" s="13">
        <v>1</v>
      </c>
      <c r="AM13" s="13">
        <v>2</v>
      </c>
      <c r="BO13" s="13">
        <v>1</v>
      </c>
      <c r="BQ13">
        <f t="shared" si="0"/>
        <v>3</v>
      </c>
      <c r="BR13" s="13">
        <f t="shared" si="1"/>
        <v>4</v>
      </c>
      <c r="BS13" s="13">
        <f>[1]!shannonweaver(F13:BM13)</f>
        <v>1.0397207708399179</v>
      </c>
    </row>
    <row r="14" spans="1:71">
      <c r="A14" s="13" t="s">
        <v>300</v>
      </c>
      <c r="B14" s="13" t="s">
        <v>281</v>
      </c>
      <c r="C14" s="13" t="s">
        <v>301</v>
      </c>
      <c r="D14" s="13" t="s">
        <v>319</v>
      </c>
      <c r="E14" s="13" t="s">
        <v>283</v>
      </c>
      <c r="AA14" s="13">
        <v>2</v>
      </c>
      <c r="AD14" s="13">
        <v>1</v>
      </c>
      <c r="BQ14">
        <f t="shared" si="0"/>
        <v>2</v>
      </c>
      <c r="BR14" s="13">
        <f t="shared" si="1"/>
        <v>3</v>
      </c>
      <c r="BS14" s="13">
        <f>[1]!shannonweaver(F14:BM14)</f>
        <v>0.63651416829481278</v>
      </c>
    </row>
    <row r="15" spans="1:71">
      <c r="A15" s="14" t="s">
        <v>302</v>
      </c>
      <c r="B15" s="13" t="s">
        <v>281</v>
      </c>
      <c r="C15" s="13" t="s">
        <v>301</v>
      </c>
      <c r="D15" s="13" t="s">
        <v>319</v>
      </c>
      <c r="E15" s="13" t="s">
        <v>283</v>
      </c>
      <c r="AA15" s="13">
        <v>2</v>
      </c>
      <c r="AC15" s="13">
        <v>3</v>
      </c>
      <c r="AG15" s="13">
        <v>1</v>
      </c>
      <c r="AM15" s="13">
        <v>1</v>
      </c>
      <c r="BQ15">
        <f t="shared" si="0"/>
        <v>4</v>
      </c>
      <c r="BR15" s="13">
        <f t="shared" si="1"/>
        <v>7</v>
      </c>
      <c r="BS15" s="13">
        <f>[1]!shannonweaver(F15:BM15)</f>
        <v>1.277034259466139</v>
      </c>
    </row>
    <row r="16" spans="1:71">
      <c r="A16" s="13" t="s">
        <v>120</v>
      </c>
      <c r="B16" s="13" t="s">
        <v>281</v>
      </c>
      <c r="C16" s="13" t="s">
        <v>301</v>
      </c>
      <c r="D16" s="13" t="s">
        <v>319</v>
      </c>
      <c r="E16" s="13" t="s">
        <v>283</v>
      </c>
      <c r="T16" s="13">
        <v>1</v>
      </c>
      <c r="AA16" s="13">
        <v>2</v>
      </c>
      <c r="AD16" s="13">
        <v>1</v>
      </c>
      <c r="BQ16">
        <f t="shared" si="0"/>
        <v>3</v>
      </c>
      <c r="BR16" s="13">
        <f t="shared" si="1"/>
        <v>4</v>
      </c>
      <c r="BS16" s="13">
        <f>[1]!shannonweaver(F16:BM16)</f>
        <v>1.0397207708399179</v>
      </c>
    </row>
    <row r="17" spans="1:71">
      <c r="A17" s="13" t="s">
        <v>312</v>
      </c>
      <c r="B17" s="13" t="s">
        <v>281</v>
      </c>
      <c r="C17" s="13" t="s">
        <v>301</v>
      </c>
      <c r="D17" s="13" t="s">
        <v>319</v>
      </c>
      <c r="E17" s="13" t="s">
        <v>283</v>
      </c>
      <c r="K17" s="13">
        <v>1</v>
      </c>
      <c r="V17" s="13">
        <v>1</v>
      </c>
      <c r="AH17" s="13">
        <v>1</v>
      </c>
      <c r="BQ17">
        <f t="shared" si="0"/>
        <v>3</v>
      </c>
      <c r="BR17" s="13">
        <f t="shared" si="1"/>
        <v>3</v>
      </c>
      <c r="BS17" s="13">
        <f>[1]!shannonweaver(F17:BM17)</f>
        <v>1.0986122886681096</v>
      </c>
    </row>
    <row r="18" spans="1:71">
      <c r="A18" s="13" t="s">
        <v>313</v>
      </c>
      <c r="B18" s="13" t="s">
        <v>281</v>
      </c>
      <c r="C18" s="13" t="s">
        <v>301</v>
      </c>
      <c r="D18" s="13" t="s">
        <v>319</v>
      </c>
      <c r="E18" s="13" t="s">
        <v>283</v>
      </c>
      <c r="AA18" s="13">
        <v>4</v>
      </c>
      <c r="AD18" s="13">
        <v>1</v>
      </c>
      <c r="BL18" s="13">
        <v>1</v>
      </c>
      <c r="BQ18">
        <f t="shared" si="0"/>
        <v>3</v>
      </c>
      <c r="BR18" s="13">
        <f t="shared" si="1"/>
        <v>6</v>
      </c>
      <c r="BS18" s="13">
        <f>[1]!shannonweaver(F18:BM18)</f>
        <v>0.86756322848146117</v>
      </c>
    </row>
    <row r="19" spans="1:71">
      <c r="A19" s="13" t="s">
        <v>314</v>
      </c>
      <c r="B19" s="13" t="s">
        <v>281</v>
      </c>
      <c r="C19" s="13" t="s">
        <v>301</v>
      </c>
      <c r="D19" s="13" t="s">
        <v>319</v>
      </c>
      <c r="E19" s="13" t="s">
        <v>283</v>
      </c>
      <c r="T19" s="13">
        <v>1</v>
      </c>
      <c r="BJ19" s="13">
        <v>1</v>
      </c>
      <c r="BQ19">
        <f t="shared" si="0"/>
        <v>2</v>
      </c>
      <c r="BR19" s="13">
        <f t="shared" si="1"/>
        <v>2</v>
      </c>
      <c r="BS19" s="13">
        <f>[1]!shannonweaver(F19:BM19)</f>
        <v>0.69314718055994529</v>
      </c>
    </row>
    <row r="20" spans="1:71">
      <c r="A20" s="13" t="s">
        <v>315</v>
      </c>
      <c r="B20" s="13" t="s">
        <v>281</v>
      </c>
      <c r="C20" s="13">
        <v>4</v>
      </c>
      <c r="D20" s="13" t="s">
        <v>320</v>
      </c>
      <c r="E20" s="13" t="s">
        <v>283</v>
      </c>
      <c r="T20" s="13">
        <v>1</v>
      </c>
      <c r="X20" s="13">
        <v>1</v>
      </c>
      <c r="AO20" s="13">
        <v>2</v>
      </c>
      <c r="BO20" s="13">
        <v>4</v>
      </c>
      <c r="BQ20">
        <f>COUNTIF(F20:BM20, "&gt;0")</f>
        <v>3</v>
      </c>
      <c r="BR20" s="13">
        <f t="shared" si="1"/>
        <v>4</v>
      </c>
      <c r="BS20" s="13">
        <f>[1]!shannonweaver(F20:BM20)</f>
        <v>1.0397207708399179</v>
      </c>
    </row>
    <row r="21" spans="1:71">
      <c r="A21" t="s">
        <v>316</v>
      </c>
      <c r="B21" s="13" t="s">
        <v>281</v>
      </c>
      <c r="C21" s="13">
        <v>4</v>
      </c>
      <c r="D21" s="13" t="s">
        <v>320</v>
      </c>
      <c r="E21" s="13" t="s">
        <v>283</v>
      </c>
      <c r="U21" s="13">
        <v>2</v>
      </c>
      <c r="AV21" s="13">
        <v>1</v>
      </c>
      <c r="BL21" s="13">
        <v>1</v>
      </c>
      <c r="BQ21">
        <f t="shared" ref="BQ21:BQ73" si="2">COUNTIF(F21:BM21, "&gt;0")</f>
        <v>3</v>
      </c>
      <c r="BR21" s="13">
        <f t="shared" si="1"/>
        <v>4</v>
      </c>
      <c r="BS21" s="13">
        <f>[1]!shannonweaver(F21:BM21)</f>
        <v>1.0397207708399179</v>
      </c>
    </row>
    <row r="22" spans="1:71">
      <c r="A22" s="13" t="s">
        <v>321</v>
      </c>
      <c r="B22" s="13" t="s">
        <v>281</v>
      </c>
      <c r="C22" s="13">
        <v>4</v>
      </c>
      <c r="D22" s="13" t="s">
        <v>320</v>
      </c>
      <c r="E22" s="13" t="s">
        <v>283</v>
      </c>
      <c r="J22" s="13">
        <v>1</v>
      </c>
      <c r="T22" s="13">
        <v>1</v>
      </c>
      <c r="U22" s="13">
        <v>1</v>
      </c>
      <c r="BQ22">
        <f t="shared" si="2"/>
        <v>3</v>
      </c>
      <c r="BR22" s="13">
        <f t="shared" si="1"/>
        <v>3</v>
      </c>
      <c r="BS22" s="13">
        <f>[1]!shannonweaver(F22:BM22)</f>
        <v>1.0986122886681096</v>
      </c>
    </row>
    <row r="23" spans="1:71">
      <c r="A23" s="13" t="s">
        <v>322</v>
      </c>
      <c r="B23" s="13" t="s">
        <v>281</v>
      </c>
      <c r="C23" s="13">
        <v>4</v>
      </c>
      <c r="D23" s="13" t="s">
        <v>320</v>
      </c>
      <c r="E23" s="13" t="s">
        <v>283</v>
      </c>
      <c r="K23" s="13">
        <v>1</v>
      </c>
      <c r="BQ23">
        <f t="shared" si="2"/>
        <v>1</v>
      </c>
      <c r="BR23" s="13">
        <f t="shared" si="1"/>
        <v>1</v>
      </c>
      <c r="BS23" s="13">
        <f>[1]!shannonweaver(F23:BM23)</f>
        <v>0</v>
      </c>
    </row>
    <row r="24" spans="1:71">
      <c r="A24" s="13" t="s">
        <v>326</v>
      </c>
      <c r="B24" s="13" t="s">
        <v>281</v>
      </c>
      <c r="C24" s="13">
        <v>4</v>
      </c>
      <c r="D24" s="13" t="s">
        <v>320</v>
      </c>
      <c r="E24" s="13" t="s">
        <v>283</v>
      </c>
      <c r="AR24" s="13">
        <v>2</v>
      </c>
      <c r="BJ24" s="13">
        <v>1</v>
      </c>
      <c r="BQ24">
        <f t="shared" si="2"/>
        <v>2</v>
      </c>
      <c r="BR24" s="13">
        <f t="shared" si="1"/>
        <v>3</v>
      </c>
      <c r="BS24" s="13">
        <f>[1]!shannonweaver(F24:BM24)</f>
        <v>0.63651416829481278</v>
      </c>
    </row>
    <row r="25" spans="1:71">
      <c r="A25" s="13" t="s">
        <v>327</v>
      </c>
      <c r="B25" s="13" t="s">
        <v>281</v>
      </c>
      <c r="C25" s="13">
        <v>4</v>
      </c>
      <c r="D25" s="13" t="s">
        <v>320</v>
      </c>
      <c r="E25" s="13" t="s">
        <v>283</v>
      </c>
      <c r="J25" s="13">
        <v>1</v>
      </c>
      <c r="T25" s="13">
        <v>1</v>
      </c>
      <c r="AZ25" s="13">
        <v>1</v>
      </c>
      <c r="BQ25">
        <f t="shared" si="2"/>
        <v>3</v>
      </c>
      <c r="BR25" s="13">
        <f t="shared" si="1"/>
        <v>3</v>
      </c>
      <c r="BS25" s="13">
        <f>[1]!shannonweaver(F25:BM25)</f>
        <v>1.0986122886681096</v>
      </c>
    </row>
    <row r="26" spans="1:71">
      <c r="A26" t="s">
        <v>329</v>
      </c>
      <c r="B26" t="s">
        <v>281</v>
      </c>
      <c r="C26">
        <v>5</v>
      </c>
      <c r="D26" s="13" t="s">
        <v>320</v>
      </c>
      <c r="E26" t="s">
        <v>283</v>
      </c>
      <c r="I26" s="13">
        <v>1</v>
      </c>
      <c r="BQ26">
        <f t="shared" si="2"/>
        <v>1</v>
      </c>
      <c r="BR26" s="13">
        <f t="shared" si="1"/>
        <v>1</v>
      </c>
      <c r="BS26" s="13">
        <f>[1]!shannonweaver(F26:BM26)</f>
        <v>0</v>
      </c>
    </row>
    <row r="27" spans="1:71">
      <c r="A27" t="s">
        <v>331</v>
      </c>
      <c r="B27" t="s">
        <v>281</v>
      </c>
      <c r="C27">
        <v>5</v>
      </c>
      <c r="D27" s="13" t="s">
        <v>320</v>
      </c>
      <c r="E27" t="s">
        <v>283</v>
      </c>
      <c r="AG27" s="13">
        <v>4</v>
      </c>
      <c r="BQ27">
        <f t="shared" si="2"/>
        <v>1</v>
      </c>
      <c r="BR27" s="13">
        <f t="shared" si="1"/>
        <v>4</v>
      </c>
      <c r="BS27" s="13">
        <f>[1]!shannonweaver(F27:BM27)</f>
        <v>0</v>
      </c>
    </row>
    <row r="28" spans="1:71">
      <c r="A28" t="s">
        <v>249</v>
      </c>
      <c r="B28" t="s">
        <v>281</v>
      </c>
      <c r="C28">
        <v>5</v>
      </c>
      <c r="D28" s="13" t="s">
        <v>320</v>
      </c>
      <c r="E28" t="s">
        <v>283</v>
      </c>
      <c r="BP28" s="13" t="s">
        <v>17</v>
      </c>
      <c r="BQ28">
        <f t="shared" si="2"/>
        <v>0</v>
      </c>
      <c r="BR28" s="13">
        <f t="shared" si="1"/>
        <v>0</v>
      </c>
      <c r="BS28" s="13">
        <v>0</v>
      </c>
    </row>
    <row r="29" spans="1:71">
      <c r="A29" t="s">
        <v>250</v>
      </c>
      <c r="B29" t="s">
        <v>281</v>
      </c>
      <c r="C29">
        <v>5</v>
      </c>
      <c r="D29" s="13" t="s">
        <v>320</v>
      </c>
      <c r="E29" t="s">
        <v>283</v>
      </c>
      <c r="AG29" s="13">
        <v>1</v>
      </c>
      <c r="BQ29">
        <f t="shared" si="2"/>
        <v>1</v>
      </c>
      <c r="BR29" s="13">
        <f t="shared" si="1"/>
        <v>1</v>
      </c>
      <c r="BS29" s="13">
        <v>0</v>
      </c>
    </row>
    <row r="30" spans="1:71">
      <c r="A30" t="s">
        <v>82</v>
      </c>
      <c r="B30" t="s">
        <v>281</v>
      </c>
      <c r="C30">
        <v>5</v>
      </c>
      <c r="D30" s="13" t="s">
        <v>320</v>
      </c>
      <c r="E30" t="s">
        <v>283</v>
      </c>
      <c r="AA30" s="13">
        <v>1</v>
      </c>
      <c r="BQ30">
        <f t="shared" si="2"/>
        <v>1</v>
      </c>
      <c r="BR30" s="13">
        <f t="shared" si="1"/>
        <v>1</v>
      </c>
      <c r="BS30" s="13">
        <f>[1]!shannonweaver(F30:BM30)</f>
        <v>0</v>
      </c>
    </row>
    <row r="31" spans="1:71">
      <c r="A31" t="s">
        <v>83</v>
      </c>
      <c r="B31" t="s">
        <v>281</v>
      </c>
      <c r="C31">
        <v>5</v>
      </c>
      <c r="D31" s="13" t="s">
        <v>320</v>
      </c>
      <c r="E31" t="s">
        <v>283</v>
      </c>
      <c r="T31" s="13">
        <v>1</v>
      </c>
      <c r="V31" s="13">
        <v>1</v>
      </c>
      <c r="BC31" s="13">
        <v>1</v>
      </c>
      <c r="BK31" s="13">
        <v>2</v>
      </c>
      <c r="BQ31">
        <f t="shared" si="2"/>
        <v>4</v>
      </c>
      <c r="BR31" s="13">
        <f t="shared" si="1"/>
        <v>5</v>
      </c>
      <c r="BS31" s="13">
        <f>[1]!shannonweaver(F31:BM31)</f>
        <v>1.3321790402101223</v>
      </c>
    </row>
    <row r="32" spans="1:71">
      <c r="A32" s="13" t="s">
        <v>84</v>
      </c>
      <c r="B32" t="s">
        <v>281</v>
      </c>
      <c r="C32">
        <v>7</v>
      </c>
      <c r="D32" s="13" t="s">
        <v>320</v>
      </c>
      <c r="E32" t="s">
        <v>283</v>
      </c>
      <c r="AG32" s="13">
        <v>1</v>
      </c>
      <c r="AK32" s="13">
        <v>1</v>
      </c>
      <c r="AM32" s="13">
        <v>1</v>
      </c>
      <c r="BQ32">
        <f t="shared" si="2"/>
        <v>3</v>
      </c>
      <c r="BR32" s="13">
        <f t="shared" si="1"/>
        <v>3</v>
      </c>
      <c r="BS32" s="13">
        <f>[1]!shannonweaver(F32:BM32)</f>
        <v>1.0986122886681096</v>
      </c>
    </row>
    <row r="33" spans="1:71">
      <c r="A33" s="13" t="s">
        <v>85</v>
      </c>
      <c r="B33" t="s">
        <v>281</v>
      </c>
      <c r="C33">
        <v>7</v>
      </c>
      <c r="D33" s="13" t="s">
        <v>320</v>
      </c>
      <c r="E33" t="s">
        <v>283</v>
      </c>
      <c r="K33" s="13">
        <v>1</v>
      </c>
      <c r="BQ33">
        <f t="shared" si="2"/>
        <v>1</v>
      </c>
      <c r="BR33" s="13">
        <f t="shared" si="1"/>
        <v>1</v>
      </c>
      <c r="BS33" s="13">
        <f>[1]!shannonweaver(F33:BM33)</f>
        <v>0</v>
      </c>
    </row>
    <row r="34" spans="1:71">
      <c r="A34" s="13" t="s">
        <v>86</v>
      </c>
      <c r="B34" t="s">
        <v>281</v>
      </c>
      <c r="C34">
        <v>7</v>
      </c>
      <c r="D34" s="13" t="s">
        <v>320</v>
      </c>
      <c r="E34" t="s">
        <v>283</v>
      </c>
      <c r="J34" s="13">
        <v>2</v>
      </c>
      <c r="U34" s="13">
        <v>1</v>
      </c>
      <c r="BL34" s="13">
        <v>1</v>
      </c>
      <c r="BQ34">
        <f t="shared" si="2"/>
        <v>3</v>
      </c>
      <c r="BR34" s="13">
        <f t="shared" si="1"/>
        <v>4</v>
      </c>
      <c r="BS34" s="13">
        <f>[1]!shannonweaver(F34:BM34)</f>
        <v>1.0397207708399179</v>
      </c>
    </row>
    <row r="35" spans="1:71">
      <c r="A35" s="13" t="s">
        <v>87</v>
      </c>
      <c r="B35" t="s">
        <v>281</v>
      </c>
      <c r="C35">
        <v>7</v>
      </c>
      <c r="D35" s="13" t="s">
        <v>320</v>
      </c>
      <c r="E35" t="s">
        <v>283</v>
      </c>
      <c r="V35" s="13">
        <v>1</v>
      </c>
      <c r="BN35" s="13">
        <v>1</v>
      </c>
      <c r="BQ35">
        <f t="shared" si="2"/>
        <v>1</v>
      </c>
      <c r="BR35" s="13">
        <f t="shared" si="1"/>
        <v>1</v>
      </c>
      <c r="BS35" s="13">
        <f>[1]!shannonweaver(F35:BM35)</f>
        <v>0</v>
      </c>
    </row>
    <row r="36" spans="1:71">
      <c r="A36" s="13" t="s">
        <v>88</v>
      </c>
      <c r="B36" t="s">
        <v>281</v>
      </c>
      <c r="C36">
        <v>7</v>
      </c>
      <c r="D36" s="13" t="s">
        <v>320</v>
      </c>
      <c r="E36" t="s">
        <v>283</v>
      </c>
      <c r="R36" s="13">
        <v>1</v>
      </c>
      <c r="U36" s="13">
        <v>2</v>
      </c>
      <c r="BQ36">
        <f t="shared" si="2"/>
        <v>2</v>
      </c>
      <c r="BR36" s="13">
        <f t="shared" si="1"/>
        <v>3</v>
      </c>
      <c r="BS36" s="13">
        <f>[1]!shannonweaver(F36:BM36)</f>
        <v>0.63651416829481278</v>
      </c>
    </row>
    <row r="37" spans="1:71">
      <c r="A37" s="13" t="s">
        <v>89</v>
      </c>
      <c r="B37" t="s">
        <v>281</v>
      </c>
      <c r="C37">
        <v>7</v>
      </c>
      <c r="D37" s="13" t="s">
        <v>320</v>
      </c>
      <c r="E37" t="s">
        <v>283</v>
      </c>
      <c r="BK37" s="13">
        <v>1</v>
      </c>
      <c r="BQ37">
        <f t="shared" si="2"/>
        <v>1</v>
      </c>
      <c r="BR37" s="13">
        <f t="shared" si="1"/>
        <v>1</v>
      </c>
      <c r="BS37" s="13">
        <v>0</v>
      </c>
    </row>
    <row r="38" spans="1:71">
      <c r="A38" t="s">
        <v>90</v>
      </c>
      <c r="B38" t="s">
        <v>281</v>
      </c>
      <c r="C38" t="s">
        <v>282</v>
      </c>
      <c r="D38" s="13" t="s">
        <v>319</v>
      </c>
      <c r="E38" s="13" t="s">
        <v>91</v>
      </c>
      <c r="T38" s="13">
        <v>1</v>
      </c>
      <c r="U38" s="13">
        <v>1</v>
      </c>
      <c r="AM38" s="13">
        <v>2</v>
      </c>
      <c r="AW38" s="13">
        <v>1</v>
      </c>
      <c r="BQ38">
        <f t="shared" si="2"/>
        <v>4</v>
      </c>
      <c r="BR38" s="13">
        <f t="shared" si="1"/>
        <v>5</v>
      </c>
      <c r="BS38" s="13">
        <f>[1]!shannonweaver(F38:BM38)</f>
        <v>1.3321790402101223</v>
      </c>
    </row>
    <row r="39" spans="1:71">
      <c r="A39" s="13" t="s">
        <v>92</v>
      </c>
      <c r="B39" t="s">
        <v>281</v>
      </c>
      <c r="C39" t="s">
        <v>282</v>
      </c>
      <c r="D39" s="13" t="s">
        <v>319</v>
      </c>
      <c r="E39" s="13" t="s">
        <v>91</v>
      </c>
      <c r="AA39" s="13">
        <v>2</v>
      </c>
      <c r="AM39" s="13">
        <v>2</v>
      </c>
      <c r="BD39" s="13">
        <v>3</v>
      </c>
      <c r="BJ39" s="13">
        <v>5</v>
      </c>
      <c r="BQ39">
        <f t="shared" si="2"/>
        <v>4</v>
      </c>
      <c r="BR39" s="13">
        <f t="shared" si="1"/>
        <v>12</v>
      </c>
      <c r="BS39" s="13">
        <f>[1]!shannonweaver(F39:BM39)</f>
        <v>1.3086053872534491</v>
      </c>
    </row>
    <row r="40" spans="1:71">
      <c r="A40" s="13" t="s">
        <v>270</v>
      </c>
      <c r="B40" t="s">
        <v>281</v>
      </c>
      <c r="C40" t="s">
        <v>282</v>
      </c>
      <c r="D40" s="13" t="s">
        <v>319</v>
      </c>
      <c r="E40" s="13" t="s">
        <v>91</v>
      </c>
      <c r="T40" s="13">
        <v>1</v>
      </c>
      <c r="X40" s="13">
        <v>1</v>
      </c>
      <c r="AA40" s="13">
        <v>4</v>
      </c>
      <c r="AD40" s="13">
        <v>3</v>
      </c>
      <c r="AR40" s="13">
        <v>1</v>
      </c>
      <c r="BQ40">
        <f t="shared" si="2"/>
        <v>5</v>
      </c>
      <c r="BR40" s="13">
        <f t="shared" si="1"/>
        <v>10</v>
      </c>
      <c r="BS40" s="13">
        <f>[1]!shannonweaver(F40:BM40)</f>
        <v>1.4184836619456564</v>
      </c>
    </row>
    <row r="41" spans="1:71">
      <c r="A41" s="13" t="s">
        <v>271</v>
      </c>
      <c r="B41" t="s">
        <v>281</v>
      </c>
      <c r="C41" t="s">
        <v>282</v>
      </c>
      <c r="D41" s="13" t="s">
        <v>319</v>
      </c>
      <c r="E41" s="13" t="s">
        <v>91</v>
      </c>
      <c r="X41" s="13">
        <v>1</v>
      </c>
      <c r="AD41" s="13">
        <v>3</v>
      </c>
      <c r="AG41" s="13">
        <v>1</v>
      </c>
      <c r="BL41" s="13">
        <v>1</v>
      </c>
      <c r="BQ41">
        <f t="shared" si="2"/>
        <v>4</v>
      </c>
      <c r="BR41" s="13">
        <f t="shared" si="1"/>
        <v>6</v>
      </c>
      <c r="BS41" s="13">
        <f>[1]!shannonweaver(F41:BM41)</f>
        <v>1.242453324894</v>
      </c>
    </row>
    <row r="42" spans="1:71">
      <c r="A42" s="13" t="s">
        <v>272</v>
      </c>
      <c r="B42" t="s">
        <v>281</v>
      </c>
      <c r="C42" t="s">
        <v>282</v>
      </c>
      <c r="D42" s="13" t="s">
        <v>319</v>
      </c>
      <c r="E42" s="13" t="s">
        <v>91</v>
      </c>
      <c r="AA42" s="13">
        <v>3</v>
      </c>
      <c r="AD42" s="13">
        <v>1</v>
      </c>
      <c r="AG42" s="13">
        <v>1</v>
      </c>
      <c r="AM42" s="13">
        <v>1</v>
      </c>
      <c r="BG42" s="13">
        <v>1</v>
      </c>
      <c r="BQ42">
        <f t="shared" si="2"/>
        <v>5</v>
      </c>
      <c r="BR42" s="13">
        <f t="shared" si="1"/>
        <v>7</v>
      </c>
      <c r="BS42" s="13">
        <f>[1]!shannonweaver(F42:BM42)</f>
        <v>1.4750763110546947</v>
      </c>
    </row>
    <row r="43" spans="1:71">
      <c r="A43" s="13" t="s">
        <v>273</v>
      </c>
      <c r="B43" t="s">
        <v>281</v>
      </c>
      <c r="C43" t="s">
        <v>282</v>
      </c>
      <c r="D43" s="13" t="s">
        <v>319</v>
      </c>
      <c r="E43" s="13" t="s">
        <v>91</v>
      </c>
      <c r="S43" s="13">
        <v>1</v>
      </c>
      <c r="AA43" s="13">
        <v>2</v>
      </c>
      <c r="AC43" s="13">
        <v>1</v>
      </c>
      <c r="AH43" s="13">
        <v>1</v>
      </c>
      <c r="AL43" s="13">
        <v>2</v>
      </c>
      <c r="BG43" s="13">
        <v>1</v>
      </c>
      <c r="BQ43">
        <f t="shared" si="2"/>
        <v>6</v>
      </c>
      <c r="BR43" s="13">
        <f t="shared" si="1"/>
        <v>8</v>
      </c>
      <c r="BS43" s="13">
        <f>[1]!shannonweaver(F43:BM43)</f>
        <v>1.7328679513998633</v>
      </c>
    </row>
    <row r="44" spans="1:71">
      <c r="A44" s="13" t="s">
        <v>141</v>
      </c>
      <c r="B44" t="s">
        <v>281</v>
      </c>
      <c r="C44" t="s">
        <v>293</v>
      </c>
      <c r="D44" s="13" t="s">
        <v>319</v>
      </c>
      <c r="E44" s="13" t="s">
        <v>91</v>
      </c>
      <c r="O44" s="13">
        <v>1</v>
      </c>
      <c r="X44" s="13">
        <v>1</v>
      </c>
      <c r="AA44" s="13">
        <v>3</v>
      </c>
      <c r="AC44" s="13">
        <v>1</v>
      </c>
      <c r="AG44" s="13">
        <v>2</v>
      </c>
      <c r="AM44" s="13">
        <v>1</v>
      </c>
      <c r="AZ44" s="13">
        <v>3</v>
      </c>
      <c r="BC44" s="13">
        <v>1</v>
      </c>
      <c r="BJ44" s="13">
        <v>1</v>
      </c>
      <c r="BQ44">
        <f t="shared" si="2"/>
        <v>9</v>
      </c>
      <c r="BR44" s="13">
        <f t="shared" si="1"/>
        <v>14</v>
      </c>
      <c r="BS44" s="13">
        <f>[1]!shannonweaver(F44:BM44)</f>
        <v>2.0692024658203625</v>
      </c>
    </row>
    <row r="45" spans="1:71">
      <c r="A45" s="13" t="s">
        <v>142</v>
      </c>
      <c r="B45" t="s">
        <v>281</v>
      </c>
      <c r="C45" t="s">
        <v>293</v>
      </c>
      <c r="D45" s="13" t="s">
        <v>319</v>
      </c>
      <c r="E45" s="13" t="s">
        <v>91</v>
      </c>
      <c r="T45" s="13">
        <v>1</v>
      </c>
      <c r="V45" s="13">
        <v>1</v>
      </c>
      <c r="AA45" s="13">
        <v>1</v>
      </c>
      <c r="AD45" s="13">
        <v>2</v>
      </c>
      <c r="AZ45" s="13">
        <v>1</v>
      </c>
      <c r="BK45" s="13">
        <v>1</v>
      </c>
      <c r="BQ45">
        <f t="shared" si="2"/>
        <v>6</v>
      </c>
      <c r="BR45" s="13">
        <f t="shared" si="1"/>
        <v>7</v>
      </c>
      <c r="BS45" s="13">
        <f>[1]!shannonweaver(F45:BM45)</f>
        <v>1.7478680974667573</v>
      </c>
    </row>
    <row r="46" spans="1:71">
      <c r="A46" s="13" t="s">
        <v>144</v>
      </c>
      <c r="B46" t="s">
        <v>281</v>
      </c>
      <c r="C46" t="s">
        <v>293</v>
      </c>
      <c r="D46" s="13" t="s">
        <v>319</v>
      </c>
      <c r="E46" s="13" t="s">
        <v>91</v>
      </c>
      <c r="O46" s="13">
        <v>5</v>
      </c>
      <c r="X46" s="13">
        <v>1</v>
      </c>
      <c r="AA46" s="13">
        <v>1</v>
      </c>
      <c r="AC46" s="13">
        <v>3</v>
      </c>
      <c r="AD46" s="13">
        <v>4</v>
      </c>
      <c r="AG46" s="13">
        <v>1</v>
      </c>
      <c r="AM46" s="13">
        <v>1</v>
      </c>
      <c r="BQ46">
        <f t="shared" si="2"/>
        <v>7</v>
      </c>
      <c r="BR46" s="13">
        <f t="shared" si="1"/>
        <v>16</v>
      </c>
      <c r="BS46" s="13">
        <f>[1]!shannonweaver(F46:BM46)</f>
        <v>1.7170759801988817</v>
      </c>
    </row>
    <row r="47" spans="1:71">
      <c r="A47" s="13" t="s">
        <v>145</v>
      </c>
      <c r="B47" t="s">
        <v>281</v>
      </c>
      <c r="C47" t="s">
        <v>293</v>
      </c>
      <c r="D47" s="13" t="s">
        <v>319</v>
      </c>
      <c r="E47" s="13" t="s">
        <v>91</v>
      </c>
      <c r="K47" s="13">
        <v>1</v>
      </c>
      <c r="O47" s="13">
        <v>3</v>
      </c>
      <c r="R47" s="13">
        <v>1</v>
      </c>
      <c r="AA47" s="13">
        <v>2</v>
      </c>
      <c r="AD47" s="13">
        <v>1</v>
      </c>
      <c r="AG47" s="13">
        <v>1</v>
      </c>
      <c r="AM47" s="13">
        <v>2</v>
      </c>
      <c r="AR47" s="13">
        <v>1</v>
      </c>
      <c r="BJ47" s="13">
        <v>4</v>
      </c>
      <c r="BK47" s="13">
        <v>1</v>
      </c>
      <c r="BL47" s="13">
        <v>2</v>
      </c>
      <c r="BQ47">
        <f t="shared" si="2"/>
        <v>11</v>
      </c>
      <c r="BR47" s="13">
        <f t="shared" si="1"/>
        <v>19</v>
      </c>
      <c r="BS47" s="13">
        <f>[1]!shannonweaver(F47:BM47)</f>
        <v>2.2602338531746744</v>
      </c>
    </row>
    <row r="48" spans="1:71">
      <c r="A48" s="13" t="s">
        <v>146</v>
      </c>
      <c r="B48" t="s">
        <v>281</v>
      </c>
      <c r="C48" t="s">
        <v>293</v>
      </c>
      <c r="D48" s="13" t="s">
        <v>319</v>
      </c>
      <c r="E48" s="13" t="s">
        <v>91</v>
      </c>
      <c r="F48" s="13">
        <v>1</v>
      </c>
      <c r="O48" s="13">
        <v>1</v>
      </c>
      <c r="V48" s="13">
        <v>2</v>
      </c>
      <c r="AG48" s="13">
        <v>4</v>
      </c>
      <c r="BK48" s="13">
        <v>1</v>
      </c>
      <c r="BQ48">
        <f t="shared" si="2"/>
        <v>5</v>
      </c>
      <c r="BR48" s="13">
        <f t="shared" si="1"/>
        <v>9</v>
      </c>
      <c r="BS48" s="13">
        <f>[1]!shannonweaver(F48:BM48)</f>
        <v>1.4270610433807247</v>
      </c>
    </row>
    <row r="49" spans="1:71">
      <c r="A49" s="13" t="s">
        <v>147</v>
      </c>
      <c r="B49" t="s">
        <v>281</v>
      </c>
      <c r="C49" t="s">
        <v>293</v>
      </c>
      <c r="D49" s="13" t="s">
        <v>319</v>
      </c>
      <c r="E49" s="13" t="s">
        <v>91</v>
      </c>
      <c r="O49" s="13">
        <v>1</v>
      </c>
      <c r="P49" s="13">
        <v>1</v>
      </c>
      <c r="T49" s="13">
        <v>1</v>
      </c>
      <c r="V49" s="13">
        <v>3</v>
      </c>
      <c r="X49" s="13">
        <v>1</v>
      </c>
      <c r="AA49" s="13">
        <v>1</v>
      </c>
      <c r="AD49" s="13">
        <v>2</v>
      </c>
      <c r="AM49" s="13">
        <v>3</v>
      </c>
      <c r="AR49" s="13">
        <v>2</v>
      </c>
      <c r="BJ49" s="13">
        <v>1</v>
      </c>
      <c r="BL49" s="13">
        <v>1</v>
      </c>
      <c r="BQ49">
        <f t="shared" si="2"/>
        <v>11</v>
      </c>
      <c r="BR49" s="13">
        <f t="shared" si="1"/>
        <v>17</v>
      </c>
      <c r="BS49" s="13">
        <f>[1]!shannonweaver(F49:BM49)</f>
        <v>2.282374376159249</v>
      </c>
    </row>
    <row r="50" spans="1:71">
      <c r="A50" s="13" t="s">
        <v>148</v>
      </c>
      <c r="B50" t="s">
        <v>281</v>
      </c>
      <c r="C50" t="s">
        <v>301</v>
      </c>
      <c r="D50" s="13" t="s">
        <v>319</v>
      </c>
      <c r="E50" s="13" t="s">
        <v>91</v>
      </c>
      <c r="M50" s="13">
        <v>1</v>
      </c>
      <c r="N50" s="13">
        <v>1</v>
      </c>
      <c r="O50" s="13">
        <v>1</v>
      </c>
      <c r="AA50" s="13">
        <v>2</v>
      </c>
      <c r="AD50" s="13">
        <v>8</v>
      </c>
      <c r="AG50" s="13">
        <v>2</v>
      </c>
      <c r="BJ50" s="13">
        <v>1</v>
      </c>
      <c r="BK50" s="13">
        <v>3</v>
      </c>
      <c r="BQ50">
        <f t="shared" si="2"/>
        <v>8</v>
      </c>
      <c r="BR50" s="13">
        <f t="shared" si="1"/>
        <v>19</v>
      </c>
      <c r="BS50" s="13">
        <f>[1]!shannonweaver(F50:BM50)</f>
        <v>1.7494938253936618</v>
      </c>
    </row>
    <row r="51" spans="1:71">
      <c r="A51" s="13" t="s">
        <v>21</v>
      </c>
      <c r="B51" t="s">
        <v>281</v>
      </c>
      <c r="C51" t="s">
        <v>301</v>
      </c>
      <c r="D51" s="13" t="s">
        <v>319</v>
      </c>
      <c r="E51" s="13" t="s">
        <v>91</v>
      </c>
      <c r="O51" s="13">
        <v>2</v>
      </c>
      <c r="X51" s="13">
        <v>1</v>
      </c>
      <c r="AD51" s="13">
        <v>2</v>
      </c>
      <c r="AG51" s="13">
        <v>1</v>
      </c>
      <c r="AR51" s="13">
        <v>2</v>
      </c>
      <c r="AV51" s="13">
        <v>1</v>
      </c>
      <c r="BJ51" s="13">
        <v>1</v>
      </c>
      <c r="BQ51">
        <f t="shared" si="2"/>
        <v>7</v>
      </c>
      <c r="BR51" s="13">
        <f t="shared" si="1"/>
        <v>10</v>
      </c>
      <c r="BS51" s="13">
        <f>[1]!shannonweaver(F51:BM51)</f>
        <v>1.8866967846580784</v>
      </c>
    </row>
    <row r="52" spans="1:71">
      <c r="A52" s="13" t="s">
        <v>22</v>
      </c>
      <c r="B52" t="s">
        <v>281</v>
      </c>
      <c r="C52" t="s">
        <v>301</v>
      </c>
      <c r="D52" s="13" t="s">
        <v>319</v>
      </c>
      <c r="E52" s="13" t="s">
        <v>91</v>
      </c>
      <c r="M52" s="13">
        <v>1</v>
      </c>
      <c r="O52" s="13">
        <v>1</v>
      </c>
      <c r="U52" s="13">
        <v>1</v>
      </c>
      <c r="AA52" s="13">
        <v>3</v>
      </c>
      <c r="AD52" s="13">
        <v>6</v>
      </c>
      <c r="AN52" s="13">
        <v>1</v>
      </c>
      <c r="BJ52" s="13">
        <v>1</v>
      </c>
      <c r="BK52" s="13">
        <v>4</v>
      </c>
      <c r="BL52" s="13">
        <v>1</v>
      </c>
      <c r="BQ52">
        <f t="shared" si="2"/>
        <v>9</v>
      </c>
      <c r="BR52" s="13">
        <f t="shared" si="1"/>
        <v>19</v>
      </c>
      <c r="BS52" s="13">
        <f>[1]!shannonweaver(F52:BM52)</f>
        <v>1.9133036567531658</v>
      </c>
    </row>
    <row r="53" spans="1:71">
      <c r="A53" s="13" t="s">
        <v>23</v>
      </c>
      <c r="B53" t="s">
        <v>281</v>
      </c>
      <c r="C53" t="s">
        <v>301</v>
      </c>
      <c r="D53" s="13" t="s">
        <v>319</v>
      </c>
      <c r="E53" s="13" t="s">
        <v>91</v>
      </c>
      <c r="O53" s="13">
        <v>1</v>
      </c>
      <c r="T53" s="13">
        <v>1</v>
      </c>
      <c r="X53" s="13">
        <v>1</v>
      </c>
      <c r="AA53" s="13">
        <v>5</v>
      </c>
      <c r="AD53" s="13">
        <v>4</v>
      </c>
      <c r="AG53" s="13">
        <v>1</v>
      </c>
      <c r="AR53" s="13">
        <v>2</v>
      </c>
      <c r="BG53" s="13">
        <v>2</v>
      </c>
      <c r="BQ53">
        <f t="shared" si="2"/>
        <v>8</v>
      </c>
      <c r="BR53" s="13">
        <f t="shared" si="1"/>
        <v>17</v>
      </c>
      <c r="BS53" s="13">
        <f>[1]!shannonweaver(F53:BM53)</f>
        <v>1.8705688894156369</v>
      </c>
    </row>
    <row r="54" spans="1:71">
      <c r="A54" s="13" t="s">
        <v>24</v>
      </c>
      <c r="B54" t="s">
        <v>281</v>
      </c>
      <c r="C54" t="s">
        <v>301</v>
      </c>
      <c r="D54" s="13" t="s">
        <v>319</v>
      </c>
      <c r="E54" s="13" t="s">
        <v>91</v>
      </c>
      <c r="T54" s="13">
        <v>1</v>
      </c>
      <c r="U54" s="13">
        <v>3</v>
      </c>
      <c r="AA54" s="13">
        <v>3</v>
      </c>
      <c r="AG54" s="13">
        <v>3</v>
      </c>
      <c r="BF54" s="13">
        <v>1</v>
      </c>
      <c r="BG54" s="13">
        <v>1</v>
      </c>
      <c r="BJ54" s="13">
        <v>1</v>
      </c>
      <c r="BQ54">
        <f t="shared" si="2"/>
        <v>7</v>
      </c>
      <c r="BR54" s="13">
        <f t="shared" si="1"/>
        <v>13</v>
      </c>
      <c r="BS54" s="13">
        <f>[1]!shannonweaver(F54:BM54)</f>
        <v>1.8043716191528456</v>
      </c>
    </row>
    <row r="55" spans="1:71">
      <c r="A55" s="13" t="s">
        <v>26</v>
      </c>
      <c r="B55" t="s">
        <v>281</v>
      </c>
      <c r="C55" t="s">
        <v>301</v>
      </c>
      <c r="D55" s="13" t="s">
        <v>319</v>
      </c>
      <c r="E55" s="13" t="s">
        <v>91</v>
      </c>
      <c r="G55" s="13">
        <v>1</v>
      </c>
      <c r="O55" s="13">
        <v>2</v>
      </c>
      <c r="AA55" s="13">
        <v>1</v>
      </c>
      <c r="AD55" s="13">
        <v>1</v>
      </c>
      <c r="AG55" s="13">
        <v>1</v>
      </c>
      <c r="AR55" s="13">
        <v>1</v>
      </c>
      <c r="BJ55" s="13">
        <v>1</v>
      </c>
      <c r="BK55" s="13">
        <v>2</v>
      </c>
      <c r="BQ55">
        <f t="shared" si="2"/>
        <v>8</v>
      </c>
      <c r="BR55" s="13">
        <f t="shared" si="1"/>
        <v>10</v>
      </c>
      <c r="BS55" s="13">
        <f>[1]!shannonweaver(F55:BM55)</f>
        <v>2.0253262207700673</v>
      </c>
    </row>
    <row r="56" spans="1:71">
      <c r="A56" s="13" t="s">
        <v>28</v>
      </c>
      <c r="B56" t="s">
        <v>281</v>
      </c>
      <c r="C56">
        <v>4</v>
      </c>
      <c r="D56" s="13" t="s">
        <v>320</v>
      </c>
      <c r="E56" s="13" t="s">
        <v>91</v>
      </c>
      <c r="BK56" s="13">
        <v>1</v>
      </c>
      <c r="BL56" s="13">
        <v>1</v>
      </c>
      <c r="BQ56">
        <f t="shared" si="2"/>
        <v>2</v>
      </c>
      <c r="BR56" s="13">
        <f t="shared" si="1"/>
        <v>2</v>
      </c>
      <c r="BS56" s="13">
        <f>[1]!shannonweaver(F56:BM56)</f>
        <v>0.69314718055994529</v>
      </c>
    </row>
    <row r="57" spans="1:71">
      <c r="A57" s="13" t="s">
        <v>29</v>
      </c>
      <c r="B57" t="s">
        <v>281</v>
      </c>
      <c r="C57">
        <v>4</v>
      </c>
      <c r="D57" s="13" t="s">
        <v>320</v>
      </c>
      <c r="E57" s="13" t="s">
        <v>91</v>
      </c>
      <c r="T57" s="13">
        <v>1</v>
      </c>
      <c r="BK57" s="13">
        <v>1</v>
      </c>
      <c r="BL57" s="13">
        <v>1</v>
      </c>
      <c r="BQ57">
        <f t="shared" si="2"/>
        <v>3</v>
      </c>
      <c r="BR57" s="13">
        <f t="shared" si="1"/>
        <v>3</v>
      </c>
      <c r="BS57" s="13">
        <f>[1]!shannonweaver(F57:BM57)</f>
        <v>1.0986122886681096</v>
      </c>
    </row>
    <row r="58" spans="1:71">
      <c r="A58" s="13" t="s">
        <v>30</v>
      </c>
      <c r="B58" t="s">
        <v>281</v>
      </c>
      <c r="C58">
        <v>4</v>
      </c>
      <c r="D58" s="13" t="s">
        <v>320</v>
      </c>
      <c r="E58" s="13" t="s">
        <v>91</v>
      </c>
      <c r="T58" s="13">
        <v>2</v>
      </c>
      <c r="BQ58">
        <f t="shared" si="2"/>
        <v>1</v>
      </c>
      <c r="BR58" s="13">
        <f t="shared" si="1"/>
        <v>2</v>
      </c>
      <c r="BS58" s="13">
        <f>[1]!shannonweaver(F58:BM58)</f>
        <v>0</v>
      </c>
    </row>
    <row r="59" spans="1:71">
      <c r="A59" s="13" t="s">
        <v>31</v>
      </c>
      <c r="B59" t="s">
        <v>281</v>
      </c>
      <c r="C59">
        <v>4</v>
      </c>
      <c r="D59" s="13" t="s">
        <v>320</v>
      </c>
      <c r="E59" s="13" t="s">
        <v>91</v>
      </c>
      <c r="BK59" s="13">
        <v>1</v>
      </c>
      <c r="BQ59">
        <f t="shared" si="2"/>
        <v>1</v>
      </c>
      <c r="BR59" s="13">
        <f t="shared" si="1"/>
        <v>1</v>
      </c>
      <c r="BS59" s="13">
        <v>0</v>
      </c>
    </row>
    <row r="60" spans="1:71">
      <c r="A60" s="13" t="s">
        <v>32</v>
      </c>
      <c r="B60" t="s">
        <v>281</v>
      </c>
      <c r="C60">
        <v>4</v>
      </c>
      <c r="D60" s="13" t="s">
        <v>320</v>
      </c>
      <c r="E60" s="13" t="s">
        <v>91</v>
      </c>
      <c r="T60" s="13">
        <v>1</v>
      </c>
      <c r="BC60" s="13">
        <v>1</v>
      </c>
      <c r="BK60" s="13">
        <v>1</v>
      </c>
      <c r="BQ60">
        <f t="shared" si="2"/>
        <v>3</v>
      </c>
      <c r="BR60" s="13">
        <f t="shared" si="1"/>
        <v>3</v>
      </c>
      <c r="BS60" s="13">
        <f>[1]!shannonweaver(F60:BM60)</f>
        <v>1.0986122886681096</v>
      </c>
    </row>
    <row r="61" spans="1:71">
      <c r="A61" s="13" t="s">
        <v>33</v>
      </c>
      <c r="B61" t="s">
        <v>281</v>
      </c>
      <c r="C61">
        <v>4</v>
      </c>
      <c r="D61" s="13" t="s">
        <v>320</v>
      </c>
      <c r="E61" s="13" t="s">
        <v>91</v>
      </c>
      <c r="BL61" s="13">
        <v>1</v>
      </c>
      <c r="BQ61">
        <f t="shared" si="2"/>
        <v>1</v>
      </c>
      <c r="BR61" s="13">
        <f t="shared" si="1"/>
        <v>1</v>
      </c>
      <c r="BS61" s="13">
        <f>[1]!shannonweaver(F61:BM61)</f>
        <v>0</v>
      </c>
    </row>
    <row r="62" spans="1:71">
      <c r="A62" s="13" t="s">
        <v>34</v>
      </c>
      <c r="B62" t="s">
        <v>281</v>
      </c>
      <c r="C62">
        <v>5</v>
      </c>
      <c r="D62" s="13" t="s">
        <v>320</v>
      </c>
      <c r="E62" t="s">
        <v>91</v>
      </c>
      <c r="M62" s="13">
        <v>1</v>
      </c>
      <c r="BQ62">
        <f t="shared" si="2"/>
        <v>1</v>
      </c>
      <c r="BR62" s="13">
        <f t="shared" si="1"/>
        <v>1</v>
      </c>
      <c r="BS62" s="13">
        <f>[1]!shannonweaver(F62:BM62)</f>
        <v>0</v>
      </c>
    </row>
    <row r="63" spans="1:71">
      <c r="A63" s="13" t="s">
        <v>290</v>
      </c>
      <c r="B63" t="s">
        <v>281</v>
      </c>
      <c r="C63">
        <v>5</v>
      </c>
      <c r="D63" s="13" t="s">
        <v>320</v>
      </c>
      <c r="E63" t="s">
        <v>91</v>
      </c>
      <c r="BK63" s="13">
        <v>2</v>
      </c>
      <c r="BQ63">
        <f t="shared" si="2"/>
        <v>1</v>
      </c>
      <c r="BR63" s="13">
        <f t="shared" si="1"/>
        <v>2</v>
      </c>
      <c r="BS63" s="13">
        <f>[1]!shannonweaver(F63:BM63)</f>
        <v>0</v>
      </c>
    </row>
    <row r="64" spans="1:71">
      <c r="A64" s="13" t="s">
        <v>228</v>
      </c>
      <c r="B64" t="s">
        <v>281</v>
      </c>
      <c r="C64">
        <v>5</v>
      </c>
      <c r="D64" s="13" t="s">
        <v>320</v>
      </c>
      <c r="E64" t="s">
        <v>91</v>
      </c>
      <c r="BK64" s="13">
        <v>1</v>
      </c>
      <c r="BL64" s="13">
        <v>1</v>
      </c>
      <c r="BQ64">
        <f t="shared" si="2"/>
        <v>2</v>
      </c>
      <c r="BR64" s="13">
        <f t="shared" si="1"/>
        <v>2</v>
      </c>
      <c r="BS64" s="13">
        <f>[1]!shannonweaver(F64:BM64)</f>
        <v>0.69314718055994529</v>
      </c>
    </row>
    <row r="65" spans="1:72">
      <c r="A65" s="13" t="s">
        <v>229</v>
      </c>
      <c r="B65" t="s">
        <v>281</v>
      </c>
      <c r="C65">
        <v>5</v>
      </c>
      <c r="D65" s="13" t="s">
        <v>320</v>
      </c>
      <c r="E65" t="s">
        <v>91</v>
      </c>
      <c r="U65" s="13">
        <v>1</v>
      </c>
      <c r="AA65" s="13">
        <v>2</v>
      </c>
      <c r="BQ65">
        <f t="shared" si="2"/>
        <v>2</v>
      </c>
      <c r="BR65" s="13">
        <f t="shared" si="1"/>
        <v>3</v>
      </c>
      <c r="BS65" s="13">
        <f>[1]!shannonweaver(F65:BM65)</f>
        <v>0.63651416829481278</v>
      </c>
    </row>
    <row r="66" spans="1:72">
      <c r="A66" s="13" t="s">
        <v>230</v>
      </c>
      <c r="B66" t="s">
        <v>281</v>
      </c>
      <c r="C66">
        <v>5</v>
      </c>
      <c r="D66" s="13" t="s">
        <v>320</v>
      </c>
      <c r="E66" t="s">
        <v>91</v>
      </c>
      <c r="AC66" s="13">
        <v>1</v>
      </c>
      <c r="BQ66">
        <f t="shared" si="2"/>
        <v>1</v>
      </c>
      <c r="BR66" s="13">
        <f t="shared" si="1"/>
        <v>1</v>
      </c>
      <c r="BS66" s="13">
        <v>0</v>
      </c>
    </row>
    <row r="67" spans="1:72">
      <c r="A67" s="13" t="s">
        <v>231</v>
      </c>
      <c r="B67" t="s">
        <v>281</v>
      </c>
      <c r="C67">
        <v>5</v>
      </c>
      <c r="D67" s="13" t="s">
        <v>320</v>
      </c>
      <c r="E67" t="s">
        <v>91</v>
      </c>
      <c r="AA67" s="13">
        <v>1</v>
      </c>
      <c r="BK67" s="13">
        <v>1</v>
      </c>
      <c r="BL67" s="13">
        <v>1</v>
      </c>
      <c r="BQ67">
        <f t="shared" si="2"/>
        <v>3</v>
      </c>
      <c r="BR67" s="13">
        <f t="shared" ref="BR67:BR73" si="3">SUM(F67:BM67)</f>
        <v>3</v>
      </c>
      <c r="BS67" s="13">
        <f>[1]!shannonweaver(F67:BM67)</f>
        <v>1.0986122886681096</v>
      </c>
    </row>
    <row r="68" spans="1:72">
      <c r="A68" t="s">
        <v>232</v>
      </c>
      <c r="B68" t="s">
        <v>281</v>
      </c>
      <c r="C68">
        <v>7</v>
      </c>
      <c r="D68" s="13" t="s">
        <v>320</v>
      </c>
      <c r="E68" s="13" t="s">
        <v>91</v>
      </c>
      <c r="T68" s="13">
        <v>2</v>
      </c>
      <c r="U68" s="13">
        <v>1</v>
      </c>
      <c r="V68" s="13">
        <v>1</v>
      </c>
      <c r="AA68" s="13">
        <v>2</v>
      </c>
      <c r="BK68" s="13">
        <v>1</v>
      </c>
      <c r="BQ68">
        <f t="shared" si="2"/>
        <v>5</v>
      </c>
      <c r="BR68" s="13">
        <f t="shared" si="3"/>
        <v>7</v>
      </c>
      <c r="BS68" s="13">
        <f>[1]!shannonweaver(F68:BM68)</f>
        <v>1.5498260458782016</v>
      </c>
    </row>
    <row r="69" spans="1:72">
      <c r="A69" t="s">
        <v>233</v>
      </c>
      <c r="B69" t="s">
        <v>281</v>
      </c>
      <c r="C69">
        <v>7</v>
      </c>
      <c r="D69" s="13" t="s">
        <v>320</v>
      </c>
      <c r="E69" s="13" t="s">
        <v>91</v>
      </c>
      <c r="O69" s="13">
        <v>1</v>
      </c>
      <c r="V69" s="13">
        <v>2</v>
      </c>
      <c r="BK69" s="13">
        <v>1</v>
      </c>
      <c r="BQ69">
        <f t="shared" si="2"/>
        <v>3</v>
      </c>
      <c r="BR69" s="13">
        <f t="shared" si="3"/>
        <v>4</v>
      </c>
      <c r="BS69" s="13">
        <f>[1]!shannonweaver(F69:BM69)</f>
        <v>1.0397207708399179</v>
      </c>
    </row>
    <row r="70" spans="1:72">
      <c r="A70" t="s">
        <v>234</v>
      </c>
      <c r="B70" t="s">
        <v>281</v>
      </c>
      <c r="C70">
        <v>7</v>
      </c>
      <c r="D70" s="13" t="s">
        <v>320</v>
      </c>
      <c r="E70" s="13" t="s">
        <v>91</v>
      </c>
      <c r="V70" s="13">
        <v>1</v>
      </c>
      <c r="AA70" s="13">
        <v>1</v>
      </c>
      <c r="BQ70">
        <f t="shared" si="2"/>
        <v>2</v>
      </c>
      <c r="BR70" s="13">
        <f t="shared" si="3"/>
        <v>2</v>
      </c>
      <c r="BS70" s="13">
        <f>[1]!shannonweaver(F70:BM70)</f>
        <v>0.69314718055994529</v>
      </c>
    </row>
    <row r="71" spans="1:72">
      <c r="A71" s="23" t="s">
        <v>235</v>
      </c>
      <c r="B71" t="s">
        <v>281</v>
      </c>
      <c r="C71">
        <v>7</v>
      </c>
      <c r="D71" s="13" t="s">
        <v>320</v>
      </c>
      <c r="E71" s="13" t="s">
        <v>91</v>
      </c>
      <c r="J71" s="13">
        <v>1</v>
      </c>
      <c r="K71" s="13">
        <v>1</v>
      </c>
      <c r="M71" s="13">
        <v>1</v>
      </c>
      <c r="AG71" s="13">
        <v>2</v>
      </c>
      <c r="BK71" s="13">
        <v>1</v>
      </c>
      <c r="BQ71">
        <f t="shared" si="2"/>
        <v>5</v>
      </c>
      <c r="BR71" s="13">
        <f t="shared" si="3"/>
        <v>6</v>
      </c>
      <c r="BS71" s="13">
        <f>[1]!shannonweaver(F71:BM71)</f>
        <v>1.5607104090414063</v>
      </c>
    </row>
    <row r="72" spans="1:72">
      <c r="A72" t="s">
        <v>236</v>
      </c>
      <c r="B72" t="s">
        <v>281</v>
      </c>
      <c r="C72">
        <v>7</v>
      </c>
      <c r="D72" s="13" t="s">
        <v>320</v>
      </c>
      <c r="E72" s="13" t="s">
        <v>91</v>
      </c>
      <c r="AA72" s="13">
        <v>1</v>
      </c>
      <c r="BJ72" s="13">
        <v>1</v>
      </c>
      <c r="BK72" s="13">
        <v>1</v>
      </c>
      <c r="BQ72">
        <f t="shared" si="2"/>
        <v>3</v>
      </c>
      <c r="BR72" s="13">
        <f t="shared" si="3"/>
        <v>3</v>
      </c>
      <c r="BS72" s="13">
        <f>[1]!shannonweaver(F72:BM72)</f>
        <v>1.0986122886681096</v>
      </c>
      <c r="BT72" s="13" t="s">
        <v>151</v>
      </c>
    </row>
    <row r="73" spans="1:72">
      <c r="A73" t="s">
        <v>205</v>
      </c>
      <c r="B73" t="s">
        <v>281</v>
      </c>
      <c r="C73">
        <v>7</v>
      </c>
      <c r="D73" s="13" t="s">
        <v>320</v>
      </c>
      <c r="E73" s="13" t="s">
        <v>91</v>
      </c>
      <c r="J73" s="13">
        <v>1</v>
      </c>
      <c r="X73" s="13">
        <v>1</v>
      </c>
      <c r="AG73" s="13">
        <v>1</v>
      </c>
      <c r="AZ73" s="13">
        <v>2</v>
      </c>
      <c r="BQ73">
        <f t="shared" si="2"/>
        <v>4</v>
      </c>
      <c r="BR73" s="13">
        <f t="shared" si="3"/>
        <v>5</v>
      </c>
      <c r="BS73" s="13">
        <f>[1]!shannonweaver(F73:BM73)</f>
        <v>1.3321790402101223</v>
      </c>
    </row>
    <row r="74" spans="1:72">
      <c r="A74" t="s">
        <v>175</v>
      </c>
      <c r="B74" t="s">
        <v>176</v>
      </c>
      <c r="C74" t="s">
        <v>177</v>
      </c>
      <c r="D74" s="13" t="s">
        <v>319</v>
      </c>
      <c r="E74" s="13" t="s">
        <v>283</v>
      </c>
      <c r="X74" s="13">
        <v>1</v>
      </c>
      <c r="BQ74">
        <f t="shared" ref="BQ74:BQ137" si="4">COUNTIF(F74:BM74, "&gt;0")</f>
        <v>1</v>
      </c>
      <c r="BR74" s="13">
        <f t="shared" ref="BR74:BR137" si="5">SUM(F74:BM74)</f>
        <v>1</v>
      </c>
      <c r="BS74" s="13">
        <f>[1]!shannonweaver(F74:BM74)</f>
        <v>0</v>
      </c>
    </row>
    <row r="75" spans="1:72">
      <c r="A75" t="s">
        <v>178</v>
      </c>
      <c r="B75" t="s">
        <v>176</v>
      </c>
      <c r="C75" t="s">
        <v>177</v>
      </c>
      <c r="D75" s="13" t="s">
        <v>319</v>
      </c>
      <c r="E75" s="13" t="s">
        <v>283</v>
      </c>
      <c r="O75" s="13">
        <v>1</v>
      </c>
      <c r="AD75" s="13">
        <v>2</v>
      </c>
      <c r="AR75" s="13">
        <v>1</v>
      </c>
      <c r="BQ75">
        <f t="shared" si="4"/>
        <v>3</v>
      </c>
      <c r="BR75" s="13">
        <f t="shared" si="5"/>
        <v>4</v>
      </c>
      <c r="BS75" s="13">
        <f>[1]!shannonweaver(F75:BM75)</f>
        <v>1.0397207708399179</v>
      </c>
    </row>
    <row r="76" spans="1:72">
      <c r="A76" s="13" t="s">
        <v>200</v>
      </c>
      <c r="B76" t="s">
        <v>176</v>
      </c>
      <c r="C76" t="s">
        <v>177</v>
      </c>
      <c r="D76" s="13" t="s">
        <v>319</v>
      </c>
      <c r="E76" s="13" t="s">
        <v>283</v>
      </c>
      <c r="AC76" s="13">
        <v>1</v>
      </c>
      <c r="AD76" s="13">
        <v>1</v>
      </c>
      <c r="AG76" s="13">
        <v>1</v>
      </c>
      <c r="BQ76">
        <f t="shared" si="4"/>
        <v>3</v>
      </c>
      <c r="BR76" s="13">
        <f t="shared" si="5"/>
        <v>3</v>
      </c>
      <c r="BS76" s="13">
        <f>[1]!shannonweaver(F76:BM76)</f>
        <v>1.0986122886681096</v>
      </c>
    </row>
    <row r="77" spans="1:72">
      <c r="A77" s="13" t="s">
        <v>201</v>
      </c>
      <c r="B77" t="s">
        <v>176</v>
      </c>
      <c r="C77" t="s">
        <v>177</v>
      </c>
      <c r="D77" s="13" t="s">
        <v>319</v>
      </c>
      <c r="E77" s="13" t="s">
        <v>283</v>
      </c>
      <c r="AD77" s="13">
        <v>1</v>
      </c>
      <c r="BQ77">
        <f t="shared" si="4"/>
        <v>1</v>
      </c>
      <c r="BR77" s="13">
        <f t="shared" si="5"/>
        <v>1</v>
      </c>
      <c r="BS77" s="13">
        <f>[1]!shannonweaver(F77:BM77)</f>
        <v>0</v>
      </c>
    </row>
    <row r="78" spans="1:72">
      <c r="A78" s="13" t="s">
        <v>202</v>
      </c>
      <c r="B78" t="s">
        <v>176</v>
      </c>
      <c r="C78" t="s">
        <v>177</v>
      </c>
      <c r="D78" s="13" t="s">
        <v>319</v>
      </c>
      <c r="E78" s="13" t="s">
        <v>283</v>
      </c>
      <c r="O78" s="13">
        <v>1</v>
      </c>
      <c r="P78" s="13">
        <v>2</v>
      </c>
      <c r="BD78" s="13">
        <v>1</v>
      </c>
      <c r="BQ78">
        <f t="shared" si="4"/>
        <v>3</v>
      </c>
      <c r="BR78" s="13">
        <f t="shared" si="5"/>
        <v>4</v>
      </c>
      <c r="BS78" s="13">
        <f>[1]!shannonweaver(F78:BM78)</f>
        <v>1.0397207708399179</v>
      </c>
    </row>
    <row r="79" spans="1:72">
      <c r="A79" s="13" t="s">
        <v>203</v>
      </c>
      <c r="B79" t="s">
        <v>176</v>
      </c>
      <c r="C79" t="s">
        <v>177</v>
      </c>
      <c r="D79" s="13" t="s">
        <v>319</v>
      </c>
      <c r="E79" s="13" t="s">
        <v>283</v>
      </c>
      <c r="AA79" s="13">
        <v>1</v>
      </c>
      <c r="AD79" s="13">
        <v>1</v>
      </c>
      <c r="BQ79">
        <f t="shared" si="4"/>
        <v>2</v>
      </c>
      <c r="BR79" s="13">
        <f t="shared" si="5"/>
        <v>2</v>
      </c>
      <c r="BS79" s="13">
        <f>[1]!shannonweaver(F79:BM79)</f>
        <v>0.69314718055994529</v>
      </c>
    </row>
    <row r="80" spans="1:72">
      <c r="A80" s="13" t="s">
        <v>100</v>
      </c>
      <c r="B80" t="s">
        <v>176</v>
      </c>
      <c r="C80" t="s">
        <v>204</v>
      </c>
      <c r="D80" s="13" t="s">
        <v>319</v>
      </c>
      <c r="E80" s="13" t="s">
        <v>283</v>
      </c>
      <c r="O80" s="13">
        <v>3</v>
      </c>
      <c r="P80" s="13">
        <v>1</v>
      </c>
      <c r="V80" s="13">
        <v>1</v>
      </c>
      <c r="AA80" s="13">
        <v>3</v>
      </c>
      <c r="AC80" s="13">
        <v>2</v>
      </c>
      <c r="AD80" s="13">
        <v>4</v>
      </c>
      <c r="AH80" s="13">
        <v>1</v>
      </c>
      <c r="BA80" s="13">
        <v>1</v>
      </c>
      <c r="BQ80">
        <f>COUNTIF(F80:BM80, "&gt;0")</f>
        <v>8</v>
      </c>
      <c r="BR80" s="13">
        <f>SUM(F80:BM80)</f>
        <v>16</v>
      </c>
      <c r="BS80" s="13">
        <f>[1]!shannonweaver(F80:BM80)</f>
        <v>1.9273921261392744</v>
      </c>
    </row>
    <row r="81" spans="1:71">
      <c r="A81" s="13" t="s">
        <v>99</v>
      </c>
      <c r="B81" t="s">
        <v>176</v>
      </c>
      <c r="C81" t="s">
        <v>204</v>
      </c>
      <c r="D81" s="13" t="s">
        <v>319</v>
      </c>
      <c r="E81" s="13" t="s">
        <v>283</v>
      </c>
      <c r="O81" s="13">
        <v>2</v>
      </c>
      <c r="V81" s="13">
        <v>1</v>
      </c>
      <c r="AA81" s="13">
        <v>4</v>
      </c>
      <c r="BQ81">
        <f t="shared" si="4"/>
        <v>3</v>
      </c>
      <c r="BR81" s="13">
        <f t="shared" si="5"/>
        <v>7</v>
      </c>
      <c r="BS81" s="13">
        <f>[1]!shannonweaver(F81:BM81)</f>
        <v>0.95569989111253428</v>
      </c>
    </row>
    <row r="82" spans="1:71">
      <c r="A82" s="13" t="s">
        <v>102</v>
      </c>
      <c r="B82" t="s">
        <v>176</v>
      </c>
      <c r="C82" t="s">
        <v>204</v>
      </c>
      <c r="D82" s="13" t="s">
        <v>319</v>
      </c>
      <c r="E82" s="13" t="s">
        <v>283</v>
      </c>
      <c r="O82" s="13">
        <v>1</v>
      </c>
      <c r="P82" s="13">
        <v>1</v>
      </c>
      <c r="R82" s="13">
        <v>1</v>
      </c>
      <c r="T82" s="13">
        <v>1</v>
      </c>
      <c r="AA82" s="13">
        <v>1</v>
      </c>
      <c r="AD82" s="13">
        <v>1</v>
      </c>
      <c r="AG82" s="13">
        <v>1</v>
      </c>
      <c r="BL82" s="13">
        <v>1</v>
      </c>
      <c r="BQ82">
        <f t="shared" si="4"/>
        <v>8</v>
      </c>
      <c r="BR82" s="13">
        <f t="shared" si="5"/>
        <v>8</v>
      </c>
      <c r="BS82" s="13">
        <f>[1]!shannonweaver(F82:BM82)</f>
        <v>2.0794415416798357</v>
      </c>
    </row>
    <row r="83" spans="1:71">
      <c r="A83" s="13" t="s">
        <v>118</v>
      </c>
      <c r="B83" t="s">
        <v>176</v>
      </c>
      <c r="C83" t="s">
        <v>204</v>
      </c>
      <c r="D83" s="13" t="s">
        <v>319</v>
      </c>
      <c r="E83" s="13" t="s">
        <v>283</v>
      </c>
      <c r="O83" s="13">
        <v>1</v>
      </c>
      <c r="AC83" s="13">
        <v>9</v>
      </c>
      <c r="AD83" s="13">
        <v>3</v>
      </c>
      <c r="BQ83">
        <f t="shared" si="4"/>
        <v>3</v>
      </c>
      <c r="BR83" s="13">
        <f t="shared" si="5"/>
        <v>13</v>
      </c>
      <c r="BS83" s="13">
        <f>[1]!shannonweaver(F83:BM83)</f>
        <v>0.79026796807459032</v>
      </c>
    </row>
    <row r="84" spans="1:71">
      <c r="A84" s="13" t="s">
        <v>119</v>
      </c>
      <c r="B84" t="s">
        <v>176</v>
      </c>
      <c r="C84" t="s">
        <v>204</v>
      </c>
      <c r="D84" s="13" t="s">
        <v>319</v>
      </c>
      <c r="E84" s="13" t="s">
        <v>283</v>
      </c>
      <c r="V84" s="13">
        <v>1</v>
      </c>
      <c r="AC84" s="13">
        <v>1</v>
      </c>
      <c r="AD84" s="13">
        <v>1</v>
      </c>
      <c r="BQ84">
        <f t="shared" si="4"/>
        <v>3</v>
      </c>
      <c r="BR84" s="13">
        <f t="shared" si="5"/>
        <v>3</v>
      </c>
      <c r="BS84" s="13">
        <f>[1]!shannonweaver(F84:BM84)</f>
        <v>1.0986122886681096</v>
      </c>
    </row>
    <row r="85" spans="1:71">
      <c r="A85" s="13" t="s">
        <v>137</v>
      </c>
      <c r="B85" t="s">
        <v>176</v>
      </c>
      <c r="C85" t="s">
        <v>204</v>
      </c>
      <c r="D85" s="13" t="s">
        <v>319</v>
      </c>
      <c r="E85" s="13" t="s">
        <v>283</v>
      </c>
      <c r="O85" s="13">
        <v>1</v>
      </c>
      <c r="AM85" s="13">
        <v>1</v>
      </c>
      <c r="BQ85">
        <f t="shared" si="4"/>
        <v>2</v>
      </c>
      <c r="BR85" s="13">
        <f t="shared" si="5"/>
        <v>2</v>
      </c>
      <c r="BS85" s="13">
        <f>[1]!shannonweaver(F85:BM85)</f>
        <v>0.69314718055994529</v>
      </c>
    </row>
    <row r="86" spans="1:71">
      <c r="A86" s="13" t="s">
        <v>139</v>
      </c>
      <c r="B86" t="s">
        <v>176</v>
      </c>
      <c r="C86" t="s">
        <v>138</v>
      </c>
      <c r="D86" s="13" t="s">
        <v>319</v>
      </c>
      <c r="E86" s="13" t="s">
        <v>283</v>
      </c>
      <c r="O86" s="13">
        <v>3</v>
      </c>
      <c r="V86" s="13">
        <v>1</v>
      </c>
      <c r="AA86" s="13">
        <v>3</v>
      </c>
      <c r="AC86" s="13">
        <v>2</v>
      </c>
      <c r="AD86" s="13">
        <v>1</v>
      </c>
      <c r="AE86" s="13">
        <v>16</v>
      </c>
      <c r="AG86" s="13">
        <v>1</v>
      </c>
      <c r="AR86" s="13">
        <v>1</v>
      </c>
      <c r="BJ86" s="13">
        <v>1</v>
      </c>
      <c r="BN86" s="13">
        <v>1</v>
      </c>
      <c r="BQ86">
        <f t="shared" si="4"/>
        <v>9</v>
      </c>
      <c r="BR86" s="13">
        <f t="shared" si="5"/>
        <v>29</v>
      </c>
      <c r="BS86" s="13">
        <f>[1]!shannonweaver(F86:BM86)</f>
        <v>1.5624893593325069</v>
      </c>
    </row>
    <row r="87" spans="1:71">
      <c r="A87" s="13" t="s">
        <v>71</v>
      </c>
      <c r="B87" t="s">
        <v>176</v>
      </c>
      <c r="C87" t="s">
        <v>138</v>
      </c>
      <c r="D87" s="13" t="s">
        <v>319</v>
      </c>
      <c r="E87" s="13" t="s">
        <v>283</v>
      </c>
      <c r="O87" s="13">
        <v>6</v>
      </c>
      <c r="P87" s="13">
        <v>1</v>
      </c>
      <c r="AA87" s="13">
        <v>1</v>
      </c>
      <c r="AC87" s="13">
        <v>9</v>
      </c>
      <c r="AD87" s="13">
        <v>8</v>
      </c>
      <c r="AE87" s="13">
        <v>5</v>
      </c>
      <c r="AR87" s="13">
        <v>2</v>
      </c>
      <c r="BJ87" s="13">
        <v>1</v>
      </c>
      <c r="BQ87">
        <f t="shared" si="4"/>
        <v>8</v>
      </c>
      <c r="BR87" s="13">
        <f t="shared" si="5"/>
        <v>33</v>
      </c>
      <c r="BS87" s="13">
        <f>[1]!shannonweaver(F87:BM87)</f>
        <v>1.7815198563718324</v>
      </c>
    </row>
    <row r="88" spans="1:71">
      <c r="A88" s="13" t="s">
        <v>72</v>
      </c>
      <c r="B88" t="s">
        <v>176</v>
      </c>
      <c r="C88" t="s">
        <v>138</v>
      </c>
      <c r="D88" s="13" t="s">
        <v>319</v>
      </c>
      <c r="E88" s="13" t="s">
        <v>283</v>
      </c>
      <c r="O88" s="13">
        <v>4</v>
      </c>
      <c r="P88" s="13">
        <v>1</v>
      </c>
      <c r="V88" s="13">
        <v>1</v>
      </c>
      <c r="X88" s="13">
        <v>1</v>
      </c>
      <c r="AC88" s="13">
        <v>6</v>
      </c>
      <c r="AD88" s="13">
        <v>5</v>
      </c>
      <c r="AE88" s="13">
        <v>11</v>
      </c>
      <c r="AG88" s="13">
        <v>1</v>
      </c>
      <c r="BQ88">
        <f t="shared" si="4"/>
        <v>8</v>
      </c>
      <c r="BR88" s="13">
        <f t="shared" si="5"/>
        <v>30</v>
      </c>
      <c r="BS88" s="13">
        <f>[1]!shannonweaver(F88:BM88)</f>
        <v>1.7105383209021394</v>
      </c>
    </row>
    <row r="89" spans="1:71">
      <c r="A89" s="13" t="s">
        <v>73</v>
      </c>
      <c r="B89" t="s">
        <v>176</v>
      </c>
      <c r="C89" t="s">
        <v>138</v>
      </c>
      <c r="D89" s="13" t="s">
        <v>319</v>
      </c>
      <c r="E89" s="13" t="s">
        <v>283</v>
      </c>
      <c r="O89" s="13">
        <v>3</v>
      </c>
      <c r="S89" s="13">
        <v>1</v>
      </c>
      <c r="T89" s="13">
        <v>1</v>
      </c>
      <c r="V89" s="13">
        <v>1</v>
      </c>
      <c r="AA89" s="13">
        <v>3</v>
      </c>
      <c r="AC89" s="13">
        <v>2</v>
      </c>
      <c r="AD89" s="13">
        <v>1</v>
      </c>
      <c r="AE89" s="13">
        <v>7</v>
      </c>
      <c r="AG89" s="13">
        <v>1</v>
      </c>
      <c r="BQ89">
        <f t="shared" si="4"/>
        <v>9</v>
      </c>
      <c r="BR89" s="13">
        <f t="shared" si="5"/>
        <v>20</v>
      </c>
      <c r="BS89" s="13">
        <f>[1]!shannonweaver(F89:BM89)</f>
        <v>1.9157653167282038</v>
      </c>
    </row>
    <row r="90" spans="1:71">
      <c r="A90" s="13" t="s">
        <v>74</v>
      </c>
      <c r="B90" t="s">
        <v>176</v>
      </c>
      <c r="C90" t="s">
        <v>138</v>
      </c>
      <c r="D90" s="13" t="s">
        <v>319</v>
      </c>
      <c r="E90" s="13" t="s">
        <v>283</v>
      </c>
      <c r="O90" s="13">
        <v>3</v>
      </c>
      <c r="P90" s="24"/>
      <c r="Q90" s="24"/>
      <c r="Y90" s="13">
        <v>4</v>
      </c>
      <c r="AA90" s="13">
        <v>1</v>
      </c>
      <c r="AC90" s="13">
        <v>8</v>
      </c>
      <c r="AE90" s="13">
        <v>19</v>
      </c>
      <c r="AG90" s="13">
        <v>1</v>
      </c>
      <c r="BJ90" s="13">
        <v>1</v>
      </c>
      <c r="BQ90">
        <f t="shared" si="4"/>
        <v>7</v>
      </c>
      <c r="BR90" s="13">
        <f t="shared" si="5"/>
        <v>37</v>
      </c>
      <c r="BS90" s="13">
        <f>[1]!shannonweaver(F90:BM90)</f>
        <v>1.4103533924257126</v>
      </c>
    </row>
    <row r="91" spans="1:71">
      <c r="A91" s="13" t="s">
        <v>75</v>
      </c>
      <c r="B91" t="s">
        <v>176</v>
      </c>
      <c r="C91" t="s">
        <v>138</v>
      </c>
      <c r="D91" s="13" t="s">
        <v>319</v>
      </c>
      <c r="E91" s="13" t="s">
        <v>283</v>
      </c>
      <c r="O91" s="13">
        <v>5</v>
      </c>
      <c r="V91" s="13">
        <v>1</v>
      </c>
      <c r="W91" s="13">
        <v>1</v>
      </c>
      <c r="X91" s="13">
        <v>1</v>
      </c>
      <c r="AC91" s="13">
        <v>6</v>
      </c>
      <c r="BN91" s="13">
        <v>1</v>
      </c>
      <c r="BQ91">
        <f t="shared" si="4"/>
        <v>5</v>
      </c>
      <c r="BR91" s="13">
        <f t="shared" si="5"/>
        <v>14</v>
      </c>
      <c r="BS91" s="13">
        <f>[1]!shannonweaver(F91:BM91)</f>
        <v>1.2963611597910563</v>
      </c>
    </row>
    <row r="92" spans="1:71">
      <c r="A92" t="s">
        <v>140</v>
      </c>
      <c r="B92" t="s">
        <v>176</v>
      </c>
      <c r="C92" t="s">
        <v>207</v>
      </c>
      <c r="D92" s="13" t="s">
        <v>320</v>
      </c>
      <c r="E92" s="13" t="s">
        <v>283</v>
      </c>
      <c r="K92" s="13">
        <v>1</v>
      </c>
      <c r="AE92" s="13">
        <v>1</v>
      </c>
      <c r="BC92" s="13">
        <v>1</v>
      </c>
      <c r="BL92" s="13">
        <v>1</v>
      </c>
      <c r="BQ92">
        <f t="shared" si="4"/>
        <v>4</v>
      </c>
      <c r="BR92" s="13">
        <f t="shared" si="5"/>
        <v>4</v>
      </c>
      <c r="BS92" s="13">
        <f>[1]!shannonweaver(F92:BM92)</f>
        <v>1.3862943611198906</v>
      </c>
    </row>
    <row r="93" spans="1:71">
      <c r="A93" s="13" t="s">
        <v>208</v>
      </c>
      <c r="B93" t="s">
        <v>176</v>
      </c>
      <c r="C93" t="s">
        <v>207</v>
      </c>
      <c r="D93" s="13" t="s">
        <v>320</v>
      </c>
      <c r="E93" s="13" t="s">
        <v>283</v>
      </c>
      <c r="AA93" s="13">
        <v>5</v>
      </c>
      <c r="AD93" s="13">
        <v>5</v>
      </c>
      <c r="AE93" s="13">
        <v>1</v>
      </c>
      <c r="AG93" s="13">
        <v>1</v>
      </c>
      <c r="BD93" s="13">
        <v>2</v>
      </c>
      <c r="BQ93">
        <f t="shared" si="4"/>
        <v>5</v>
      </c>
      <c r="BR93" s="13">
        <f t="shared" si="5"/>
        <v>14</v>
      </c>
      <c r="BS93" s="13">
        <f>[1]!shannonweaver(F93:BM93)</f>
        <v>1.3904377949394804</v>
      </c>
    </row>
    <row r="94" spans="1:71">
      <c r="A94" s="13" t="s">
        <v>209</v>
      </c>
      <c r="B94" t="s">
        <v>176</v>
      </c>
      <c r="C94" t="s">
        <v>207</v>
      </c>
      <c r="D94" s="13" t="s">
        <v>320</v>
      </c>
      <c r="E94" s="13" t="s">
        <v>283</v>
      </c>
      <c r="O94" s="13">
        <v>1</v>
      </c>
      <c r="AA94" s="13">
        <v>5</v>
      </c>
      <c r="AC94" s="13">
        <v>1</v>
      </c>
      <c r="AD94" s="13">
        <v>15</v>
      </c>
      <c r="AR94" s="13">
        <v>2</v>
      </c>
      <c r="BJ94" s="13">
        <v>2</v>
      </c>
      <c r="BQ94">
        <f t="shared" si="4"/>
        <v>6</v>
      </c>
      <c r="BR94" s="13">
        <f t="shared" si="5"/>
        <v>26</v>
      </c>
      <c r="BS94" s="13">
        <f>[1]!shannonweaver(F94:BM94)</f>
        <v>1.2796145649082733</v>
      </c>
    </row>
    <row r="95" spans="1:71">
      <c r="A95" s="13" t="s">
        <v>210</v>
      </c>
      <c r="B95" t="s">
        <v>176</v>
      </c>
      <c r="C95" t="s">
        <v>207</v>
      </c>
      <c r="D95" s="13" t="s">
        <v>320</v>
      </c>
      <c r="E95" s="13" t="s">
        <v>283</v>
      </c>
      <c r="O95" s="13">
        <v>2</v>
      </c>
      <c r="AA95" s="13">
        <v>1</v>
      </c>
      <c r="AD95" s="13">
        <v>1</v>
      </c>
      <c r="BQ95">
        <f t="shared" si="4"/>
        <v>3</v>
      </c>
      <c r="BR95" s="13">
        <f t="shared" si="5"/>
        <v>4</v>
      </c>
      <c r="BS95" s="13">
        <f>[1]!shannonweaver(F95:BM95)</f>
        <v>1.0397207708399179</v>
      </c>
    </row>
    <row r="96" spans="1:71">
      <c r="A96" s="13" t="s">
        <v>211</v>
      </c>
      <c r="B96" t="s">
        <v>176</v>
      </c>
      <c r="C96" t="s">
        <v>207</v>
      </c>
      <c r="D96" s="13" t="s">
        <v>320</v>
      </c>
      <c r="E96" s="13" t="s">
        <v>283</v>
      </c>
      <c r="G96" s="13">
        <v>1</v>
      </c>
      <c r="O96" s="13">
        <v>1</v>
      </c>
      <c r="X96" s="13">
        <v>1</v>
      </c>
      <c r="Y96" s="13">
        <v>2</v>
      </c>
      <c r="AA96" s="13">
        <v>1</v>
      </c>
      <c r="AD96" s="13">
        <v>3</v>
      </c>
      <c r="BQ96">
        <f t="shared" si="4"/>
        <v>6</v>
      </c>
      <c r="BR96" s="13">
        <f t="shared" si="5"/>
        <v>9</v>
      </c>
      <c r="BS96" s="13">
        <f>[1]!shannonweaver(F96:BM96)</f>
        <v>1.6769877743224173</v>
      </c>
    </row>
    <row r="97" spans="1:71">
      <c r="A97" s="13" t="s">
        <v>212</v>
      </c>
      <c r="B97" t="s">
        <v>176</v>
      </c>
      <c r="C97" t="s">
        <v>207</v>
      </c>
      <c r="D97" s="13" t="s">
        <v>320</v>
      </c>
      <c r="E97" s="13" t="s">
        <v>283</v>
      </c>
      <c r="O97" s="13">
        <v>1</v>
      </c>
      <c r="BJ97" s="13">
        <v>1</v>
      </c>
      <c r="BQ97">
        <f t="shared" si="4"/>
        <v>2</v>
      </c>
      <c r="BR97" s="13">
        <f t="shared" si="5"/>
        <v>2</v>
      </c>
      <c r="BS97" s="13">
        <f>[1]!shannonweaver(F97:BM97)</f>
        <v>0.69314718055994529</v>
      </c>
    </row>
    <row r="98" spans="1:71">
      <c r="A98" s="13" t="s">
        <v>214</v>
      </c>
      <c r="B98" t="s">
        <v>176</v>
      </c>
      <c r="C98" t="s">
        <v>213</v>
      </c>
      <c r="D98" s="13" t="s">
        <v>320</v>
      </c>
      <c r="E98" s="13" t="s">
        <v>283</v>
      </c>
      <c r="W98" s="13">
        <v>1</v>
      </c>
      <c r="AA98" s="13">
        <v>8</v>
      </c>
      <c r="AC98" s="13">
        <v>1</v>
      </c>
      <c r="AD98" s="13">
        <v>11</v>
      </c>
      <c r="AE98" s="13">
        <v>1</v>
      </c>
      <c r="AH98" s="13">
        <v>1</v>
      </c>
      <c r="AM98" s="13">
        <v>2</v>
      </c>
      <c r="BQ98">
        <f t="shared" si="4"/>
        <v>7</v>
      </c>
      <c r="BR98" s="13">
        <f t="shared" si="5"/>
        <v>25</v>
      </c>
      <c r="BS98" s="13">
        <f>[1]!shannonweaver(F98:BM98)</f>
        <v>1.4429288370545745</v>
      </c>
    </row>
    <row r="99" spans="1:71">
      <c r="A99" s="13" t="s">
        <v>215</v>
      </c>
      <c r="B99" t="s">
        <v>176</v>
      </c>
      <c r="C99" t="s">
        <v>213</v>
      </c>
      <c r="D99" s="13" t="s">
        <v>320</v>
      </c>
      <c r="E99" s="13" t="s">
        <v>283</v>
      </c>
      <c r="X99" s="13">
        <v>1</v>
      </c>
      <c r="AA99" s="13">
        <v>8</v>
      </c>
      <c r="AC99" s="13">
        <v>2</v>
      </c>
      <c r="AD99" s="13">
        <v>11</v>
      </c>
      <c r="AH99" s="13">
        <v>1</v>
      </c>
      <c r="AM99" s="13">
        <v>2</v>
      </c>
      <c r="BQ99">
        <f t="shared" si="4"/>
        <v>6</v>
      </c>
      <c r="BR99" s="13">
        <f t="shared" si="5"/>
        <v>25</v>
      </c>
      <c r="BS99" s="13">
        <f>[1]!shannonweaver(F99:BM99)</f>
        <v>1.387477062609779</v>
      </c>
    </row>
    <row r="100" spans="1:71">
      <c r="A100" s="13" t="s">
        <v>216</v>
      </c>
      <c r="B100" t="s">
        <v>176</v>
      </c>
      <c r="C100" t="s">
        <v>213</v>
      </c>
      <c r="D100" s="13" t="s">
        <v>320</v>
      </c>
      <c r="E100" s="13" t="s">
        <v>283</v>
      </c>
      <c r="X100" s="13">
        <v>1</v>
      </c>
      <c r="AA100" s="13">
        <v>8</v>
      </c>
      <c r="AC100" s="13">
        <v>1</v>
      </c>
      <c r="BQ100">
        <f t="shared" si="4"/>
        <v>3</v>
      </c>
      <c r="BR100" s="13">
        <f t="shared" si="5"/>
        <v>10</v>
      </c>
      <c r="BS100" s="13">
        <f>[1]!shannonweaver(F100:BM100)</f>
        <v>0.63903185965017695</v>
      </c>
    </row>
    <row r="101" spans="1:71">
      <c r="A101" s="13" t="s">
        <v>217</v>
      </c>
      <c r="B101" t="s">
        <v>176</v>
      </c>
      <c r="C101" t="s">
        <v>213</v>
      </c>
      <c r="D101" s="13" t="s">
        <v>320</v>
      </c>
      <c r="E101" s="13" t="s">
        <v>283</v>
      </c>
      <c r="O101" s="13">
        <v>5</v>
      </c>
      <c r="AA101" s="13">
        <v>5</v>
      </c>
      <c r="AC101" s="13">
        <v>2</v>
      </c>
      <c r="AD101" s="13">
        <v>3</v>
      </c>
      <c r="AE101" s="13">
        <v>1</v>
      </c>
      <c r="AM101" s="13">
        <v>2</v>
      </c>
      <c r="BG101" s="13">
        <v>1</v>
      </c>
      <c r="BQ101">
        <f t="shared" si="4"/>
        <v>7</v>
      </c>
      <c r="BR101" s="13">
        <f t="shared" si="5"/>
        <v>19</v>
      </c>
      <c r="BS101" s="13">
        <f>[1]!shannonweaver(F101:BM101)</f>
        <v>1.7779755732409084</v>
      </c>
    </row>
    <row r="102" spans="1:71">
      <c r="A102" s="13" t="s">
        <v>218</v>
      </c>
      <c r="B102" t="s">
        <v>176</v>
      </c>
      <c r="C102" t="s">
        <v>213</v>
      </c>
      <c r="D102" s="13" t="s">
        <v>320</v>
      </c>
      <c r="E102" s="13" t="s">
        <v>283</v>
      </c>
      <c r="O102" s="13">
        <v>1</v>
      </c>
      <c r="W102" s="13">
        <v>1</v>
      </c>
      <c r="X102" s="13">
        <v>1</v>
      </c>
      <c r="AC102" s="13">
        <v>3</v>
      </c>
      <c r="AD102" s="13">
        <v>10</v>
      </c>
      <c r="AR102" s="13">
        <v>1</v>
      </c>
      <c r="BQ102">
        <f t="shared" si="4"/>
        <v>6</v>
      </c>
      <c r="BR102" s="13">
        <f t="shared" si="5"/>
        <v>17</v>
      </c>
      <c r="BS102" s="13">
        <f>[1]!shannonweaver(F102:BM102)</f>
        <v>1.28487876782417</v>
      </c>
    </row>
    <row r="103" spans="1:71">
      <c r="A103" s="13" t="s">
        <v>219</v>
      </c>
      <c r="B103" t="s">
        <v>176</v>
      </c>
      <c r="C103" t="s">
        <v>213</v>
      </c>
      <c r="D103" s="13" t="s">
        <v>320</v>
      </c>
      <c r="E103" s="13" t="s">
        <v>283</v>
      </c>
      <c r="O103" s="13">
        <v>1</v>
      </c>
      <c r="P103" s="13">
        <v>1</v>
      </c>
      <c r="AC103" s="13">
        <v>3</v>
      </c>
      <c r="AD103" s="13">
        <v>12</v>
      </c>
      <c r="AG103" s="13">
        <v>1</v>
      </c>
      <c r="BL103" s="13">
        <v>1</v>
      </c>
      <c r="BQ103">
        <f t="shared" si="4"/>
        <v>6</v>
      </c>
      <c r="BR103" s="13">
        <f t="shared" si="5"/>
        <v>19</v>
      </c>
      <c r="BS103" s="13">
        <f>[1]!shannonweaver(F103:BM103)</f>
        <v>1.2015591547737916</v>
      </c>
    </row>
    <row r="104" spans="1:71">
      <c r="A104" s="13" t="s">
        <v>221</v>
      </c>
      <c r="B104" t="s">
        <v>176</v>
      </c>
      <c r="C104" t="s">
        <v>220</v>
      </c>
      <c r="D104" s="13" t="s">
        <v>320</v>
      </c>
      <c r="E104" s="13" t="s">
        <v>283</v>
      </c>
      <c r="O104" s="13">
        <v>2</v>
      </c>
      <c r="Z104" s="13">
        <v>1</v>
      </c>
      <c r="AA104" s="13">
        <v>5</v>
      </c>
      <c r="AC104" s="13">
        <v>6</v>
      </c>
      <c r="AD104" s="13">
        <v>15</v>
      </c>
      <c r="AG104" s="13">
        <v>3</v>
      </c>
      <c r="AM104" s="13">
        <v>1</v>
      </c>
      <c r="BQ104">
        <f t="shared" si="4"/>
        <v>7</v>
      </c>
      <c r="BR104" s="13">
        <f t="shared" si="5"/>
        <v>33</v>
      </c>
      <c r="BS104" s="13">
        <f>[1]!shannonweaver(F104:BM104)</f>
        <v>1.5540642093090198</v>
      </c>
    </row>
    <row r="105" spans="1:71">
      <c r="A105" s="13" t="s">
        <v>19</v>
      </c>
      <c r="B105" t="s">
        <v>176</v>
      </c>
      <c r="C105" t="s">
        <v>220</v>
      </c>
      <c r="D105" s="13" t="s">
        <v>320</v>
      </c>
      <c r="E105" s="13" t="s">
        <v>283</v>
      </c>
      <c r="K105" s="13">
        <v>1</v>
      </c>
      <c r="O105" s="13">
        <v>2</v>
      </c>
      <c r="W105" s="13">
        <v>1</v>
      </c>
      <c r="X105" s="13">
        <v>1</v>
      </c>
      <c r="AA105" s="13">
        <v>1</v>
      </c>
      <c r="AC105" s="13">
        <v>6</v>
      </c>
      <c r="AD105" s="13">
        <v>5</v>
      </c>
      <c r="AG105" s="13">
        <v>1</v>
      </c>
      <c r="AM105" s="13">
        <v>1</v>
      </c>
      <c r="BL105" s="13">
        <v>1</v>
      </c>
      <c r="BQ105">
        <f t="shared" si="4"/>
        <v>10</v>
      </c>
      <c r="BR105" s="13">
        <f t="shared" si="5"/>
        <v>20</v>
      </c>
      <c r="BS105" s="13">
        <f>[1]!shannonweaver(F105:BM105)</f>
        <v>1.9865302366210549</v>
      </c>
    </row>
    <row r="106" spans="1:71">
      <c r="A106" s="13" t="s">
        <v>20</v>
      </c>
      <c r="B106" t="s">
        <v>176</v>
      </c>
      <c r="C106" t="s">
        <v>220</v>
      </c>
      <c r="D106" s="13" t="s">
        <v>320</v>
      </c>
      <c r="E106" s="13" t="s">
        <v>283</v>
      </c>
      <c r="AC106" s="13">
        <v>1</v>
      </c>
      <c r="AD106" s="13">
        <v>11</v>
      </c>
      <c r="AG106" s="13">
        <v>1</v>
      </c>
      <c r="BQ106">
        <f t="shared" si="4"/>
        <v>3</v>
      </c>
      <c r="BR106" s="13">
        <f t="shared" si="5"/>
        <v>13</v>
      </c>
      <c r="BS106" s="13">
        <f>[1]!shannonweaver(F106:BM106)</f>
        <v>0.53596104970906944</v>
      </c>
    </row>
    <row r="107" spans="1:71">
      <c r="A107" s="13" t="s">
        <v>68</v>
      </c>
      <c r="B107" t="s">
        <v>176</v>
      </c>
      <c r="C107" t="s">
        <v>220</v>
      </c>
      <c r="D107" s="13" t="s">
        <v>320</v>
      </c>
      <c r="E107" s="13" t="s">
        <v>283</v>
      </c>
      <c r="O107" s="13">
        <v>6</v>
      </c>
      <c r="R107" s="13">
        <v>1</v>
      </c>
      <c r="AA107" s="13">
        <v>1</v>
      </c>
      <c r="AC107" s="13">
        <v>1</v>
      </c>
      <c r="AD107" s="13">
        <v>5</v>
      </c>
      <c r="AG107" s="13">
        <v>1</v>
      </c>
      <c r="AM107" s="13">
        <v>2</v>
      </c>
      <c r="BQ107">
        <f t="shared" si="4"/>
        <v>7</v>
      </c>
      <c r="BR107" s="13">
        <f t="shared" si="5"/>
        <v>17</v>
      </c>
      <c r="BS107" s="13">
        <f>[1]!shannonweaver(F107:BM107)</f>
        <v>1.6459168300174678</v>
      </c>
    </row>
    <row r="108" spans="1:71">
      <c r="A108" s="13" t="s">
        <v>69</v>
      </c>
      <c r="B108" t="s">
        <v>176</v>
      </c>
      <c r="C108" t="s">
        <v>220</v>
      </c>
      <c r="D108" s="13" t="s">
        <v>320</v>
      </c>
      <c r="E108" s="13" t="s">
        <v>283</v>
      </c>
      <c r="O108" s="13">
        <v>2</v>
      </c>
      <c r="V108" s="13">
        <v>1</v>
      </c>
      <c r="AA108" s="13">
        <v>4</v>
      </c>
      <c r="AC108" s="13">
        <v>2</v>
      </c>
      <c r="AD108" s="13">
        <v>14</v>
      </c>
      <c r="AG108" s="13">
        <v>2</v>
      </c>
      <c r="AH108" s="13">
        <v>1</v>
      </c>
      <c r="BQ108">
        <f t="shared" si="4"/>
        <v>7</v>
      </c>
      <c r="BR108" s="13">
        <f t="shared" si="5"/>
        <v>26</v>
      </c>
      <c r="BS108" s="13">
        <f>[1]!shannonweaver(F108:BM108)</f>
        <v>1.4638325710040647</v>
      </c>
    </row>
    <row r="109" spans="1:71">
      <c r="A109" s="13" t="s">
        <v>70</v>
      </c>
      <c r="B109" t="s">
        <v>176</v>
      </c>
      <c r="C109" t="s">
        <v>220</v>
      </c>
      <c r="D109" s="13" t="s">
        <v>320</v>
      </c>
      <c r="E109" s="13" t="s">
        <v>283</v>
      </c>
      <c r="O109" s="13">
        <v>2</v>
      </c>
      <c r="AA109" s="13">
        <v>5</v>
      </c>
      <c r="AC109" s="13">
        <v>5</v>
      </c>
      <c r="AD109" s="13">
        <v>13</v>
      </c>
      <c r="AE109" s="13">
        <v>1</v>
      </c>
      <c r="BQ109">
        <f t="shared" si="4"/>
        <v>5</v>
      </c>
      <c r="BR109" s="13">
        <f t="shared" si="5"/>
        <v>26</v>
      </c>
      <c r="BS109" s="13">
        <f>[1]!shannonweaver(F109:BM109)</f>
        <v>1.3032882636960639</v>
      </c>
    </row>
    <row r="110" spans="1:71">
      <c r="A110" s="23" t="s">
        <v>103</v>
      </c>
      <c r="B110" t="s">
        <v>176</v>
      </c>
      <c r="C110" t="s">
        <v>177</v>
      </c>
      <c r="D110" s="13" t="s">
        <v>319</v>
      </c>
      <c r="E110" s="13" t="s">
        <v>91</v>
      </c>
      <c r="J110" s="13">
        <v>1</v>
      </c>
      <c r="O110" s="13">
        <v>1</v>
      </c>
      <c r="U110" s="13">
        <v>1</v>
      </c>
      <c r="V110" s="13">
        <v>1</v>
      </c>
      <c r="AR110" s="13">
        <v>1</v>
      </c>
      <c r="BQ110">
        <f t="shared" si="4"/>
        <v>5</v>
      </c>
      <c r="BR110" s="13">
        <f t="shared" si="5"/>
        <v>5</v>
      </c>
      <c r="BS110" s="13">
        <f>[1]!shannonweaver(F110:BM110)</f>
        <v>1.6094379124341005</v>
      </c>
    </row>
    <row r="111" spans="1:71">
      <c r="A111" t="s">
        <v>104</v>
      </c>
      <c r="B111" t="s">
        <v>176</v>
      </c>
      <c r="C111" t="s">
        <v>177</v>
      </c>
      <c r="D111" s="13" t="s">
        <v>319</v>
      </c>
      <c r="E111" s="13" t="s">
        <v>91</v>
      </c>
      <c r="O111" s="13">
        <v>1</v>
      </c>
      <c r="V111" s="13">
        <v>1</v>
      </c>
      <c r="AC111" s="13">
        <v>1</v>
      </c>
      <c r="AD111" s="13">
        <v>3</v>
      </c>
      <c r="BQ111">
        <f t="shared" si="4"/>
        <v>4</v>
      </c>
      <c r="BR111" s="13">
        <f t="shared" si="5"/>
        <v>6</v>
      </c>
      <c r="BS111" s="13">
        <f>[1]!shannonweaver(F111:BM111)</f>
        <v>1.2424533248940002</v>
      </c>
    </row>
    <row r="112" spans="1:71">
      <c r="A112" s="13" t="s">
        <v>105</v>
      </c>
      <c r="B112" t="s">
        <v>176</v>
      </c>
      <c r="C112" t="s">
        <v>177</v>
      </c>
      <c r="D112" s="13" t="s">
        <v>319</v>
      </c>
      <c r="E112" s="13" t="s">
        <v>91</v>
      </c>
      <c r="O112" s="13">
        <v>3</v>
      </c>
      <c r="R112" s="13">
        <v>1</v>
      </c>
      <c r="V112" s="13">
        <v>4</v>
      </c>
      <c r="AA112" s="13">
        <v>1</v>
      </c>
      <c r="AD112" s="13">
        <v>3</v>
      </c>
      <c r="AR112" s="13">
        <v>1</v>
      </c>
      <c r="BQ112">
        <f t="shared" si="4"/>
        <v>6</v>
      </c>
      <c r="BR112" s="13">
        <f t="shared" si="5"/>
        <v>13</v>
      </c>
      <c r="BS112" s="13">
        <f>[1]!shannonweaver(F112:BM112)</f>
        <v>1.6313454208085969</v>
      </c>
    </row>
    <row r="113" spans="1:71">
      <c r="A113" s="13" t="s">
        <v>106</v>
      </c>
      <c r="B113" t="s">
        <v>176</v>
      </c>
      <c r="C113" t="s">
        <v>177</v>
      </c>
      <c r="D113" s="13" t="s">
        <v>319</v>
      </c>
      <c r="E113" s="13" t="s">
        <v>91</v>
      </c>
      <c r="O113" s="13">
        <v>1</v>
      </c>
      <c r="X113" s="13">
        <v>1</v>
      </c>
      <c r="AD113" s="13">
        <v>3</v>
      </c>
      <c r="AH113" s="13">
        <v>1</v>
      </c>
      <c r="AM113" s="13">
        <v>1</v>
      </c>
      <c r="BJ113" s="13">
        <v>1</v>
      </c>
      <c r="BL113" s="13">
        <v>1</v>
      </c>
      <c r="BQ113">
        <f t="shared" si="4"/>
        <v>7</v>
      </c>
      <c r="BR113" s="13">
        <f t="shared" si="5"/>
        <v>9</v>
      </c>
      <c r="BS113" s="13">
        <f>[1]!shannonweaver(F113:BM113)</f>
        <v>1.8310204811135165</v>
      </c>
    </row>
    <row r="114" spans="1:71">
      <c r="A114" s="13" t="s">
        <v>107</v>
      </c>
      <c r="B114" t="s">
        <v>176</v>
      </c>
      <c r="C114" t="s">
        <v>177</v>
      </c>
      <c r="D114" s="13" t="s">
        <v>319</v>
      </c>
      <c r="E114" s="13" t="s">
        <v>91</v>
      </c>
      <c r="O114" s="13">
        <v>1</v>
      </c>
      <c r="V114" s="13">
        <v>1</v>
      </c>
      <c r="X114" s="13">
        <v>1</v>
      </c>
      <c r="AA114" s="13">
        <v>2</v>
      </c>
      <c r="BJ114" s="13">
        <v>3</v>
      </c>
      <c r="BL114" s="13">
        <v>1</v>
      </c>
      <c r="BQ114">
        <f t="shared" si="4"/>
        <v>6</v>
      </c>
      <c r="BR114" s="13">
        <f t="shared" si="5"/>
        <v>9</v>
      </c>
      <c r="BS114" s="13">
        <f>[1]!shannonweaver(F114:BM114)</f>
        <v>1.6769877743224173</v>
      </c>
    </row>
    <row r="115" spans="1:71">
      <c r="A115" s="13" t="s">
        <v>108</v>
      </c>
      <c r="B115" t="s">
        <v>176</v>
      </c>
      <c r="C115" t="s">
        <v>177</v>
      </c>
      <c r="D115" s="13" t="s">
        <v>319</v>
      </c>
      <c r="E115" s="13" t="s">
        <v>91</v>
      </c>
      <c r="AA115" s="13">
        <v>1</v>
      </c>
      <c r="BK115" s="13">
        <v>1</v>
      </c>
      <c r="BQ115">
        <f t="shared" si="4"/>
        <v>2</v>
      </c>
      <c r="BR115" s="13">
        <f t="shared" si="5"/>
        <v>2</v>
      </c>
      <c r="BS115" s="13">
        <f>[1]!shannonweaver(F115:BM115)</f>
        <v>0.69314718055994529</v>
      </c>
    </row>
    <row r="116" spans="1:71">
      <c r="A116" s="13" t="s">
        <v>109</v>
      </c>
      <c r="B116" t="s">
        <v>176</v>
      </c>
      <c r="C116" t="s">
        <v>204</v>
      </c>
      <c r="D116" s="13" t="s">
        <v>319</v>
      </c>
      <c r="E116" s="13" t="s">
        <v>91</v>
      </c>
      <c r="O116" s="13">
        <v>3</v>
      </c>
      <c r="AA116" s="13">
        <v>4</v>
      </c>
      <c r="AC116" s="13">
        <v>1</v>
      </c>
      <c r="AD116" s="13">
        <v>1</v>
      </c>
      <c r="AZ116" s="13">
        <v>1</v>
      </c>
      <c r="BQ116">
        <f t="shared" si="4"/>
        <v>5</v>
      </c>
      <c r="BR116" s="13">
        <f t="shared" si="5"/>
        <v>10</v>
      </c>
      <c r="BS116" s="13">
        <f>[1]!shannonweaver(F116:BM116)</f>
        <v>1.4184836619456564</v>
      </c>
    </row>
    <row r="117" spans="1:71">
      <c r="A117" s="13" t="s">
        <v>110</v>
      </c>
      <c r="B117" t="s">
        <v>176</v>
      </c>
      <c r="C117" t="s">
        <v>204</v>
      </c>
      <c r="D117" s="13" t="s">
        <v>319</v>
      </c>
      <c r="E117" s="13" t="s">
        <v>91</v>
      </c>
      <c r="O117" s="13">
        <v>1</v>
      </c>
      <c r="AA117" s="13">
        <v>5</v>
      </c>
      <c r="AC117" s="13">
        <v>4</v>
      </c>
      <c r="AD117" s="13">
        <v>1</v>
      </c>
      <c r="AG117" s="13">
        <v>3</v>
      </c>
      <c r="AH117" s="13">
        <v>1</v>
      </c>
      <c r="BQ117">
        <f t="shared" si="4"/>
        <v>6</v>
      </c>
      <c r="BR117" s="13">
        <f t="shared" si="5"/>
        <v>15</v>
      </c>
      <c r="BS117" s="13">
        <f>[1]!shannonweaver(F117:BM117)</f>
        <v>1.5821699429252505</v>
      </c>
    </row>
    <row r="118" spans="1:71">
      <c r="A118" s="13" t="s">
        <v>111</v>
      </c>
      <c r="B118" t="s">
        <v>176</v>
      </c>
      <c r="C118" t="s">
        <v>204</v>
      </c>
      <c r="D118" s="13" t="s">
        <v>319</v>
      </c>
      <c r="E118" s="13" t="s">
        <v>91</v>
      </c>
      <c r="O118" s="13">
        <v>1</v>
      </c>
      <c r="P118" s="13">
        <v>1</v>
      </c>
      <c r="AA118" s="13">
        <v>2</v>
      </c>
      <c r="AC118" s="13">
        <v>2</v>
      </c>
      <c r="AD118" s="13">
        <v>9</v>
      </c>
      <c r="BJ118" s="13">
        <v>2</v>
      </c>
      <c r="BQ118">
        <f t="shared" si="4"/>
        <v>6</v>
      </c>
      <c r="BR118" s="13">
        <f t="shared" si="5"/>
        <v>17</v>
      </c>
      <c r="BS118" s="13">
        <f>[1]!shannonweaver(F118:BM118)</f>
        <v>1.4253366217394134</v>
      </c>
    </row>
    <row r="119" spans="1:71">
      <c r="A119" s="13" t="s">
        <v>112</v>
      </c>
      <c r="B119" t="s">
        <v>176</v>
      </c>
      <c r="C119" t="s">
        <v>204</v>
      </c>
      <c r="D119" s="13" t="s">
        <v>319</v>
      </c>
      <c r="E119" s="13" t="s">
        <v>91</v>
      </c>
      <c r="O119" s="13">
        <v>3</v>
      </c>
      <c r="T119" s="13">
        <v>1</v>
      </c>
      <c r="V119" s="13">
        <v>1</v>
      </c>
      <c r="X119" s="13">
        <v>1</v>
      </c>
      <c r="AA119" s="13">
        <v>4</v>
      </c>
      <c r="AC119" s="13">
        <v>11</v>
      </c>
      <c r="AD119" s="13">
        <v>5</v>
      </c>
      <c r="BJ119" s="13">
        <v>1</v>
      </c>
      <c r="BQ119">
        <f t="shared" si="4"/>
        <v>8</v>
      </c>
      <c r="BR119" s="13">
        <f t="shared" si="5"/>
        <v>27</v>
      </c>
      <c r="BS119" s="13">
        <f>[1]!shannonweaver(F119:BM119)</f>
        <v>1.6934275373585339</v>
      </c>
    </row>
    <row r="120" spans="1:71">
      <c r="A120" s="13" t="s">
        <v>113</v>
      </c>
      <c r="B120" t="s">
        <v>176</v>
      </c>
      <c r="C120" t="s">
        <v>204</v>
      </c>
      <c r="D120" s="13" t="s">
        <v>319</v>
      </c>
      <c r="E120" s="13" t="s">
        <v>91</v>
      </c>
      <c r="O120" s="13">
        <v>5</v>
      </c>
      <c r="Z120" s="13">
        <v>1</v>
      </c>
      <c r="AC120" s="13">
        <v>4</v>
      </c>
      <c r="AD120" s="13">
        <v>1</v>
      </c>
      <c r="AG120" s="13">
        <v>3</v>
      </c>
      <c r="AM120" s="13">
        <v>1</v>
      </c>
      <c r="BJ120" s="13">
        <v>1</v>
      </c>
      <c r="BL120" s="13">
        <v>1</v>
      </c>
      <c r="BQ120">
        <f t="shared" si="4"/>
        <v>8</v>
      </c>
      <c r="BR120" s="13">
        <f t="shared" si="5"/>
        <v>17</v>
      </c>
      <c r="BS120" s="13">
        <f>[1]!shannonweaver(F120:BM120)</f>
        <v>1.8397895868412522</v>
      </c>
    </row>
    <row r="121" spans="1:71">
      <c r="A121" s="13" t="s">
        <v>114</v>
      </c>
      <c r="B121" t="s">
        <v>176</v>
      </c>
      <c r="C121" t="s">
        <v>204</v>
      </c>
      <c r="D121" s="13" t="s">
        <v>319</v>
      </c>
      <c r="E121" s="13" t="s">
        <v>91</v>
      </c>
      <c r="O121" s="13">
        <v>3</v>
      </c>
      <c r="R121" s="13">
        <v>1</v>
      </c>
      <c r="AC121" s="13">
        <v>4</v>
      </c>
      <c r="BQ121">
        <f t="shared" si="4"/>
        <v>3</v>
      </c>
      <c r="BR121" s="13">
        <f t="shared" si="5"/>
        <v>8</v>
      </c>
      <c r="BS121" s="13">
        <f>[1]!shannonweaver(F121:BM121)</f>
        <v>0.97431475286934943</v>
      </c>
    </row>
    <row r="122" spans="1:71">
      <c r="A122" s="13" t="s">
        <v>115</v>
      </c>
      <c r="B122" t="s">
        <v>176</v>
      </c>
      <c r="C122" t="s">
        <v>138</v>
      </c>
      <c r="D122" s="13" t="s">
        <v>319</v>
      </c>
      <c r="E122" s="13" t="s">
        <v>91</v>
      </c>
      <c r="O122" s="13">
        <v>7</v>
      </c>
      <c r="AA122" s="13">
        <v>1</v>
      </c>
      <c r="AC122" s="13">
        <v>8</v>
      </c>
      <c r="AD122" s="13">
        <v>13</v>
      </c>
      <c r="BQ122">
        <f t="shared" si="4"/>
        <v>4</v>
      </c>
      <c r="BR122" s="13">
        <f t="shared" si="5"/>
        <v>29</v>
      </c>
      <c r="BS122" s="13">
        <f>[1]!shannonweaver(F122:BM122)</f>
        <v>1.1741494498545479</v>
      </c>
    </row>
    <row r="123" spans="1:71">
      <c r="A123" s="13" t="s">
        <v>116</v>
      </c>
      <c r="B123" t="s">
        <v>176</v>
      </c>
      <c r="C123" t="s">
        <v>138</v>
      </c>
      <c r="D123" s="13" t="s">
        <v>319</v>
      </c>
      <c r="E123" s="13" t="s">
        <v>91</v>
      </c>
      <c r="O123" s="13">
        <v>5</v>
      </c>
      <c r="U123" s="13">
        <v>1</v>
      </c>
      <c r="X123" s="13">
        <v>1</v>
      </c>
      <c r="Y123" s="13">
        <v>3</v>
      </c>
      <c r="AC123" s="13">
        <v>1</v>
      </c>
      <c r="AG123" s="13">
        <v>11</v>
      </c>
      <c r="BL123" s="13">
        <v>1</v>
      </c>
      <c r="BQ123">
        <f t="shared" si="4"/>
        <v>7</v>
      </c>
      <c r="BR123" s="13">
        <f t="shared" si="5"/>
        <v>23</v>
      </c>
      <c r="BS123" s="13">
        <f>[1]!shannonweaver(F123:BM123)</f>
        <v>1.495499675539719</v>
      </c>
    </row>
    <row r="124" spans="1:71">
      <c r="A124" s="23" t="s">
        <v>35</v>
      </c>
      <c r="B124" t="s">
        <v>176</v>
      </c>
      <c r="C124" t="s">
        <v>138</v>
      </c>
      <c r="D124" s="13" t="s">
        <v>319</v>
      </c>
      <c r="E124" s="13" t="s">
        <v>91</v>
      </c>
      <c r="O124" s="13">
        <v>9</v>
      </c>
      <c r="U124" s="13">
        <v>1</v>
      </c>
      <c r="X124" s="13">
        <v>2</v>
      </c>
      <c r="Y124" s="13">
        <v>1</v>
      </c>
      <c r="Z124" s="13">
        <v>1</v>
      </c>
      <c r="AA124" s="13">
        <v>1</v>
      </c>
      <c r="AC124" s="13">
        <v>4</v>
      </c>
      <c r="AD124" s="13">
        <v>5</v>
      </c>
      <c r="AG124" s="13">
        <v>1</v>
      </c>
      <c r="BQ124">
        <f t="shared" si="4"/>
        <v>9</v>
      </c>
      <c r="BR124" s="13">
        <f t="shared" si="5"/>
        <v>25</v>
      </c>
      <c r="BS124" s="13">
        <f>[1]!shannonweaver(F124:BM124)</f>
        <v>1.8287285223163636</v>
      </c>
    </row>
    <row r="125" spans="1:71">
      <c r="A125" s="13" t="s">
        <v>225</v>
      </c>
      <c r="B125" t="s">
        <v>176</v>
      </c>
      <c r="C125" t="s">
        <v>138</v>
      </c>
      <c r="D125" s="13" t="s">
        <v>319</v>
      </c>
      <c r="E125" s="13" t="s">
        <v>91</v>
      </c>
      <c r="O125" s="13">
        <v>9</v>
      </c>
      <c r="P125" s="13">
        <v>1</v>
      </c>
      <c r="V125" s="13">
        <v>2</v>
      </c>
      <c r="X125" s="13">
        <v>1</v>
      </c>
      <c r="AC125" s="13">
        <v>7</v>
      </c>
      <c r="AD125" s="13">
        <v>3</v>
      </c>
      <c r="AR125" s="13">
        <v>1</v>
      </c>
      <c r="BQ125">
        <f t="shared" si="4"/>
        <v>7</v>
      </c>
      <c r="BR125" s="13">
        <f t="shared" si="5"/>
        <v>24</v>
      </c>
      <c r="BS125" s="13">
        <f>[1]!shannonweaver(F125:BM125)</f>
        <v>1.5914486859088879</v>
      </c>
    </row>
    <row r="126" spans="1:71">
      <c r="A126" s="13" t="s">
        <v>226</v>
      </c>
      <c r="B126" t="s">
        <v>176</v>
      </c>
      <c r="C126" t="s">
        <v>138</v>
      </c>
      <c r="D126" s="13" t="s">
        <v>319</v>
      </c>
      <c r="E126" s="13" t="s">
        <v>91</v>
      </c>
      <c r="O126" s="13">
        <v>8</v>
      </c>
      <c r="U126" s="13">
        <v>1</v>
      </c>
      <c r="V126" s="13">
        <v>3</v>
      </c>
      <c r="X126" s="13">
        <v>1</v>
      </c>
      <c r="AA126" s="13">
        <v>2</v>
      </c>
      <c r="AC126" s="13">
        <v>7</v>
      </c>
      <c r="AD126" s="13">
        <v>7</v>
      </c>
      <c r="BG126" s="13">
        <v>1</v>
      </c>
      <c r="BJ126" s="13">
        <v>1</v>
      </c>
      <c r="BL126" s="13">
        <v>1</v>
      </c>
      <c r="BQ126">
        <f t="shared" si="4"/>
        <v>10</v>
      </c>
      <c r="BR126" s="13">
        <f t="shared" si="5"/>
        <v>32</v>
      </c>
      <c r="BS126" s="13">
        <f>[1]!shannonweaver(F126:BM126)</f>
        <v>1.9482232263204364</v>
      </c>
    </row>
    <row r="127" spans="1:71">
      <c r="A127" s="13" t="s">
        <v>227</v>
      </c>
      <c r="B127" t="s">
        <v>176</v>
      </c>
      <c r="C127" t="s">
        <v>138</v>
      </c>
      <c r="D127" s="13" t="s">
        <v>319</v>
      </c>
      <c r="E127" s="13" t="s">
        <v>91</v>
      </c>
      <c r="O127" s="13">
        <v>10</v>
      </c>
      <c r="V127" s="13">
        <v>1</v>
      </c>
      <c r="W127" s="13">
        <v>1</v>
      </c>
      <c r="AA127" s="13">
        <v>3</v>
      </c>
      <c r="AC127" s="13">
        <v>6</v>
      </c>
      <c r="AD127" s="13">
        <v>5</v>
      </c>
      <c r="AG127" s="13">
        <v>1</v>
      </c>
      <c r="AH127" s="13">
        <v>2</v>
      </c>
      <c r="AZ127" s="13">
        <v>1</v>
      </c>
      <c r="BJ127" s="13">
        <v>1</v>
      </c>
      <c r="BQ127">
        <f t="shared" si="4"/>
        <v>10</v>
      </c>
      <c r="BR127" s="13">
        <f t="shared" si="5"/>
        <v>31</v>
      </c>
      <c r="BS127" s="13">
        <f>[1]!shannonweaver(F127:BM127)</f>
        <v>1.9338024130463234</v>
      </c>
    </row>
    <row r="128" spans="1:71">
      <c r="A128" t="s">
        <v>251</v>
      </c>
      <c r="B128" t="s">
        <v>176</v>
      </c>
      <c r="C128" t="s">
        <v>207</v>
      </c>
      <c r="D128" s="13" t="s">
        <v>320</v>
      </c>
      <c r="E128" s="13" t="s">
        <v>91</v>
      </c>
      <c r="O128" s="13">
        <v>2</v>
      </c>
      <c r="U128" s="13">
        <v>1</v>
      </c>
      <c r="AA128" s="13">
        <v>3</v>
      </c>
      <c r="BD128" s="13">
        <v>4</v>
      </c>
      <c r="BQ128">
        <f t="shared" si="4"/>
        <v>4</v>
      </c>
      <c r="BR128" s="13">
        <f t="shared" si="5"/>
        <v>10</v>
      </c>
      <c r="BS128" s="13">
        <f>[1]!shannonweaver(F128:BM128)</f>
        <v>1.2798542258336676</v>
      </c>
    </row>
    <row r="129" spans="1:71">
      <c r="A129" s="13" t="s">
        <v>252</v>
      </c>
      <c r="B129" t="s">
        <v>176</v>
      </c>
      <c r="C129" t="s">
        <v>207</v>
      </c>
      <c r="D129" s="13" t="s">
        <v>320</v>
      </c>
      <c r="E129" s="13" t="s">
        <v>91</v>
      </c>
      <c r="O129" s="13">
        <v>3</v>
      </c>
      <c r="X129" s="13">
        <v>1</v>
      </c>
      <c r="AT129" s="13">
        <v>1</v>
      </c>
      <c r="BK129" s="13">
        <v>2</v>
      </c>
      <c r="BQ129">
        <f t="shared" si="4"/>
        <v>4</v>
      </c>
      <c r="BR129" s="13">
        <f t="shared" si="5"/>
        <v>7</v>
      </c>
      <c r="BS129" s="13">
        <f>[1]!shannonweaver(F129:BM129)</f>
        <v>1.277034259466139</v>
      </c>
    </row>
    <row r="130" spans="1:71">
      <c r="A130" s="13" t="s">
        <v>253</v>
      </c>
      <c r="B130" t="s">
        <v>176</v>
      </c>
      <c r="C130" t="s">
        <v>207</v>
      </c>
      <c r="D130" s="13" t="s">
        <v>320</v>
      </c>
      <c r="E130" s="13" t="s">
        <v>91</v>
      </c>
      <c r="O130" s="13">
        <v>1</v>
      </c>
      <c r="R130" s="13">
        <v>1</v>
      </c>
      <c r="U130" s="13">
        <v>1</v>
      </c>
      <c r="X130" s="13">
        <v>1</v>
      </c>
      <c r="AA130" s="13">
        <v>6</v>
      </c>
      <c r="AQ130" s="13">
        <v>1</v>
      </c>
      <c r="BJ130" s="13">
        <v>1</v>
      </c>
      <c r="BK130" s="13">
        <v>1</v>
      </c>
      <c r="BL130" s="13">
        <v>1</v>
      </c>
      <c r="BQ130">
        <f t="shared" si="4"/>
        <v>9</v>
      </c>
      <c r="BR130" s="13">
        <f t="shared" si="5"/>
        <v>14</v>
      </c>
      <c r="BS130" s="13">
        <f>[1]!shannonweaver(F130:BM130)</f>
        <v>1.8711604142318066</v>
      </c>
    </row>
    <row r="131" spans="1:71">
      <c r="A131" s="13" t="s">
        <v>55</v>
      </c>
      <c r="B131" t="s">
        <v>176</v>
      </c>
      <c r="C131" t="s">
        <v>207</v>
      </c>
      <c r="D131" s="13" t="s">
        <v>320</v>
      </c>
      <c r="E131" s="13" t="s">
        <v>91</v>
      </c>
      <c r="K131" s="13">
        <v>1</v>
      </c>
      <c r="O131" s="13">
        <v>1</v>
      </c>
      <c r="V131" s="13">
        <v>1</v>
      </c>
      <c r="W131" s="13">
        <v>1</v>
      </c>
      <c r="AA131" s="13">
        <v>2</v>
      </c>
      <c r="AC131" s="13">
        <v>1</v>
      </c>
      <c r="BD131" s="13">
        <v>1</v>
      </c>
      <c r="BJ131" s="13">
        <v>1</v>
      </c>
      <c r="BK131" s="13">
        <v>1</v>
      </c>
      <c r="BL131" s="13">
        <v>1</v>
      </c>
      <c r="BQ131">
        <f t="shared" si="4"/>
        <v>10</v>
      </c>
      <c r="BR131" s="13">
        <f t="shared" si="5"/>
        <v>11</v>
      </c>
      <c r="BS131" s="13">
        <f>[1]!shannonweaver(F131:BM131)</f>
        <v>2.2718685126965625</v>
      </c>
    </row>
    <row r="132" spans="1:71">
      <c r="A132" s="13" t="s">
        <v>56</v>
      </c>
      <c r="B132" t="s">
        <v>176</v>
      </c>
      <c r="C132" t="s">
        <v>207</v>
      </c>
      <c r="D132" s="13" t="s">
        <v>320</v>
      </c>
      <c r="E132" s="13" t="s">
        <v>91</v>
      </c>
      <c r="O132" s="13">
        <v>1</v>
      </c>
      <c r="Z132" s="13">
        <v>1</v>
      </c>
      <c r="AA132" s="13">
        <v>2</v>
      </c>
      <c r="AC132" s="13">
        <v>2</v>
      </c>
      <c r="AD132" s="13">
        <v>1</v>
      </c>
      <c r="BD132" s="13">
        <v>1</v>
      </c>
      <c r="BQ132">
        <f t="shared" si="4"/>
        <v>6</v>
      </c>
      <c r="BR132" s="13">
        <f t="shared" si="5"/>
        <v>8</v>
      </c>
      <c r="BS132" s="13">
        <f>[1]!shannonweaver(F132:BM132)</f>
        <v>1.7328679513998633</v>
      </c>
    </row>
    <row r="133" spans="1:71">
      <c r="A133" s="13" t="s">
        <v>57</v>
      </c>
      <c r="B133" t="s">
        <v>176</v>
      </c>
      <c r="C133" t="s">
        <v>207</v>
      </c>
      <c r="D133" s="13" t="s">
        <v>320</v>
      </c>
      <c r="E133" s="13" t="s">
        <v>91</v>
      </c>
      <c r="T133" s="13">
        <v>1</v>
      </c>
      <c r="W133" s="13">
        <v>2</v>
      </c>
      <c r="AA133" s="13">
        <v>4</v>
      </c>
      <c r="AC133" s="13">
        <v>1</v>
      </c>
      <c r="AD133" s="13">
        <v>4</v>
      </c>
      <c r="AH133" s="13">
        <v>2</v>
      </c>
      <c r="BD133" s="13">
        <v>1</v>
      </c>
      <c r="BQ133">
        <f t="shared" si="4"/>
        <v>7</v>
      </c>
      <c r="BR133" s="13">
        <f t="shared" si="5"/>
        <v>15</v>
      </c>
      <c r="BS133" s="13">
        <f>[1]!shannonweaver(F133:BM133)</f>
        <v>1.7838539603556165</v>
      </c>
    </row>
    <row r="134" spans="1:71">
      <c r="A134" s="13" t="s">
        <v>58</v>
      </c>
      <c r="B134" t="s">
        <v>176</v>
      </c>
      <c r="C134" t="s">
        <v>213</v>
      </c>
      <c r="D134" s="13" t="s">
        <v>320</v>
      </c>
      <c r="E134" s="13" t="s">
        <v>91</v>
      </c>
      <c r="O134" s="13">
        <v>3</v>
      </c>
      <c r="AA134" s="13">
        <v>5</v>
      </c>
      <c r="AC134" s="13">
        <v>13</v>
      </c>
      <c r="AD134" s="13">
        <v>6</v>
      </c>
      <c r="AR134" s="13">
        <v>1</v>
      </c>
      <c r="BJ134" s="13">
        <v>1</v>
      </c>
      <c r="BQ134">
        <f t="shared" si="4"/>
        <v>6</v>
      </c>
      <c r="BR134" s="13">
        <f t="shared" si="5"/>
        <v>29</v>
      </c>
      <c r="BS134" s="13">
        <f>[1]!shannonweaver(F134:BM134)</f>
        <v>1.4556432475539522</v>
      </c>
    </row>
    <row r="135" spans="1:71">
      <c r="A135" s="13" t="s">
        <v>60</v>
      </c>
      <c r="B135" t="s">
        <v>176</v>
      </c>
      <c r="C135" t="s">
        <v>213</v>
      </c>
      <c r="D135" s="13" t="s">
        <v>320</v>
      </c>
      <c r="E135" s="13" t="s">
        <v>91</v>
      </c>
      <c r="O135" s="13">
        <v>4</v>
      </c>
      <c r="V135" s="13">
        <v>1</v>
      </c>
      <c r="X135" s="13">
        <v>1</v>
      </c>
      <c r="AA135" s="13">
        <v>4</v>
      </c>
      <c r="AC135" s="13">
        <v>3</v>
      </c>
      <c r="AG135" s="13">
        <v>1</v>
      </c>
      <c r="BQ135">
        <f t="shared" si="4"/>
        <v>6</v>
      </c>
      <c r="BR135" s="13">
        <f t="shared" si="5"/>
        <v>14</v>
      </c>
      <c r="BS135" s="13">
        <f>[1]!shannonweaver(F135:BM135)</f>
        <v>1.6114722042607263</v>
      </c>
    </row>
    <row r="136" spans="1:71">
      <c r="A136" s="13" t="s">
        <v>79</v>
      </c>
      <c r="B136" t="s">
        <v>176</v>
      </c>
      <c r="C136" t="s">
        <v>213</v>
      </c>
      <c r="D136" s="13" t="s">
        <v>320</v>
      </c>
      <c r="E136" s="13" t="s">
        <v>91</v>
      </c>
      <c r="O136" s="13">
        <v>1</v>
      </c>
      <c r="W136" s="13">
        <v>1</v>
      </c>
      <c r="AA136" s="13">
        <v>1</v>
      </c>
      <c r="AC136" s="13">
        <v>6</v>
      </c>
      <c r="AD136" s="13">
        <v>3</v>
      </c>
      <c r="AM136" s="13">
        <v>1</v>
      </c>
      <c r="BL136" s="13">
        <v>1</v>
      </c>
      <c r="BQ136">
        <f t="shared" si="4"/>
        <v>7</v>
      </c>
      <c r="BR136" s="13">
        <f t="shared" si="5"/>
        <v>14</v>
      </c>
      <c r="BS136" s="13">
        <f>[1]!shannonweaver(F136:BM136)</f>
        <v>1.6357434952314973</v>
      </c>
    </row>
    <row r="137" spans="1:71">
      <c r="A137" s="13" t="s">
        <v>80</v>
      </c>
      <c r="B137" t="s">
        <v>176</v>
      </c>
      <c r="C137" t="s">
        <v>213</v>
      </c>
      <c r="D137" s="13" t="s">
        <v>320</v>
      </c>
      <c r="E137" s="13" t="s">
        <v>91</v>
      </c>
      <c r="V137" s="13">
        <v>1</v>
      </c>
      <c r="AA137" s="13">
        <v>4</v>
      </c>
      <c r="AC137" s="13">
        <v>9</v>
      </c>
      <c r="BQ137">
        <f t="shared" si="4"/>
        <v>3</v>
      </c>
      <c r="BR137" s="13">
        <f t="shared" si="5"/>
        <v>14</v>
      </c>
      <c r="BS137" s="13">
        <f>[1]!shannonweaver(F137:BM137)</f>
        <v>0.8304717124362917</v>
      </c>
    </row>
    <row r="138" spans="1:71">
      <c r="A138" s="14" t="s">
        <v>16</v>
      </c>
      <c r="B138" t="s">
        <v>176</v>
      </c>
      <c r="C138" t="s">
        <v>213</v>
      </c>
      <c r="D138" s="13" t="s">
        <v>320</v>
      </c>
      <c r="E138" s="13" t="s">
        <v>91</v>
      </c>
      <c r="O138" s="13">
        <v>3</v>
      </c>
      <c r="AA138" s="13">
        <v>7</v>
      </c>
      <c r="AD138" s="13">
        <v>11</v>
      </c>
      <c r="BK138" s="13">
        <v>1</v>
      </c>
      <c r="BQ138">
        <f t="shared" ref="BQ138:BQ145" si="6">COUNTIF(F138:BM138, "&gt;0")</f>
        <v>4</v>
      </c>
      <c r="BR138" s="13">
        <f t="shared" ref="BR138:BR145" si="7">SUM(F138:BM138)</f>
        <v>22</v>
      </c>
      <c r="BS138" s="13">
        <f>[1]!shannonweaver(F138:BM138)</f>
        <v>1.123130821077698</v>
      </c>
    </row>
    <row r="139" spans="1:71">
      <c r="A139" s="13" t="s">
        <v>81</v>
      </c>
      <c r="B139" t="s">
        <v>176</v>
      </c>
      <c r="C139" t="s">
        <v>213</v>
      </c>
      <c r="D139" s="13" t="s">
        <v>320</v>
      </c>
      <c r="E139" s="13" t="s">
        <v>91</v>
      </c>
      <c r="O139" s="13">
        <v>1</v>
      </c>
      <c r="V139" s="13">
        <v>1</v>
      </c>
      <c r="AA139" s="13">
        <v>7</v>
      </c>
      <c r="AC139" s="13">
        <v>8</v>
      </c>
      <c r="AD139" s="13">
        <v>5</v>
      </c>
      <c r="BJ139" s="13">
        <v>1</v>
      </c>
      <c r="BQ139">
        <f t="shared" si="6"/>
        <v>6</v>
      </c>
      <c r="BR139" s="13">
        <f t="shared" si="7"/>
        <v>23</v>
      </c>
      <c r="BS139" s="13">
        <f>[1]!shannonweaver(F139:BM139)</f>
        <v>1.4700988707553939</v>
      </c>
    </row>
    <row r="140" spans="1:71">
      <c r="A140" s="13" t="s">
        <v>240</v>
      </c>
      <c r="B140" t="s">
        <v>176</v>
      </c>
      <c r="C140" t="s">
        <v>220</v>
      </c>
      <c r="D140" s="13" t="s">
        <v>320</v>
      </c>
      <c r="E140" s="13" t="s">
        <v>91</v>
      </c>
      <c r="O140" s="13">
        <v>2</v>
      </c>
      <c r="R140" s="13">
        <v>1</v>
      </c>
      <c r="AA140" s="13">
        <v>4</v>
      </c>
      <c r="AC140" s="13">
        <v>3</v>
      </c>
      <c r="AD140" s="13">
        <v>3</v>
      </c>
      <c r="AL140" s="13">
        <v>1</v>
      </c>
      <c r="BQ140">
        <f t="shared" si="6"/>
        <v>6</v>
      </c>
      <c r="BR140" s="13">
        <f t="shared" si="7"/>
        <v>14</v>
      </c>
      <c r="BS140" s="13">
        <f>[1]!shannonweaver(F140:BM140)</f>
        <v>1.6731183626432509</v>
      </c>
    </row>
    <row r="141" spans="1:71">
      <c r="A141" s="13" t="s">
        <v>241</v>
      </c>
      <c r="B141" t="s">
        <v>176</v>
      </c>
      <c r="C141" t="s">
        <v>220</v>
      </c>
      <c r="D141" s="13" t="s">
        <v>320</v>
      </c>
      <c r="E141" s="13" t="s">
        <v>91</v>
      </c>
      <c r="O141" s="13">
        <v>3</v>
      </c>
      <c r="W141" s="13">
        <v>1</v>
      </c>
      <c r="Z141" s="13">
        <v>2</v>
      </c>
      <c r="AA141" s="13">
        <v>1</v>
      </c>
      <c r="AC141" s="13">
        <v>2</v>
      </c>
      <c r="AD141" s="13">
        <v>5</v>
      </c>
      <c r="AG141" s="13">
        <v>4</v>
      </c>
      <c r="BH141" s="13">
        <v>1</v>
      </c>
      <c r="BJ141" s="13">
        <v>2</v>
      </c>
      <c r="BK141" s="13">
        <v>2</v>
      </c>
      <c r="BQ141">
        <f t="shared" si="6"/>
        <v>10</v>
      </c>
      <c r="BR141" s="13">
        <f t="shared" si="7"/>
        <v>23</v>
      </c>
      <c r="BS141" s="13">
        <f>[1]!shannonweaver(F141:BM141)</f>
        <v>2.1601298108363691</v>
      </c>
    </row>
    <row r="142" spans="1:71">
      <c r="A142" s="13" t="s">
        <v>243</v>
      </c>
      <c r="B142" t="s">
        <v>176</v>
      </c>
      <c r="C142" t="s">
        <v>220</v>
      </c>
      <c r="D142" s="13" t="s">
        <v>320</v>
      </c>
      <c r="E142" s="13" t="s">
        <v>91</v>
      </c>
      <c r="O142" s="13">
        <v>1</v>
      </c>
      <c r="V142" s="13">
        <v>1</v>
      </c>
      <c r="Y142" s="13">
        <v>1</v>
      </c>
      <c r="AA142" s="13">
        <v>8</v>
      </c>
      <c r="AC142" s="13">
        <v>6</v>
      </c>
      <c r="AD142" s="13">
        <v>13</v>
      </c>
      <c r="AM142" s="13">
        <v>1</v>
      </c>
      <c r="BL142" s="13">
        <v>1</v>
      </c>
      <c r="BQ142">
        <f t="shared" si="6"/>
        <v>8</v>
      </c>
      <c r="BR142" s="13">
        <f t="shared" si="7"/>
        <v>32</v>
      </c>
      <c r="BS142" s="13">
        <f>[1]!shannonweaver(F142:BM142)</f>
        <v>1.5679099404307582</v>
      </c>
    </row>
    <row r="143" spans="1:71">
      <c r="A143" s="13" t="s">
        <v>244</v>
      </c>
      <c r="B143" t="s">
        <v>176</v>
      </c>
      <c r="C143" t="s">
        <v>220</v>
      </c>
      <c r="D143" s="13" t="s">
        <v>320</v>
      </c>
      <c r="E143" s="13" t="s">
        <v>91</v>
      </c>
      <c r="O143" s="13">
        <v>1</v>
      </c>
      <c r="AA143" s="13">
        <v>2</v>
      </c>
      <c r="AC143" s="13">
        <v>2</v>
      </c>
      <c r="AD143" s="13">
        <v>14</v>
      </c>
      <c r="BQ143">
        <f t="shared" si="6"/>
        <v>4</v>
      </c>
      <c r="BR143" s="13">
        <f t="shared" si="7"/>
        <v>19</v>
      </c>
      <c r="BS143" s="13">
        <f>[1]!shannonweaver(F143:BM143)</f>
        <v>0.85394469827941943</v>
      </c>
    </row>
    <row r="144" spans="1:71">
      <c r="A144" s="13" t="s">
        <v>245</v>
      </c>
      <c r="B144" t="s">
        <v>176</v>
      </c>
      <c r="C144" t="s">
        <v>220</v>
      </c>
      <c r="D144" s="13" t="s">
        <v>320</v>
      </c>
      <c r="E144" s="13" t="s">
        <v>91</v>
      </c>
      <c r="O144" s="13">
        <v>1</v>
      </c>
      <c r="R144" s="13">
        <v>1</v>
      </c>
      <c r="AA144" s="13">
        <v>8</v>
      </c>
      <c r="AC144" s="13">
        <v>2</v>
      </c>
      <c r="AD144" s="13">
        <v>4</v>
      </c>
      <c r="AM144" s="13">
        <v>1</v>
      </c>
      <c r="BI144" s="13">
        <v>1</v>
      </c>
      <c r="BQ144">
        <f t="shared" si="6"/>
        <v>7</v>
      </c>
      <c r="BR144" s="13">
        <f t="shared" si="7"/>
        <v>18</v>
      </c>
      <c r="BS144" s="13">
        <f>[1]!shannonweaver(F144:BM144)</f>
        <v>1.5810937501718234</v>
      </c>
    </row>
    <row r="145" spans="1:71">
      <c r="A145" s="13" t="s">
        <v>247</v>
      </c>
      <c r="B145" t="s">
        <v>176</v>
      </c>
      <c r="C145" t="s">
        <v>220</v>
      </c>
      <c r="D145" s="13" t="s">
        <v>320</v>
      </c>
      <c r="E145" s="13" t="s">
        <v>91</v>
      </c>
      <c r="O145" s="13">
        <v>1</v>
      </c>
      <c r="AA145" s="13">
        <v>4</v>
      </c>
      <c r="AC145" s="13">
        <v>1</v>
      </c>
      <c r="AD145" s="13">
        <v>3</v>
      </c>
      <c r="BQ145">
        <f t="shared" si="6"/>
        <v>4</v>
      </c>
      <c r="BR145" s="13">
        <f t="shared" si="7"/>
        <v>9</v>
      </c>
      <c r="BS145" s="13">
        <f>[1]!shannonweaver(F145:BM145)</f>
        <v>1.2148896539491205</v>
      </c>
    </row>
    <row r="146" spans="1:71">
      <c r="A146" t="s">
        <v>182</v>
      </c>
      <c r="B146" t="s">
        <v>183</v>
      </c>
      <c r="C146" t="s">
        <v>184</v>
      </c>
      <c r="D146" s="13" t="s">
        <v>319</v>
      </c>
      <c r="E146" s="13" t="s">
        <v>283</v>
      </c>
      <c r="V146" s="13">
        <v>1</v>
      </c>
      <c r="AD146" s="13">
        <v>2</v>
      </c>
      <c r="AM146" s="13">
        <v>3</v>
      </c>
    </row>
    <row r="147" spans="1:71">
      <c r="A147" t="s">
        <v>185</v>
      </c>
      <c r="B147" t="s">
        <v>183</v>
      </c>
      <c r="C147" t="s">
        <v>184</v>
      </c>
      <c r="D147" s="13" t="s">
        <v>319</v>
      </c>
      <c r="E147" s="13" t="s">
        <v>283</v>
      </c>
      <c r="J147" s="13">
        <v>1</v>
      </c>
      <c r="AA147" s="13">
        <v>2</v>
      </c>
      <c r="BJ147" s="13">
        <v>1</v>
      </c>
    </row>
    <row r="148" spans="1:71">
      <c r="A148" t="s">
        <v>186</v>
      </c>
      <c r="B148" t="s">
        <v>183</v>
      </c>
      <c r="C148" t="s">
        <v>184</v>
      </c>
      <c r="D148" s="13" t="s">
        <v>319</v>
      </c>
      <c r="E148" s="13" t="s">
        <v>283</v>
      </c>
      <c r="AG148" s="13">
        <v>1</v>
      </c>
      <c r="BJ148" s="13">
        <v>1</v>
      </c>
    </row>
    <row r="149" spans="1:71">
      <c r="A149" t="s">
        <v>187</v>
      </c>
      <c r="B149" t="s">
        <v>183</v>
      </c>
      <c r="C149" t="s">
        <v>184</v>
      </c>
      <c r="D149" s="13" t="s">
        <v>319</v>
      </c>
      <c r="E149" s="13" t="s">
        <v>283</v>
      </c>
      <c r="AA149" s="13">
        <v>2</v>
      </c>
      <c r="AM149" s="13">
        <v>1</v>
      </c>
      <c r="BJ149" s="13">
        <v>1</v>
      </c>
    </row>
    <row r="150" spans="1:71">
      <c r="A150" t="s">
        <v>188</v>
      </c>
      <c r="B150" t="s">
        <v>183</v>
      </c>
      <c r="C150" t="s">
        <v>184</v>
      </c>
      <c r="D150" s="13" t="s">
        <v>319</v>
      </c>
      <c r="E150" s="13" t="s">
        <v>283</v>
      </c>
      <c r="AA150" s="13">
        <v>1</v>
      </c>
      <c r="AG150" s="13">
        <v>1</v>
      </c>
    </row>
    <row r="151" spans="1:71">
      <c r="A151" t="s">
        <v>189</v>
      </c>
      <c r="B151" t="s">
        <v>183</v>
      </c>
      <c r="C151" t="s">
        <v>184</v>
      </c>
      <c r="D151" s="13" t="s">
        <v>319</v>
      </c>
      <c r="E151" s="13" t="s">
        <v>283</v>
      </c>
      <c r="AA151" s="13">
        <v>4</v>
      </c>
      <c r="BD151" s="13">
        <v>1</v>
      </c>
      <c r="BJ151" s="13">
        <v>1</v>
      </c>
    </row>
    <row r="152" spans="1:71">
      <c r="A152" t="s">
        <v>190</v>
      </c>
      <c r="B152" t="s">
        <v>183</v>
      </c>
      <c r="C152" t="s">
        <v>191</v>
      </c>
      <c r="D152" s="13" t="s">
        <v>319</v>
      </c>
      <c r="E152" s="13" t="s">
        <v>283</v>
      </c>
      <c r="BN152" s="13">
        <v>1</v>
      </c>
    </row>
    <row r="153" spans="1:71">
      <c r="A153" t="s">
        <v>192</v>
      </c>
      <c r="B153" t="s">
        <v>183</v>
      </c>
      <c r="C153" t="s">
        <v>191</v>
      </c>
      <c r="D153" s="13" t="s">
        <v>319</v>
      </c>
      <c r="E153" s="13" t="s">
        <v>283</v>
      </c>
      <c r="BJ153" s="13">
        <v>1</v>
      </c>
    </row>
    <row r="154" spans="1:71">
      <c r="A154" t="s">
        <v>193</v>
      </c>
      <c r="B154" t="s">
        <v>183</v>
      </c>
      <c r="C154" t="s">
        <v>191</v>
      </c>
      <c r="D154" s="13" t="s">
        <v>319</v>
      </c>
      <c r="E154" s="13" t="s">
        <v>283</v>
      </c>
      <c r="BB154" s="13">
        <v>1</v>
      </c>
      <c r="BJ154" s="13">
        <v>1</v>
      </c>
    </row>
    <row r="155" spans="1:71">
      <c r="A155" t="s">
        <v>12</v>
      </c>
      <c r="B155" t="s">
        <v>183</v>
      </c>
      <c r="C155" t="s">
        <v>191</v>
      </c>
      <c r="D155" s="13" t="s">
        <v>319</v>
      </c>
      <c r="E155" s="13" t="s">
        <v>283</v>
      </c>
      <c r="W155" s="13">
        <v>1</v>
      </c>
      <c r="Y155" s="13">
        <v>1</v>
      </c>
      <c r="AD155" s="13">
        <v>1</v>
      </c>
    </row>
    <row r="156" spans="1:71">
      <c r="A156" t="s">
        <v>13</v>
      </c>
      <c r="B156" t="s">
        <v>183</v>
      </c>
      <c r="C156" t="s">
        <v>191</v>
      </c>
      <c r="D156" s="13" t="s">
        <v>319</v>
      </c>
      <c r="E156" s="13" t="s">
        <v>283</v>
      </c>
      <c r="T156" s="13">
        <v>1</v>
      </c>
      <c r="AA156" s="13">
        <v>3</v>
      </c>
    </row>
    <row r="157" spans="1:71">
      <c r="A157" t="s">
        <v>14</v>
      </c>
      <c r="B157" t="s">
        <v>183</v>
      </c>
      <c r="C157" t="s">
        <v>191</v>
      </c>
      <c r="D157" s="13" t="s">
        <v>319</v>
      </c>
      <c r="E157" s="13" t="s">
        <v>283</v>
      </c>
      <c r="Q157" s="13">
        <v>1</v>
      </c>
      <c r="V157" s="13">
        <v>1</v>
      </c>
      <c r="AW157" s="13">
        <v>1</v>
      </c>
      <c r="AZ157" s="13">
        <v>1</v>
      </c>
    </row>
    <row r="158" spans="1:71">
      <c r="A158" t="s">
        <v>15</v>
      </c>
      <c r="B158" t="s">
        <v>183</v>
      </c>
      <c r="C158" t="s">
        <v>255</v>
      </c>
      <c r="D158" s="13" t="s">
        <v>319</v>
      </c>
      <c r="E158" s="13" t="s">
        <v>283</v>
      </c>
      <c r="O158" s="13">
        <v>1</v>
      </c>
      <c r="AD158" s="13">
        <v>1</v>
      </c>
      <c r="BE158" s="13">
        <v>1</v>
      </c>
      <c r="BJ158" s="13">
        <v>1</v>
      </c>
    </row>
    <row r="159" spans="1:71">
      <c r="A159" t="s">
        <v>256</v>
      </c>
      <c r="B159" t="s">
        <v>183</v>
      </c>
      <c r="C159" t="s">
        <v>255</v>
      </c>
      <c r="D159" s="13" t="s">
        <v>319</v>
      </c>
      <c r="E159" s="13" t="s">
        <v>283</v>
      </c>
      <c r="O159" s="13">
        <v>1</v>
      </c>
      <c r="BL159" s="13">
        <v>1</v>
      </c>
      <c r="BN159" s="13">
        <v>1</v>
      </c>
    </row>
    <row r="160" spans="1:71">
      <c r="A160" t="s">
        <v>257</v>
      </c>
      <c r="B160" t="s">
        <v>183</v>
      </c>
      <c r="C160" t="s">
        <v>255</v>
      </c>
      <c r="D160" s="13" t="s">
        <v>319</v>
      </c>
      <c r="E160" s="13" t="s">
        <v>283</v>
      </c>
    </row>
    <row r="161" spans="1:66">
      <c r="A161" t="s">
        <v>258</v>
      </c>
      <c r="B161" t="s">
        <v>183</v>
      </c>
      <c r="C161" t="s">
        <v>255</v>
      </c>
      <c r="D161" s="13" t="s">
        <v>319</v>
      </c>
      <c r="E161" s="13" t="s">
        <v>283</v>
      </c>
      <c r="O161" s="13">
        <v>1</v>
      </c>
    </row>
    <row r="162" spans="1:66">
      <c r="A162" t="s">
        <v>259</v>
      </c>
      <c r="B162" t="s">
        <v>183</v>
      </c>
      <c r="C162" t="s">
        <v>255</v>
      </c>
      <c r="D162" s="13" t="s">
        <v>319</v>
      </c>
      <c r="E162" s="13" t="s">
        <v>283</v>
      </c>
      <c r="O162" s="13">
        <v>1</v>
      </c>
      <c r="BJ162" s="13">
        <v>3</v>
      </c>
      <c r="BN162" s="13">
        <v>1</v>
      </c>
    </row>
    <row r="163" spans="1:66">
      <c r="A163" t="s">
        <v>260</v>
      </c>
      <c r="B163" t="s">
        <v>183</v>
      </c>
      <c r="C163" t="s">
        <v>255</v>
      </c>
      <c r="D163" s="13" t="s">
        <v>319</v>
      </c>
      <c r="E163" s="13" t="s">
        <v>283</v>
      </c>
      <c r="BD163" s="13">
        <v>1</v>
      </c>
    </row>
    <row r="164" spans="1:66">
      <c r="A164" t="s">
        <v>261</v>
      </c>
      <c r="B164" t="s">
        <v>183</v>
      </c>
      <c r="C164" t="s">
        <v>262</v>
      </c>
      <c r="D164" s="13" t="s">
        <v>320</v>
      </c>
      <c r="E164" s="13" t="s">
        <v>283</v>
      </c>
      <c r="AD164" s="13">
        <v>1</v>
      </c>
    </row>
    <row r="165" spans="1:66">
      <c r="A165" t="s">
        <v>263</v>
      </c>
      <c r="B165" t="s">
        <v>183</v>
      </c>
      <c r="C165" t="s">
        <v>262</v>
      </c>
      <c r="D165" s="13" t="s">
        <v>320</v>
      </c>
      <c r="E165" s="13" t="s">
        <v>283</v>
      </c>
      <c r="AM165" s="13">
        <v>1</v>
      </c>
    </row>
    <row r="166" spans="1:66">
      <c r="A166" t="s">
        <v>264</v>
      </c>
      <c r="B166" t="s">
        <v>183</v>
      </c>
      <c r="C166" t="s">
        <v>262</v>
      </c>
      <c r="D166" s="13" t="s">
        <v>320</v>
      </c>
      <c r="E166" s="13" t="s">
        <v>283</v>
      </c>
    </row>
    <row r="167" spans="1:66">
      <c r="A167" t="s">
        <v>265</v>
      </c>
      <c r="B167" t="s">
        <v>183</v>
      </c>
      <c r="C167" t="s">
        <v>262</v>
      </c>
      <c r="D167" s="13" t="s">
        <v>320</v>
      </c>
      <c r="E167" s="13" t="s">
        <v>283</v>
      </c>
      <c r="AR167" s="13">
        <v>1</v>
      </c>
    </row>
    <row r="168" spans="1:66">
      <c r="A168" t="s">
        <v>266</v>
      </c>
      <c r="B168" t="s">
        <v>183</v>
      </c>
      <c r="C168" t="s">
        <v>262</v>
      </c>
      <c r="D168" s="13" t="s">
        <v>320</v>
      </c>
      <c r="E168" s="13" t="s">
        <v>283</v>
      </c>
      <c r="AA168" s="13">
        <v>2</v>
      </c>
      <c r="AD168" s="13">
        <v>1</v>
      </c>
      <c r="AG168" s="13">
        <v>2</v>
      </c>
    </row>
    <row r="169" spans="1:66">
      <c r="A169" t="s">
        <v>267</v>
      </c>
      <c r="B169" t="s">
        <v>183</v>
      </c>
      <c r="C169" t="s">
        <v>262</v>
      </c>
      <c r="D169" s="13" t="s">
        <v>320</v>
      </c>
      <c r="E169" s="13" t="s">
        <v>283</v>
      </c>
      <c r="O169" s="13">
        <v>1</v>
      </c>
    </row>
    <row r="170" spans="1:66">
      <c r="A170" t="s">
        <v>268</v>
      </c>
      <c r="B170" t="s">
        <v>183</v>
      </c>
      <c r="C170" t="s">
        <v>269</v>
      </c>
      <c r="D170" s="13" t="s">
        <v>320</v>
      </c>
      <c r="E170" s="13" t="s">
        <v>283</v>
      </c>
      <c r="BJ170" s="13">
        <v>1</v>
      </c>
      <c r="BL170" s="13">
        <v>1</v>
      </c>
    </row>
    <row r="171" spans="1:66">
      <c r="A171" t="s">
        <v>39</v>
      </c>
      <c r="B171" t="s">
        <v>183</v>
      </c>
      <c r="C171" t="s">
        <v>269</v>
      </c>
      <c r="D171" s="13" t="s">
        <v>320</v>
      </c>
      <c r="E171" s="13" t="s">
        <v>283</v>
      </c>
      <c r="W171" s="13">
        <v>1</v>
      </c>
    </row>
    <row r="172" spans="1:66">
      <c r="A172" t="s">
        <v>40</v>
      </c>
      <c r="B172" t="s">
        <v>183</v>
      </c>
      <c r="C172" t="s">
        <v>269</v>
      </c>
      <c r="D172" s="13" t="s">
        <v>320</v>
      </c>
      <c r="E172" s="13" t="s">
        <v>283</v>
      </c>
      <c r="BJ172" s="13">
        <v>1</v>
      </c>
      <c r="BL172" s="13">
        <v>1</v>
      </c>
    </row>
    <row r="173" spans="1:66">
      <c r="A173" t="s">
        <v>41</v>
      </c>
      <c r="B173" t="s">
        <v>183</v>
      </c>
      <c r="C173" t="s">
        <v>269</v>
      </c>
      <c r="D173" s="13" t="s">
        <v>320</v>
      </c>
      <c r="E173" s="13" t="s">
        <v>283</v>
      </c>
    </row>
    <row r="174" spans="1:66">
      <c r="A174" t="s">
        <v>42</v>
      </c>
      <c r="B174" t="s">
        <v>183</v>
      </c>
      <c r="C174" t="s">
        <v>269</v>
      </c>
      <c r="D174" s="13" t="s">
        <v>320</v>
      </c>
      <c r="E174" s="13" t="s">
        <v>283</v>
      </c>
      <c r="O174" s="13">
        <v>1</v>
      </c>
      <c r="BJ174" s="13">
        <v>1</v>
      </c>
    </row>
    <row r="175" spans="1:66">
      <c r="A175" t="s">
        <v>43</v>
      </c>
      <c r="B175" t="s">
        <v>183</v>
      </c>
      <c r="C175" t="s">
        <v>269</v>
      </c>
      <c r="D175" s="13" t="s">
        <v>320</v>
      </c>
      <c r="E175" s="13" t="s">
        <v>283</v>
      </c>
    </row>
    <row r="176" spans="1:66">
      <c r="A176" t="s">
        <v>44</v>
      </c>
      <c r="B176" t="s">
        <v>183</v>
      </c>
      <c r="C176" t="s">
        <v>45</v>
      </c>
      <c r="D176" s="13" t="s">
        <v>320</v>
      </c>
      <c r="E176" s="13" t="s">
        <v>283</v>
      </c>
    </row>
    <row r="177" spans="1:64">
      <c r="A177" t="s">
        <v>46</v>
      </c>
      <c r="B177" t="s">
        <v>183</v>
      </c>
      <c r="C177" t="s">
        <v>45</v>
      </c>
      <c r="D177" s="13" t="s">
        <v>320</v>
      </c>
      <c r="E177" s="13" t="s">
        <v>283</v>
      </c>
      <c r="AA177" s="13">
        <v>1</v>
      </c>
      <c r="AY177" s="13">
        <v>1</v>
      </c>
    </row>
    <row r="178" spans="1:64">
      <c r="A178" t="s">
        <v>47</v>
      </c>
      <c r="B178" t="s">
        <v>183</v>
      </c>
      <c r="C178" t="s">
        <v>45</v>
      </c>
      <c r="D178" s="13" t="s">
        <v>320</v>
      </c>
      <c r="E178" s="13" t="s">
        <v>283</v>
      </c>
      <c r="AP178" s="13">
        <v>1</v>
      </c>
    </row>
    <row r="179" spans="1:64">
      <c r="A179" t="s">
        <v>48</v>
      </c>
      <c r="B179" t="s">
        <v>183</v>
      </c>
      <c r="C179" t="s">
        <v>45</v>
      </c>
      <c r="D179" s="13" t="s">
        <v>320</v>
      </c>
      <c r="E179" s="13" t="s">
        <v>283</v>
      </c>
    </row>
    <row r="180" spans="1:64">
      <c r="A180" t="s">
        <v>49</v>
      </c>
      <c r="B180" t="s">
        <v>183</v>
      </c>
      <c r="C180" t="s">
        <v>45</v>
      </c>
      <c r="D180" s="13" t="s">
        <v>320</v>
      </c>
      <c r="E180" s="13" t="s">
        <v>283</v>
      </c>
      <c r="AG180" s="13">
        <v>1</v>
      </c>
    </row>
    <row r="181" spans="1:64">
      <c r="A181" t="s">
        <v>50</v>
      </c>
      <c r="B181" t="s">
        <v>183</v>
      </c>
      <c r="C181" t="s">
        <v>45</v>
      </c>
      <c r="D181" s="13" t="s">
        <v>320</v>
      </c>
      <c r="E181" s="13" t="s">
        <v>283</v>
      </c>
      <c r="Q181" s="13">
        <v>1</v>
      </c>
      <c r="BJ181" s="13">
        <v>1</v>
      </c>
    </row>
    <row r="182" spans="1:64">
      <c r="A182" t="s">
        <v>152</v>
      </c>
      <c r="B182" t="s">
        <v>183</v>
      </c>
      <c r="C182" t="s">
        <v>184</v>
      </c>
      <c r="D182" s="13" t="s">
        <v>319</v>
      </c>
      <c r="E182" s="13" t="s">
        <v>91</v>
      </c>
    </row>
    <row r="183" spans="1:64">
      <c r="A183" t="s">
        <v>153</v>
      </c>
      <c r="B183" t="s">
        <v>183</v>
      </c>
      <c r="C183" t="s">
        <v>184</v>
      </c>
      <c r="D183" s="13" t="s">
        <v>319</v>
      </c>
      <c r="E183" s="13" t="s">
        <v>91</v>
      </c>
      <c r="AC183" s="13">
        <v>1</v>
      </c>
      <c r="AD183" s="13">
        <v>1</v>
      </c>
    </row>
    <row r="184" spans="1:64">
      <c r="A184" t="s">
        <v>154</v>
      </c>
      <c r="B184" t="s">
        <v>183</v>
      </c>
      <c r="C184" t="s">
        <v>184</v>
      </c>
      <c r="D184" s="13" t="s">
        <v>319</v>
      </c>
      <c r="E184" s="13" t="s">
        <v>91</v>
      </c>
      <c r="V184" s="13">
        <v>1</v>
      </c>
      <c r="AD184" s="13">
        <v>1</v>
      </c>
      <c r="BJ184" s="13">
        <v>1</v>
      </c>
    </row>
    <row r="185" spans="1:64">
      <c r="A185" t="s">
        <v>155</v>
      </c>
      <c r="B185" t="s">
        <v>183</v>
      </c>
      <c r="C185" t="s">
        <v>184</v>
      </c>
      <c r="D185" s="13" t="s">
        <v>319</v>
      </c>
      <c r="E185" s="13" t="s">
        <v>91</v>
      </c>
      <c r="BJ185" s="13">
        <v>1</v>
      </c>
    </row>
    <row r="186" spans="1:64">
      <c r="A186" t="s">
        <v>156</v>
      </c>
      <c r="B186" t="s">
        <v>183</v>
      </c>
      <c r="C186" t="s">
        <v>184</v>
      </c>
      <c r="D186" s="13" t="s">
        <v>319</v>
      </c>
      <c r="E186" s="13" t="s">
        <v>91</v>
      </c>
      <c r="V186" s="13">
        <v>1</v>
      </c>
      <c r="AA186" s="13">
        <v>2</v>
      </c>
      <c r="AC186" s="13">
        <v>1</v>
      </c>
      <c r="BK186" s="13">
        <v>1</v>
      </c>
    </row>
    <row r="187" spans="1:64">
      <c r="A187" t="s">
        <v>157</v>
      </c>
      <c r="B187" t="s">
        <v>183</v>
      </c>
      <c r="C187" t="s">
        <v>184</v>
      </c>
      <c r="D187" s="13" t="s">
        <v>319</v>
      </c>
      <c r="E187" s="13" t="s">
        <v>91</v>
      </c>
      <c r="V187" s="13">
        <v>1</v>
      </c>
      <c r="AA187" s="13">
        <v>1</v>
      </c>
      <c r="BD187" s="13">
        <v>2</v>
      </c>
      <c r="BJ187" s="13">
        <v>2</v>
      </c>
      <c r="BL187" s="13">
        <v>1</v>
      </c>
    </row>
    <row r="188" spans="1:64">
      <c r="A188" t="s">
        <v>158</v>
      </c>
      <c r="B188" t="s">
        <v>183</v>
      </c>
      <c r="C188" t="s">
        <v>191</v>
      </c>
      <c r="D188" s="13" t="s">
        <v>319</v>
      </c>
      <c r="E188" s="13" t="s">
        <v>91</v>
      </c>
      <c r="S188" s="13">
        <v>1</v>
      </c>
      <c r="BG188" s="13">
        <v>1</v>
      </c>
      <c r="BJ188" s="13">
        <v>1</v>
      </c>
    </row>
    <row r="189" spans="1:64">
      <c r="A189" t="s">
        <v>159</v>
      </c>
      <c r="B189" t="s">
        <v>183</v>
      </c>
      <c r="C189" t="s">
        <v>191</v>
      </c>
      <c r="D189" s="13" t="s">
        <v>319</v>
      </c>
      <c r="E189" s="13" t="s">
        <v>91</v>
      </c>
      <c r="O189" s="13">
        <v>1</v>
      </c>
      <c r="S189" s="13">
        <v>1</v>
      </c>
      <c r="AA189" s="13">
        <v>2</v>
      </c>
      <c r="BK189" s="13">
        <v>1</v>
      </c>
    </row>
    <row r="190" spans="1:64">
      <c r="A190" t="s">
        <v>160</v>
      </c>
      <c r="B190" t="s">
        <v>183</v>
      </c>
      <c r="C190" t="s">
        <v>191</v>
      </c>
      <c r="D190" s="13" t="s">
        <v>319</v>
      </c>
      <c r="E190" s="13" t="s">
        <v>91</v>
      </c>
      <c r="S190" s="13">
        <v>1</v>
      </c>
      <c r="AA190" s="13">
        <v>2</v>
      </c>
      <c r="AP190" s="13">
        <v>1</v>
      </c>
      <c r="BL190" s="13">
        <v>1</v>
      </c>
    </row>
    <row r="191" spans="1:64">
      <c r="A191" t="s">
        <v>161</v>
      </c>
      <c r="B191" t="s">
        <v>183</v>
      </c>
      <c r="C191" t="s">
        <v>191</v>
      </c>
      <c r="D191" s="13" t="s">
        <v>319</v>
      </c>
      <c r="E191" s="13" t="s">
        <v>91</v>
      </c>
      <c r="O191" s="13">
        <v>2</v>
      </c>
      <c r="AH191" s="13">
        <v>1</v>
      </c>
      <c r="AY191" s="13">
        <v>1</v>
      </c>
    </row>
    <row r="192" spans="1:64">
      <c r="A192" t="s">
        <v>162</v>
      </c>
      <c r="B192" t="s">
        <v>183</v>
      </c>
      <c r="C192" t="s">
        <v>191</v>
      </c>
      <c r="D192" s="13" t="s">
        <v>319</v>
      </c>
      <c r="E192" s="13" t="s">
        <v>91</v>
      </c>
      <c r="AC192" s="13">
        <v>2</v>
      </c>
      <c r="AH192" s="13">
        <v>2</v>
      </c>
      <c r="AR192" s="13">
        <v>1</v>
      </c>
      <c r="BJ192" s="13">
        <v>1</v>
      </c>
    </row>
    <row r="193" spans="1:64">
      <c r="A193" t="s">
        <v>163</v>
      </c>
      <c r="B193" t="s">
        <v>183</v>
      </c>
      <c r="C193" t="s">
        <v>191</v>
      </c>
      <c r="D193" s="13" t="s">
        <v>319</v>
      </c>
      <c r="E193" s="13" t="s">
        <v>91</v>
      </c>
      <c r="AC193" s="13">
        <v>1</v>
      </c>
      <c r="AH193" s="13">
        <v>2</v>
      </c>
      <c r="BJ193" s="13">
        <v>1</v>
      </c>
    </row>
    <row r="194" spans="1:64">
      <c r="A194" t="s">
        <v>164</v>
      </c>
      <c r="B194" t="s">
        <v>183</v>
      </c>
      <c r="C194" t="s">
        <v>255</v>
      </c>
      <c r="D194" s="13" t="s">
        <v>319</v>
      </c>
      <c r="E194" s="13" t="s">
        <v>91</v>
      </c>
      <c r="AA194" s="13">
        <v>1</v>
      </c>
      <c r="BD194" s="13">
        <v>1</v>
      </c>
      <c r="BJ194" s="13">
        <v>2</v>
      </c>
    </row>
    <row r="195" spans="1:64">
      <c r="A195" t="s">
        <v>165</v>
      </c>
      <c r="B195" t="s">
        <v>183</v>
      </c>
      <c r="C195" t="s">
        <v>255</v>
      </c>
      <c r="D195" s="13" t="s">
        <v>319</v>
      </c>
      <c r="E195" s="13" t="s">
        <v>91</v>
      </c>
      <c r="P195" s="13">
        <v>1</v>
      </c>
      <c r="AC195" s="13">
        <v>1</v>
      </c>
      <c r="AG195" s="13">
        <v>2</v>
      </c>
      <c r="BJ195" s="13">
        <v>1</v>
      </c>
      <c r="BL195" s="13">
        <v>1</v>
      </c>
    </row>
    <row r="196" spans="1:64">
      <c r="A196" t="s">
        <v>166</v>
      </c>
      <c r="B196" t="s">
        <v>183</v>
      </c>
      <c r="C196" t="s">
        <v>255</v>
      </c>
      <c r="D196" s="13" t="s">
        <v>319</v>
      </c>
      <c r="E196" s="13" t="s">
        <v>91</v>
      </c>
      <c r="AA196" s="13">
        <v>1</v>
      </c>
      <c r="AC196" s="13">
        <v>1</v>
      </c>
      <c r="BJ196" s="13">
        <v>2</v>
      </c>
    </row>
    <row r="197" spans="1:64">
      <c r="A197" t="s">
        <v>167</v>
      </c>
      <c r="B197" t="s">
        <v>183</v>
      </c>
      <c r="C197" t="s">
        <v>255</v>
      </c>
      <c r="D197" s="13" t="s">
        <v>319</v>
      </c>
      <c r="E197" s="13" t="s">
        <v>91</v>
      </c>
      <c r="R197" s="13">
        <v>1</v>
      </c>
      <c r="W197" s="13">
        <v>1</v>
      </c>
      <c r="AA197" s="13">
        <v>1</v>
      </c>
      <c r="AG197" s="13">
        <v>1</v>
      </c>
      <c r="BD197" s="13">
        <v>1</v>
      </c>
      <c r="BJ197" s="13">
        <v>2</v>
      </c>
    </row>
    <row r="198" spans="1:64">
      <c r="A198" t="s">
        <v>168</v>
      </c>
      <c r="B198" t="s">
        <v>183</v>
      </c>
      <c r="C198" t="s">
        <v>255</v>
      </c>
      <c r="D198" s="13" t="s">
        <v>319</v>
      </c>
      <c r="E198" s="13" t="s">
        <v>91</v>
      </c>
      <c r="O198" s="13">
        <v>1</v>
      </c>
      <c r="AG198" s="13">
        <v>1</v>
      </c>
    </row>
    <row r="199" spans="1:64">
      <c r="A199" t="s">
        <v>169</v>
      </c>
      <c r="B199" t="s">
        <v>183</v>
      </c>
      <c r="C199" t="s">
        <v>255</v>
      </c>
      <c r="D199" s="13" t="s">
        <v>319</v>
      </c>
      <c r="E199" s="13" t="s">
        <v>91</v>
      </c>
      <c r="O199" s="13">
        <v>2</v>
      </c>
      <c r="P199" s="13">
        <v>1</v>
      </c>
      <c r="AB199" s="13">
        <v>1</v>
      </c>
      <c r="AC199" s="13">
        <v>1</v>
      </c>
      <c r="BH199" s="13">
        <v>1</v>
      </c>
    </row>
    <row r="200" spans="1:64">
      <c r="A200" t="s">
        <v>170</v>
      </c>
      <c r="B200" t="s">
        <v>183</v>
      </c>
      <c r="C200" t="s">
        <v>262</v>
      </c>
      <c r="D200" s="13" t="s">
        <v>320</v>
      </c>
      <c r="E200" s="13" t="s">
        <v>91</v>
      </c>
      <c r="AA200" s="13">
        <v>1</v>
      </c>
      <c r="AR200" s="13">
        <v>3</v>
      </c>
      <c r="BJ200" s="13">
        <v>1</v>
      </c>
    </row>
    <row r="201" spans="1:64">
      <c r="A201" t="s">
        <v>125</v>
      </c>
      <c r="B201" t="s">
        <v>183</v>
      </c>
      <c r="C201" t="s">
        <v>262</v>
      </c>
      <c r="D201" s="13" t="s">
        <v>320</v>
      </c>
      <c r="E201" s="13" t="s">
        <v>91</v>
      </c>
      <c r="H201" s="13">
        <v>1</v>
      </c>
      <c r="AM201" s="13">
        <v>1</v>
      </c>
    </row>
    <row r="202" spans="1:64">
      <c r="A202" t="s">
        <v>126</v>
      </c>
      <c r="B202" t="s">
        <v>183</v>
      </c>
      <c r="C202" t="s">
        <v>262</v>
      </c>
      <c r="D202" s="13" t="s">
        <v>320</v>
      </c>
      <c r="E202" s="13" t="s">
        <v>91</v>
      </c>
      <c r="AA202" s="13">
        <v>1</v>
      </c>
      <c r="AM202" s="13">
        <v>1</v>
      </c>
      <c r="AR202" s="13">
        <v>1</v>
      </c>
    </row>
    <row r="203" spans="1:64">
      <c r="A203" t="s">
        <v>127</v>
      </c>
      <c r="B203" t="s">
        <v>183</v>
      </c>
      <c r="C203" t="s">
        <v>262</v>
      </c>
      <c r="D203" s="13" t="s">
        <v>320</v>
      </c>
      <c r="E203" s="13" t="s">
        <v>91</v>
      </c>
    </row>
    <row r="204" spans="1:64">
      <c r="A204" t="s">
        <v>128</v>
      </c>
      <c r="B204" t="s">
        <v>183</v>
      </c>
      <c r="C204" t="s">
        <v>262</v>
      </c>
      <c r="D204" s="13" t="s">
        <v>320</v>
      </c>
      <c r="E204" s="13" t="s">
        <v>91</v>
      </c>
      <c r="BK204" s="13">
        <v>1</v>
      </c>
    </row>
    <row r="205" spans="1:64">
      <c r="A205" t="s">
        <v>129</v>
      </c>
      <c r="B205" t="s">
        <v>183</v>
      </c>
      <c r="C205" t="s">
        <v>262</v>
      </c>
      <c r="D205" s="13" t="s">
        <v>320</v>
      </c>
      <c r="E205" s="13" t="s">
        <v>91</v>
      </c>
      <c r="AH205" s="13">
        <v>1</v>
      </c>
      <c r="BJ205" s="13">
        <v>1</v>
      </c>
      <c r="BK205" s="13">
        <v>2</v>
      </c>
    </row>
    <row r="206" spans="1:64">
      <c r="A206" t="s">
        <v>180</v>
      </c>
      <c r="B206" t="s">
        <v>183</v>
      </c>
      <c r="C206" t="s">
        <v>269</v>
      </c>
      <c r="D206" s="13" t="s">
        <v>320</v>
      </c>
      <c r="E206" s="13" t="s">
        <v>91</v>
      </c>
      <c r="V206" s="13">
        <v>1</v>
      </c>
      <c r="BJ206" s="13">
        <v>1</v>
      </c>
    </row>
    <row r="207" spans="1:64">
      <c r="A207" t="s">
        <v>130</v>
      </c>
      <c r="B207" t="s">
        <v>183</v>
      </c>
      <c r="C207" t="s">
        <v>269</v>
      </c>
      <c r="D207" s="13" t="s">
        <v>320</v>
      </c>
      <c r="E207" s="13" t="s">
        <v>91</v>
      </c>
      <c r="H207" s="13">
        <v>1</v>
      </c>
    </row>
    <row r="208" spans="1:64">
      <c r="A208" t="s">
        <v>131</v>
      </c>
      <c r="B208" t="s">
        <v>183</v>
      </c>
      <c r="C208" t="s">
        <v>269</v>
      </c>
      <c r="D208" s="13" t="s">
        <v>320</v>
      </c>
      <c r="E208" s="13" t="s">
        <v>91</v>
      </c>
      <c r="L208" s="13">
        <v>1</v>
      </c>
      <c r="O208" s="13">
        <v>2</v>
      </c>
      <c r="V208" s="13">
        <v>1</v>
      </c>
      <c r="AD208" s="13">
        <v>2</v>
      </c>
      <c r="AG208" s="13">
        <v>1</v>
      </c>
      <c r="AN208" s="13">
        <v>1</v>
      </c>
      <c r="AP208" s="13">
        <v>1</v>
      </c>
      <c r="BK208" s="13">
        <v>3</v>
      </c>
    </row>
    <row r="209" spans="1:63">
      <c r="A209" t="s">
        <v>132</v>
      </c>
      <c r="B209" t="s">
        <v>183</v>
      </c>
      <c r="C209" t="s">
        <v>269</v>
      </c>
      <c r="D209" s="13" t="s">
        <v>320</v>
      </c>
      <c r="E209" s="13" t="s">
        <v>91</v>
      </c>
    </row>
    <row r="210" spans="1:63">
      <c r="A210" t="s">
        <v>133</v>
      </c>
      <c r="B210" t="s">
        <v>183</v>
      </c>
      <c r="C210" t="s">
        <v>269</v>
      </c>
      <c r="D210" s="13" t="s">
        <v>320</v>
      </c>
      <c r="E210" s="13" t="s">
        <v>91</v>
      </c>
      <c r="Q210" s="13">
        <v>1</v>
      </c>
      <c r="AC210" s="13">
        <v>1</v>
      </c>
      <c r="AG210" s="13">
        <v>2</v>
      </c>
      <c r="BJ210" s="13">
        <v>1</v>
      </c>
    </row>
    <row r="211" spans="1:63">
      <c r="A211" t="s">
        <v>134</v>
      </c>
      <c r="B211" t="s">
        <v>183</v>
      </c>
      <c r="C211" t="s">
        <v>269</v>
      </c>
      <c r="D211" s="13" t="s">
        <v>320</v>
      </c>
      <c r="E211" s="13" t="s">
        <v>91</v>
      </c>
      <c r="H211" s="13">
        <v>1</v>
      </c>
      <c r="BJ211" s="13">
        <v>1</v>
      </c>
    </row>
    <row r="212" spans="1:63">
      <c r="A212" t="s">
        <v>135</v>
      </c>
      <c r="B212" t="s">
        <v>183</v>
      </c>
      <c r="C212" t="s">
        <v>45</v>
      </c>
      <c r="D212" s="13" t="s">
        <v>320</v>
      </c>
      <c r="E212" s="13" t="s">
        <v>91</v>
      </c>
      <c r="AC212" s="13">
        <v>1</v>
      </c>
      <c r="AH212" s="13">
        <v>1</v>
      </c>
      <c r="BD212" s="13">
        <v>1</v>
      </c>
    </row>
    <row r="213" spans="1:63">
      <c r="A213" t="s">
        <v>136</v>
      </c>
      <c r="B213" t="s">
        <v>183</v>
      </c>
      <c r="C213" t="s">
        <v>45</v>
      </c>
      <c r="D213" s="13" t="s">
        <v>320</v>
      </c>
      <c r="E213" s="13" t="s">
        <v>91</v>
      </c>
      <c r="U213" s="13">
        <v>1</v>
      </c>
      <c r="AG213" s="13">
        <v>1</v>
      </c>
      <c r="AH213" s="13">
        <v>1</v>
      </c>
      <c r="BJ213" s="13">
        <v>1</v>
      </c>
    </row>
    <row r="214" spans="1:63">
      <c r="A214" t="s">
        <v>194</v>
      </c>
      <c r="B214" t="s">
        <v>183</v>
      </c>
      <c r="C214" t="s">
        <v>45</v>
      </c>
      <c r="D214" s="13" t="s">
        <v>320</v>
      </c>
      <c r="E214" s="13" t="s">
        <v>91</v>
      </c>
      <c r="AD214" s="13">
        <v>1</v>
      </c>
      <c r="BD214" s="13">
        <v>3</v>
      </c>
      <c r="BJ214" s="13">
        <v>1</v>
      </c>
      <c r="BK214" s="13">
        <v>1</v>
      </c>
    </row>
    <row r="215" spans="1:63">
      <c r="A215" t="s">
        <v>195</v>
      </c>
      <c r="B215" t="s">
        <v>183</v>
      </c>
      <c r="C215" t="s">
        <v>45</v>
      </c>
      <c r="D215" s="13" t="s">
        <v>320</v>
      </c>
      <c r="E215" s="13" t="s">
        <v>91</v>
      </c>
    </row>
    <row r="216" spans="1:63">
      <c r="A216" t="s">
        <v>196</v>
      </c>
      <c r="B216" t="s">
        <v>183</v>
      </c>
      <c r="C216" t="s">
        <v>45</v>
      </c>
      <c r="D216" s="13" t="s">
        <v>320</v>
      </c>
      <c r="E216" s="13" t="s">
        <v>91</v>
      </c>
      <c r="V216" s="13">
        <v>1</v>
      </c>
      <c r="X216" s="13">
        <v>1</v>
      </c>
      <c r="BK216" s="13">
        <v>2</v>
      </c>
    </row>
    <row r="217" spans="1:63">
      <c r="A217" t="s">
        <v>197</v>
      </c>
      <c r="B217" t="s">
        <v>183</v>
      </c>
      <c r="C217" t="s">
        <v>45</v>
      </c>
      <c r="D217" s="13" t="s">
        <v>320</v>
      </c>
      <c r="E217" s="13" t="s">
        <v>91</v>
      </c>
      <c r="AM217" s="13">
        <v>1</v>
      </c>
      <c r="BD217" s="13">
        <v>2</v>
      </c>
      <c r="BJ217" s="13">
        <v>1</v>
      </c>
    </row>
  </sheetData>
  <phoneticPr fontId="5"/>
  <pageMargins left="0.75" right="0.75" top="1" bottom="1" header="0.5" footer="0.5"/>
  <pageSetup paperSize="0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279"/>
  <sheetViews>
    <sheetView zoomScale="110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DM41" sqref="DM41"/>
      <pivotSelection pane="bottomRight" showHeader="1" activeRow="2" activeCol="97" previousRow="2" previousCol="97" click="1" r:id="rId1">
        <pivotArea type="all" dataOnly="0" outline="0" fieldPosition="0"/>
      </pivotSelection>
    </sheetView>
  </sheetViews>
  <sheetFormatPr baseColWidth="10" defaultRowHeight="13" x14ac:dyDescent="0"/>
  <cols>
    <col min="1" max="1" width="14.7109375" style="13" customWidth="1"/>
    <col min="2" max="2" width="2.7109375" style="13" bestFit="1" customWidth="1"/>
    <col min="3" max="3" width="4.140625" style="13" bestFit="1" customWidth="1"/>
    <col min="4" max="4" width="4.140625" style="13" customWidth="1"/>
    <col min="5" max="5" width="4.7109375" style="13" customWidth="1"/>
    <col min="6" max="6" width="2.7109375" style="13" bestFit="1" customWidth="1"/>
    <col min="7" max="14" width="2.7109375" style="13" customWidth="1"/>
    <col min="15" max="15" width="3" style="13" bestFit="1" customWidth="1"/>
    <col min="16" max="19" width="3" style="13" customWidth="1"/>
    <col min="20" max="20" width="2.7109375" style="13" customWidth="1"/>
    <col min="21" max="21" width="2.7109375" style="13" bestFit="1" customWidth="1"/>
    <col min="22" max="27" width="2.7109375" style="13" customWidth="1"/>
    <col min="28" max="28" width="3" style="13" bestFit="1" customWidth="1"/>
    <col min="29" max="30" width="3" style="13" customWidth="1"/>
    <col min="31" max="31" width="3" style="13" bestFit="1" customWidth="1"/>
    <col min="32" max="32" width="2.7109375" style="13" bestFit="1" customWidth="1"/>
    <col min="33" max="33" width="2.7109375" style="13" customWidth="1"/>
    <col min="34" max="39" width="2.7109375" style="13" bestFit="1" customWidth="1"/>
    <col min="40" max="40" width="2.7109375" style="13" customWidth="1"/>
    <col min="41" max="41" width="2.7109375" style="13" bestFit="1" customWidth="1"/>
    <col min="42" max="44" width="2.7109375" style="13" customWidth="1"/>
    <col min="45" max="49" width="2.7109375" style="13" bestFit="1" customWidth="1"/>
    <col min="50" max="52" width="2.7109375" style="13" customWidth="1"/>
    <col min="53" max="56" width="2.7109375" style="13" bestFit="1" customWidth="1"/>
    <col min="57" max="57" width="2.7109375" style="13" customWidth="1"/>
    <col min="58" max="58" width="2.7109375" style="13" bestFit="1" customWidth="1"/>
    <col min="59" max="60" width="2.7109375" style="13" customWidth="1"/>
    <col min="61" max="66" width="2.7109375" style="13" bestFit="1" customWidth="1"/>
    <col min="67" max="68" width="3" style="13" bestFit="1" customWidth="1"/>
    <col min="69" max="69" width="11.85546875" style="13" customWidth="1"/>
    <col min="70" max="72" width="2.7109375" style="13" bestFit="1" customWidth="1"/>
    <col min="73" max="73" width="2.7109375" style="13" customWidth="1"/>
    <col min="74" max="74" width="2.7109375" style="13" bestFit="1" customWidth="1"/>
    <col min="75" max="78" width="2.7109375" style="13" customWidth="1"/>
    <col min="79" max="81" width="2.7109375" style="13" bestFit="1" customWidth="1"/>
    <col min="82" max="82" width="2.7109375" style="13" customWidth="1"/>
    <col min="83" max="87" width="2.7109375" style="11" bestFit="1" customWidth="1"/>
    <col min="88" max="88" width="2.7109375" style="11" customWidth="1"/>
    <col min="89" max="90" width="2.7109375" style="11" bestFit="1" customWidth="1"/>
    <col min="91" max="93" width="2.7109375" style="11" customWidth="1"/>
    <col min="94" max="96" width="2.7109375" style="11" bestFit="1" customWidth="1"/>
    <col min="97" max="114" width="2.7109375" style="11" customWidth="1"/>
    <col min="115" max="116" width="10.7109375" style="11"/>
    <col min="117" max="117" width="7.5703125" style="11" customWidth="1"/>
    <col min="118" max="118" width="20.42578125" style="11" customWidth="1"/>
    <col min="119" max="119" width="12" style="11" bestFit="1" customWidth="1"/>
    <col min="120" max="120" width="12" style="30" bestFit="1" customWidth="1"/>
    <col min="121" max="125" width="10.7109375" style="30"/>
    <col min="126" max="16384" width="10.7109375" style="11"/>
  </cols>
  <sheetData>
    <row r="1" spans="1:125" s="1" customFormat="1" ht="108" customHeight="1">
      <c r="A1" s="1" t="s">
        <v>278</v>
      </c>
      <c r="B1" s="2" t="s">
        <v>76</v>
      </c>
      <c r="C1" s="2" t="s">
        <v>77</v>
      </c>
      <c r="D1" s="2" t="s">
        <v>318</v>
      </c>
      <c r="E1" s="1" t="s">
        <v>279</v>
      </c>
      <c r="F1" s="3" t="s">
        <v>78</v>
      </c>
      <c r="G1" s="3" t="s">
        <v>27</v>
      </c>
      <c r="H1" s="3" t="s">
        <v>179</v>
      </c>
      <c r="I1" s="3" t="s">
        <v>330</v>
      </c>
      <c r="J1" s="3" t="s">
        <v>181</v>
      </c>
      <c r="K1" s="25" t="s">
        <v>224</v>
      </c>
      <c r="L1" s="3" t="s">
        <v>150</v>
      </c>
      <c r="M1" s="3" t="s">
        <v>223</v>
      </c>
      <c r="N1" s="4" t="s">
        <v>149</v>
      </c>
      <c r="O1" s="4" t="s">
        <v>38</v>
      </c>
      <c r="P1" s="4" t="s">
        <v>222</v>
      </c>
      <c r="Q1" s="4" t="s">
        <v>198</v>
      </c>
      <c r="R1" s="4" t="s">
        <v>171</v>
      </c>
      <c r="S1" s="4" t="s">
        <v>172</v>
      </c>
      <c r="T1" s="4" t="s">
        <v>285</v>
      </c>
      <c r="U1" s="4" t="s">
        <v>37</v>
      </c>
      <c r="V1" s="4" t="s">
        <v>143</v>
      </c>
      <c r="W1" s="4" t="s">
        <v>276</v>
      </c>
      <c r="X1" s="5" t="s">
        <v>277</v>
      </c>
      <c r="Y1" s="5" t="s">
        <v>117</v>
      </c>
      <c r="Z1" s="5" t="s">
        <v>310</v>
      </c>
      <c r="AA1" s="5" t="s">
        <v>18</v>
      </c>
      <c r="AB1" s="5" t="s">
        <v>303</v>
      </c>
      <c r="AC1" s="5" t="s">
        <v>59</v>
      </c>
      <c r="AD1" s="5" t="s">
        <v>325</v>
      </c>
      <c r="AE1" s="5" t="s">
        <v>304</v>
      </c>
      <c r="AF1" s="5" t="s">
        <v>306</v>
      </c>
      <c r="AG1" s="5" t="s">
        <v>36</v>
      </c>
      <c r="AH1" s="5" t="s">
        <v>307</v>
      </c>
      <c r="AI1" s="5" t="s">
        <v>308</v>
      </c>
      <c r="AJ1" s="5" t="s">
        <v>323</v>
      </c>
      <c r="AK1" s="5" t="s">
        <v>324</v>
      </c>
      <c r="AL1" s="5" t="s">
        <v>248</v>
      </c>
      <c r="AM1" s="5" t="s">
        <v>309</v>
      </c>
      <c r="AN1" s="5" t="s">
        <v>317</v>
      </c>
      <c r="AO1" s="5" t="s">
        <v>311</v>
      </c>
      <c r="AP1" s="5" t="s">
        <v>254</v>
      </c>
      <c r="AQ1" s="5" t="s">
        <v>299</v>
      </c>
      <c r="AR1" s="6" t="s">
        <v>286</v>
      </c>
      <c r="AS1" s="6" t="s">
        <v>237</v>
      </c>
      <c r="AT1" s="6" t="s">
        <v>239</v>
      </c>
      <c r="AU1" s="6" t="s">
        <v>51</v>
      </c>
      <c r="AV1" s="6" t="s">
        <v>52</v>
      </c>
      <c r="AW1" s="6" t="s">
        <v>53</v>
      </c>
      <c r="AX1" s="6" t="s">
        <v>199</v>
      </c>
      <c r="AY1" s="6" t="s">
        <v>328</v>
      </c>
      <c r="AZ1" s="6" t="s">
        <v>101</v>
      </c>
      <c r="BA1" s="7" t="s">
        <v>54</v>
      </c>
      <c r="BB1" s="7" t="s">
        <v>61</v>
      </c>
      <c r="BC1" s="8" t="s">
        <v>62</v>
      </c>
      <c r="BD1" s="8" t="s">
        <v>63</v>
      </c>
      <c r="BE1" s="12" t="s">
        <v>25</v>
      </c>
      <c r="BF1" s="9" t="s">
        <v>64</v>
      </c>
      <c r="BG1" s="9" t="s">
        <v>242</v>
      </c>
      <c r="BH1" s="9" t="s">
        <v>246</v>
      </c>
      <c r="BI1" s="9" t="s">
        <v>65</v>
      </c>
      <c r="BJ1" s="9" t="s">
        <v>66</v>
      </c>
      <c r="BK1" s="10" t="s">
        <v>67</v>
      </c>
      <c r="BL1" s="10" t="s">
        <v>274</v>
      </c>
      <c r="BM1" s="1" t="s">
        <v>275</v>
      </c>
      <c r="BN1" s="1" t="s">
        <v>291</v>
      </c>
      <c r="BO1" s="1" t="s">
        <v>206</v>
      </c>
      <c r="BP1" s="1" t="s">
        <v>173</v>
      </c>
      <c r="BQ1" s="1" t="s">
        <v>174</v>
      </c>
      <c r="BR1" s="1" t="s">
        <v>332</v>
      </c>
      <c r="BS1" s="1" t="s">
        <v>333</v>
      </c>
      <c r="BT1" s="1" t="s">
        <v>93</v>
      </c>
      <c r="BU1" s="1" t="s">
        <v>123</v>
      </c>
      <c r="BV1" s="1" t="s">
        <v>94</v>
      </c>
      <c r="BW1" s="1" t="s">
        <v>98</v>
      </c>
      <c r="BX1" s="1" t="s">
        <v>121</v>
      </c>
      <c r="BY1" s="1" t="s">
        <v>124</v>
      </c>
      <c r="BZ1" s="1" t="s">
        <v>122</v>
      </c>
      <c r="CA1" s="1" t="s">
        <v>95</v>
      </c>
      <c r="CB1" s="1" t="s">
        <v>96</v>
      </c>
      <c r="CC1" s="12" t="s">
        <v>97</v>
      </c>
      <c r="CD1" s="33" t="s">
        <v>206</v>
      </c>
      <c r="CE1" s="33" t="s">
        <v>173</v>
      </c>
      <c r="CF1" s="33" t="s">
        <v>174</v>
      </c>
      <c r="CG1" s="33" t="s">
        <v>332</v>
      </c>
      <c r="CH1" s="33" t="s">
        <v>333</v>
      </c>
      <c r="CI1" s="33" t="s">
        <v>93</v>
      </c>
      <c r="CJ1" s="33" t="s">
        <v>123</v>
      </c>
      <c r="CK1" s="33" t="s">
        <v>94</v>
      </c>
      <c r="CL1" s="33" t="s">
        <v>98</v>
      </c>
      <c r="CM1" s="33" t="s">
        <v>121</v>
      </c>
      <c r="CN1" s="33" t="s">
        <v>124</v>
      </c>
      <c r="CO1" s="33" t="s">
        <v>122</v>
      </c>
      <c r="CP1" s="33" t="s">
        <v>95</v>
      </c>
      <c r="CQ1" s="33" t="s">
        <v>96</v>
      </c>
      <c r="CR1" s="34" t="s">
        <v>97</v>
      </c>
      <c r="CS1" s="35" t="s">
        <v>206</v>
      </c>
      <c r="CT1" s="35" t="s">
        <v>173</v>
      </c>
      <c r="CU1" s="35" t="s">
        <v>174</v>
      </c>
      <c r="CV1" s="35" t="s">
        <v>332</v>
      </c>
      <c r="CW1" s="35" t="s">
        <v>333</v>
      </c>
      <c r="CX1" s="35" t="s">
        <v>93</v>
      </c>
      <c r="CY1" s="35" t="s">
        <v>123</v>
      </c>
      <c r="CZ1" s="35" t="s">
        <v>94</v>
      </c>
      <c r="DA1" s="35" t="s">
        <v>98</v>
      </c>
      <c r="DB1" s="35" t="s">
        <v>121</v>
      </c>
      <c r="DC1" s="35" t="s">
        <v>124</v>
      </c>
      <c r="DD1" s="35" t="s">
        <v>122</v>
      </c>
      <c r="DE1" s="35" t="s">
        <v>95</v>
      </c>
      <c r="DF1" s="35" t="s">
        <v>96</v>
      </c>
      <c r="DG1" s="36" t="s">
        <v>97</v>
      </c>
      <c r="DH1" s="26"/>
      <c r="DI1" s="26"/>
      <c r="DJ1" s="26"/>
      <c r="DP1" s="29"/>
      <c r="DQ1" s="29"/>
      <c r="DR1" s="29"/>
      <c r="DS1" s="29"/>
      <c r="DT1" s="29"/>
      <c r="DU1" s="29"/>
    </row>
    <row r="2" spans="1:125">
      <c r="A2" s="13" t="s">
        <v>280</v>
      </c>
      <c r="B2" s="13" t="s">
        <v>281</v>
      </c>
      <c r="C2" s="13" t="s">
        <v>282</v>
      </c>
      <c r="D2" s="13" t="s">
        <v>319</v>
      </c>
      <c r="E2" s="13" t="s">
        <v>283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2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1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0</v>
      </c>
      <c r="BM2" s="13">
        <v>0</v>
      </c>
      <c r="BN2" s="13">
        <v>0</v>
      </c>
      <c r="BO2">
        <f>COUNTIF(K2:BL2, "&gt;0")</f>
        <v>2</v>
      </c>
      <c r="BP2" s="13">
        <f>SUM(K2:BL2)</f>
        <v>3</v>
      </c>
      <c r="BQ2" s="13">
        <f>[1]!shannonweaver(K2:BL2)</f>
        <v>0.63651416829481278</v>
      </c>
      <c r="BR2">
        <f>COUNTIF(N2:W2, "&gt;0")</f>
        <v>0</v>
      </c>
      <c r="BS2">
        <f>COUNTIF(X2:AQ2, "&gt;0")</f>
        <v>1</v>
      </c>
      <c r="BT2">
        <f>COUNTIF(AR2:BD2, "&gt;0")</f>
        <v>1</v>
      </c>
      <c r="BU2">
        <f>SUM(O2:S2)</f>
        <v>0</v>
      </c>
      <c r="BV2" s="13">
        <f>SUM(N2:W2)</f>
        <v>0</v>
      </c>
      <c r="BW2" s="13">
        <f>SUM(AB2:AD2)</f>
        <v>2</v>
      </c>
      <c r="BX2" s="13">
        <f>AE2</f>
        <v>0</v>
      </c>
      <c r="BY2" s="13">
        <f>SUM(AB2:AE2)</f>
        <v>2</v>
      </c>
      <c r="BZ2" s="13">
        <f>AG2</f>
        <v>0</v>
      </c>
      <c r="CA2" s="13">
        <f>SUM(X2:AQ2)</f>
        <v>2</v>
      </c>
      <c r="CB2" s="13">
        <f>SUM(AR2:BD2)</f>
        <v>1</v>
      </c>
      <c r="CC2" s="13">
        <f>SUM(BK2:BL2)</f>
        <v>0</v>
      </c>
      <c r="CD2" s="13">
        <f t="shared" ref="CD2:CR2" si="0">BO2^0.5</f>
        <v>1.4142135623730951</v>
      </c>
      <c r="CE2" s="13">
        <f t="shared" si="0"/>
        <v>1.7320508075688772</v>
      </c>
      <c r="CF2" s="13">
        <f t="shared" si="0"/>
        <v>0.79781838051953446</v>
      </c>
      <c r="CG2" s="13">
        <f t="shared" si="0"/>
        <v>0</v>
      </c>
      <c r="CH2" s="13">
        <f t="shared" si="0"/>
        <v>1</v>
      </c>
      <c r="CI2" s="13">
        <f t="shared" si="0"/>
        <v>1</v>
      </c>
      <c r="CJ2" s="13">
        <f t="shared" si="0"/>
        <v>0</v>
      </c>
      <c r="CK2" s="13">
        <f t="shared" si="0"/>
        <v>0</v>
      </c>
      <c r="CL2" s="13">
        <f>BW2^0.5</f>
        <v>1.4142135623730951</v>
      </c>
      <c r="CM2" s="13">
        <f t="shared" si="0"/>
        <v>0</v>
      </c>
      <c r="CN2" s="13">
        <f t="shared" si="0"/>
        <v>1.4142135623730951</v>
      </c>
      <c r="CO2" s="13">
        <f t="shared" si="0"/>
        <v>0</v>
      </c>
      <c r="CP2" s="13">
        <f t="shared" si="0"/>
        <v>1.4142135623730951</v>
      </c>
      <c r="CQ2" s="13">
        <f t="shared" si="0"/>
        <v>1</v>
      </c>
      <c r="CR2" s="13">
        <f t="shared" si="0"/>
        <v>0</v>
      </c>
      <c r="CS2" s="13">
        <f>LN(BO2+1)</f>
        <v>1.0986122886681098</v>
      </c>
      <c r="CT2" s="13">
        <f t="shared" ref="CT2:DG2" si="1">LN(BP2+1)</f>
        <v>1.3862943611198906</v>
      </c>
      <c r="CU2" s="13">
        <f t="shared" si="1"/>
        <v>0.49256847260253284</v>
      </c>
      <c r="CV2" s="13">
        <f t="shared" si="1"/>
        <v>0</v>
      </c>
      <c r="CW2" s="13">
        <f t="shared" si="1"/>
        <v>0.69314718055994529</v>
      </c>
      <c r="CX2" s="13">
        <f t="shared" si="1"/>
        <v>0.69314718055994529</v>
      </c>
      <c r="CY2" s="13">
        <f t="shared" si="1"/>
        <v>0</v>
      </c>
      <c r="CZ2" s="13">
        <f>LN(BV2+1)</f>
        <v>0</v>
      </c>
      <c r="DA2" s="13">
        <f t="shared" si="1"/>
        <v>1.0986122886681098</v>
      </c>
      <c r="DB2" s="13">
        <f t="shared" si="1"/>
        <v>0</v>
      </c>
      <c r="DC2" s="13">
        <f t="shared" si="1"/>
        <v>1.0986122886681098</v>
      </c>
      <c r="DD2" s="13">
        <f t="shared" si="1"/>
        <v>0</v>
      </c>
      <c r="DE2" s="13">
        <f t="shared" si="1"/>
        <v>1.0986122886681098</v>
      </c>
      <c r="DF2" s="13">
        <f t="shared" si="1"/>
        <v>0.69314718055994529</v>
      </c>
      <c r="DG2" s="13">
        <f t="shared" si="1"/>
        <v>0</v>
      </c>
      <c r="DH2" s="13"/>
      <c r="DI2" s="13"/>
      <c r="DJ2" s="13"/>
    </row>
    <row r="3" spans="1:125">
      <c r="A3" s="13" t="s">
        <v>284</v>
      </c>
      <c r="B3" s="13" t="s">
        <v>281</v>
      </c>
      <c r="C3" s="13" t="s">
        <v>282</v>
      </c>
      <c r="D3" s="13" t="s">
        <v>319</v>
      </c>
      <c r="E3" s="13" t="s">
        <v>283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1</v>
      </c>
      <c r="Y3" s="13">
        <v>0</v>
      </c>
      <c r="Z3" s="13">
        <v>0</v>
      </c>
      <c r="AA3" s="13">
        <v>0</v>
      </c>
      <c r="AB3" s="13">
        <v>3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2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>
        <f t="shared" ref="BO3:BO66" si="2">COUNTIF(K3:BL3, "&gt;0")</f>
        <v>3</v>
      </c>
      <c r="BP3" s="13">
        <f t="shared" ref="BP3:BP66" si="3">SUM(K3:BL3)</f>
        <v>6</v>
      </c>
      <c r="BQ3" s="13">
        <f>[1]!shannonweaver(K3:BL3)</f>
        <v>1.0114042647073518</v>
      </c>
      <c r="BR3">
        <f t="shared" ref="BR3:BR66" si="4">COUNTIF(N3:W3, "&gt;0")</f>
        <v>0</v>
      </c>
      <c r="BS3">
        <f t="shared" ref="BS3:BS66" si="5">COUNTIF(X3:AQ3, "&gt;0")</f>
        <v>3</v>
      </c>
      <c r="BT3">
        <f t="shared" ref="BT3:BT66" si="6">COUNTIF(AR3:BD3, "&gt;0")</f>
        <v>0</v>
      </c>
      <c r="BU3">
        <f t="shared" ref="BU3:BU66" si="7">SUM(O3:S3)</f>
        <v>0</v>
      </c>
      <c r="BV3" s="13">
        <f t="shared" ref="BV3:BV66" si="8">SUM(N3:W3)</f>
        <v>0</v>
      </c>
      <c r="BW3" s="13">
        <f t="shared" ref="BW3:BW66" si="9">SUM(AB3:AD3)</f>
        <v>3</v>
      </c>
      <c r="BX3" s="13">
        <f t="shared" ref="BX3:BX66" si="10">AE3</f>
        <v>0</v>
      </c>
      <c r="BY3" s="13">
        <f t="shared" ref="BY3:BY66" si="11">SUM(AB3:AE3)</f>
        <v>3</v>
      </c>
      <c r="BZ3" s="13">
        <f t="shared" ref="BZ3:BZ66" si="12">AG3</f>
        <v>0</v>
      </c>
      <c r="CA3" s="13">
        <f t="shared" ref="CA3:CA66" si="13">SUM(X3:AQ3)</f>
        <v>6</v>
      </c>
      <c r="CB3" s="13">
        <f t="shared" ref="CB3:CB66" si="14">SUM(AR3:BD3)</f>
        <v>0</v>
      </c>
      <c r="CC3" s="13">
        <f t="shared" ref="CC3:CC66" si="15">SUM(BK3:BL3)</f>
        <v>0</v>
      </c>
      <c r="CD3" s="13">
        <f t="shared" ref="CD3:CD66" si="16">BO3^0.5</f>
        <v>1.7320508075688772</v>
      </c>
      <c r="CE3" s="13">
        <f t="shared" ref="CE3:CE66" si="17">BP3^0.5</f>
        <v>2.4494897427831779</v>
      </c>
      <c r="CF3" s="13">
        <f t="shared" ref="CF3:CF66" si="18">BQ3^0.5</f>
        <v>1.0056859672419376</v>
      </c>
      <c r="CG3" s="13">
        <f t="shared" ref="CG3:CG66" si="19">BR3^0.5</f>
        <v>0</v>
      </c>
      <c r="CH3" s="13">
        <f t="shared" ref="CH3:CH66" si="20">BS3^0.5</f>
        <v>1.7320508075688772</v>
      </c>
      <c r="CI3" s="13">
        <f t="shared" ref="CI3:CJ66" si="21">BT3^0.5</f>
        <v>0</v>
      </c>
      <c r="CJ3" s="13">
        <f t="shared" ref="CJ3:CJ17" si="22">BU3^0.5</f>
        <v>0</v>
      </c>
      <c r="CK3" s="13">
        <f t="shared" ref="CK3:CK66" si="23">BV3^0.5</f>
        <v>0</v>
      </c>
      <c r="CL3" s="13">
        <f t="shared" ref="CL3:CL66" si="24">BW3^0.5</f>
        <v>1.7320508075688772</v>
      </c>
      <c r="CM3" s="13">
        <f t="shared" ref="CM3:CM66" si="25">BX3^0.5</f>
        <v>0</v>
      </c>
      <c r="CN3" s="13">
        <f t="shared" ref="CN3:CN66" si="26">BY3^0.5</f>
        <v>1.7320508075688772</v>
      </c>
      <c r="CO3" s="13">
        <f t="shared" ref="CO3:CO66" si="27">BZ3^0.5</f>
        <v>0</v>
      </c>
      <c r="CP3" s="13">
        <f t="shared" ref="CP3:CP66" si="28">CA3^0.5</f>
        <v>2.4494897427831779</v>
      </c>
      <c r="CQ3" s="13">
        <f t="shared" ref="CQ3:CQ66" si="29">CB3^0.5</f>
        <v>0</v>
      </c>
      <c r="CR3" s="13">
        <f t="shared" ref="CR3:CR66" si="30">CC3^0.5</f>
        <v>0</v>
      </c>
      <c r="CS3" s="13">
        <f t="shared" ref="CS3:CS66" si="31">LN(BO3+1)</f>
        <v>1.3862943611198906</v>
      </c>
      <c r="CT3" s="13">
        <f t="shared" ref="CT3:CT66" si="32">LN(BP3+1)</f>
        <v>1.9459101490553132</v>
      </c>
      <c r="CU3" s="13">
        <f t="shared" ref="CU3:CU66" si="33">LN(BQ3+1)</f>
        <v>0.69883311729414266</v>
      </c>
      <c r="CV3" s="13">
        <f t="shared" ref="CV3:CV66" si="34">LN(BR3+1)</f>
        <v>0</v>
      </c>
      <c r="CW3" s="13">
        <f t="shared" ref="CW3:CW66" si="35">LN(BS3+1)</f>
        <v>1.3862943611198906</v>
      </c>
      <c r="CX3" s="13">
        <f t="shared" ref="CX3:CX66" si="36">LN(BT3+1)</f>
        <v>0</v>
      </c>
      <c r="CY3" s="13">
        <f t="shared" ref="CY3:CY66" si="37">LN(BU3+1)</f>
        <v>0</v>
      </c>
      <c r="CZ3" s="13">
        <f t="shared" ref="CZ3:CZ66" si="38">LN(BV3+1)</f>
        <v>0</v>
      </c>
      <c r="DA3" s="13">
        <f t="shared" ref="DA3:DA66" si="39">LN(BW3+1)</f>
        <v>1.3862943611198906</v>
      </c>
      <c r="DB3" s="13">
        <f t="shared" ref="DB3:DB66" si="40">LN(BX3+1)</f>
        <v>0</v>
      </c>
      <c r="DC3" s="13">
        <f t="shared" ref="DC3:DC66" si="41">LN(BY3+1)</f>
        <v>1.3862943611198906</v>
      </c>
      <c r="DD3" s="13">
        <f t="shared" ref="DD3:DD66" si="42">LN(BZ3+1)</f>
        <v>0</v>
      </c>
      <c r="DE3" s="13">
        <f t="shared" ref="DE3:DE66" si="43">LN(CA3+1)</f>
        <v>1.9459101490553132</v>
      </c>
      <c r="DF3" s="13">
        <f t="shared" ref="DF3:DF66" si="44">LN(CB3+1)</f>
        <v>0</v>
      </c>
      <c r="DG3" s="13">
        <f t="shared" ref="DG3:DG66" si="45">LN(CC3+1)</f>
        <v>0</v>
      </c>
      <c r="DH3" s="13"/>
      <c r="DI3" s="13"/>
      <c r="DJ3" s="13"/>
      <c r="DL3" s="16"/>
      <c r="DM3" s="19"/>
      <c r="DN3" s="19"/>
      <c r="DO3" s="15" t="s">
        <v>279</v>
      </c>
      <c r="DP3" s="20"/>
    </row>
    <row r="4" spans="1:125">
      <c r="A4" s="13" t="s">
        <v>287</v>
      </c>
      <c r="B4" s="13" t="s">
        <v>281</v>
      </c>
      <c r="C4" s="13" t="s">
        <v>282</v>
      </c>
      <c r="D4" s="13" t="s">
        <v>319</v>
      </c>
      <c r="E4" s="13" t="s">
        <v>283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1</v>
      </c>
      <c r="BL4" s="13">
        <v>0</v>
      </c>
      <c r="BM4" s="13">
        <v>0</v>
      </c>
      <c r="BN4" s="13">
        <v>0</v>
      </c>
      <c r="BO4">
        <f t="shared" si="2"/>
        <v>2</v>
      </c>
      <c r="BP4" s="13">
        <f t="shared" si="3"/>
        <v>2</v>
      </c>
      <c r="BQ4" s="13">
        <f>[1]!shannonweaver(K4:BL4)</f>
        <v>0.69314718055994529</v>
      </c>
      <c r="BR4">
        <f t="shared" si="4"/>
        <v>0</v>
      </c>
      <c r="BS4">
        <f t="shared" si="5"/>
        <v>1</v>
      </c>
      <c r="BT4">
        <f t="shared" si="6"/>
        <v>0</v>
      </c>
      <c r="BU4">
        <f t="shared" si="7"/>
        <v>0</v>
      </c>
      <c r="BV4" s="13">
        <f t="shared" si="8"/>
        <v>0</v>
      </c>
      <c r="BW4" s="13">
        <f t="shared" si="9"/>
        <v>0</v>
      </c>
      <c r="BX4" s="13">
        <f t="shared" si="10"/>
        <v>0</v>
      </c>
      <c r="BY4" s="13">
        <f t="shared" si="11"/>
        <v>0</v>
      </c>
      <c r="BZ4" s="13">
        <f t="shared" si="12"/>
        <v>0</v>
      </c>
      <c r="CA4" s="13">
        <f t="shared" si="13"/>
        <v>1</v>
      </c>
      <c r="CB4" s="13">
        <f t="shared" si="14"/>
        <v>0</v>
      </c>
      <c r="CC4" s="13">
        <f t="shared" si="15"/>
        <v>1</v>
      </c>
      <c r="CD4" s="13">
        <f t="shared" si="16"/>
        <v>1.4142135623730951</v>
      </c>
      <c r="CE4" s="13">
        <f t="shared" si="17"/>
        <v>1.4142135623730951</v>
      </c>
      <c r="CF4" s="13">
        <f t="shared" si="18"/>
        <v>0.83255461115769769</v>
      </c>
      <c r="CG4" s="13">
        <f t="shared" si="19"/>
        <v>0</v>
      </c>
      <c r="CH4" s="13">
        <f t="shared" si="20"/>
        <v>1</v>
      </c>
      <c r="CI4" s="13">
        <f t="shared" si="21"/>
        <v>0</v>
      </c>
      <c r="CJ4" s="13">
        <f t="shared" si="22"/>
        <v>0</v>
      </c>
      <c r="CK4" s="13">
        <f t="shared" si="23"/>
        <v>0</v>
      </c>
      <c r="CL4" s="13">
        <f t="shared" si="24"/>
        <v>0</v>
      </c>
      <c r="CM4" s="13">
        <f t="shared" si="25"/>
        <v>0</v>
      </c>
      <c r="CN4" s="13">
        <f t="shared" si="26"/>
        <v>0</v>
      </c>
      <c r="CO4" s="13">
        <f t="shared" si="27"/>
        <v>0</v>
      </c>
      <c r="CP4" s="13">
        <f t="shared" si="28"/>
        <v>1</v>
      </c>
      <c r="CQ4" s="13">
        <f t="shared" si="29"/>
        <v>0</v>
      </c>
      <c r="CR4" s="13">
        <f t="shared" si="30"/>
        <v>1</v>
      </c>
      <c r="CS4" s="13">
        <f t="shared" si="31"/>
        <v>1.0986122886681098</v>
      </c>
      <c r="CT4" s="13">
        <f t="shared" si="32"/>
        <v>1.0986122886681098</v>
      </c>
      <c r="CU4" s="13">
        <f t="shared" si="33"/>
        <v>0.52658903413904457</v>
      </c>
      <c r="CV4" s="13">
        <f t="shared" si="34"/>
        <v>0</v>
      </c>
      <c r="CW4" s="13">
        <f t="shared" si="35"/>
        <v>0.69314718055994529</v>
      </c>
      <c r="CX4" s="13">
        <f t="shared" si="36"/>
        <v>0</v>
      </c>
      <c r="CY4" s="13">
        <f t="shared" si="37"/>
        <v>0</v>
      </c>
      <c r="CZ4" s="13">
        <f t="shared" si="38"/>
        <v>0</v>
      </c>
      <c r="DA4" s="13">
        <f t="shared" si="39"/>
        <v>0</v>
      </c>
      <c r="DB4" s="13">
        <f t="shared" si="40"/>
        <v>0</v>
      </c>
      <c r="DC4" s="13">
        <f t="shared" si="41"/>
        <v>0</v>
      </c>
      <c r="DD4" s="13">
        <f t="shared" si="42"/>
        <v>0</v>
      </c>
      <c r="DE4" s="13">
        <f t="shared" si="43"/>
        <v>0.69314718055994529</v>
      </c>
      <c r="DF4" s="13">
        <f t="shared" si="44"/>
        <v>0</v>
      </c>
      <c r="DG4" s="13">
        <f t="shared" si="45"/>
        <v>0.69314718055994529</v>
      </c>
      <c r="DH4" s="13"/>
      <c r="DI4" s="13"/>
      <c r="DJ4" s="13"/>
      <c r="DL4" s="15" t="s">
        <v>318</v>
      </c>
      <c r="DM4" s="15" t="s">
        <v>76</v>
      </c>
      <c r="DN4" s="15" t="s">
        <v>238</v>
      </c>
      <c r="DO4" s="16" t="s">
        <v>283</v>
      </c>
      <c r="DP4" s="20" t="s">
        <v>91</v>
      </c>
    </row>
    <row r="5" spans="1:125">
      <c r="A5" s="13" t="s">
        <v>288</v>
      </c>
      <c r="B5" s="13" t="s">
        <v>281</v>
      </c>
      <c r="C5" s="13" t="s">
        <v>282</v>
      </c>
      <c r="D5" s="13" t="s">
        <v>319</v>
      </c>
      <c r="E5" s="13" t="s">
        <v>283</v>
      </c>
      <c r="F5" s="13">
        <v>0</v>
      </c>
      <c r="G5" s="13">
        <v>0</v>
      </c>
      <c r="H5" s="13">
        <v>0</v>
      </c>
      <c r="I5" s="13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32">
        <v>0</v>
      </c>
      <c r="Z5" s="32">
        <v>0</v>
      </c>
      <c r="AA5" s="32">
        <v>0</v>
      </c>
      <c r="AB5" s="13">
        <v>2</v>
      </c>
      <c r="AC5" s="13">
        <v>0</v>
      </c>
      <c r="AD5" s="13">
        <v>0</v>
      </c>
      <c r="AE5" s="13">
        <v>2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>
        <f t="shared" si="2"/>
        <v>2</v>
      </c>
      <c r="BP5" s="13">
        <f t="shared" si="3"/>
        <v>4</v>
      </c>
      <c r="BQ5" s="13">
        <f>[1]!shannonweaver(K5:BL5)</f>
        <v>0.69314718055994529</v>
      </c>
      <c r="BR5">
        <f t="shared" si="4"/>
        <v>0</v>
      </c>
      <c r="BS5">
        <f t="shared" si="5"/>
        <v>2</v>
      </c>
      <c r="BT5">
        <f t="shared" si="6"/>
        <v>0</v>
      </c>
      <c r="BU5">
        <f t="shared" si="7"/>
        <v>0</v>
      </c>
      <c r="BV5" s="13">
        <f t="shared" si="8"/>
        <v>0</v>
      </c>
      <c r="BW5" s="13">
        <f t="shared" si="9"/>
        <v>2</v>
      </c>
      <c r="BX5" s="13">
        <f t="shared" si="10"/>
        <v>2</v>
      </c>
      <c r="BY5" s="13">
        <f t="shared" si="11"/>
        <v>4</v>
      </c>
      <c r="BZ5" s="13">
        <f t="shared" si="12"/>
        <v>0</v>
      </c>
      <c r="CA5" s="13">
        <f t="shared" si="13"/>
        <v>4</v>
      </c>
      <c r="CB5" s="13">
        <f t="shared" si="14"/>
        <v>0</v>
      </c>
      <c r="CC5" s="13">
        <f t="shared" si="15"/>
        <v>0</v>
      </c>
      <c r="CD5" s="13">
        <f t="shared" si="16"/>
        <v>1.4142135623730951</v>
      </c>
      <c r="CE5" s="13">
        <f t="shared" si="17"/>
        <v>2</v>
      </c>
      <c r="CF5" s="13">
        <f t="shared" si="18"/>
        <v>0.83255461115769769</v>
      </c>
      <c r="CG5" s="13">
        <f t="shared" si="19"/>
        <v>0</v>
      </c>
      <c r="CH5" s="13">
        <f t="shared" si="20"/>
        <v>1.4142135623730951</v>
      </c>
      <c r="CI5" s="13">
        <f t="shared" si="21"/>
        <v>0</v>
      </c>
      <c r="CJ5" s="13">
        <f t="shared" si="22"/>
        <v>0</v>
      </c>
      <c r="CK5" s="13">
        <f t="shared" si="23"/>
        <v>0</v>
      </c>
      <c r="CL5" s="13">
        <f t="shared" si="24"/>
        <v>1.4142135623730951</v>
      </c>
      <c r="CM5" s="13">
        <f t="shared" si="25"/>
        <v>1.4142135623730951</v>
      </c>
      <c r="CN5" s="13">
        <f t="shared" si="26"/>
        <v>2</v>
      </c>
      <c r="CO5" s="13">
        <f t="shared" si="27"/>
        <v>0</v>
      </c>
      <c r="CP5" s="13">
        <f t="shared" si="28"/>
        <v>2</v>
      </c>
      <c r="CQ5" s="13">
        <f t="shared" si="29"/>
        <v>0</v>
      </c>
      <c r="CR5" s="13">
        <f t="shared" si="30"/>
        <v>0</v>
      </c>
      <c r="CS5" s="13">
        <f t="shared" si="31"/>
        <v>1.0986122886681098</v>
      </c>
      <c r="CT5" s="13">
        <f t="shared" si="32"/>
        <v>1.6094379124341003</v>
      </c>
      <c r="CU5" s="13">
        <f t="shared" si="33"/>
        <v>0.52658903413904457</v>
      </c>
      <c r="CV5" s="13">
        <f t="shared" si="34"/>
        <v>0</v>
      </c>
      <c r="CW5" s="13">
        <f t="shared" si="35"/>
        <v>1.0986122886681098</v>
      </c>
      <c r="CX5" s="13">
        <f t="shared" si="36"/>
        <v>0</v>
      </c>
      <c r="CY5" s="13">
        <f t="shared" si="37"/>
        <v>0</v>
      </c>
      <c r="CZ5" s="13">
        <f t="shared" si="38"/>
        <v>0</v>
      </c>
      <c r="DA5" s="13">
        <f t="shared" si="39"/>
        <v>1.0986122886681098</v>
      </c>
      <c r="DB5" s="13">
        <f t="shared" si="40"/>
        <v>1.0986122886681098</v>
      </c>
      <c r="DC5" s="13">
        <f t="shared" si="41"/>
        <v>1.6094379124341003</v>
      </c>
      <c r="DD5" s="13">
        <f t="shared" si="42"/>
        <v>0</v>
      </c>
      <c r="DE5" s="13">
        <f t="shared" si="43"/>
        <v>1.6094379124341003</v>
      </c>
      <c r="DF5" s="13">
        <f t="shared" si="44"/>
        <v>0</v>
      </c>
      <c r="DG5" s="13">
        <f t="shared" si="45"/>
        <v>0</v>
      </c>
      <c r="DH5" s="13"/>
      <c r="DI5" s="13"/>
      <c r="DJ5" s="13"/>
      <c r="DL5" s="16" t="s">
        <v>319</v>
      </c>
      <c r="DM5" s="16" t="s">
        <v>183</v>
      </c>
      <c r="DN5" s="16" t="s">
        <v>0</v>
      </c>
      <c r="DO5" s="21">
        <v>0.5</v>
      </c>
      <c r="DP5" s="27">
        <v>0.88888888888888884</v>
      </c>
    </row>
    <row r="6" spans="1:125">
      <c r="A6" s="13" t="s">
        <v>289</v>
      </c>
      <c r="B6" s="13" t="s">
        <v>281</v>
      </c>
      <c r="C6" s="13" t="s">
        <v>282</v>
      </c>
      <c r="D6" s="13" t="s">
        <v>319</v>
      </c>
      <c r="E6" s="13" t="s">
        <v>283</v>
      </c>
      <c r="F6" s="13">
        <v>0</v>
      </c>
      <c r="G6" s="13">
        <v>0</v>
      </c>
      <c r="H6" s="13">
        <v>0</v>
      </c>
      <c r="I6" s="13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32">
        <v>0</v>
      </c>
      <c r="AC6" s="32">
        <v>0</v>
      </c>
      <c r="AD6" s="32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>
        <f t="shared" si="2"/>
        <v>1</v>
      </c>
      <c r="BP6" s="13">
        <f t="shared" si="3"/>
        <v>1</v>
      </c>
      <c r="BQ6" s="13">
        <f>[1]!shannonweaver(K6:BL6)</f>
        <v>0</v>
      </c>
      <c r="BR6">
        <f t="shared" si="4"/>
        <v>0</v>
      </c>
      <c r="BS6">
        <f t="shared" si="5"/>
        <v>1</v>
      </c>
      <c r="BT6">
        <f t="shared" si="6"/>
        <v>0</v>
      </c>
      <c r="BU6">
        <f t="shared" si="7"/>
        <v>0</v>
      </c>
      <c r="BV6" s="13">
        <f t="shared" si="8"/>
        <v>0</v>
      </c>
      <c r="BW6" s="13">
        <f t="shared" si="9"/>
        <v>0</v>
      </c>
      <c r="BX6" s="13">
        <f t="shared" si="10"/>
        <v>1</v>
      </c>
      <c r="BY6" s="13">
        <f t="shared" si="11"/>
        <v>1</v>
      </c>
      <c r="BZ6" s="13">
        <f t="shared" si="12"/>
        <v>0</v>
      </c>
      <c r="CA6" s="13">
        <f t="shared" si="13"/>
        <v>1</v>
      </c>
      <c r="CB6" s="13">
        <f t="shared" si="14"/>
        <v>0</v>
      </c>
      <c r="CC6" s="13">
        <f t="shared" si="15"/>
        <v>0</v>
      </c>
      <c r="CD6" s="13">
        <f t="shared" si="16"/>
        <v>1</v>
      </c>
      <c r="CE6" s="13">
        <f t="shared" si="17"/>
        <v>1</v>
      </c>
      <c r="CF6" s="13">
        <f t="shared" si="18"/>
        <v>0</v>
      </c>
      <c r="CG6" s="13">
        <f t="shared" si="19"/>
        <v>0</v>
      </c>
      <c r="CH6" s="13">
        <f t="shared" si="20"/>
        <v>1</v>
      </c>
      <c r="CI6" s="13">
        <f t="shared" si="21"/>
        <v>0</v>
      </c>
      <c r="CJ6" s="13">
        <f t="shared" si="22"/>
        <v>0</v>
      </c>
      <c r="CK6" s="13">
        <f t="shared" si="23"/>
        <v>0</v>
      </c>
      <c r="CL6" s="13">
        <f t="shared" si="24"/>
        <v>0</v>
      </c>
      <c r="CM6" s="13">
        <f t="shared" si="25"/>
        <v>1</v>
      </c>
      <c r="CN6" s="13">
        <f t="shared" si="26"/>
        <v>1</v>
      </c>
      <c r="CO6" s="13">
        <f t="shared" si="27"/>
        <v>0</v>
      </c>
      <c r="CP6" s="13">
        <f t="shared" si="28"/>
        <v>1</v>
      </c>
      <c r="CQ6" s="13">
        <f t="shared" si="29"/>
        <v>0</v>
      </c>
      <c r="CR6" s="13">
        <f t="shared" si="30"/>
        <v>0</v>
      </c>
      <c r="CS6" s="13">
        <f t="shared" si="31"/>
        <v>0.69314718055994529</v>
      </c>
      <c r="CT6" s="13">
        <f t="shared" si="32"/>
        <v>0.69314718055994529</v>
      </c>
      <c r="CU6" s="13">
        <f t="shared" si="33"/>
        <v>0</v>
      </c>
      <c r="CV6" s="13">
        <f t="shared" si="34"/>
        <v>0</v>
      </c>
      <c r="CW6" s="13">
        <f t="shared" si="35"/>
        <v>0.69314718055994529</v>
      </c>
      <c r="CX6" s="13">
        <f t="shared" si="36"/>
        <v>0</v>
      </c>
      <c r="CY6" s="13">
        <f t="shared" si="37"/>
        <v>0</v>
      </c>
      <c r="CZ6" s="13">
        <f t="shared" si="38"/>
        <v>0</v>
      </c>
      <c r="DA6" s="13">
        <f t="shared" si="39"/>
        <v>0</v>
      </c>
      <c r="DB6" s="13">
        <f t="shared" si="40"/>
        <v>0.69314718055994529</v>
      </c>
      <c r="DC6" s="13">
        <f t="shared" si="41"/>
        <v>0.69314718055994529</v>
      </c>
      <c r="DD6" s="13">
        <f t="shared" si="42"/>
        <v>0</v>
      </c>
      <c r="DE6" s="13">
        <f t="shared" si="43"/>
        <v>0.69314718055994529</v>
      </c>
      <c r="DF6" s="13">
        <f t="shared" si="44"/>
        <v>0</v>
      </c>
      <c r="DG6" s="13">
        <f t="shared" si="45"/>
        <v>0</v>
      </c>
      <c r="DH6" s="13"/>
      <c r="DI6" s="13"/>
      <c r="DJ6" s="13"/>
      <c r="DL6" s="17"/>
      <c r="DM6" s="17"/>
      <c r="DN6" s="18" t="s">
        <v>1</v>
      </c>
      <c r="DO6" s="22">
        <v>0.61834694240084231</v>
      </c>
      <c r="DP6" s="28">
        <v>0.90025413986266634</v>
      </c>
    </row>
    <row r="7" spans="1:125">
      <c r="A7" s="13" t="s">
        <v>290</v>
      </c>
      <c r="B7" s="13" t="s">
        <v>281</v>
      </c>
      <c r="C7" s="13" t="s">
        <v>282</v>
      </c>
      <c r="D7" s="13" t="s">
        <v>319</v>
      </c>
      <c r="E7" s="13" t="s">
        <v>283</v>
      </c>
      <c r="F7" s="13">
        <v>0</v>
      </c>
      <c r="G7" s="13">
        <v>0</v>
      </c>
      <c r="H7" s="13">
        <v>0</v>
      </c>
      <c r="I7" s="13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13">
        <v>1</v>
      </c>
      <c r="P7" s="32">
        <v>0</v>
      </c>
      <c r="Q7" s="32">
        <v>0</v>
      </c>
      <c r="R7" s="13">
        <v>1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32">
        <v>0</v>
      </c>
      <c r="AC7" s="32">
        <v>0</v>
      </c>
      <c r="AD7" s="32">
        <v>0</v>
      </c>
      <c r="AE7" s="13">
        <v>1</v>
      </c>
      <c r="AF7" s="13">
        <v>0</v>
      </c>
      <c r="AG7" s="13">
        <v>1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2</v>
      </c>
      <c r="BO7">
        <f t="shared" si="2"/>
        <v>4</v>
      </c>
      <c r="BP7" s="13">
        <f t="shared" si="3"/>
        <v>4</v>
      </c>
      <c r="BQ7" s="13">
        <f>[1]!shannonweaver(K7:BL7)</f>
        <v>1.3862943611198906</v>
      </c>
      <c r="BR7">
        <f t="shared" si="4"/>
        <v>2</v>
      </c>
      <c r="BS7">
        <f t="shared" si="5"/>
        <v>2</v>
      </c>
      <c r="BT7">
        <f t="shared" si="6"/>
        <v>0</v>
      </c>
      <c r="BU7">
        <f t="shared" si="7"/>
        <v>2</v>
      </c>
      <c r="BV7" s="13">
        <f t="shared" si="8"/>
        <v>2</v>
      </c>
      <c r="BW7" s="13">
        <f t="shared" si="9"/>
        <v>0</v>
      </c>
      <c r="BX7" s="13">
        <f t="shared" si="10"/>
        <v>1</v>
      </c>
      <c r="BY7" s="13">
        <f t="shared" si="11"/>
        <v>1</v>
      </c>
      <c r="BZ7" s="13">
        <f t="shared" si="12"/>
        <v>1</v>
      </c>
      <c r="CA7" s="13">
        <f t="shared" si="13"/>
        <v>2</v>
      </c>
      <c r="CB7" s="13">
        <f t="shared" si="14"/>
        <v>0</v>
      </c>
      <c r="CC7" s="13">
        <f t="shared" si="15"/>
        <v>0</v>
      </c>
      <c r="CD7" s="13">
        <f t="shared" si="16"/>
        <v>2</v>
      </c>
      <c r="CE7" s="13">
        <f t="shared" si="17"/>
        <v>2</v>
      </c>
      <c r="CF7" s="13">
        <f t="shared" si="18"/>
        <v>1.1774100225154747</v>
      </c>
      <c r="CG7" s="13">
        <f t="shared" si="19"/>
        <v>1.4142135623730951</v>
      </c>
      <c r="CH7" s="13">
        <f t="shared" si="20"/>
        <v>1.4142135623730951</v>
      </c>
      <c r="CI7" s="13">
        <f t="shared" si="21"/>
        <v>0</v>
      </c>
      <c r="CJ7" s="13">
        <f t="shared" si="22"/>
        <v>1.4142135623730951</v>
      </c>
      <c r="CK7" s="13">
        <f t="shared" si="23"/>
        <v>1.4142135623730951</v>
      </c>
      <c r="CL7" s="13">
        <f t="shared" si="24"/>
        <v>0</v>
      </c>
      <c r="CM7" s="13">
        <f t="shared" si="25"/>
        <v>1</v>
      </c>
      <c r="CN7" s="13">
        <f t="shared" si="26"/>
        <v>1</v>
      </c>
      <c r="CO7" s="13">
        <f t="shared" si="27"/>
        <v>1</v>
      </c>
      <c r="CP7" s="13">
        <f t="shared" si="28"/>
        <v>1.4142135623730951</v>
      </c>
      <c r="CQ7" s="13">
        <f t="shared" si="29"/>
        <v>0</v>
      </c>
      <c r="CR7" s="13">
        <f t="shared" si="30"/>
        <v>0</v>
      </c>
      <c r="CS7" s="13">
        <f t="shared" si="31"/>
        <v>1.6094379124341003</v>
      </c>
      <c r="CT7" s="13">
        <f t="shared" si="32"/>
        <v>1.6094379124341003</v>
      </c>
      <c r="CU7" s="13">
        <f t="shared" si="33"/>
        <v>0.86974168619194392</v>
      </c>
      <c r="CV7" s="13">
        <f t="shared" si="34"/>
        <v>1.0986122886681098</v>
      </c>
      <c r="CW7" s="13">
        <f t="shared" si="35"/>
        <v>1.0986122886681098</v>
      </c>
      <c r="CX7" s="13">
        <f t="shared" si="36"/>
        <v>0</v>
      </c>
      <c r="CY7" s="13">
        <f t="shared" si="37"/>
        <v>1.0986122886681098</v>
      </c>
      <c r="CZ7" s="13">
        <f t="shared" si="38"/>
        <v>1.0986122886681098</v>
      </c>
      <c r="DA7" s="13">
        <f t="shared" si="39"/>
        <v>0</v>
      </c>
      <c r="DB7" s="13">
        <f t="shared" si="40"/>
        <v>0.69314718055994529</v>
      </c>
      <c r="DC7" s="13">
        <f t="shared" si="41"/>
        <v>0.69314718055994529</v>
      </c>
      <c r="DD7" s="13">
        <f t="shared" si="42"/>
        <v>0.69314718055994529</v>
      </c>
      <c r="DE7" s="13">
        <f t="shared" si="43"/>
        <v>1.0986122886681098</v>
      </c>
      <c r="DF7" s="13">
        <f t="shared" si="44"/>
        <v>0</v>
      </c>
      <c r="DG7" s="13">
        <f t="shared" si="45"/>
        <v>0</v>
      </c>
      <c r="DH7" s="13"/>
      <c r="DI7" s="13"/>
      <c r="DJ7" s="13"/>
      <c r="DL7" s="17"/>
      <c r="DM7" s="17"/>
      <c r="DN7" s="18" t="s">
        <v>2</v>
      </c>
      <c r="DO7" s="22">
        <v>0.27777777777777779</v>
      </c>
      <c r="DP7" s="28">
        <v>0.66666666666666663</v>
      </c>
    </row>
    <row r="8" spans="1:125">
      <c r="A8" s="13" t="s">
        <v>292</v>
      </c>
      <c r="B8" s="13" t="s">
        <v>281</v>
      </c>
      <c r="C8" s="13" t="s">
        <v>293</v>
      </c>
      <c r="D8" s="13" t="s">
        <v>319</v>
      </c>
      <c r="E8" s="13" t="s">
        <v>283</v>
      </c>
      <c r="F8" s="13">
        <v>0</v>
      </c>
      <c r="G8" s="13">
        <v>0</v>
      </c>
      <c r="H8" s="13">
        <v>0</v>
      </c>
      <c r="I8" s="13">
        <v>0</v>
      </c>
      <c r="J8" s="32">
        <v>0</v>
      </c>
      <c r="K8" s="13">
        <v>1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32">
        <v>0</v>
      </c>
      <c r="Z8" s="32">
        <v>0</v>
      </c>
      <c r="AA8" s="32">
        <v>0</v>
      </c>
      <c r="AB8" s="13">
        <v>2</v>
      </c>
      <c r="AC8" s="32">
        <v>0</v>
      </c>
      <c r="AD8" s="32">
        <v>0</v>
      </c>
      <c r="AE8" s="32">
        <v>0</v>
      </c>
      <c r="AF8" s="32">
        <v>0</v>
      </c>
      <c r="AG8" s="13">
        <v>1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2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1</v>
      </c>
      <c r="BO8">
        <f t="shared" si="2"/>
        <v>4</v>
      </c>
      <c r="BP8" s="13">
        <f t="shared" si="3"/>
        <v>6</v>
      </c>
      <c r="BQ8" s="13">
        <f>[1]!shannonweaver(K8:BL8)</f>
        <v>1.3296613488547582</v>
      </c>
      <c r="BR8">
        <f t="shared" si="4"/>
        <v>0</v>
      </c>
      <c r="BS8">
        <f t="shared" si="5"/>
        <v>3</v>
      </c>
      <c r="BT8">
        <f t="shared" si="6"/>
        <v>0</v>
      </c>
      <c r="BU8">
        <f t="shared" si="7"/>
        <v>0</v>
      </c>
      <c r="BV8" s="13">
        <f t="shared" si="8"/>
        <v>0</v>
      </c>
      <c r="BW8" s="13">
        <f t="shared" si="9"/>
        <v>2</v>
      </c>
      <c r="BX8" s="13">
        <f t="shared" si="10"/>
        <v>0</v>
      </c>
      <c r="BY8" s="13">
        <f t="shared" si="11"/>
        <v>2</v>
      </c>
      <c r="BZ8" s="13">
        <f t="shared" si="12"/>
        <v>1</v>
      </c>
      <c r="CA8" s="13">
        <f t="shared" si="13"/>
        <v>5</v>
      </c>
      <c r="CB8" s="13">
        <f t="shared" si="14"/>
        <v>0</v>
      </c>
      <c r="CC8" s="13">
        <f t="shared" si="15"/>
        <v>0</v>
      </c>
      <c r="CD8" s="13">
        <f t="shared" si="16"/>
        <v>2</v>
      </c>
      <c r="CE8" s="13">
        <f t="shared" si="17"/>
        <v>2.4494897427831779</v>
      </c>
      <c r="CF8" s="13">
        <f t="shared" si="18"/>
        <v>1.153109426227519</v>
      </c>
      <c r="CG8" s="13">
        <f t="shared" si="19"/>
        <v>0</v>
      </c>
      <c r="CH8" s="13">
        <f t="shared" si="20"/>
        <v>1.7320508075688772</v>
      </c>
      <c r="CI8" s="13">
        <f t="shared" si="21"/>
        <v>0</v>
      </c>
      <c r="CJ8" s="13">
        <f t="shared" si="22"/>
        <v>0</v>
      </c>
      <c r="CK8" s="13">
        <f t="shared" si="23"/>
        <v>0</v>
      </c>
      <c r="CL8" s="13">
        <f t="shared" si="24"/>
        <v>1.4142135623730951</v>
      </c>
      <c r="CM8" s="13">
        <f t="shared" si="25"/>
        <v>0</v>
      </c>
      <c r="CN8" s="13">
        <f t="shared" si="26"/>
        <v>1.4142135623730951</v>
      </c>
      <c r="CO8" s="13">
        <f t="shared" si="27"/>
        <v>1</v>
      </c>
      <c r="CP8" s="13">
        <f t="shared" si="28"/>
        <v>2.2360679774997898</v>
      </c>
      <c r="CQ8" s="13">
        <f t="shared" si="29"/>
        <v>0</v>
      </c>
      <c r="CR8" s="13">
        <f t="shared" si="30"/>
        <v>0</v>
      </c>
      <c r="CS8" s="13">
        <f t="shared" si="31"/>
        <v>1.6094379124341003</v>
      </c>
      <c r="CT8" s="13">
        <f t="shared" si="32"/>
        <v>1.9459101490553132</v>
      </c>
      <c r="CU8" s="13">
        <f t="shared" si="33"/>
        <v>0.84572291317501025</v>
      </c>
      <c r="CV8" s="13">
        <f t="shared" si="34"/>
        <v>0</v>
      </c>
      <c r="CW8" s="13">
        <f t="shared" si="35"/>
        <v>1.3862943611198906</v>
      </c>
      <c r="CX8" s="13">
        <f t="shared" si="36"/>
        <v>0</v>
      </c>
      <c r="CY8" s="13">
        <f t="shared" si="37"/>
        <v>0</v>
      </c>
      <c r="CZ8" s="13">
        <f t="shared" si="38"/>
        <v>0</v>
      </c>
      <c r="DA8" s="13">
        <f t="shared" si="39"/>
        <v>1.0986122886681098</v>
      </c>
      <c r="DB8" s="13">
        <f t="shared" si="40"/>
        <v>0</v>
      </c>
      <c r="DC8" s="13">
        <f t="shared" si="41"/>
        <v>1.0986122886681098</v>
      </c>
      <c r="DD8" s="13">
        <f t="shared" si="42"/>
        <v>0.69314718055994529</v>
      </c>
      <c r="DE8" s="13">
        <f t="shared" si="43"/>
        <v>1.791759469228055</v>
      </c>
      <c r="DF8" s="13">
        <f t="shared" si="44"/>
        <v>0</v>
      </c>
      <c r="DG8" s="13">
        <f t="shared" si="45"/>
        <v>0</v>
      </c>
      <c r="DH8" s="13"/>
      <c r="DI8" s="13"/>
      <c r="DJ8" s="13"/>
      <c r="DL8" s="17"/>
      <c r="DM8" s="17"/>
      <c r="DN8" s="18" t="s">
        <v>3</v>
      </c>
      <c r="DO8" s="22">
        <v>0.4608885989624768</v>
      </c>
      <c r="DP8" s="28">
        <v>0.90748521297303009</v>
      </c>
    </row>
    <row r="9" spans="1:125">
      <c r="A9" t="s">
        <v>294</v>
      </c>
      <c r="B9" s="13" t="s">
        <v>281</v>
      </c>
      <c r="C9" s="13" t="s">
        <v>293</v>
      </c>
      <c r="D9" s="13" t="s">
        <v>319</v>
      </c>
      <c r="E9" s="13" t="s">
        <v>283</v>
      </c>
      <c r="F9" s="13">
        <v>0</v>
      </c>
      <c r="G9" s="13">
        <v>0</v>
      </c>
      <c r="H9" s="13">
        <v>0</v>
      </c>
      <c r="I9" s="13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32">
        <v>0</v>
      </c>
      <c r="X9" s="32">
        <v>0</v>
      </c>
      <c r="Y9" s="32">
        <v>0</v>
      </c>
      <c r="Z9" s="13">
        <v>1</v>
      </c>
      <c r="AA9" s="32">
        <v>0</v>
      </c>
      <c r="AB9" s="32">
        <v>0</v>
      </c>
      <c r="AC9" s="32">
        <v>0</v>
      </c>
      <c r="AD9" s="13">
        <v>1</v>
      </c>
      <c r="AE9" s="32">
        <v>0</v>
      </c>
      <c r="AF9" s="32">
        <v>0</v>
      </c>
      <c r="AG9" s="13">
        <v>1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1</v>
      </c>
      <c r="BL9" s="13">
        <v>0</v>
      </c>
      <c r="BM9" s="13">
        <v>0</v>
      </c>
      <c r="BN9" s="13">
        <v>0</v>
      </c>
      <c r="BO9">
        <f t="shared" si="2"/>
        <v>5</v>
      </c>
      <c r="BP9" s="13">
        <f t="shared" si="3"/>
        <v>5</v>
      </c>
      <c r="BQ9" s="13">
        <f>[1]!shannonweaver(K9:BL9)</f>
        <v>1.6094379124341005</v>
      </c>
      <c r="BR9">
        <f t="shared" si="4"/>
        <v>0</v>
      </c>
      <c r="BS9">
        <f t="shared" si="5"/>
        <v>4</v>
      </c>
      <c r="BT9">
        <f t="shared" si="6"/>
        <v>0</v>
      </c>
      <c r="BU9">
        <f t="shared" si="7"/>
        <v>0</v>
      </c>
      <c r="BV9" s="13">
        <f t="shared" si="8"/>
        <v>0</v>
      </c>
      <c r="BW9" s="13">
        <f t="shared" si="9"/>
        <v>1</v>
      </c>
      <c r="BX9" s="13">
        <f t="shared" si="10"/>
        <v>0</v>
      </c>
      <c r="BY9" s="13">
        <f t="shared" si="11"/>
        <v>1</v>
      </c>
      <c r="BZ9" s="13">
        <f t="shared" si="12"/>
        <v>1</v>
      </c>
      <c r="CA9" s="13">
        <f t="shared" si="13"/>
        <v>4</v>
      </c>
      <c r="CB9" s="13">
        <f t="shared" si="14"/>
        <v>0</v>
      </c>
      <c r="CC9" s="13">
        <f t="shared" si="15"/>
        <v>1</v>
      </c>
      <c r="CD9" s="13">
        <f t="shared" si="16"/>
        <v>2.2360679774997898</v>
      </c>
      <c r="CE9" s="13">
        <f t="shared" si="17"/>
        <v>2.2360679774997898</v>
      </c>
      <c r="CF9" s="13">
        <f t="shared" si="18"/>
        <v>1.2686362411795198</v>
      </c>
      <c r="CG9" s="13">
        <f t="shared" si="19"/>
        <v>0</v>
      </c>
      <c r="CH9" s="13">
        <f t="shared" si="20"/>
        <v>2</v>
      </c>
      <c r="CI9" s="13">
        <f t="shared" si="21"/>
        <v>0</v>
      </c>
      <c r="CJ9" s="13">
        <f t="shared" si="22"/>
        <v>0</v>
      </c>
      <c r="CK9" s="13">
        <f t="shared" si="23"/>
        <v>0</v>
      </c>
      <c r="CL9" s="13">
        <f t="shared" si="24"/>
        <v>1</v>
      </c>
      <c r="CM9" s="13">
        <f t="shared" si="25"/>
        <v>0</v>
      </c>
      <c r="CN9" s="13">
        <f t="shared" si="26"/>
        <v>1</v>
      </c>
      <c r="CO9" s="13">
        <f t="shared" si="27"/>
        <v>1</v>
      </c>
      <c r="CP9" s="13">
        <f t="shared" si="28"/>
        <v>2</v>
      </c>
      <c r="CQ9" s="13">
        <f t="shared" si="29"/>
        <v>0</v>
      </c>
      <c r="CR9" s="13">
        <f t="shared" si="30"/>
        <v>1</v>
      </c>
      <c r="CS9" s="13">
        <f t="shared" si="31"/>
        <v>1.791759469228055</v>
      </c>
      <c r="CT9" s="13">
        <f t="shared" si="32"/>
        <v>1.791759469228055</v>
      </c>
      <c r="CU9" s="13">
        <f t="shared" si="33"/>
        <v>0.95913483892082396</v>
      </c>
      <c r="CV9" s="13">
        <f t="shared" si="34"/>
        <v>0</v>
      </c>
      <c r="CW9" s="13">
        <f t="shared" si="35"/>
        <v>1.6094379124341003</v>
      </c>
      <c r="CX9" s="13">
        <f t="shared" si="36"/>
        <v>0</v>
      </c>
      <c r="CY9" s="13">
        <f t="shared" si="37"/>
        <v>0</v>
      </c>
      <c r="CZ9" s="13">
        <f t="shared" si="38"/>
        <v>0</v>
      </c>
      <c r="DA9" s="13">
        <f t="shared" si="39"/>
        <v>0.69314718055994529</v>
      </c>
      <c r="DB9" s="13">
        <f t="shared" si="40"/>
        <v>0</v>
      </c>
      <c r="DC9" s="13">
        <f t="shared" si="41"/>
        <v>0.69314718055994529</v>
      </c>
      <c r="DD9" s="13">
        <f t="shared" si="42"/>
        <v>0.69314718055994529</v>
      </c>
      <c r="DE9" s="13">
        <f t="shared" si="43"/>
        <v>1.6094379124341003</v>
      </c>
      <c r="DF9" s="13">
        <f t="shared" si="44"/>
        <v>0</v>
      </c>
      <c r="DG9" s="13">
        <f t="shared" si="45"/>
        <v>0.69314718055994529</v>
      </c>
      <c r="DH9" s="13"/>
      <c r="DI9" s="13"/>
      <c r="DJ9" s="13"/>
      <c r="DL9" s="17"/>
      <c r="DM9" s="16" t="s">
        <v>176</v>
      </c>
      <c r="DN9" s="16" t="s">
        <v>0</v>
      </c>
      <c r="DO9" s="21">
        <v>2.8888888888888888</v>
      </c>
      <c r="DP9" s="27">
        <v>5.2777777777777777</v>
      </c>
    </row>
    <row r="10" spans="1:125">
      <c r="A10" s="13" t="s">
        <v>295</v>
      </c>
      <c r="B10" s="13" t="s">
        <v>281</v>
      </c>
      <c r="C10" s="13" t="s">
        <v>293</v>
      </c>
      <c r="D10" s="13" t="s">
        <v>319</v>
      </c>
      <c r="E10" s="13" t="s">
        <v>283</v>
      </c>
      <c r="F10" s="13">
        <v>0</v>
      </c>
      <c r="G10" s="13">
        <v>0</v>
      </c>
      <c r="H10" s="13">
        <v>0</v>
      </c>
      <c r="I10" s="13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13">
        <v>1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2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>
        <f t="shared" si="2"/>
        <v>2</v>
      </c>
      <c r="BP10" s="13">
        <f t="shared" si="3"/>
        <v>3</v>
      </c>
      <c r="BQ10" s="13">
        <f>[1]!shannonweaver(K10:BL10)</f>
        <v>0.63651416829481278</v>
      </c>
      <c r="BR10">
        <f t="shared" si="4"/>
        <v>0</v>
      </c>
      <c r="BS10">
        <f t="shared" si="5"/>
        <v>2</v>
      </c>
      <c r="BT10">
        <f t="shared" si="6"/>
        <v>0</v>
      </c>
      <c r="BU10">
        <f t="shared" si="7"/>
        <v>0</v>
      </c>
      <c r="BV10" s="13">
        <f t="shared" si="8"/>
        <v>0</v>
      </c>
      <c r="BW10" s="13">
        <f t="shared" si="9"/>
        <v>0</v>
      </c>
      <c r="BX10" s="13">
        <f t="shared" si="10"/>
        <v>0</v>
      </c>
      <c r="BY10" s="13">
        <f t="shared" si="11"/>
        <v>0</v>
      </c>
      <c r="BZ10" s="13">
        <f t="shared" si="12"/>
        <v>1</v>
      </c>
      <c r="CA10" s="13">
        <f t="shared" si="13"/>
        <v>3</v>
      </c>
      <c r="CB10" s="13">
        <f t="shared" si="14"/>
        <v>0</v>
      </c>
      <c r="CC10" s="13">
        <f t="shared" si="15"/>
        <v>0</v>
      </c>
      <c r="CD10" s="13">
        <f t="shared" si="16"/>
        <v>1.4142135623730951</v>
      </c>
      <c r="CE10" s="13">
        <f t="shared" si="17"/>
        <v>1.7320508075688772</v>
      </c>
      <c r="CF10" s="13">
        <f t="shared" si="18"/>
        <v>0.79781838051953446</v>
      </c>
      <c r="CG10" s="13">
        <f t="shared" si="19"/>
        <v>0</v>
      </c>
      <c r="CH10" s="13">
        <f t="shared" si="20"/>
        <v>1.4142135623730951</v>
      </c>
      <c r="CI10" s="13">
        <f t="shared" si="21"/>
        <v>0</v>
      </c>
      <c r="CJ10" s="13">
        <f t="shared" si="22"/>
        <v>0</v>
      </c>
      <c r="CK10" s="13">
        <f t="shared" si="23"/>
        <v>0</v>
      </c>
      <c r="CL10" s="13">
        <f t="shared" si="24"/>
        <v>0</v>
      </c>
      <c r="CM10" s="13">
        <f t="shared" si="25"/>
        <v>0</v>
      </c>
      <c r="CN10" s="13">
        <f t="shared" si="26"/>
        <v>0</v>
      </c>
      <c r="CO10" s="13">
        <f t="shared" si="27"/>
        <v>1</v>
      </c>
      <c r="CP10" s="13">
        <f t="shared" si="28"/>
        <v>1.7320508075688772</v>
      </c>
      <c r="CQ10" s="13">
        <f t="shared" si="29"/>
        <v>0</v>
      </c>
      <c r="CR10" s="13">
        <f t="shared" si="30"/>
        <v>0</v>
      </c>
      <c r="CS10" s="13">
        <f t="shared" si="31"/>
        <v>1.0986122886681098</v>
      </c>
      <c r="CT10" s="13">
        <f t="shared" si="32"/>
        <v>1.3862943611198906</v>
      </c>
      <c r="CU10" s="13">
        <f t="shared" si="33"/>
        <v>0.49256847260253284</v>
      </c>
      <c r="CV10" s="13">
        <f t="shared" si="34"/>
        <v>0</v>
      </c>
      <c r="CW10" s="13">
        <f t="shared" si="35"/>
        <v>1.0986122886681098</v>
      </c>
      <c r="CX10" s="13">
        <f t="shared" si="36"/>
        <v>0</v>
      </c>
      <c r="CY10" s="13">
        <f t="shared" si="37"/>
        <v>0</v>
      </c>
      <c r="CZ10" s="13">
        <f t="shared" si="38"/>
        <v>0</v>
      </c>
      <c r="DA10" s="13">
        <f t="shared" si="39"/>
        <v>0</v>
      </c>
      <c r="DB10" s="13">
        <f t="shared" si="40"/>
        <v>0</v>
      </c>
      <c r="DC10" s="13">
        <f t="shared" si="41"/>
        <v>0</v>
      </c>
      <c r="DD10" s="13">
        <f t="shared" si="42"/>
        <v>0.69314718055994529</v>
      </c>
      <c r="DE10" s="13">
        <f t="shared" si="43"/>
        <v>1.3862943611198906</v>
      </c>
      <c r="DF10" s="13">
        <f t="shared" si="44"/>
        <v>0</v>
      </c>
      <c r="DG10" s="13">
        <f t="shared" si="45"/>
        <v>0</v>
      </c>
      <c r="DH10" s="13"/>
      <c r="DI10" s="13"/>
      <c r="DJ10" s="13"/>
      <c r="DL10" s="17"/>
      <c r="DM10" s="17"/>
      <c r="DN10" s="18" t="s">
        <v>1</v>
      </c>
      <c r="DO10" s="22">
        <v>2.5179097047046288</v>
      </c>
      <c r="DP10" s="28">
        <v>4.0410475571907245</v>
      </c>
    </row>
    <row r="11" spans="1:125">
      <c r="A11" s="13" t="s">
        <v>296</v>
      </c>
      <c r="B11" s="13" t="s">
        <v>281</v>
      </c>
      <c r="C11" s="13" t="s">
        <v>293</v>
      </c>
      <c r="D11" s="13" t="s">
        <v>319</v>
      </c>
      <c r="E11" s="13" t="s">
        <v>283</v>
      </c>
      <c r="F11" s="13">
        <v>0</v>
      </c>
      <c r="G11" s="13">
        <v>0</v>
      </c>
      <c r="H11" s="13">
        <v>0</v>
      </c>
      <c r="I11" s="13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13">
        <v>2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13">
        <v>1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>
        <f t="shared" si="2"/>
        <v>2</v>
      </c>
      <c r="BP11" s="13">
        <f t="shared" si="3"/>
        <v>3</v>
      </c>
      <c r="BQ11" s="13">
        <f>[1]!shannonweaver(K11:BL11)</f>
        <v>0.63651416829481278</v>
      </c>
      <c r="BR11">
        <f t="shared" si="4"/>
        <v>0</v>
      </c>
      <c r="BS11">
        <f t="shared" si="5"/>
        <v>2</v>
      </c>
      <c r="BT11">
        <f t="shared" si="6"/>
        <v>0</v>
      </c>
      <c r="BU11">
        <f t="shared" si="7"/>
        <v>0</v>
      </c>
      <c r="BV11" s="13">
        <f t="shared" si="8"/>
        <v>0</v>
      </c>
      <c r="BW11" s="13">
        <f t="shared" si="9"/>
        <v>2</v>
      </c>
      <c r="BX11" s="13">
        <f t="shared" si="10"/>
        <v>0</v>
      </c>
      <c r="BY11" s="13">
        <f t="shared" si="11"/>
        <v>2</v>
      </c>
      <c r="BZ11" s="13">
        <f t="shared" si="12"/>
        <v>0</v>
      </c>
      <c r="CA11" s="13">
        <f t="shared" si="13"/>
        <v>3</v>
      </c>
      <c r="CB11" s="13">
        <f t="shared" si="14"/>
        <v>0</v>
      </c>
      <c r="CC11" s="13">
        <f t="shared" si="15"/>
        <v>0</v>
      </c>
      <c r="CD11" s="13">
        <f t="shared" si="16"/>
        <v>1.4142135623730951</v>
      </c>
      <c r="CE11" s="13">
        <f t="shared" si="17"/>
        <v>1.7320508075688772</v>
      </c>
      <c r="CF11" s="13">
        <f t="shared" si="18"/>
        <v>0.79781838051953446</v>
      </c>
      <c r="CG11" s="13">
        <f t="shared" si="19"/>
        <v>0</v>
      </c>
      <c r="CH11" s="13">
        <f t="shared" si="20"/>
        <v>1.4142135623730951</v>
      </c>
      <c r="CI11" s="13">
        <f t="shared" si="21"/>
        <v>0</v>
      </c>
      <c r="CJ11" s="13">
        <f t="shared" si="22"/>
        <v>0</v>
      </c>
      <c r="CK11" s="13">
        <f t="shared" si="23"/>
        <v>0</v>
      </c>
      <c r="CL11" s="13">
        <f t="shared" si="24"/>
        <v>1.4142135623730951</v>
      </c>
      <c r="CM11" s="13">
        <f t="shared" si="25"/>
        <v>0</v>
      </c>
      <c r="CN11" s="13">
        <f t="shared" si="26"/>
        <v>1.4142135623730951</v>
      </c>
      <c r="CO11" s="13">
        <f t="shared" si="27"/>
        <v>0</v>
      </c>
      <c r="CP11" s="13">
        <f t="shared" si="28"/>
        <v>1.7320508075688772</v>
      </c>
      <c r="CQ11" s="13">
        <f t="shared" si="29"/>
        <v>0</v>
      </c>
      <c r="CR11" s="13">
        <f t="shared" si="30"/>
        <v>0</v>
      </c>
      <c r="CS11" s="13">
        <f t="shared" si="31"/>
        <v>1.0986122886681098</v>
      </c>
      <c r="CT11" s="13">
        <f t="shared" si="32"/>
        <v>1.3862943611198906</v>
      </c>
      <c r="CU11" s="13">
        <f t="shared" si="33"/>
        <v>0.49256847260253284</v>
      </c>
      <c r="CV11" s="13">
        <f t="shared" si="34"/>
        <v>0</v>
      </c>
      <c r="CW11" s="13">
        <f t="shared" si="35"/>
        <v>1.0986122886681098</v>
      </c>
      <c r="CX11" s="13">
        <f t="shared" si="36"/>
        <v>0</v>
      </c>
      <c r="CY11" s="13">
        <f t="shared" si="37"/>
        <v>0</v>
      </c>
      <c r="CZ11" s="13">
        <f t="shared" si="38"/>
        <v>0</v>
      </c>
      <c r="DA11" s="13">
        <f t="shared" si="39"/>
        <v>1.0986122886681098</v>
      </c>
      <c r="DB11" s="13">
        <f t="shared" si="40"/>
        <v>0</v>
      </c>
      <c r="DC11" s="13">
        <f t="shared" si="41"/>
        <v>1.0986122886681098</v>
      </c>
      <c r="DD11" s="13">
        <f t="shared" si="42"/>
        <v>0</v>
      </c>
      <c r="DE11" s="13">
        <f t="shared" si="43"/>
        <v>1.3862943611198906</v>
      </c>
      <c r="DF11" s="13">
        <f t="shared" si="44"/>
        <v>0</v>
      </c>
      <c r="DG11" s="13">
        <f t="shared" si="45"/>
        <v>0</v>
      </c>
      <c r="DH11" s="13"/>
      <c r="DI11" s="13"/>
      <c r="DJ11" s="13"/>
      <c r="DL11" s="17"/>
      <c r="DM11" s="17"/>
      <c r="DN11" s="18" t="s">
        <v>2</v>
      </c>
      <c r="DO11" s="22">
        <v>2.3333333333333335</v>
      </c>
      <c r="DP11" s="28">
        <v>4.166666666666667</v>
      </c>
    </row>
    <row r="12" spans="1:125">
      <c r="A12" s="13" t="s">
        <v>297</v>
      </c>
      <c r="B12" s="13" t="s">
        <v>281</v>
      </c>
      <c r="C12" s="13" t="s">
        <v>293</v>
      </c>
      <c r="D12" s="13" t="s">
        <v>319</v>
      </c>
      <c r="E12" s="13" t="s">
        <v>283</v>
      </c>
      <c r="F12" s="13">
        <v>0</v>
      </c>
      <c r="G12" s="13">
        <v>0</v>
      </c>
      <c r="H12" s="13">
        <v>0</v>
      </c>
      <c r="I12" s="13">
        <v>0</v>
      </c>
      <c r="J12" s="32">
        <v>0</v>
      </c>
      <c r="K12" s="32">
        <v>0</v>
      </c>
      <c r="L12" s="32">
        <v>0</v>
      </c>
      <c r="M12" s="32">
        <v>0</v>
      </c>
      <c r="N12" s="32">
        <v>0</v>
      </c>
      <c r="O12" s="13">
        <v>1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2">
        <v>0</v>
      </c>
      <c r="X12" s="13">
        <v>2</v>
      </c>
      <c r="Y12" s="32">
        <v>0</v>
      </c>
      <c r="Z12" s="32">
        <v>0</v>
      </c>
      <c r="AA12" s="32">
        <v>0</v>
      </c>
      <c r="AB12" s="13">
        <v>1</v>
      </c>
      <c r="AC12" s="32">
        <v>0</v>
      </c>
      <c r="AD12" s="32">
        <v>0</v>
      </c>
      <c r="AE12" s="32">
        <v>0</v>
      </c>
      <c r="AF12" s="32">
        <v>0</v>
      </c>
      <c r="AG12" s="13">
        <v>1</v>
      </c>
      <c r="AH12" s="32">
        <v>0</v>
      </c>
      <c r="AI12" s="32">
        <v>0</v>
      </c>
      <c r="AJ12" s="32">
        <v>0</v>
      </c>
      <c r="AK12" s="32">
        <v>0</v>
      </c>
      <c r="AL12" s="32">
        <v>0</v>
      </c>
      <c r="AM12" s="13">
        <v>2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>
        <f t="shared" si="2"/>
        <v>5</v>
      </c>
      <c r="BP12" s="13">
        <f t="shared" si="3"/>
        <v>7</v>
      </c>
      <c r="BQ12" s="13">
        <f>[1]!shannonweaver(K12:BL12)</f>
        <v>1.5498260458782016</v>
      </c>
      <c r="BR12">
        <f t="shared" si="4"/>
        <v>1</v>
      </c>
      <c r="BS12">
        <f t="shared" si="5"/>
        <v>4</v>
      </c>
      <c r="BT12">
        <f t="shared" si="6"/>
        <v>0</v>
      </c>
      <c r="BU12">
        <f t="shared" si="7"/>
        <v>1</v>
      </c>
      <c r="BV12" s="13">
        <f t="shared" si="8"/>
        <v>1</v>
      </c>
      <c r="BW12" s="13">
        <f t="shared" si="9"/>
        <v>1</v>
      </c>
      <c r="BX12" s="13">
        <f t="shared" si="10"/>
        <v>0</v>
      </c>
      <c r="BY12" s="13">
        <f t="shared" si="11"/>
        <v>1</v>
      </c>
      <c r="BZ12" s="13">
        <f t="shared" si="12"/>
        <v>1</v>
      </c>
      <c r="CA12" s="13">
        <f t="shared" si="13"/>
        <v>6</v>
      </c>
      <c r="CB12" s="13">
        <f t="shared" si="14"/>
        <v>0</v>
      </c>
      <c r="CC12" s="13">
        <f t="shared" si="15"/>
        <v>0</v>
      </c>
      <c r="CD12" s="13">
        <f t="shared" si="16"/>
        <v>2.2360679774997898</v>
      </c>
      <c r="CE12" s="13">
        <f t="shared" si="17"/>
        <v>2.6457513110645907</v>
      </c>
      <c r="CF12" s="13">
        <f t="shared" si="18"/>
        <v>1.2449200961821612</v>
      </c>
      <c r="CG12" s="13">
        <f t="shared" si="19"/>
        <v>1</v>
      </c>
      <c r="CH12" s="13">
        <f t="shared" si="20"/>
        <v>2</v>
      </c>
      <c r="CI12" s="13">
        <f t="shared" si="21"/>
        <v>0</v>
      </c>
      <c r="CJ12" s="13">
        <f t="shared" si="22"/>
        <v>1</v>
      </c>
      <c r="CK12" s="13">
        <f t="shared" si="23"/>
        <v>1</v>
      </c>
      <c r="CL12" s="13">
        <f t="shared" si="24"/>
        <v>1</v>
      </c>
      <c r="CM12" s="13">
        <f t="shared" si="25"/>
        <v>0</v>
      </c>
      <c r="CN12" s="13">
        <f t="shared" si="26"/>
        <v>1</v>
      </c>
      <c r="CO12" s="13">
        <f t="shared" si="27"/>
        <v>1</v>
      </c>
      <c r="CP12" s="13">
        <f t="shared" si="28"/>
        <v>2.4494897427831779</v>
      </c>
      <c r="CQ12" s="13">
        <f t="shared" si="29"/>
        <v>0</v>
      </c>
      <c r="CR12" s="13">
        <f t="shared" si="30"/>
        <v>0</v>
      </c>
      <c r="CS12" s="13">
        <f t="shared" si="31"/>
        <v>1.791759469228055</v>
      </c>
      <c r="CT12" s="13">
        <f t="shared" si="32"/>
        <v>2.0794415416798357</v>
      </c>
      <c r="CU12" s="13">
        <f t="shared" si="33"/>
        <v>0.93602513954076272</v>
      </c>
      <c r="CV12" s="13">
        <f t="shared" si="34"/>
        <v>0.69314718055994529</v>
      </c>
      <c r="CW12" s="13">
        <f t="shared" si="35"/>
        <v>1.6094379124341003</v>
      </c>
      <c r="CX12" s="13">
        <f t="shared" si="36"/>
        <v>0</v>
      </c>
      <c r="CY12" s="13">
        <f t="shared" si="37"/>
        <v>0.69314718055994529</v>
      </c>
      <c r="CZ12" s="13">
        <f t="shared" si="38"/>
        <v>0.69314718055994529</v>
      </c>
      <c r="DA12" s="13">
        <f t="shared" si="39"/>
        <v>0.69314718055994529</v>
      </c>
      <c r="DB12" s="13">
        <f t="shared" si="40"/>
        <v>0</v>
      </c>
      <c r="DC12" s="13">
        <f t="shared" si="41"/>
        <v>0.69314718055994529</v>
      </c>
      <c r="DD12" s="13">
        <f t="shared" si="42"/>
        <v>0.69314718055994529</v>
      </c>
      <c r="DE12" s="13">
        <f t="shared" si="43"/>
        <v>1.9459101490553132</v>
      </c>
      <c r="DF12" s="13">
        <f t="shared" si="44"/>
        <v>0</v>
      </c>
      <c r="DG12" s="13">
        <f t="shared" si="45"/>
        <v>0</v>
      </c>
      <c r="DH12" s="13"/>
      <c r="DI12" s="13"/>
      <c r="DJ12" s="13"/>
      <c r="DL12" s="17"/>
      <c r="DM12" s="17"/>
      <c r="DN12" s="18" t="s">
        <v>3</v>
      </c>
      <c r="DO12" s="22">
        <v>2.1143765594836976</v>
      </c>
      <c r="DP12" s="28">
        <v>3.3475188353377754</v>
      </c>
    </row>
    <row r="13" spans="1:125">
      <c r="A13" s="13" t="s">
        <v>298</v>
      </c>
      <c r="B13" s="13" t="s">
        <v>281</v>
      </c>
      <c r="C13" s="13" t="s">
        <v>293</v>
      </c>
      <c r="D13" s="13" t="s">
        <v>319</v>
      </c>
      <c r="E13" s="13" t="s">
        <v>283</v>
      </c>
      <c r="F13" s="13">
        <v>0</v>
      </c>
      <c r="G13" s="13">
        <v>0</v>
      </c>
      <c r="H13" s="13">
        <v>0</v>
      </c>
      <c r="I13" s="13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13">
        <v>1</v>
      </c>
      <c r="AI13" s="32">
        <v>0</v>
      </c>
      <c r="AJ13" s="32">
        <v>0</v>
      </c>
      <c r="AK13" s="32">
        <v>0</v>
      </c>
      <c r="AL13" s="13">
        <v>1</v>
      </c>
      <c r="AM13" s="13">
        <v>2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1</v>
      </c>
      <c r="BO13">
        <f t="shared" si="2"/>
        <v>3</v>
      </c>
      <c r="BP13" s="13">
        <f t="shared" si="3"/>
        <v>4</v>
      </c>
      <c r="BQ13" s="13">
        <f>[1]!shannonweaver(K13:BL13)</f>
        <v>1.0397207708399179</v>
      </c>
      <c r="BR13">
        <f t="shared" si="4"/>
        <v>0</v>
      </c>
      <c r="BS13">
        <f t="shared" si="5"/>
        <v>3</v>
      </c>
      <c r="BT13">
        <f t="shared" si="6"/>
        <v>0</v>
      </c>
      <c r="BU13">
        <f t="shared" si="7"/>
        <v>0</v>
      </c>
      <c r="BV13" s="13">
        <f t="shared" si="8"/>
        <v>0</v>
      </c>
      <c r="BW13" s="13">
        <f t="shared" si="9"/>
        <v>0</v>
      </c>
      <c r="BX13" s="13">
        <f t="shared" si="10"/>
        <v>0</v>
      </c>
      <c r="BY13" s="13">
        <f t="shared" si="11"/>
        <v>0</v>
      </c>
      <c r="BZ13" s="13">
        <f t="shared" si="12"/>
        <v>0</v>
      </c>
      <c r="CA13" s="13">
        <f t="shared" si="13"/>
        <v>4</v>
      </c>
      <c r="CB13" s="13">
        <f t="shared" si="14"/>
        <v>0</v>
      </c>
      <c r="CC13" s="13">
        <f t="shared" si="15"/>
        <v>0</v>
      </c>
      <c r="CD13" s="13">
        <f t="shared" si="16"/>
        <v>1.7320508075688772</v>
      </c>
      <c r="CE13" s="13">
        <f t="shared" si="17"/>
        <v>2</v>
      </c>
      <c r="CF13" s="13">
        <f t="shared" si="18"/>
        <v>1.0196669901688089</v>
      </c>
      <c r="CG13" s="13">
        <f t="shared" si="19"/>
        <v>0</v>
      </c>
      <c r="CH13" s="13">
        <f t="shared" si="20"/>
        <v>1.7320508075688772</v>
      </c>
      <c r="CI13" s="13">
        <f t="shared" si="21"/>
        <v>0</v>
      </c>
      <c r="CJ13" s="13">
        <f t="shared" si="22"/>
        <v>0</v>
      </c>
      <c r="CK13" s="13">
        <f t="shared" si="23"/>
        <v>0</v>
      </c>
      <c r="CL13" s="13">
        <f t="shared" si="24"/>
        <v>0</v>
      </c>
      <c r="CM13" s="13">
        <f t="shared" si="25"/>
        <v>0</v>
      </c>
      <c r="CN13" s="13">
        <f t="shared" si="26"/>
        <v>0</v>
      </c>
      <c r="CO13" s="13">
        <f t="shared" si="27"/>
        <v>0</v>
      </c>
      <c r="CP13" s="13">
        <f t="shared" si="28"/>
        <v>2</v>
      </c>
      <c r="CQ13" s="13">
        <f t="shared" si="29"/>
        <v>0</v>
      </c>
      <c r="CR13" s="13">
        <f t="shared" si="30"/>
        <v>0</v>
      </c>
      <c r="CS13" s="13">
        <f t="shared" si="31"/>
        <v>1.3862943611198906</v>
      </c>
      <c r="CT13" s="13">
        <f t="shared" si="32"/>
        <v>1.6094379124341003</v>
      </c>
      <c r="CU13" s="13">
        <f t="shared" si="33"/>
        <v>0.7128129214483524</v>
      </c>
      <c r="CV13" s="13">
        <f t="shared" si="34"/>
        <v>0</v>
      </c>
      <c r="CW13" s="13">
        <f t="shared" si="35"/>
        <v>1.3862943611198906</v>
      </c>
      <c r="CX13" s="13">
        <f t="shared" si="36"/>
        <v>0</v>
      </c>
      <c r="CY13" s="13">
        <f t="shared" si="37"/>
        <v>0</v>
      </c>
      <c r="CZ13" s="13">
        <f t="shared" si="38"/>
        <v>0</v>
      </c>
      <c r="DA13" s="13">
        <f t="shared" si="39"/>
        <v>0</v>
      </c>
      <c r="DB13" s="13">
        <f t="shared" si="40"/>
        <v>0</v>
      </c>
      <c r="DC13" s="13">
        <f t="shared" si="41"/>
        <v>0</v>
      </c>
      <c r="DD13" s="13">
        <f t="shared" si="42"/>
        <v>0</v>
      </c>
      <c r="DE13" s="13">
        <f t="shared" si="43"/>
        <v>1.6094379124341003</v>
      </c>
      <c r="DF13" s="13">
        <f t="shared" si="44"/>
        <v>0</v>
      </c>
      <c r="DG13" s="13">
        <f t="shared" si="45"/>
        <v>0</v>
      </c>
      <c r="DH13" s="13"/>
      <c r="DI13" s="13"/>
      <c r="DJ13" s="13"/>
      <c r="DL13" s="17"/>
      <c r="DM13" s="16" t="s">
        <v>281</v>
      </c>
      <c r="DN13" s="16" t="s">
        <v>0</v>
      </c>
      <c r="DO13" s="21">
        <v>0.33333333333333331</v>
      </c>
      <c r="DP13" s="27">
        <v>2.1666666666666665</v>
      </c>
    </row>
    <row r="14" spans="1:125">
      <c r="A14" s="13" t="s">
        <v>300</v>
      </c>
      <c r="B14" s="13" t="s">
        <v>281</v>
      </c>
      <c r="C14" s="13" t="s">
        <v>301</v>
      </c>
      <c r="D14" s="13" t="s">
        <v>319</v>
      </c>
      <c r="E14" s="13" t="s">
        <v>283</v>
      </c>
      <c r="F14" s="13">
        <v>0</v>
      </c>
      <c r="G14" s="13">
        <v>0</v>
      </c>
      <c r="H14" s="13">
        <v>0</v>
      </c>
      <c r="I14" s="13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13">
        <v>2</v>
      </c>
      <c r="AC14" s="32">
        <v>0</v>
      </c>
      <c r="AD14" s="32">
        <v>0</v>
      </c>
      <c r="AE14" s="13">
        <v>1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 s="32">
        <v>0</v>
      </c>
      <c r="BD14" s="32">
        <v>0</v>
      </c>
      <c r="BE14" s="32">
        <v>0</v>
      </c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>
        <f t="shared" si="2"/>
        <v>2</v>
      </c>
      <c r="BP14" s="13">
        <f t="shared" si="3"/>
        <v>3</v>
      </c>
      <c r="BQ14" s="13">
        <f>[1]!shannonweaver(K14:BL14)</f>
        <v>0.63651416829481278</v>
      </c>
      <c r="BR14">
        <f t="shared" si="4"/>
        <v>0</v>
      </c>
      <c r="BS14">
        <f t="shared" si="5"/>
        <v>2</v>
      </c>
      <c r="BT14">
        <f t="shared" si="6"/>
        <v>0</v>
      </c>
      <c r="BU14">
        <f t="shared" si="7"/>
        <v>0</v>
      </c>
      <c r="BV14" s="13">
        <f t="shared" si="8"/>
        <v>0</v>
      </c>
      <c r="BW14" s="13">
        <f t="shared" si="9"/>
        <v>2</v>
      </c>
      <c r="BX14" s="13">
        <f t="shared" si="10"/>
        <v>1</v>
      </c>
      <c r="BY14" s="13">
        <f t="shared" si="11"/>
        <v>3</v>
      </c>
      <c r="BZ14" s="13">
        <f t="shared" si="12"/>
        <v>0</v>
      </c>
      <c r="CA14" s="13">
        <f t="shared" si="13"/>
        <v>3</v>
      </c>
      <c r="CB14" s="13">
        <f t="shared" si="14"/>
        <v>0</v>
      </c>
      <c r="CC14" s="13">
        <f t="shared" si="15"/>
        <v>0</v>
      </c>
      <c r="CD14" s="13">
        <f t="shared" si="16"/>
        <v>1.4142135623730951</v>
      </c>
      <c r="CE14" s="13">
        <f t="shared" si="17"/>
        <v>1.7320508075688772</v>
      </c>
      <c r="CF14" s="13">
        <f t="shared" si="18"/>
        <v>0.79781838051953446</v>
      </c>
      <c r="CG14" s="13">
        <f t="shared" si="19"/>
        <v>0</v>
      </c>
      <c r="CH14" s="13">
        <f t="shared" si="20"/>
        <v>1.4142135623730951</v>
      </c>
      <c r="CI14" s="13">
        <f t="shared" si="21"/>
        <v>0</v>
      </c>
      <c r="CJ14" s="13">
        <f t="shared" si="22"/>
        <v>0</v>
      </c>
      <c r="CK14" s="13">
        <f t="shared" si="23"/>
        <v>0</v>
      </c>
      <c r="CL14" s="13">
        <f t="shared" si="24"/>
        <v>1.4142135623730951</v>
      </c>
      <c r="CM14" s="13">
        <f t="shared" si="25"/>
        <v>1</v>
      </c>
      <c r="CN14" s="13">
        <f t="shared" si="26"/>
        <v>1.7320508075688772</v>
      </c>
      <c r="CO14" s="13">
        <f t="shared" si="27"/>
        <v>0</v>
      </c>
      <c r="CP14" s="13">
        <f t="shared" si="28"/>
        <v>1.7320508075688772</v>
      </c>
      <c r="CQ14" s="13">
        <f t="shared" si="29"/>
        <v>0</v>
      </c>
      <c r="CR14" s="13">
        <f t="shared" si="30"/>
        <v>0</v>
      </c>
      <c r="CS14" s="13">
        <f t="shared" si="31"/>
        <v>1.0986122886681098</v>
      </c>
      <c r="CT14" s="13">
        <f t="shared" si="32"/>
        <v>1.3862943611198906</v>
      </c>
      <c r="CU14" s="13">
        <f t="shared" si="33"/>
        <v>0.49256847260253284</v>
      </c>
      <c r="CV14" s="13">
        <f t="shared" si="34"/>
        <v>0</v>
      </c>
      <c r="CW14" s="13">
        <f t="shared" si="35"/>
        <v>1.0986122886681098</v>
      </c>
      <c r="CX14" s="13">
        <f t="shared" si="36"/>
        <v>0</v>
      </c>
      <c r="CY14" s="13">
        <f t="shared" si="37"/>
        <v>0</v>
      </c>
      <c r="CZ14" s="13">
        <f t="shared" si="38"/>
        <v>0</v>
      </c>
      <c r="DA14" s="13">
        <f t="shared" si="39"/>
        <v>1.0986122886681098</v>
      </c>
      <c r="DB14" s="13">
        <f t="shared" si="40"/>
        <v>0.69314718055994529</v>
      </c>
      <c r="DC14" s="13">
        <f t="shared" si="41"/>
        <v>1.3862943611198906</v>
      </c>
      <c r="DD14" s="13">
        <f t="shared" si="42"/>
        <v>0</v>
      </c>
      <c r="DE14" s="13">
        <f t="shared" si="43"/>
        <v>1.3862943611198906</v>
      </c>
      <c r="DF14" s="13">
        <f t="shared" si="44"/>
        <v>0</v>
      </c>
      <c r="DG14" s="13">
        <f t="shared" si="45"/>
        <v>0</v>
      </c>
      <c r="DH14" s="13"/>
      <c r="DI14" s="13"/>
      <c r="DJ14" s="13"/>
      <c r="DL14" s="17"/>
      <c r="DM14" s="17"/>
      <c r="DN14" s="18" t="s">
        <v>1</v>
      </c>
      <c r="DO14" s="22">
        <v>0.59408852578600457</v>
      </c>
      <c r="DP14" s="28">
        <v>1.6890651782777917</v>
      </c>
    </row>
    <row r="15" spans="1:125">
      <c r="A15" s="14" t="s">
        <v>302</v>
      </c>
      <c r="B15" s="13" t="s">
        <v>281</v>
      </c>
      <c r="C15" s="13" t="s">
        <v>301</v>
      </c>
      <c r="D15" s="13" t="s">
        <v>319</v>
      </c>
      <c r="E15" s="13" t="s">
        <v>283</v>
      </c>
      <c r="F15" s="13">
        <v>0</v>
      </c>
      <c r="G15" s="13">
        <v>0</v>
      </c>
      <c r="H15" s="13">
        <v>0</v>
      </c>
      <c r="I15" s="13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13">
        <v>2</v>
      </c>
      <c r="AC15" s="32">
        <v>0</v>
      </c>
      <c r="AD15" s="13">
        <v>3</v>
      </c>
      <c r="AE15" s="13">
        <v>0</v>
      </c>
      <c r="AF15" s="32">
        <v>0</v>
      </c>
      <c r="AG15" s="13">
        <v>1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13">
        <v>1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 s="32">
        <v>0</v>
      </c>
      <c r="BD15" s="32">
        <v>0</v>
      </c>
      <c r="BE15" s="32">
        <v>0</v>
      </c>
      <c r="BF15" s="32">
        <v>0</v>
      </c>
      <c r="BG15" s="32">
        <v>0</v>
      </c>
      <c r="BH15" s="32">
        <v>0</v>
      </c>
      <c r="BI15" s="32">
        <v>0</v>
      </c>
      <c r="BJ15" s="32">
        <v>0</v>
      </c>
      <c r="BK15" s="32">
        <v>0</v>
      </c>
      <c r="BL15" s="32">
        <v>0</v>
      </c>
      <c r="BM15" s="32">
        <v>0</v>
      </c>
      <c r="BN15" s="32">
        <v>0</v>
      </c>
      <c r="BO15">
        <f t="shared" si="2"/>
        <v>4</v>
      </c>
      <c r="BP15" s="13">
        <f t="shared" si="3"/>
        <v>7</v>
      </c>
      <c r="BQ15" s="13">
        <f>[1]!shannonweaver(K15:BL15)</f>
        <v>1.277034259466139</v>
      </c>
      <c r="BR15">
        <f t="shared" si="4"/>
        <v>0</v>
      </c>
      <c r="BS15">
        <f t="shared" si="5"/>
        <v>4</v>
      </c>
      <c r="BT15">
        <f t="shared" si="6"/>
        <v>0</v>
      </c>
      <c r="BU15">
        <f t="shared" si="7"/>
        <v>0</v>
      </c>
      <c r="BV15" s="13">
        <f t="shared" si="8"/>
        <v>0</v>
      </c>
      <c r="BW15" s="13">
        <f t="shared" si="9"/>
        <v>5</v>
      </c>
      <c r="BX15" s="13">
        <f t="shared" si="10"/>
        <v>0</v>
      </c>
      <c r="BY15" s="13">
        <f t="shared" si="11"/>
        <v>5</v>
      </c>
      <c r="BZ15" s="13">
        <f t="shared" si="12"/>
        <v>1</v>
      </c>
      <c r="CA15" s="13">
        <f t="shared" si="13"/>
        <v>7</v>
      </c>
      <c r="CB15" s="13">
        <f t="shared" si="14"/>
        <v>0</v>
      </c>
      <c r="CC15" s="13">
        <f t="shared" si="15"/>
        <v>0</v>
      </c>
      <c r="CD15" s="13">
        <f t="shared" si="16"/>
        <v>2</v>
      </c>
      <c r="CE15" s="13">
        <f t="shared" si="17"/>
        <v>2.6457513110645907</v>
      </c>
      <c r="CF15" s="13">
        <f t="shared" si="18"/>
        <v>1.1300594052819255</v>
      </c>
      <c r="CG15" s="13">
        <f t="shared" si="19"/>
        <v>0</v>
      </c>
      <c r="CH15" s="13">
        <f t="shared" si="20"/>
        <v>2</v>
      </c>
      <c r="CI15" s="13">
        <f t="shared" si="21"/>
        <v>0</v>
      </c>
      <c r="CJ15" s="13">
        <f t="shared" si="22"/>
        <v>0</v>
      </c>
      <c r="CK15" s="13">
        <f t="shared" si="23"/>
        <v>0</v>
      </c>
      <c r="CL15" s="13">
        <f t="shared" si="24"/>
        <v>2.2360679774997898</v>
      </c>
      <c r="CM15" s="13">
        <f t="shared" si="25"/>
        <v>0</v>
      </c>
      <c r="CN15" s="13">
        <f t="shared" si="26"/>
        <v>2.2360679774997898</v>
      </c>
      <c r="CO15" s="13">
        <f t="shared" si="27"/>
        <v>1</v>
      </c>
      <c r="CP15" s="13">
        <f t="shared" si="28"/>
        <v>2.6457513110645907</v>
      </c>
      <c r="CQ15" s="13">
        <f t="shared" si="29"/>
        <v>0</v>
      </c>
      <c r="CR15" s="13">
        <f t="shared" si="30"/>
        <v>0</v>
      </c>
      <c r="CS15" s="13">
        <f t="shared" si="31"/>
        <v>1.6094379124341003</v>
      </c>
      <c r="CT15" s="13">
        <f t="shared" si="32"/>
        <v>2.0794415416798357</v>
      </c>
      <c r="CU15" s="13">
        <f t="shared" si="33"/>
        <v>0.82287383284726334</v>
      </c>
      <c r="CV15" s="13">
        <f t="shared" si="34"/>
        <v>0</v>
      </c>
      <c r="CW15" s="13">
        <f t="shared" si="35"/>
        <v>1.6094379124341003</v>
      </c>
      <c r="CX15" s="13">
        <f t="shared" si="36"/>
        <v>0</v>
      </c>
      <c r="CY15" s="13">
        <f t="shared" si="37"/>
        <v>0</v>
      </c>
      <c r="CZ15" s="13">
        <f t="shared" si="38"/>
        <v>0</v>
      </c>
      <c r="DA15" s="13">
        <f t="shared" si="39"/>
        <v>1.791759469228055</v>
      </c>
      <c r="DB15" s="13">
        <f t="shared" si="40"/>
        <v>0</v>
      </c>
      <c r="DC15" s="13">
        <f t="shared" si="41"/>
        <v>1.791759469228055</v>
      </c>
      <c r="DD15" s="13">
        <f t="shared" si="42"/>
        <v>0.69314718055994529</v>
      </c>
      <c r="DE15" s="13">
        <f t="shared" si="43"/>
        <v>2.0794415416798357</v>
      </c>
      <c r="DF15" s="13">
        <f t="shared" si="44"/>
        <v>0</v>
      </c>
      <c r="DG15" s="13">
        <f t="shared" si="45"/>
        <v>0</v>
      </c>
      <c r="DH15" s="13"/>
      <c r="DI15" s="13"/>
      <c r="DJ15" s="13"/>
      <c r="DL15" s="17"/>
      <c r="DM15" s="17"/>
      <c r="DN15" s="18" t="s">
        <v>2</v>
      </c>
      <c r="DO15" s="22">
        <v>0.16666666666666666</v>
      </c>
      <c r="DP15" s="28">
        <v>1.1666666666666667</v>
      </c>
    </row>
    <row r="16" spans="1:125">
      <c r="A16" s="13" t="s">
        <v>120</v>
      </c>
      <c r="B16" s="13" t="s">
        <v>281</v>
      </c>
      <c r="C16" s="13" t="s">
        <v>301</v>
      </c>
      <c r="D16" s="13" t="s">
        <v>319</v>
      </c>
      <c r="E16" s="13" t="s">
        <v>283</v>
      </c>
      <c r="F16" s="13">
        <v>0</v>
      </c>
      <c r="G16" s="13">
        <v>0</v>
      </c>
      <c r="H16" s="13">
        <v>0</v>
      </c>
      <c r="I16" s="13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13">
        <v>1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13">
        <v>2</v>
      </c>
      <c r="AC16" s="32">
        <v>0</v>
      </c>
      <c r="AD16" s="32">
        <v>0</v>
      </c>
      <c r="AE16" s="13">
        <v>1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 s="32">
        <v>0</v>
      </c>
      <c r="BD16" s="32">
        <v>0</v>
      </c>
      <c r="BE16" s="32">
        <v>0</v>
      </c>
      <c r="BF16" s="32">
        <v>0</v>
      </c>
      <c r="BG16" s="32">
        <v>0</v>
      </c>
      <c r="BH16" s="32">
        <v>0</v>
      </c>
      <c r="BI16" s="32">
        <v>0</v>
      </c>
      <c r="BJ16" s="32">
        <v>0</v>
      </c>
      <c r="BK16" s="32">
        <v>0</v>
      </c>
      <c r="BL16" s="32">
        <v>0</v>
      </c>
      <c r="BM16" s="32">
        <v>0</v>
      </c>
      <c r="BN16" s="32">
        <v>0</v>
      </c>
      <c r="BO16">
        <f t="shared" si="2"/>
        <v>3</v>
      </c>
      <c r="BP16" s="13">
        <f t="shared" si="3"/>
        <v>4</v>
      </c>
      <c r="BQ16" s="13">
        <f>[1]!shannonweaver(K16:BL16)</f>
        <v>1.0397207708399179</v>
      </c>
      <c r="BR16">
        <f t="shared" si="4"/>
        <v>1</v>
      </c>
      <c r="BS16">
        <f t="shared" si="5"/>
        <v>2</v>
      </c>
      <c r="BT16">
        <f t="shared" si="6"/>
        <v>0</v>
      </c>
      <c r="BU16">
        <f t="shared" si="7"/>
        <v>0</v>
      </c>
      <c r="BV16" s="13">
        <f t="shared" si="8"/>
        <v>1</v>
      </c>
      <c r="BW16" s="13">
        <f t="shared" si="9"/>
        <v>2</v>
      </c>
      <c r="BX16" s="13">
        <f t="shared" si="10"/>
        <v>1</v>
      </c>
      <c r="BY16" s="13">
        <f t="shared" si="11"/>
        <v>3</v>
      </c>
      <c r="BZ16" s="13">
        <f t="shared" si="12"/>
        <v>0</v>
      </c>
      <c r="CA16" s="13">
        <f t="shared" si="13"/>
        <v>3</v>
      </c>
      <c r="CB16" s="13">
        <f t="shared" si="14"/>
        <v>0</v>
      </c>
      <c r="CC16" s="13">
        <f t="shared" si="15"/>
        <v>0</v>
      </c>
      <c r="CD16" s="13">
        <f t="shared" si="16"/>
        <v>1.7320508075688772</v>
      </c>
      <c r="CE16" s="13">
        <f t="shared" si="17"/>
        <v>2</v>
      </c>
      <c r="CF16" s="13">
        <f t="shared" si="18"/>
        <v>1.0196669901688089</v>
      </c>
      <c r="CG16" s="13">
        <f t="shared" si="19"/>
        <v>1</v>
      </c>
      <c r="CH16" s="13">
        <f t="shared" si="20"/>
        <v>1.4142135623730951</v>
      </c>
      <c r="CI16" s="13">
        <f t="shared" si="21"/>
        <v>0</v>
      </c>
      <c r="CJ16" s="13">
        <f t="shared" si="22"/>
        <v>0</v>
      </c>
      <c r="CK16" s="13">
        <f t="shared" si="23"/>
        <v>1</v>
      </c>
      <c r="CL16" s="13">
        <f t="shared" si="24"/>
        <v>1.4142135623730951</v>
      </c>
      <c r="CM16" s="13">
        <f t="shared" si="25"/>
        <v>1</v>
      </c>
      <c r="CN16" s="13">
        <f t="shared" si="26"/>
        <v>1.7320508075688772</v>
      </c>
      <c r="CO16" s="13">
        <f t="shared" si="27"/>
        <v>0</v>
      </c>
      <c r="CP16" s="13">
        <f t="shared" si="28"/>
        <v>1.7320508075688772</v>
      </c>
      <c r="CQ16" s="13">
        <f t="shared" si="29"/>
        <v>0</v>
      </c>
      <c r="CR16" s="13">
        <f t="shared" si="30"/>
        <v>0</v>
      </c>
      <c r="CS16" s="13">
        <f t="shared" si="31"/>
        <v>1.3862943611198906</v>
      </c>
      <c r="CT16" s="13">
        <f t="shared" si="32"/>
        <v>1.6094379124341003</v>
      </c>
      <c r="CU16" s="13">
        <f t="shared" si="33"/>
        <v>0.7128129214483524</v>
      </c>
      <c r="CV16" s="13">
        <f t="shared" si="34"/>
        <v>0.69314718055994529</v>
      </c>
      <c r="CW16" s="13">
        <f t="shared" si="35"/>
        <v>1.0986122886681098</v>
      </c>
      <c r="CX16" s="13">
        <f t="shared" si="36"/>
        <v>0</v>
      </c>
      <c r="CY16" s="13">
        <f t="shared" si="37"/>
        <v>0</v>
      </c>
      <c r="CZ16" s="13">
        <f t="shared" si="38"/>
        <v>0.69314718055994529</v>
      </c>
      <c r="DA16" s="13">
        <f t="shared" si="39"/>
        <v>1.0986122886681098</v>
      </c>
      <c r="DB16" s="13">
        <f t="shared" si="40"/>
        <v>0.69314718055994529</v>
      </c>
      <c r="DC16" s="13">
        <f t="shared" si="41"/>
        <v>1.3862943611198906</v>
      </c>
      <c r="DD16" s="13">
        <f t="shared" si="42"/>
        <v>0</v>
      </c>
      <c r="DE16" s="13">
        <f t="shared" si="43"/>
        <v>1.3862943611198906</v>
      </c>
      <c r="DF16" s="13">
        <f t="shared" si="44"/>
        <v>0</v>
      </c>
      <c r="DG16" s="13">
        <f t="shared" si="45"/>
        <v>0</v>
      </c>
      <c r="DH16" s="13"/>
      <c r="DI16" s="13"/>
      <c r="DJ16" s="13"/>
      <c r="DL16" s="17"/>
      <c r="DM16" s="17"/>
      <c r="DN16" s="18" t="s">
        <v>3</v>
      </c>
      <c r="DO16" s="22">
        <v>0.51449575542752657</v>
      </c>
      <c r="DP16" s="28">
        <v>1.4245742398014511</v>
      </c>
    </row>
    <row r="17" spans="1:120">
      <c r="A17" s="13" t="s">
        <v>312</v>
      </c>
      <c r="B17" s="13" t="s">
        <v>281</v>
      </c>
      <c r="C17" s="13" t="s">
        <v>301</v>
      </c>
      <c r="D17" s="13" t="s">
        <v>319</v>
      </c>
      <c r="E17" s="13" t="s">
        <v>283</v>
      </c>
      <c r="F17" s="13">
        <v>0</v>
      </c>
      <c r="G17" s="13">
        <v>0</v>
      </c>
      <c r="H17" s="13">
        <v>0</v>
      </c>
      <c r="I17" s="13">
        <v>0</v>
      </c>
      <c r="J17" s="32">
        <v>0</v>
      </c>
      <c r="K17" s="13">
        <v>1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13">
        <v>1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13">
        <v>1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 s="32">
        <v>0</v>
      </c>
      <c r="BD17" s="32">
        <v>0</v>
      </c>
      <c r="BE17" s="32">
        <v>0</v>
      </c>
      <c r="BF17" s="32">
        <v>0</v>
      </c>
      <c r="BG17" s="32">
        <v>0</v>
      </c>
      <c r="BH17" s="32">
        <v>0</v>
      </c>
      <c r="BI17" s="32">
        <v>0</v>
      </c>
      <c r="BJ17" s="32">
        <v>0</v>
      </c>
      <c r="BK17" s="32">
        <v>0</v>
      </c>
      <c r="BL17" s="32">
        <v>0</v>
      </c>
      <c r="BM17" s="32">
        <v>0</v>
      </c>
      <c r="BN17" s="32">
        <v>0</v>
      </c>
      <c r="BO17">
        <f t="shared" si="2"/>
        <v>3</v>
      </c>
      <c r="BP17" s="13">
        <f t="shared" si="3"/>
        <v>3</v>
      </c>
      <c r="BQ17" s="13">
        <f>[1]!shannonweaver(K17:BL17)</f>
        <v>1.0986122886681096</v>
      </c>
      <c r="BR17">
        <f t="shared" si="4"/>
        <v>1</v>
      </c>
      <c r="BS17">
        <f t="shared" si="5"/>
        <v>1</v>
      </c>
      <c r="BT17">
        <f t="shared" si="6"/>
        <v>0</v>
      </c>
      <c r="BU17">
        <f t="shared" si="7"/>
        <v>0</v>
      </c>
      <c r="BV17" s="13">
        <f t="shared" si="8"/>
        <v>1</v>
      </c>
      <c r="BW17" s="13">
        <f t="shared" si="9"/>
        <v>0</v>
      </c>
      <c r="BX17" s="13">
        <f t="shared" si="10"/>
        <v>0</v>
      </c>
      <c r="BY17" s="13">
        <f t="shared" si="11"/>
        <v>0</v>
      </c>
      <c r="BZ17" s="13">
        <f t="shared" si="12"/>
        <v>0</v>
      </c>
      <c r="CA17" s="13">
        <f t="shared" si="13"/>
        <v>1</v>
      </c>
      <c r="CB17" s="13">
        <f t="shared" si="14"/>
        <v>0</v>
      </c>
      <c r="CC17" s="13">
        <f t="shared" si="15"/>
        <v>0</v>
      </c>
      <c r="CD17" s="13">
        <f t="shared" si="16"/>
        <v>1.7320508075688772</v>
      </c>
      <c r="CE17" s="13">
        <f t="shared" si="17"/>
        <v>1.7320508075688772</v>
      </c>
      <c r="CF17" s="13">
        <f t="shared" si="18"/>
        <v>1.0481470739682048</v>
      </c>
      <c r="CG17" s="13">
        <f t="shared" si="19"/>
        <v>1</v>
      </c>
      <c r="CH17" s="13">
        <f t="shared" si="20"/>
        <v>1</v>
      </c>
      <c r="CI17" s="13">
        <f t="shared" si="21"/>
        <v>0</v>
      </c>
      <c r="CJ17" s="13">
        <f t="shared" si="22"/>
        <v>0</v>
      </c>
      <c r="CK17" s="13">
        <f t="shared" si="23"/>
        <v>1</v>
      </c>
      <c r="CL17" s="13">
        <f t="shared" si="24"/>
        <v>0</v>
      </c>
      <c r="CM17" s="13">
        <f t="shared" si="25"/>
        <v>0</v>
      </c>
      <c r="CN17" s="13">
        <f t="shared" si="26"/>
        <v>0</v>
      </c>
      <c r="CO17" s="13">
        <f t="shared" si="27"/>
        <v>0</v>
      </c>
      <c r="CP17" s="13">
        <f t="shared" si="28"/>
        <v>1</v>
      </c>
      <c r="CQ17" s="13">
        <f t="shared" si="29"/>
        <v>0</v>
      </c>
      <c r="CR17" s="13">
        <f t="shared" si="30"/>
        <v>0</v>
      </c>
      <c r="CS17" s="13">
        <f t="shared" si="31"/>
        <v>1.3862943611198906</v>
      </c>
      <c r="CT17" s="13">
        <f t="shared" si="32"/>
        <v>1.3862943611198906</v>
      </c>
      <c r="CU17" s="13">
        <f t="shared" si="33"/>
        <v>0.74127631137501515</v>
      </c>
      <c r="CV17" s="13">
        <f t="shared" si="34"/>
        <v>0.69314718055994529</v>
      </c>
      <c r="CW17" s="13">
        <f t="shared" si="35"/>
        <v>0.69314718055994529</v>
      </c>
      <c r="CX17" s="13">
        <f t="shared" si="36"/>
        <v>0</v>
      </c>
      <c r="CY17" s="13">
        <f t="shared" si="37"/>
        <v>0</v>
      </c>
      <c r="CZ17" s="13">
        <f t="shared" si="38"/>
        <v>0.69314718055994529</v>
      </c>
      <c r="DA17" s="13">
        <f t="shared" si="39"/>
        <v>0</v>
      </c>
      <c r="DB17" s="13">
        <f t="shared" si="40"/>
        <v>0</v>
      </c>
      <c r="DC17" s="13">
        <f t="shared" si="41"/>
        <v>0</v>
      </c>
      <c r="DD17" s="13">
        <f t="shared" si="42"/>
        <v>0</v>
      </c>
      <c r="DE17" s="13">
        <f t="shared" si="43"/>
        <v>0.69314718055994529</v>
      </c>
      <c r="DF17" s="13">
        <f t="shared" si="44"/>
        <v>0</v>
      </c>
      <c r="DG17" s="13">
        <f t="shared" si="45"/>
        <v>0</v>
      </c>
      <c r="DH17" s="13"/>
      <c r="DI17" s="13"/>
      <c r="DJ17" s="13"/>
      <c r="DL17" s="16" t="s">
        <v>4</v>
      </c>
      <c r="DM17" s="37"/>
      <c r="DN17" s="37"/>
      <c r="DO17" s="21">
        <v>1.2407407407407407</v>
      </c>
      <c r="DP17" s="27">
        <v>2.7777777777777777</v>
      </c>
    </row>
    <row r="18" spans="1:120">
      <c r="A18" s="13" t="s">
        <v>313</v>
      </c>
      <c r="B18" s="13" t="s">
        <v>281</v>
      </c>
      <c r="C18" s="13" t="s">
        <v>301</v>
      </c>
      <c r="D18" s="13" t="s">
        <v>319</v>
      </c>
      <c r="E18" s="13" t="s">
        <v>283</v>
      </c>
      <c r="F18" s="13">
        <v>0</v>
      </c>
      <c r="G18" s="13">
        <v>0</v>
      </c>
      <c r="H18" s="13">
        <v>0</v>
      </c>
      <c r="I18" s="13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13">
        <v>4</v>
      </c>
      <c r="AC18" s="32">
        <v>0</v>
      </c>
      <c r="AD18" s="32">
        <v>0</v>
      </c>
      <c r="AE18" s="13">
        <v>1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 s="32">
        <v>0</v>
      </c>
      <c r="BD18" s="32">
        <v>0</v>
      </c>
      <c r="BE18" s="32">
        <v>0</v>
      </c>
      <c r="BF18" s="32">
        <v>0</v>
      </c>
      <c r="BG18" s="32">
        <v>0</v>
      </c>
      <c r="BH18" s="32">
        <v>0</v>
      </c>
      <c r="BI18" s="32">
        <v>0</v>
      </c>
      <c r="BJ18" s="32">
        <v>0</v>
      </c>
      <c r="BK18" s="13">
        <v>1</v>
      </c>
      <c r="BL18" s="32">
        <v>0</v>
      </c>
      <c r="BM18" s="32">
        <v>0</v>
      </c>
      <c r="BN18" s="32">
        <v>0</v>
      </c>
      <c r="BO18">
        <f t="shared" si="2"/>
        <v>3</v>
      </c>
      <c r="BP18" s="13">
        <f t="shared" si="3"/>
        <v>6</v>
      </c>
      <c r="BQ18" s="13">
        <f>[1]!shannonweaver(K18:BL18)</f>
        <v>0.86756322848146117</v>
      </c>
      <c r="BR18">
        <f t="shared" si="4"/>
        <v>0</v>
      </c>
      <c r="BS18">
        <f t="shared" si="5"/>
        <v>2</v>
      </c>
      <c r="BT18">
        <f t="shared" si="6"/>
        <v>0</v>
      </c>
      <c r="BU18">
        <f t="shared" si="7"/>
        <v>0</v>
      </c>
      <c r="BV18" s="13">
        <f t="shared" si="8"/>
        <v>0</v>
      </c>
      <c r="BW18" s="13">
        <f t="shared" si="9"/>
        <v>4</v>
      </c>
      <c r="BX18" s="13">
        <f t="shared" si="10"/>
        <v>1</v>
      </c>
      <c r="BY18" s="13">
        <f t="shared" si="11"/>
        <v>5</v>
      </c>
      <c r="BZ18" s="13">
        <f t="shared" si="12"/>
        <v>0</v>
      </c>
      <c r="CA18" s="13">
        <f t="shared" si="13"/>
        <v>5</v>
      </c>
      <c r="CB18" s="13">
        <f t="shared" si="14"/>
        <v>0</v>
      </c>
      <c r="CC18" s="13">
        <f t="shared" si="15"/>
        <v>1</v>
      </c>
      <c r="CD18" s="13">
        <f t="shared" si="16"/>
        <v>1.7320508075688772</v>
      </c>
      <c r="CE18" s="13">
        <f t="shared" si="17"/>
        <v>2.4494897427831779</v>
      </c>
      <c r="CF18" s="13">
        <f t="shared" si="18"/>
        <v>0.93143074271867421</v>
      </c>
      <c r="CG18" s="13">
        <f t="shared" si="19"/>
        <v>0</v>
      </c>
      <c r="CH18" s="13">
        <f t="shared" si="20"/>
        <v>1.4142135623730951</v>
      </c>
      <c r="CI18" s="13">
        <f t="shared" si="21"/>
        <v>0</v>
      </c>
      <c r="CJ18" s="13">
        <f t="shared" si="21"/>
        <v>0</v>
      </c>
      <c r="CK18" s="13">
        <f t="shared" si="23"/>
        <v>0</v>
      </c>
      <c r="CL18" s="13">
        <f t="shared" si="24"/>
        <v>2</v>
      </c>
      <c r="CM18" s="13">
        <f t="shared" si="25"/>
        <v>1</v>
      </c>
      <c r="CN18" s="13">
        <f t="shared" si="26"/>
        <v>2.2360679774997898</v>
      </c>
      <c r="CO18" s="13">
        <f t="shared" si="27"/>
        <v>0</v>
      </c>
      <c r="CP18" s="13">
        <f t="shared" si="28"/>
        <v>2.2360679774997898</v>
      </c>
      <c r="CQ18" s="13">
        <f t="shared" si="29"/>
        <v>0</v>
      </c>
      <c r="CR18" s="13">
        <f t="shared" si="30"/>
        <v>1</v>
      </c>
      <c r="CS18" s="13">
        <f t="shared" si="31"/>
        <v>1.3862943611198906</v>
      </c>
      <c r="CT18" s="13">
        <f t="shared" si="32"/>
        <v>1.9459101490553132</v>
      </c>
      <c r="CU18" s="13">
        <f t="shared" si="33"/>
        <v>0.62463449473761334</v>
      </c>
      <c r="CV18" s="13">
        <f t="shared" si="34"/>
        <v>0</v>
      </c>
      <c r="CW18" s="13">
        <f t="shared" si="35"/>
        <v>1.0986122886681098</v>
      </c>
      <c r="CX18" s="13">
        <f t="shared" si="36"/>
        <v>0</v>
      </c>
      <c r="CY18" s="13">
        <f t="shared" si="37"/>
        <v>0</v>
      </c>
      <c r="CZ18" s="13">
        <f t="shared" si="38"/>
        <v>0</v>
      </c>
      <c r="DA18" s="13">
        <f t="shared" si="39"/>
        <v>1.6094379124341003</v>
      </c>
      <c r="DB18" s="13">
        <f t="shared" si="40"/>
        <v>0.69314718055994529</v>
      </c>
      <c r="DC18" s="13">
        <f t="shared" si="41"/>
        <v>1.791759469228055</v>
      </c>
      <c r="DD18" s="13">
        <f t="shared" si="42"/>
        <v>0</v>
      </c>
      <c r="DE18" s="13">
        <f t="shared" si="43"/>
        <v>1.791759469228055</v>
      </c>
      <c r="DF18" s="13">
        <f t="shared" si="44"/>
        <v>0</v>
      </c>
      <c r="DG18" s="13">
        <f t="shared" si="45"/>
        <v>0.69314718055994529</v>
      </c>
      <c r="DH18" s="13"/>
      <c r="DI18" s="13"/>
      <c r="DJ18" s="13"/>
      <c r="DL18" s="16" t="s">
        <v>5</v>
      </c>
      <c r="DM18" s="37"/>
      <c r="DN18" s="37"/>
      <c r="DO18" s="21">
        <v>1.9125719637237399</v>
      </c>
      <c r="DP18" s="27">
        <v>3.142326182381133</v>
      </c>
    </row>
    <row r="19" spans="1:120">
      <c r="A19" s="13" t="s">
        <v>314</v>
      </c>
      <c r="B19" s="13" t="s">
        <v>281</v>
      </c>
      <c r="C19" s="13" t="s">
        <v>301</v>
      </c>
      <c r="D19" s="13" t="s">
        <v>319</v>
      </c>
      <c r="E19" s="13" t="s">
        <v>283</v>
      </c>
      <c r="F19" s="13">
        <v>0</v>
      </c>
      <c r="G19" s="13">
        <v>0</v>
      </c>
      <c r="H19" s="13">
        <v>0</v>
      </c>
      <c r="I19" s="13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13">
        <v>1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13">
        <v>1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>
        <f t="shared" si="2"/>
        <v>2</v>
      </c>
      <c r="BP19" s="13">
        <f t="shared" si="3"/>
        <v>2</v>
      </c>
      <c r="BQ19" s="13">
        <f>[1]!shannonweaver(K19:BL19)</f>
        <v>0.69314718055994529</v>
      </c>
      <c r="BR19">
        <f t="shared" si="4"/>
        <v>1</v>
      </c>
      <c r="BS19">
        <f t="shared" si="5"/>
        <v>0</v>
      </c>
      <c r="BT19">
        <f t="shared" si="6"/>
        <v>0</v>
      </c>
      <c r="BU19">
        <f t="shared" si="7"/>
        <v>0</v>
      </c>
      <c r="BV19" s="13">
        <f t="shared" si="8"/>
        <v>1</v>
      </c>
      <c r="BW19" s="13">
        <f t="shared" si="9"/>
        <v>0</v>
      </c>
      <c r="BX19" s="13">
        <f t="shared" si="10"/>
        <v>0</v>
      </c>
      <c r="BY19" s="13">
        <f t="shared" si="11"/>
        <v>0</v>
      </c>
      <c r="BZ19" s="13">
        <f t="shared" si="12"/>
        <v>0</v>
      </c>
      <c r="CA19" s="13">
        <f t="shared" si="13"/>
        <v>0</v>
      </c>
      <c r="CB19" s="13">
        <f t="shared" si="14"/>
        <v>0</v>
      </c>
      <c r="CC19" s="13">
        <f t="shared" si="15"/>
        <v>0</v>
      </c>
      <c r="CD19" s="13">
        <f t="shared" si="16"/>
        <v>1.4142135623730951</v>
      </c>
      <c r="CE19" s="13">
        <f t="shared" si="17"/>
        <v>1.4142135623730951</v>
      </c>
      <c r="CF19" s="13">
        <f t="shared" si="18"/>
        <v>0.83255461115769769</v>
      </c>
      <c r="CG19" s="13">
        <f t="shared" si="19"/>
        <v>1</v>
      </c>
      <c r="CH19" s="13">
        <f t="shared" si="20"/>
        <v>0</v>
      </c>
      <c r="CI19" s="13">
        <f t="shared" si="21"/>
        <v>0</v>
      </c>
      <c r="CJ19" s="13">
        <f t="shared" si="21"/>
        <v>0</v>
      </c>
      <c r="CK19" s="13">
        <f t="shared" si="23"/>
        <v>1</v>
      </c>
      <c r="CL19" s="13">
        <f t="shared" si="24"/>
        <v>0</v>
      </c>
      <c r="CM19" s="13">
        <f t="shared" si="25"/>
        <v>0</v>
      </c>
      <c r="CN19" s="13">
        <f t="shared" si="26"/>
        <v>0</v>
      </c>
      <c r="CO19" s="13">
        <f t="shared" si="27"/>
        <v>0</v>
      </c>
      <c r="CP19" s="13">
        <f t="shared" si="28"/>
        <v>0</v>
      </c>
      <c r="CQ19" s="13">
        <f t="shared" si="29"/>
        <v>0</v>
      </c>
      <c r="CR19" s="13">
        <f t="shared" si="30"/>
        <v>0</v>
      </c>
      <c r="CS19" s="13">
        <f t="shared" si="31"/>
        <v>1.0986122886681098</v>
      </c>
      <c r="CT19" s="13">
        <f t="shared" si="32"/>
        <v>1.0986122886681098</v>
      </c>
      <c r="CU19" s="13">
        <f t="shared" si="33"/>
        <v>0.52658903413904457</v>
      </c>
      <c r="CV19" s="13">
        <f t="shared" si="34"/>
        <v>0.69314718055994529</v>
      </c>
      <c r="CW19" s="13">
        <f t="shared" si="35"/>
        <v>0</v>
      </c>
      <c r="CX19" s="13">
        <f t="shared" si="36"/>
        <v>0</v>
      </c>
      <c r="CY19" s="13">
        <f t="shared" si="37"/>
        <v>0</v>
      </c>
      <c r="CZ19" s="13">
        <f t="shared" si="38"/>
        <v>0.69314718055994529</v>
      </c>
      <c r="DA19" s="13">
        <f t="shared" si="39"/>
        <v>0</v>
      </c>
      <c r="DB19" s="13">
        <f t="shared" si="40"/>
        <v>0</v>
      </c>
      <c r="DC19" s="13">
        <f t="shared" si="41"/>
        <v>0</v>
      </c>
      <c r="DD19" s="13">
        <f t="shared" si="42"/>
        <v>0</v>
      </c>
      <c r="DE19" s="13">
        <f t="shared" si="43"/>
        <v>0</v>
      </c>
      <c r="DF19" s="13">
        <f t="shared" si="44"/>
        <v>0</v>
      </c>
      <c r="DG19" s="13">
        <f t="shared" si="45"/>
        <v>0</v>
      </c>
      <c r="DH19" s="13"/>
      <c r="DI19" s="13"/>
      <c r="DJ19" s="13"/>
      <c r="DL19" s="16" t="s">
        <v>6</v>
      </c>
      <c r="DM19" s="37"/>
      <c r="DN19" s="37"/>
      <c r="DO19" s="21">
        <v>0.92592592592592593</v>
      </c>
      <c r="DP19" s="27">
        <v>2</v>
      </c>
    </row>
    <row r="20" spans="1:120">
      <c r="A20" s="13" t="s">
        <v>315</v>
      </c>
      <c r="B20" s="13" t="s">
        <v>281</v>
      </c>
      <c r="C20" s="13">
        <v>4</v>
      </c>
      <c r="D20" s="13" t="s">
        <v>320</v>
      </c>
      <c r="E20" s="13" t="s">
        <v>283</v>
      </c>
      <c r="F20" s="13">
        <v>0</v>
      </c>
      <c r="G20" s="13">
        <v>0</v>
      </c>
      <c r="H20" s="13">
        <v>0</v>
      </c>
      <c r="I20" s="13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13">
        <v>1</v>
      </c>
      <c r="U20" s="32">
        <v>0</v>
      </c>
      <c r="V20" s="32">
        <v>0</v>
      </c>
      <c r="W20" s="32">
        <v>0</v>
      </c>
      <c r="X20" s="13">
        <v>1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13">
        <v>2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13">
        <v>4</v>
      </c>
      <c r="BO20">
        <f t="shared" si="2"/>
        <v>3</v>
      </c>
      <c r="BP20" s="13">
        <f t="shared" si="3"/>
        <v>4</v>
      </c>
      <c r="BQ20" s="13">
        <f>[1]!shannonweaver(K20:BL20)</f>
        <v>1.0397207708399179</v>
      </c>
      <c r="BR20">
        <f t="shared" si="4"/>
        <v>1</v>
      </c>
      <c r="BS20">
        <f t="shared" si="5"/>
        <v>2</v>
      </c>
      <c r="BT20">
        <f t="shared" si="6"/>
        <v>0</v>
      </c>
      <c r="BU20">
        <f t="shared" si="7"/>
        <v>0</v>
      </c>
      <c r="BV20" s="13">
        <f t="shared" si="8"/>
        <v>1</v>
      </c>
      <c r="BW20" s="13">
        <f t="shared" si="9"/>
        <v>0</v>
      </c>
      <c r="BX20" s="13">
        <f t="shared" si="10"/>
        <v>0</v>
      </c>
      <c r="BY20" s="13">
        <f t="shared" si="11"/>
        <v>0</v>
      </c>
      <c r="BZ20" s="13">
        <f t="shared" si="12"/>
        <v>0</v>
      </c>
      <c r="CA20" s="13">
        <f t="shared" si="13"/>
        <v>3</v>
      </c>
      <c r="CB20" s="13">
        <f t="shared" si="14"/>
        <v>0</v>
      </c>
      <c r="CC20" s="13">
        <f t="shared" si="15"/>
        <v>0</v>
      </c>
      <c r="CD20" s="13">
        <f t="shared" si="16"/>
        <v>1.7320508075688772</v>
      </c>
      <c r="CE20" s="13">
        <f t="shared" si="17"/>
        <v>2</v>
      </c>
      <c r="CF20" s="13">
        <f t="shared" si="18"/>
        <v>1.0196669901688089</v>
      </c>
      <c r="CG20" s="13">
        <f t="shared" si="19"/>
        <v>1</v>
      </c>
      <c r="CH20" s="13">
        <f t="shared" si="20"/>
        <v>1.4142135623730951</v>
      </c>
      <c r="CI20" s="13">
        <f t="shared" si="21"/>
        <v>0</v>
      </c>
      <c r="CJ20" s="13">
        <f t="shared" si="21"/>
        <v>0</v>
      </c>
      <c r="CK20" s="13">
        <f t="shared" si="23"/>
        <v>1</v>
      </c>
      <c r="CL20" s="13">
        <f t="shared" si="24"/>
        <v>0</v>
      </c>
      <c r="CM20" s="13">
        <f t="shared" si="25"/>
        <v>0</v>
      </c>
      <c r="CN20" s="13">
        <f t="shared" si="26"/>
        <v>0</v>
      </c>
      <c r="CO20" s="13">
        <f t="shared" si="27"/>
        <v>0</v>
      </c>
      <c r="CP20" s="13">
        <f t="shared" si="28"/>
        <v>1.7320508075688772</v>
      </c>
      <c r="CQ20" s="13">
        <f t="shared" si="29"/>
        <v>0</v>
      </c>
      <c r="CR20" s="13">
        <f t="shared" si="30"/>
        <v>0</v>
      </c>
      <c r="CS20" s="13">
        <f t="shared" si="31"/>
        <v>1.3862943611198906</v>
      </c>
      <c r="CT20" s="13">
        <f t="shared" si="32"/>
        <v>1.6094379124341003</v>
      </c>
      <c r="CU20" s="13">
        <f t="shared" si="33"/>
        <v>0.7128129214483524</v>
      </c>
      <c r="CV20" s="13">
        <f t="shared" si="34"/>
        <v>0.69314718055994529</v>
      </c>
      <c r="CW20" s="13">
        <f t="shared" si="35"/>
        <v>1.0986122886681098</v>
      </c>
      <c r="CX20" s="13">
        <f t="shared" si="36"/>
        <v>0</v>
      </c>
      <c r="CY20" s="13">
        <f t="shared" si="37"/>
        <v>0</v>
      </c>
      <c r="CZ20" s="13">
        <f t="shared" si="38"/>
        <v>0.69314718055994529</v>
      </c>
      <c r="DA20" s="13">
        <f t="shared" si="39"/>
        <v>0</v>
      </c>
      <c r="DB20" s="13">
        <f t="shared" si="40"/>
        <v>0</v>
      </c>
      <c r="DC20" s="13">
        <f t="shared" si="41"/>
        <v>0</v>
      </c>
      <c r="DD20" s="13">
        <f t="shared" si="42"/>
        <v>0</v>
      </c>
      <c r="DE20" s="13">
        <f t="shared" si="43"/>
        <v>1.3862943611198906</v>
      </c>
      <c r="DF20" s="13">
        <f t="shared" si="44"/>
        <v>0</v>
      </c>
      <c r="DG20" s="13">
        <f t="shared" si="45"/>
        <v>0</v>
      </c>
      <c r="DH20" s="13"/>
      <c r="DI20" s="13"/>
      <c r="DJ20" s="13"/>
      <c r="DL20" s="16" t="s">
        <v>7</v>
      </c>
      <c r="DM20" s="37"/>
      <c r="DN20" s="37"/>
      <c r="DO20" s="21">
        <v>1.6118880509356492</v>
      </c>
      <c r="DP20" s="27">
        <v>2.6350324905805422</v>
      </c>
    </row>
    <row r="21" spans="1:120">
      <c r="A21" t="s">
        <v>316</v>
      </c>
      <c r="B21" s="13" t="s">
        <v>281</v>
      </c>
      <c r="C21" s="13">
        <v>4</v>
      </c>
      <c r="D21" s="13" t="s">
        <v>320</v>
      </c>
      <c r="E21" s="13" t="s">
        <v>283</v>
      </c>
      <c r="F21" s="13">
        <v>0</v>
      </c>
      <c r="G21" s="13">
        <v>0</v>
      </c>
      <c r="H21" s="13">
        <v>0</v>
      </c>
      <c r="I21" s="13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13">
        <v>2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13">
        <v>1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 s="32">
        <v>0</v>
      </c>
      <c r="BD21" s="32">
        <v>0</v>
      </c>
      <c r="BE21" s="32">
        <v>0</v>
      </c>
      <c r="BF21" s="32">
        <v>0</v>
      </c>
      <c r="BG21" s="32">
        <v>0</v>
      </c>
      <c r="BH21" s="32">
        <v>0</v>
      </c>
      <c r="BI21" s="32">
        <v>0</v>
      </c>
      <c r="BJ21" s="32">
        <v>0</v>
      </c>
      <c r="BK21" s="13">
        <v>1</v>
      </c>
      <c r="BL21" s="32">
        <v>0</v>
      </c>
      <c r="BM21" s="32">
        <v>0</v>
      </c>
      <c r="BN21" s="32">
        <v>0</v>
      </c>
      <c r="BO21">
        <f t="shared" si="2"/>
        <v>3</v>
      </c>
      <c r="BP21" s="13">
        <f t="shared" si="3"/>
        <v>4</v>
      </c>
      <c r="BQ21" s="13">
        <f>[1]!shannonweaver(K21:BL21)</f>
        <v>1.0397207708399179</v>
      </c>
      <c r="BR21">
        <f t="shared" si="4"/>
        <v>1</v>
      </c>
      <c r="BS21">
        <f t="shared" si="5"/>
        <v>0</v>
      </c>
      <c r="BT21">
        <f t="shared" si="6"/>
        <v>1</v>
      </c>
      <c r="BU21">
        <f t="shared" si="7"/>
        <v>0</v>
      </c>
      <c r="BV21" s="13">
        <f t="shared" si="8"/>
        <v>2</v>
      </c>
      <c r="BW21" s="13">
        <f t="shared" si="9"/>
        <v>0</v>
      </c>
      <c r="BX21" s="13">
        <f t="shared" si="10"/>
        <v>0</v>
      </c>
      <c r="BY21" s="13">
        <f t="shared" si="11"/>
        <v>0</v>
      </c>
      <c r="BZ21" s="13">
        <f t="shared" si="12"/>
        <v>0</v>
      </c>
      <c r="CA21" s="13">
        <f t="shared" si="13"/>
        <v>0</v>
      </c>
      <c r="CB21" s="13">
        <f t="shared" si="14"/>
        <v>1</v>
      </c>
      <c r="CC21" s="13">
        <f t="shared" si="15"/>
        <v>1</v>
      </c>
      <c r="CD21" s="13">
        <f t="shared" si="16"/>
        <v>1.7320508075688772</v>
      </c>
      <c r="CE21" s="13">
        <f t="shared" si="17"/>
        <v>2</v>
      </c>
      <c r="CF21" s="13">
        <f t="shared" si="18"/>
        <v>1.0196669901688089</v>
      </c>
      <c r="CG21" s="13">
        <f t="shared" si="19"/>
        <v>1</v>
      </c>
      <c r="CH21" s="13">
        <f t="shared" si="20"/>
        <v>0</v>
      </c>
      <c r="CI21" s="13">
        <f t="shared" si="21"/>
        <v>1</v>
      </c>
      <c r="CJ21" s="13">
        <f t="shared" si="21"/>
        <v>0</v>
      </c>
      <c r="CK21" s="13">
        <f t="shared" si="23"/>
        <v>1.4142135623730951</v>
      </c>
      <c r="CL21" s="13">
        <f t="shared" si="24"/>
        <v>0</v>
      </c>
      <c r="CM21" s="13">
        <f t="shared" si="25"/>
        <v>0</v>
      </c>
      <c r="CN21" s="13">
        <f t="shared" si="26"/>
        <v>0</v>
      </c>
      <c r="CO21" s="13">
        <f t="shared" si="27"/>
        <v>0</v>
      </c>
      <c r="CP21" s="13">
        <f t="shared" si="28"/>
        <v>0</v>
      </c>
      <c r="CQ21" s="13">
        <f t="shared" si="29"/>
        <v>1</v>
      </c>
      <c r="CR21" s="13">
        <f t="shared" si="30"/>
        <v>1</v>
      </c>
      <c r="CS21" s="13">
        <f t="shared" si="31"/>
        <v>1.3862943611198906</v>
      </c>
      <c r="CT21" s="13">
        <f t="shared" si="32"/>
        <v>1.6094379124341003</v>
      </c>
      <c r="CU21" s="13">
        <f t="shared" si="33"/>
        <v>0.7128129214483524</v>
      </c>
      <c r="CV21" s="13">
        <f t="shared" si="34"/>
        <v>0.69314718055994529</v>
      </c>
      <c r="CW21" s="13">
        <f t="shared" si="35"/>
        <v>0</v>
      </c>
      <c r="CX21" s="13">
        <f t="shared" si="36"/>
        <v>0.69314718055994529</v>
      </c>
      <c r="CY21" s="13">
        <f t="shared" si="37"/>
        <v>0</v>
      </c>
      <c r="CZ21" s="13">
        <f t="shared" si="38"/>
        <v>1.0986122886681098</v>
      </c>
      <c r="DA21" s="13">
        <f t="shared" si="39"/>
        <v>0</v>
      </c>
      <c r="DB21" s="13">
        <f t="shared" si="40"/>
        <v>0</v>
      </c>
      <c r="DC21" s="13">
        <f t="shared" si="41"/>
        <v>0</v>
      </c>
      <c r="DD21" s="13">
        <f t="shared" si="42"/>
        <v>0</v>
      </c>
      <c r="DE21" s="13">
        <f t="shared" si="43"/>
        <v>0</v>
      </c>
      <c r="DF21" s="13">
        <f t="shared" si="44"/>
        <v>0.69314718055994529</v>
      </c>
      <c r="DG21" s="13">
        <f t="shared" si="45"/>
        <v>0.69314718055994529</v>
      </c>
      <c r="DH21" s="13"/>
      <c r="DI21" s="13"/>
      <c r="DJ21" s="13"/>
      <c r="DL21" s="16" t="s">
        <v>320</v>
      </c>
      <c r="DM21" s="16" t="s">
        <v>183</v>
      </c>
      <c r="DN21" s="16" t="s">
        <v>0</v>
      </c>
      <c r="DO21" s="21">
        <v>0.22222222222222221</v>
      </c>
      <c r="DP21" s="27">
        <v>0.3888888888888889</v>
      </c>
    </row>
    <row r="22" spans="1:120">
      <c r="A22" s="13" t="s">
        <v>321</v>
      </c>
      <c r="B22" s="13" t="s">
        <v>281</v>
      </c>
      <c r="C22" s="13">
        <v>4</v>
      </c>
      <c r="D22" s="13" t="s">
        <v>320</v>
      </c>
      <c r="E22" s="13" t="s">
        <v>283</v>
      </c>
      <c r="F22" s="13">
        <v>0</v>
      </c>
      <c r="G22" s="13">
        <v>0</v>
      </c>
      <c r="H22" s="13">
        <v>0</v>
      </c>
      <c r="I22" s="13">
        <v>0</v>
      </c>
      <c r="J22" s="32">
        <v>0</v>
      </c>
      <c r="K22" s="32">
        <v>0</v>
      </c>
      <c r="L22" s="32">
        <v>0</v>
      </c>
      <c r="M22" s="13">
        <v>1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13">
        <v>1</v>
      </c>
      <c r="U22" s="13">
        <v>1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>
        <f t="shared" si="2"/>
        <v>3</v>
      </c>
      <c r="BP22" s="13">
        <f t="shared" si="3"/>
        <v>3</v>
      </c>
      <c r="BQ22" s="13">
        <f>[1]!shannonweaver(K22:BL22)</f>
        <v>1.0986122886681096</v>
      </c>
      <c r="BR22">
        <f t="shared" si="4"/>
        <v>2</v>
      </c>
      <c r="BS22">
        <f t="shared" si="5"/>
        <v>0</v>
      </c>
      <c r="BT22">
        <f t="shared" si="6"/>
        <v>0</v>
      </c>
      <c r="BU22">
        <f t="shared" si="7"/>
        <v>0</v>
      </c>
      <c r="BV22" s="13">
        <f t="shared" si="8"/>
        <v>2</v>
      </c>
      <c r="BW22" s="13">
        <f t="shared" si="9"/>
        <v>0</v>
      </c>
      <c r="BX22" s="13">
        <f t="shared" si="10"/>
        <v>0</v>
      </c>
      <c r="BY22" s="13">
        <f t="shared" si="11"/>
        <v>0</v>
      </c>
      <c r="BZ22" s="13">
        <f t="shared" si="12"/>
        <v>0</v>
      </c>
      <c r="CA22" s="13">
        <f t="shared" si="13"/>
        <v>0</v>
      </c>
      <c r="CB22" s="13">
        <f t="shared" si="14"/>
        <v>0</v>
      </c>
      <c r="CC22" s="13">
        <f t="shared" si="15"/>
        <v>0</v>
      </c>
      <c r="CD22" s="13">
        <f t="shared" si="16"/>
        <v>1.7320508075688772</v>
      </c>
      <c r="CE22" s="13">
        <f t="shared" si="17"/>
        <v>1.7320508075688772</v>
      </c>
      <c r="CF22" s="13">
        <f t="shared" si="18"/>
        <v>1.0481470739682048</v>
      </c>
      <c r="CG22" s="13">
        <f t="shared" si="19"/>
        <v>1.4142135623730951</v>
      </c>
      <c r="CH22" s="13">
        <f t="shared" si="20"/>
        <v>0</v>
      </c>
      <c r="CI22" s="13">
        <f t="shared" si="21"/>
        <v>0</v>
      </c>
      <c r="CJ22" s="13">
        <f t="shared" si="21"/>
        <v>0</v>
      </c>
      <c r="CK22" s="13">
        <f t="shared" si="23"/>
        <v>1.4142135623730951</v>
      </c>
      <c r="CL22" s="13">
        <f t="shared" si="24"/>
        <v>0</v>
      </c>
      <c r="CM22" s="13">
        <f t="shared" si="25"/>
        <v>0</v>
      </c>
      <c r="CN22" s="13">
        <f t="shared" si="26"/>
        <v>0</v>
      </c>
      <c r="CO22" s="13">
        <f t="shared" si="27"/>
        <v>0</v>
      </c>
      <c r="CP22" s="13">
        <f t="shared" si="28"/>
        <v>0</v>
      </c>
      <c r="CQ22" s="13">
        <f t="shared" si="29"/>
        <v>0</v>
      </c>
      <c r="CR22" s="13">
        <f t="shared" si="30"/>
        <v>0</v>
      </c>
      <c r="CS22" s="13">
        <f t="shared" si="31"/>
        <v>1.3862943611198906</v>
      </c>
      <c r="CT22" s="13">
        <f t="shared" si="32"/>
        <v>1.3862943611198906</v>
      </c>
      <c r="CU22" s="13">
        <f t="shared" si="33"/>
        <v>0.74127631137501515</v>
      </c>
      <c r="CV22" s="13">
        <f t="shared" si="34"/>
        <v>1.0986122886681098</v>
      </c>
      <c r="CW22" s="13">
        <f t="shared" si="35"/>
        <v>0</v>
      </c>
      <c r="CX22" s="13">
        <f t="shared" si="36"/>
        <v>0</v>
      </c>
      <c r="CY22" s="13">
        <f t="shared" si="37"/>
        <v>0</v>
      </c>
      <c r="CZ22" s="13">
        <f t="shared" si="38"/>
        <v>1.0986122886681098</v>
      </c>
      <c r="DA22" s="13">
        <f t="shared" si="39"/>
        <v>0</v>
      </c>
      <c r="DB22" s="13">
        <f t="shared" si="40"/>
        <v>0</v>
      </c>
      <c r="DC22" s="13">
        <f t="shared" si="41"/>
        <v>0</v>
      </c>
      <c r="DD22" s="13">
        <f t="shared" si="42"/>
        <v>0</v>
      </c>
      <c r="DE22" s="13">
        <f t="shared" si="43"/>
        <v>0</v>
      </c>
      <c r="DF22" s="13">
        <f t="shared" si="44"/>
        <v>0</v>
      </c>
      <c r="DG22" s="13">
        <f t="shared" si="45"/>
        <v>0</v>
      </c>
      <c r="DH22" s="13"/>
      <c r="DI22" s="13"/>
      <c r="DJ22" s="13"/>
      <c r="DL22" s="17"/>
      <c r="DM22" s="17"/>
      <c r="DN22" s="18" t="s">
        <v>1</v>
      </c>
      <c r="DO22" s="22">
        <v>0.42779263194649864</v>
      </c>
      <c r="DP22" s="28">
        <v>0.77754431603522955</v>
      </c>
    </row>
    <row r="23" spans="1:120">
      <c r="A23" s="13" t="s">
        <v>322</v>
      </c>
      <c r="B23" s="13" t="s">
        <v>281</v>
      </c>
      <c r="C23" s="13">
        <v>4</v>
      </c>
      <c r="D23" s="13" t="s">
        <v>320</v>
      </c>
      <c r="E23" s="13" t="s">
        <v>283</v>
      </c>
      <c r="F23" s="13">
        <v>0</v>
      </c>
      <c r="G23" s="13">
        <v>0</v>
      </c>
      <c r="H23" s="13">
        <v>0</v>
      </c>
      <c r="I23" s="13">
        <v>0</v>
      </c>
      <c r="J23" s="32">
        <v>0</v>
      </c>
      <c r="K23" s="13">
        <v>1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 s="32">
        <v>0</v>
      </c>
      <c r="BD23" s="32">
        <v>0</v>
      </c>
      <c r="BE23" s="32">
        <v>0</v>
      </c>
      <c r="BF23" s="32">
        <v>0</v>
      </c>
      <c r="BG23" s="32">
        <v>0</v>
      </c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>
        <f t="shared" si="2"/>
        <v>1</v>
      </c>
      <c r="BP23" s="13">
        <f t="shared" si="3"/>
        <v>1</v>
      </c>
      <c r="BQ23" s="13">
        <f>[1]!shannonweaver(K23:BL23)</f>
        <v>0</v>
      </c>
      <c r="BR23">
        <f t="shared" si="4"/>
        <v>0</v>
      </c>
      <c r="BS23">
        <f t="shared" si="5"/>
        <v>0</v>
      </c>
      <c r="BT23">
        <f t="shared" si="6"/>
        <v>0</v>
      </c>
      <c r="BU23">
        <f t="shared" si="7"/>
        <v>0</v>
      </c>
      <c r="BV23" s="13">
        <f t="shared" si="8"/>
        <v>0</v>
      </c>
      <c r="BW23" s="13">
        <f t="shared" si="9"/>
        <v>0</v>
      </c>
      <c r="BX23" s="13">
        <f t="shared" si="10"/>
        <v>0</v>
      </c>
      <c r="BY23" s="13">
        <f t="shared" si="11"/>
        <v>0</v>
      </c>
      <c r="BZ23" s="13">
        <f t="shared" si="12"/>
        <v>0</v>
      </c>
      <c r="CA23" s="13">
        <f t="shared" si="13"/>
        <v>0</v>
      </c>
      <c r="CB23" s="13">
        <f t="shared" si="14"/>
        <v>0</v>
      </c>
      <c r="CC23" s="13">
        <f t="shared" si="15"/>
        <v>0</v>
      </c>
      <c r="CD23" s="13">
        <f t="shared" si="16"/>
        <v>1</v>
      </c>
      <c r="CE23" s="13">
        <f t="shared" si="17"/>
        <v>1</v>
      </c>
      <c r="CF23" s="13">
        <f t="shared" si="18"/>
        <v>0</v>
      </c>
      <c r="CG23" s="13">
        <f t="shared" si="19"/>
        <v>0</v>
      </c>
      <c r="CH23" s="13">
        <f t="shared" si="20"/>
        <v>0</v>
      </c>
      <c r="CI23" s="13">
        <f t="shared" si="21"/>
        <v>0</v>
      </c>
      <c r="CJ23" s="13">
        <f t="shared" si="21"/>
        <v>0</v>
      </c>
      <c r="CK23" s="13">
        <f t="shared" si="23"/>
        <v>0</v>
      </c>
      <c r="CL23" s="13">
        <f t="shared" si="24"/>
        <v>0</v>
      </c>
      <c r="CM23" s="13">
        <f t="shared" si="25"/>
        <v>0</v>
      </c>
      <c r="CN23" s="13">
        <f t="shared" si="26"/>
        <v>0</v>
      </c>
      <c r="CO23" s="13">
        <f t="shared" si="27"/>
        <v>0</v>
      </c>
      <c r="CP23" s="13">
        <f t="shared" si="28"/>
        <v>0</v>
      </c>
      <c r="CQ23" s="13">
        <f t="shared" si="29"/>
        <v>0</v>
      </c>
      <c r="CR23" s="13">
        <f t="shared" si="30"/>
        <v>0</v>
      </c>
      <c r="CS23" s="13">
        <f t="shared" si="31"/>
        <v>0.69314718055994529</v>
      </c>
      <c r="CT23" s="13">
        <f t="shared" si="32"/>
        <v>0.69314718055994529</v>
      </c>
      <c r="CU23" s="13">
        <f t="shared" si="33"/>
        <v>0</v>
      </c>
      <c r="CV23" s="13">
        <f t="shared" si="34"/>
        <v>0</v>
      </c>
      <c r="CW23" s="13">
        <f t="shared" si="35"/>
        <v>0</v>
      </c>
      <c r="CX23" s="13">
        <f t="shared" si="36"/>
        <v>0</v>
      </c>
      <c r="CY23" s="13">
        <f t="shared" si="37"/>
        <v>0</v>
      </c>
      <c r="CZ23" s="13">
        <f t="shared" si="38"/>
        <v>0</v>
      </c>
      <c r="DA23" s="13">
        <f t="shared" si="39"/>
        <v>0</v>
      </c>
      <c r="DB23" s="13">
        <f t="shared" si="40"/>
        <v>0</v>
      </c>
      <c r="DC23" s="13">
        <f t="shared" si="41"/>
        <v>0</v>
      </c>
      <c r="DD23" s="13">
        <f t="shared" si="42"/>
        <v>0</v>
      </c>
      <c r="DE23" s="13">
        <f t="shared" si="43"/>
        <v>0</v>
      </c>
      <c r="DF23" s="13">
        <f t="shared" si="44"/>
        <v>0</v>
      </c>
      <c r="DG23" s="13">
        <f t="shared" si="45"/>
        <v>0</v>
      </c>
      <c r="DH23" s="13"/>
      <c r="DI23" s="13"/>
      <c r="DJ23" s="13"/>
      <c r="DL23" s="17"/>
      <c r="DM23" s="17"/>
      <c r="DN23" s="18" t="s">
        <v>2</v>
      </c>
      <c r="DO23" s="22">
        <v>0.16666666666666666</v>
      </c>
      <c r="DP23" s="28">
        <v>0.16666666666666666</v>
      </c>
    </row>
    <row r="24" spans="1:120">
      <c r="A24" s="13" t="s">
        <v>326</v>
      </c>
      <c r="B24" s="13" t="s">
        <v>281</v>
      </c>
      <c r="C24" s="13">
        <v>4</v>
      </c>
      <c r="D24" s="13" t="s">
        <v>320</v>
      </c>
      <c r="E24" s="13" t="s">
        <v>283</v>
      </c>
      <c r="F24" s="13">
        <v>0</v>
      </c>
      <c r="G24" s="13">
        <v>0</v>
      </c>
      <c r="H24" s="13">
        <v>0</v>
      </c>
      <c r="I24" s="13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13">
        <v>2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 s="32">
        <v>0</v>
      </c>
      <c r="BD24" s="32">
        <v>0</v>
      </c>
      <c r="BE24" s="32">
        <v>0</v>
      </c>
      <c r="BF24" s="32">
        <v>0</v>
      </c>
      <c r="BG24" s="32">
        <v>0</v>
      </c>
      <c r="BH24" s="32">
        <v>0</v>
      </c>
      <c r="BI24" s="13">
        <v>1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>
        <f t="shared" si="2"/>
        <v>2</v>
      </c>
      <c r="BP24" s="13">
        <f t="shared" si="3"/>
        <v>3</v>
      </c>
      <c r="BQ24" s="13">
        <f>[1]!shannonweaver(K24:BL24)</f>
        <v>0.63651416829481278</v>
      </c>
      <c r="BR24">
        <f t="shared" si="4"/>
        <v>0</v>
      </c>
      <c r="BS24">
        <f t="shared" si="5"/>
        <v>1</v>
      </c>
      <c r="BT24">
        <f t="shared" si="6"/>
        <v>0</v>
      </c>
      <c r="BU24">
        <f t="shared" si="7"/>
        <v>0</v>
      </c>
      <c r="BV24" s="13">
        <f t="shared" si="8"/>
        <v>0</v>
      </c>
      <c r="BW24" s="13">
        <f t="shared" si="9"/>
        <v>0</v>
      </c>
      <c r="BX24" s="13">
        <f t="shared" si="10"/>
        <v>0</v>
      </c>
      <c r="BY24" s="13">
        <f t="shared" si="11"/>
        <v>0</v>
      </c>
      <c r="BZ24" s="13">
        <f t="shared" si="12"/>
        <v>0</v>
      </c>
      <c r="CA24" s="13">
        <f t="shared" si="13"/>
        <v>2</v>
      </c>
      <c r="CB24" s="13">
        <f t="shared" si="14"/>
        <v>0</v>
      </c>
      <c r="CC24" s="13">
        <f t="shared" si="15"/>
        <v>0</v>
      </c>
      <c r="CD24" s="13">
        <f t="shared" si="16"/>
        <v>1.4142135623730951</v>
      </c>
      <c r="CE24" s="13">
        <f t="shared" si="17"/>
        <v>1.7320508075688772</v>
      </c>
      <c r="CF24" s="13">
        <f t="shared" si="18"/>
        <v>0.79781838051953446</v>
      </c>
      <c r="CG24" s="13">
        <f t="shared" si="19"/>
        <v>0</v>
      </c>
      <c r="CH24" s="13">
        <f t="shared" si="20"/>
        <v>1</v>
      </c>
      <c r="CI24" s="13">
        <f t="shared" si="21"/>
        <v>0</v>
      </c>
      <c r="CJ24" s="13">
        <f t="shared" si="21"/>
        <v>0</v>
      </c>
      <c r="CK24" s="13">
        <f t="shared" si="23"/>
        <v>0</v>
      </c>
      <c r="CL24" s="13">
        <f t="shared" si="24"/>
        <v>0</v>
      </c>
      <c r="CM24" s="13">
        <f t="shared" si="25"/>
        <v>0</v>
      </c>
      <c r="CN24" s="13">
        <f t="shared" si="26"/>
        <v>0</v>
      </c>
      <c r="CO24" s="13">
        <f t="shared" si="27"/>
        <v>0</v>
      </c>
      <c r="CP24" s="13">
        <f t="shared" si="28"/>
        <v>1.4142135623730951</v>
      </c>
      <c r="CQ24" s="13">
        <f t="shared" si="29"/>
        <v>0</v>
      </c>
      <c r="CR24" s="13">
        <f t="shared" si="30"/>
        <v>0</v>
      </c>
      <c r="CS24" s="13">
        <f t="shared" si="31"/>
        <v>1.0986122886681098</v>
      </c>
      <c r="CT24" s="13">
        <f t="shared" si="32"/>
        <v>1.3862943611198906</v>
      </c>
      <c r="CU24" s="13">
        <f t="shared" si="33"/>
        <v>0.49256847260253284</v>
      </c>
      <c r="CV24" s="13">
        <f t="shared" si="34"/>
        <v>0</v>
      </c>
      <c r="CW24" s="13">
        <f t="shared" si="35"/>
        <v>0.69314718055994529</v>
      </c>
      <c r="CX24" s="13">
        <f t="shared" si="36"/>
        <v>0</v>
      </c>
      <c r="CY24" s="13">
        <f t="shared" si="37"/>
        <v>0</v>
      </c>
      <c r="CZ24" s="13">
        <f t="shared" si="38"/>
        <v>0</v>
      </c>
      <c r="DA24" s="13">
        <f t="shared" si="39"/>
        <v>0</v>
      </c>
      <c r="DB24" s="13">
        <f t="shared" si="40"/>
        <v>0</v>
      </c>
      <c r="DC24" s="13">
        <f t="shared" si="41"/>
        <v>0</v>
      </c>
      <c r="DD24" s="13">
        <f t="shared" si="42"/>
        <v>0</v>
      </c>
      <c r="DE24" s="13">
        <f t="shared" si="43"/>
        <v>1.0986122886681098</v>
      </c>
      <c r="DF24" s="13">
        <f t="shared" si="44"/>
        <v>0</v>
      </c>
      <c r="DG24" s="13">
        <f t="shared" si="45"/>
        <v>0</v>
      </c>
      <c r="DH24" s="13"/>
      <c r="DI24" s="13"/>
      <c r="DJ24" s="13"/>
      <c r="DL24" s="17"/>
      <c r="DM24" s="17"/>
      <c r="DN24" s="18" t="s">
        <v>3</v>
      </c>
      <c r="DO24" s="22">
        <v>0.38348249442368521</v>
      </c>
      <c r="DP24" s="28">
        <v>0.51449575542752657</v>
      </c>
    </row>
    <row r="25" spans="1:120">
      <c r="A25" s="13" t="s">
        <v>327</v>
      </c>
      <c r="B25" s="13" t="s">
        <v>281</v>
      </c>
      <c r="C25" s="13">
        <v>4</v>
      </c>
      <c r="D25" s="13" t="s">
        <v>320</v>
      </c>
      <c r="E25" s="13" t="s">
        <v>283</v>
      </c>
      <c r="F25" s="13">
        <v>0</v>
      </c>
      <c r="G25" s="13">
        <v>0</v>
      </c>
      <c r="H25" s="13">
        <v>0</v>
      </c>
      <c r="I25" s="13">
        <v>0</v>
      </c>
      <c r="J25" s="32">
        <v>0</v>
      </c>
      <c r="K25" s="32">
        <v>0</v>
      </c>
      <c r="L25" s="32">
        <v>0</v>
      </c>
      <c r="M25" s="13">
        <v>1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13">
        <v>1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13">
        <v>1</v>
      </c>
      <c r="AZ25" s="32">
        <v>0</v>
      </c>
      <c r="BA25" s="32">
        <v>0</v>
      </c>
      <c r="BB25" s="32">
        <v>0</v>
      </c>
      <c r="BC25" s="32">
        <v>0</v>
      </c>
      <c r="BD25" s="32">
        <v>0</v>
      </c>
      <c r="BE25" s="32">
        <v>0</v>
      </c>
      <c r="BF25" s="32">
        <v>0</v>
      </c>
      <c r="BG25" s="32">
        <v>0</v>
      </c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>
        <f t="shared" si="2"/>
        <v>3</v>
      </c>
      <c r="BP25" s="13">
        <f t="shared" si="3"/>
        <v>3</v>
      </c>
      <c r="BQ25" s="13">
        <f>[1]!shannonweaver(K25:BL25)</f>
        <v>1.0986122886681096</v>
      </c>
      <c r="BR25">
        <f t="shared" si="4"/>
        <v>1</v>
      </c>
      <c r="BS25">
        <f t="shared" si="5"/>
        <v>0</v>
      </c>
      <c r="BT25">
        <f t="shared" si="6"/>
        <v>1</v>
      </c>
      <c r="BU25">
        <f t="shared" si="7"/>
        <v>0</v>
      </c>
      <c r="BV25" s="13">
        <f t="shared" si="8"/>
        <v>1</v>
      </c>
      <c r="BW25" s="13">
        <f t="shared" si="9"/>
        <v>0</v>
      </c>
      <c r="BX25" s="13">
        <f t="shared" si="10"/>
        <v>0</v>
      </c>
      <c r="BY25" s="13">
        <f t="shared" si="11"/>
        <v>0</v>
      </c>
      <c r="BZ25" s="13">
        <f t="shared" si="12"/>
        <v>0</v>
      </c>
      <c r="CA25" s="13">
        <f t="shared" si="13"/>
        <v>0</v>
      </c>
      <c r="CB25" s="13">
        <f t="shared" si="14"/>
        <v>1</v>
      </c>
      <c r="CC25" s="13">
        <f t="shared" si="15"/>
        <v>0</v>
      </c>
      <c r="CD25" s="13">
        <f t="shared" si="16"/>
        <v>1.7320508075688772</v>
      </c>
      <c r="CE25" s="13">
        <f t="shared" si="17"/>
        <v>1.7320508075688772</v>
      </c>
      <c r="CF25" s="13">
        <f t="shared" si="18"/>
        <v>1.0481470739682048</v>
      </c>
      <c r="CG25" s="13">
        <f t="shared" si="19"/>
        <v>1</v>
      </c>
      <c r="CH25" s="13">
        <f t="shared" si="20"/>
        <v>0</v>
      </c>
      <c r="CI25" s="13">
        <f t="shared" si="21"/>
        <v>1</v>
      </c>
      <c r="CJ25" s="13">
        <f t="shared" si="21"/>
        <v>0</v>
      </c>
      <c r="CK25" s="13">
        <f t="shared" si="23"/>
        <v>1</v>
      </c>
      <c r="CL25" s="13">
        <f t="shared" si="24"/>
        <v>0</v>
      </c>
      <c r="CM25" s="13">
        <f t="shared" si="25"/>
        <v>0</v>
      </c>
      <c r="CN25" s="13">
        <f t="shared" si="26"/>
        <v>0</v>
      </c>
      <c r="CO25" s="13">
        <f t="shared" si="27"/>
        <v>0</v>
      </c>
      <c r="CP25" s="13">
        <f t="shared" si="28"/>
        <v>0</v>
      </c>
      <c r="CQ25" s="13">
        <f t="shared" si="29"/>
        <v>1</v>
      </c>
      <c r="CR25" s="13">
        <f t="shared" si="30"/>
        <v>0</v>
      </c>
      <c r="CS25" s="13">
        <f t="shared" si="31"/>
        <v>1.3862943611198906</v>
      </c>
      <c r="CT25" s="13">
        <f t="shared" si="32"/>
        <v>1.3862943611198906</v>
      </c>
      <c r="CU25" s="13">
        <f t="shared" si="33"/>
        <v>0.74127631137501515</v>
      </c>
      <c r="CV25" s="13">
        <f t="shared" si="34"/>
        <v>0.69314718055994529</v>
      </c>
      <c r="CW25" s="13">
        <f t="shared" si="35"/>
        <v>0</v>
      </c>
      <c r="CX25" s="13">
        <f t="shared" si="36"/>
        <v>0.69314718055994529</v>
      </c>
      <c r="CY25" s="13">
        <f t="shared" si="37"/>
        <v>0</v>
      </c>
      <c r="CZ25" s="13">
        <f t="shared" si="38"/>
        <v>0.69314718055994529</v>
      </c>
      <c r="DA25" s="13">
        <f t="shared" si="39"/>
        <v>0</v>
      </c>
      <c r="DB25" s="13">
        <f t="shared" si="40"/>
        <v>0</v>
      </c>
      <c r="DC25" s="13">
        <f t="shared" si="41"/>
        <v>0</v>
      </c>
      <c r="DD25" s="13">
        <f t="shared" si="42"/>
        <v>0</v>
      </c>
      <c r="DE25" s="13">
        <f t="shared" si="43"/>
        <v>0</v>
      </c>
      <c r="DF25" s="13">
        <f t="shared" si="44"/>
        <v>0.69314718055994529</v>
      </c>
      <c r="DG25" s="13">
        <f t="shared" si="45"/>
        <v>0</v>
      </c>
      <c r="DH25" s="13"/>
      <c r="DI25" s="13"/>
      <c r="DJ25" s="13"/>
      <c r="DL25" s="17"/>
      <c r="DM25" s="16" t="s">
        <v>176</v>
      </c>
      <c r="DN25" s="16" t="s">
        <v>0</v>
      </c>
      <c r="DO25" s="21">
        <v>1.7777777777777777</v>
      </c>
      <c r="DP25" s="27">
        <v>2.5</v>
      </c>
    </row>
    <row r="26" spans="1:120">
      <c r="A26" t="s">
        <v>329</v>
      </c>
      <c r="B26" t="s">
        <v>281</v>
      </c>
      <c r="C26">
        <v>5</v>
      </c>
      <c r="D26" s="13" t="s">
        <v>320</v>
      </c>
      <c r="E26" t="s">
        <v>283</v>
      </c>
      <c r="F26" s="13">
        <v>0</v>
      </c>
      <c r="G26" s="13">
        <v>0</v>
      </c>
      <c r="H26" s="13">
        <v>0</v>
      </c>
      <c r="I26" s="13">
        <v>1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 s="32">
        <v>0</v>
      </c>
      <c r="BD26" s="32">
        <v>0</v>
      </c>
      <c r="BE26" s="32">
        <v>0</v>
      </c>
      <c r="BF26" s="32">
        <v>0</v>
      </c>
      <c r="BG26" s="32">
        <v>0</v>
      </c>
      <c r="BH26" s="32">
        <v>0</v>
      </c>
      <c r="BI26" s="32">
        <v>0</v>
      </c>
      <c r="BJ26" s="32">
        <v>0</v>
      </c>
      <c r="BK26" s="32">
        <v>0</v>
      </c>
      <c r="BL26" s="32">
        <v>0</v>
      </c>
      <c r="BM26" s="32">
        <v>0</v>
      </c>
      <c r="BN26" s="32">
        <v>0</v>
      </c>
      <c r="BO26">
        <f t="shared" si="2"/>
        <v>0</v>
      </c>
      <c r="BP26" s="13">
        <f t="shared" si="3"/>
        <v>0</v>
      </c>
      <c r="BQ26" s="13">
        <v>0</v>
      </c>
      <c r="BR26">
        <f t="shared" si="4"/>
        <v>0</v>
      </c>
      <c r="BS26">
        <f t="shared" si="5"/>
        <v>0</v>
      </c>
      <c r="BT26">
        <f t="shared" si="6"/>
        <v>0</v>
      </c>
      <c r="BU26">
        <f t="shared" si="7"/>
        <v>0</v>
      </c>
      <c r="BV26" s="13">
        <f t="shared" si="8"/>
        <v>0</v>
      </c>
      <c r="BW26" s="13">
        <f t="shared" si="9"/>
        <v>0</v>
      </c>
      <c r="BX26" s="13">
        <f t="shared" si="10"/>
        <v>0</v>
      </c>
      <c r="BY26" s="13">
        <f t="shared" si="11"/>
        <v>0</v>
      </c>
      <c r="BZ26" s="13">
        <f t="shared" si="12"/>
        <v>0</v>
      </c>
      <c r="CA26" s="13">
        <f t="shared" si="13"/>
        <v>0</v>
      </c>
      <c r="CB26" s="13">
        <f t="shared" si="14"/>
        <v>0</v>
      </c>
      <c r="CC26" s="13">
        <f t="shared" si="15"/>
        <v>0</v>
      </c>
      <c r="CD26" s="13">
        <f t="shared" si="16"/>
        <v>0</v>
      </c>
      <c r="CE26" s="13">
        <f t="shared" si="17"/>
        <v>0</v>
      </c>
      <c r="CF26" s="13">
        <f t="shared" si="18"/>
        <v>0</v>
      </c>
      <c r="CG26" s="13">
        <f t="shared" si="19"/>
        <v>0</v>
      </c>
      <c r="CH26" s="13">
        <f t="shared" si="20"/>
        <v>0</v>
      </c>
      <c r="CI26" s="13">
        <f t="shared" si="21"/>
        <v>0</v>
      </c>
      <c r="CJ26" s="13">
        <f t="shared" si="21"/>
        <v>0</v>
      </c>
      <c r="CK26" s="13">
        <f t="shared" si="23"/>
        <v>0</v>
      </c>
      <c r="CL26" s="13">
        <f t="shared" si="24"/>
        <v>0</v>
      </c>
      <c r="CM26" s="13">
        <f t="shared" si="25"/>
        <v>0</v>
      </c>
      <c r="CN26" s="13">
        <f t="shared" si="26"/>
        <v>0</v>
      </c>
      <c r="CO26" s="13">
        <f t="shared" si="27"/>
        <v>0</v>
      </c>
      <c r="CP26" s="13">
        <f t="shared" si="28"/>
        <v>0</v>
      </c>
      <c r="CQ26" s="13">
        <f t="shared" si="29"/>
        <v>0</v>
      </c>
      <c r="CR26" s="13">
        <f t="shared" si="30"/>
        <v>0</v>
      </c>
      <c r="CS26" s="13">
        <f t="shared" si="31"/>
        <v>0</v>
      </c>
      <c r="CT26" s="13">
        <f t="shared" si="32"/>
        <v>0</v>
      </c>
      <c r="CU26" s="13">
        <f t="shared" si="33"/>
        <v>0</v>
      </c>
      <c r="CV26" s="13">
        <f t="shared" si="34"/>
        <v>0</v>
      </c>
      <c r="CW26" s="13">
        <f t="shared" si="35"/>
        <v>0</v>
      </c>
      <c r="CX26" s="13">
        <f t="shared" si="36"/>
        <v>0</v>
      </c>
      <c r="CY26" s="13">
        <f t="shared" si="37"/>
        <v>0</v>
      </c>
      <c r="CZ26" s="13">
        <f t="shared" si="38"/>
        <v>0</v>
      </c>
      <c r="DA26" s="13">
        <f t="shared" si="39"/>
        <v>0</v>
      </c>
      <c r="DB26" s="13">
        <f t="shared" si="40"/>
        <v>0</v>
      </c>
      <c r="DC26" s="13">
        <f t="shared" si="41"/>
        <v>0</v>
      </c>
      <c r="DD26" s="13">
        <f t="shared" si="42"/>
        <v>0</v>
      </c>
      <c r="DE26" s="13">
        <f t="shared" si="43"/>
        <v>0</v>
      </c>
      <c r="DF26" s="13">
        <f t="shared" si="44"/>
        <v>0</v>
      </c>
      <c r="DG26" s="13">
        <f t="shared" si="45"/>
        <v>0</v>
      </c>
      <c r="DH26" s="13"/>
      <c r="DI26" s="13"/>
      <c r="DJ26" s="13"/>
      <c r="DL26" s="17"/>
      <c r="DM26" s="17"/>
      <c r="DN26" s="18" t="s">
        <v>1</v>
      </c>
      <c r="DO26" s="22">
        <v>1.8647048514460769</v>
      </c>
      <c r="DP26" s="28">
        <v>1.0981267472114393</v>
      </c>
    </row>
    <row r="27" spans="1:120">
      <c r="A27" t="s">
        <v>331</v>
      </c>
      <c r="B27" t="s">
        <v>281</v>
      </c>
      <c r="C27">
        <v>5</v>
      </c>
      <c r="D27" s="13" t="s">
        <v>320</v>
      </c>
      <c r="E27" t="s">
        <v>283</v>
      </c>
      <c r="F27" s="13">
        <v>0</v>
      </c>
      <c r="G27" s="13">
        <v>0</v>
      </c>
      <c r="H27" s="13">
        <v>0</v>
      </c>
      <c r="I27" s="13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13">
        <v>4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 s="32">
        <v>0</v>
      </c>
      <c r="BD27" s="32">
        <v>0</v>
      </c>
      <c r="BE27" s="32">
        <v>0</v>
      </c>
      <c r="BF27" s="32">
        <v>0</v>
      </c>
      <c r="BG27" s="32">
        <v>0</v>
      </c>
      <c r="BH27" s="32">
        <v>0</v>
      </c>
      <c r="BI27" s="32">
        <v>0</v>
      </c>
      <c r="BJ27" s="32">
        <v>0</v>
      </c>
      <c r="BK27" s="32">
        <v>0</v>
      </c>
      <c r="BL27" s="32">
        <v>0</v>
      </c>
      <c r="BM27" s="32">
        <v>0</v>
      </c>
      <c r="BN27" s="32">
        <v>0</v>
      </c>
      <c r="BO27">
        <f t="shared" si="2"/>
        <v>1</v>
      </c>
      <c r="BP27" s="13">
        <f t="shared" si="3"/>
        <v>4</v>
      </c>
      <c r="BQ27" s="13">
        <f>[1]!shannonweaver(K27:BL27)</f>
        <v>0</v>
      </c>
      <c r="BR27">
        <f t="shared" si="4"/>
        <v>0</v>
      </c>
      <c r="BS27">
        <f t="shared" si="5"/>
        <v>1</v>
      </c>
      <c r="BT27">
        <f t="shared" si="6"/>
        <v>0</v>
      </c>
      <c r="BU27">
        <f t="shared" si="7"/>
        <v>0</v>
      </c>
      <c r="BV27" s="13">
        <f t="shared" si="8"/>
        <v>0</v>
      </c>
      <c r="BW27" s="13">
        <f t="shared" si="9"/>
        <v>0</v>
      </c>
      <c r="BX27" s="13">
        <f t="shared" si="10"/>
        <v>0</v>
      </c>
      <c r="BY27" s="13">
        <f t="shared" si="11"/>
        <v>0</v>
      </c>
      <c r="BZ27" s="13">
        <f t="shared" si="12"/>
        <v>4</v>
      </c>
      <c r="CA27" s="13">
        <f t="shared" si="13"/>
        <v>4</v>
      </c>
      <c r="CB27" s="13">
        <f t="shared" si="14"/>
        <v>0</v>
      </c>
      <c r="CC27" s="13">
        <f t="shared" si="15"/>
        <v>0</v>
      </c>
      <c r="CD27" s="13">
        <f t="shared" si="16"/>
        <v>1</v>
      </c>
      <c r="CE27" s="13">
        <f t="shared" si="17"/>
        <v>2</v>
      </c>
      <c r="CF27" s="13">
        <f t="shared" si="18"/>
        <v>0</v>
      </c>
      <c r="CG27" s="13">
        <f t="shared" si="19"/>
        <v>0</v>
      </c>
      <c r="CH27" s="13">
        <f t="shared" si="20"/>
        <v>1</v>
      </c>
      <c r="CI27" s="13">
        <f t="shared" si="21"/>
        <v>0</v>
      </c>
      <c r="CJ27" s="13">
        <f t="shared" si="21"/>
        <v>0</v>
      </c>
      <c r="CK27" s="13">
        <f t="shared" si="23"/>
        <v>0</v>
      </c>
      <c r="CL27" s="13">
        <f t="shared" si="24"/>
        <v>0</v>
      </c>
      <c r="CM27" s="13">
        <f t="shared" si="25"/>
        <v>0</v>
      </c>
      <c r="CN27" s="13">
        <f t="shared" si="26"/>
        <v>0</v>
      </c>
      <c r="CO27" s="13">
        <f t="shared" si="27"/>
        <v>2</v>
      </c>
      <c r="CP27" s="13">
        <f t="shared" si="28"/>
        <v>2</v>
      </c>
      <c r="CQ27" s="13">
        <f t="shared" si="29"/>
        <v>0</v>
      </c>
      <c r="CR27" s="13">
        <f t="shared" si="30"/>
        <v>0</v>
      </c>
      <c r="CS27" s="13">
        <f t="shared" si="31"/>
        <v>0.69314718055994529</v>
      </c>
      <c r="CT27" s="13">
        <f t="shared" si="32"/>
        <v>1.6094379124341003</v>
      </c>
      <c r="CU27" s="13">
        <f t="shared" si="33"/>
        <v>0</v>
      </c>
      <c r="CV27" s="13">
        <f t="shared" si="34"/>
        <v>0</v>
      </c>
      <c r="CW27" s="13">
        <f t="shared" si="35"/>
        <v>0.69314718055994529</v>
      </c>
      <c r="CX27" s="13">
        <f t="shared" si="36"/>
        <v>0</v>
      </c>
      <c r="CY27" s="13">
        <f t="shared" si="37"/>
        <v>0</v>
      </c>
      <c r="CZ27" s="13">
        <f t="shared" si="38"/>
        <v>0</v>
      </c>
      <c r="DA27" s="13">
        <f t="shared" si="39"/>
        <v>0</v>
      </c>
      <c r="DB27" s="13">
        <f t="shared" si="40"/>
        <v>0</v>
      </c>
      <c r="DC27" s="13">
        <f t="shared" si="41"/>
        <v>0</v>
      </c>
      <c r="DD27" s="13">
        <f t="shared" si="42"/>
        <v>1.6094379124341003</v>
      </c>
      <c r="DE27" s="13">
        <f t="shared" si="43"/>
        <v>1.6094379124341003</v>
      </c>
      <c r="DF27" s="13">
        <f t="shared" si="44"/>
        <v>0</v>
      </c>
      <c r="DG27" s="13">
        <f t="shared" si="45"/>
        <v>0</v>
      </c>
      <c r="DH27" s="13"/>
      <c r="DI27" s="13"/>
      <c r="DJ27" s="13"/>
      <c r="DL27" s="17"/>
      <c r="DM27" s="17"/>
      <c r="DN27" s="18" t="s">
        <v>2</v>
      </c>
      <c r="DO27" s="22">
        <v>1.5555555555555556</v>
      </c>
      <c r="DP27" s="28">
        <v>1.7777777777777777</v>
      </c>
    </row>
    <row r="28" spans="1:120">
      <c r="A28" t="s">
        <v>249</v>
      </c>
      <c r="B28" t="s">
        <v>281</v>
      </c>
      <c r="C28">
        <v>5</v>
      </c>
      <c r="D28" s="13" t="s">
        <v>320</v>
      </c>
      <c r="E28" t="s">
        <v>283</v>
      </c>
      <c r="F28" s="13">
        <v>0</v>
      </c>
      <c r="G28" s="13">
        <v>0</v>
      </c>
      <c r="H28" s="13">
        <v>0</v>
      </c>
      <c r="I28" s="13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>
        <f t="shared" si="2"/>
        <v>0</v>
      </c>
      <c r="BP28" s="13">
        <f t="shared" si="3"/>
        <v>0</v>
      </c>
      <c r="BQ28" s="13">
        <v>0</v>
      </c>
      <c r="BR28">
        <f t="shared" si="4"/>
        <v>0</v>
      </c>
      <c r="BS28">
        <f t="shared" si="5"/>
        <v>0</v>
      </c>
      <c r="BT28">
        <f t="shared" si="6"/>
        <v>0</v>
      </c>
      <c r="BU28">
        <f t="shared" si="7"/>
        <v>0</v>
      </c>
      <c r="BV28" s="13">
        <f t="shared" si="8"/>
        <v>0</v>
      </c>
      <c r="BW28" s="13">
        <f t="shared" si="9"/>
        <v>0</v>
      </c>
      <c r="BX28" s="13">
        <f t="shared" si="10"/>
        <v>0</v>
      </c>
      <c r="BY28" s="13">
        <f t="shared" si="11"/>
        <v>0</v>
      </c>
      <c r="BZ28" s="13">
        <f t="shared" si="12"/>
        <v>0</v>
      </c>
      <c r="CA28" s="13">
        <f t="shared" si="13"/>
        <v>0</v>
      </c>
      <c r="CB28" s="13">
        <f t="shared" si="14"/>
        <v>0</v>
      </c>
      <c r="CC28" s="13">
        <f t="shared" si="15"/>
        <v>0</v>
      </c>
      <c r="CD28" s="13">
        <f t="shared" si="16"/>
        <v>0</v>
      </c>
      <c r="CE28" s="13">
        <f t="shared" si="17"/>
        <v>0</v>
      </c>
      <c r="CF28" s="13">
        <f t="shared" si="18"/>
        <v>0</v>
      </c>
      <c r="CG28" s="13">
        <f t="shared" si="19"/>
        <v>0</v>
      </c>
      <c r="CH28" s="13">
        <f t="shared" si="20"/>
        <v>0</v>
      </c>
      <c r="CI28" s="13">
        <f t="shared" si="21"/>
        <v>0</v>
      </c>
      <c r="CJ28" s="13">
        <f t="shared" si="21"/>
        <v>0</v>
      </c>
      <c r="CK28" s="13">
        <f t="shared" si="23"/>
        <v>0</v>
      </c>
      <c r="CL28" s="13">
        <f t="shared" si="24"/>
        <v>0</v>
      </c>
      <c r="CM28" s="13">
        <f t="shared" si="25"/>
        <v>0</v>
      </c>
      <c r="CN28" s="13">
        <f t="shared" si="26"/>
        <v>0</v>
      </c>
      <c r="CO28" s="13">
        <f t="shared" si="27"/>
        <v>0</v>
      </c>
      <c r="CP28" s="13">
        <f t="shared" si="28"/>
        <v>0</v>
      </c>
      <c r="CQ28" s="13">
        <f t="shared" si="29"/>
        <v>0</v>
      </c>
      <c r="CR28" s="13">
        <f t="shared" si="30"/>
        <v>0</v>
      </c>
      <c r="CS28" s="13">
        <f t="shared" si="31"/>
        <v>0</v>
      </c>
      <c r="CT28" s="13">
        <f t="shared" si="32"/>
        <v>0</v>
      </c>
      <c r="CU28" s="13">
        <f t="shared" si="33"/>
        <v>0</v>
      </c>
      <c r="CV28" s="13">
        <f t="shared" si="34"/>
        <v>0</v>
      </c>
      <c r="CW28" s="13">
        <f t="shared" si="35"/>
        <v>0</v>
      </c>
      <c r="CX28" s="13">
        <f t="shared" si="36"/>
        <v>0</v>
      </c>
      <c r="CY28" s="13">
        <f t="shared" si="37"/>
        <v>0</v>
      </c>
      <c r="CZ28" s="13">
        <f t="shared" si="38"/>
        <v>0</v>
      </c>
      <c r="DA28" s="13">
        <f t="shared" si="39"/>
        <v>0</v>
      </c>
      <c r="DB28" s="13">
        <f t="shared" si="40"/>
        <v>0</v>
      </c>
      <c r="DC28" s="13">
        <f t="shared" si="41"/>
        <v>0</v>
      </c>
      <c r="DD28" s="13">
        <f t="shared" si="42"/>
        <v>0</v>
      </c>
      <c r="DE28" s="13">
        <f t="shared" si="43"/>
        <v>0</v>
      </c>
      <c r="DF28" s="13">
        <f t="shared" si="44"/>
        <v>0</v>
      </c>
      <c r="DG28" s="13">
        <f t="shared" si="45"/>
        <v>0</v>
      </c>
      <c r="DH28" s="13"/>
      <c r="DI28" s="13"/>
      <c r="DJ28" s="13"/>
      <c r="DL28" s="17"/>
      <c r="DM28" s="17"/>
      <c r="DN28" s="18" t="s">
        <v>3</v>
      </c>
      <c r="DO28" s="22">
        <v>1.854159781877502</v>
      </c>
      <c r="DP28" s="28">
        <v>1.1659661762602751</v>
      </c>
    </row>
    <row r="29" spans="1:120">
      <c r="A29" t="s">
        <v>250</v>
      </c>
      <c r="B29" t="s">
        <v>281</v>
      </c>
      <c r="C29">
        <v>5</v>
      </c>
      <c r="D29" s="13" t="s">
        <v>320</v>
      </c>
      <c r="E29" t="s">
        <v>283</v>
      </c>
      <c r="F29" s="13">
        <v>0</v>
      </c>
      <c r="G29" s="13">
        <v>0</v>
      </c>
      <c r="H29" s="13">
        <v>0</v>
      </c>
      <c r="I29" s="13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13">
        <v>1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>
        <f t="shared" si="2"/>
        <v>1</v>
      </c>
      <c r="BP29" s="13">
        <f t="shared" si="3"/>
        <v>1</v>
      </c>
      <c r="BQ29" s="13">
        <f>[1]!shannonweaver(K29:BL29)</f>
        <v>0</v>
      </c>
      <c r="BR29">
        <f t="shared" si="4"/>
        <v>0</v>
      </c>
      <c r="BS29">
        <f t="shared" si="5"/>
        <v>1</v>
      </c>
      <c r="BT29">
        <f t="shared" si="6"/>
        <v>0</v>
      </c>
      <c r="BU29">
        <f t="shared" si="7"/>
        <v>0</v>
      </c>
      <c r="BV29" s="13">
        <f t="shared" si="8"/>
        <v>0</v>
      </c>
      <c r="BW29" s="13">
        <f t="shared" si="9"/>
        <v>0</v>
      </c>
      <c r="BX29" s="13">
        <f t="shared" si="10"/>
        <v>0</v>
      </c>
      <c r="BY29" s="13">
        <f t="shared" si="11"/>
        <v>0</v>
      </c>
      <c r="BZ29" s="13">
        <f t="shared" si="12"/>
        <v>1</v>
      </c>
      <c r="CA29" s="13">
        <f t="shared" si="13"/>
        <v>1</v>
      </c>
      <c r="CB29" s="13">
        <f t="shared" si="14"/>
        <v>0</v>
      </c>
      <c r="CC29" s="13">
        <f t="shared" si="15"/>
        <v>0</v>
      </c>
      <c r="CD29" s="13">
        <f t="shared" si="16"/>
        <v>1</v>
      </c>
      <c r="CE29" s="13">
        <f t="shared" si="17"/>
        <v>1</v>
      </c>
      <c r="CF29" s="13">
        <f t="shared" si="18"/>
        <v>0</v>
      </c>
      <c r="CG29" s="13">
        <f t="shared" si="19"/>
        <v>0</v>
      </c>
      <c r="CH29" s="13">
        <f t="shared" si="20"/>
        <v>1</v>
      </c>
      <c r="CI29" s="13">
        <f t="shared" si="21"/>
        <v>0</v>
      </c>
      <c r="CJ29" s="13">
        <f t="shared" si="21"/>
        <v>0</v>
      </c>
      <c r="CK29" s="13">
        <f t="shared" si="23"/>
        <v>0</v>
      </c>
      <c r="CL29" s="13">
        <f t="shared" si="24"/>
        <v>0</v>
      </c>
      <c r="CM29" s="13">
        <f t="shared" si="25"/>
        <v>0</v>
      </c>
      <c r="CN29" s="13">
        <f t="shared" si="26"/>
        <v>0</v>
      </c>
      <c r="CO29" s="13">
        <f t="shared" si="27"/>
        <v>1</v>
      </c>
      <c r="CP29" s="13">
        <f t="shared" si="28"/>
        <v>1</v>
      </c>
      <c r="CQ29" s="13">
        <f t="shared" si="29"/>
        <v>0</v>
      </c>
      <c r="CR29" s="13">
        <f t="shared" si="30"/>
        <v>0</v>
      </c>
      <c r="CS29" s="13">
        <f t="shared" si="31"/>
        <v>0.69314718055994529</v>
      </c>
      <c r="CT29" s="13">
        <f t="shared" si="32"/>
        <v>0.69314718055994529</v>
      </c>
      <c r="CU29" s="13">
        <f t="shared" si="33"/>
        <v>0</v>
      </c>
      <c r="CV29" s="13">
        <f t="shared" si="34"/>
        <v>0</v>
      </c>
      <c r="CW29" s="13">
        <f t="shared" si="35"/>
        <v>0.69314718055994529</v>
      </c>
      <c r="CX29" s="13">
        <f t="shared" si="36"/>
        <v>0</v>
      </c>
      <c r="CY29" s="13">
        <f t="shared" si="37"/>
        <v>0</v>
      </c>
      <c r="CZ29" s="13">
        <f t="shared" si="38"/>
        <v>0</v>
      </c>
      <c r="DA29" s="13">
        <f t="shared" si="39"/>
        <v>0</v>
      </c>
      <c r="DB29" s="13">
        <f t="shared" si="40"/>
        <v>0</v>
      </c>
      <c r="DC29" s="13">
        <f t="shared" si="41"/>
        <v>0</v>
      </c>
      <c r="DD29" s="13">
        <f t="shared" si="42"/>
        <v>0.69314718055994529</v>
      </c>
      <c r="DE29" s="13">
        <f t="shared" si="43"/>
        <v>0.69314718055994529</v>
      </c>
      <c r="DF29" s="13">
        <f t="shared" si="44"/>
        <v>0</v>
      </c>
      <c r="DG29" s="13">
        <f t="shared" si="45"/>
        <v>0</v>
      </c>
      <c r="DH29" s="13"/>
      <c r="DI29" s="13"/>
      <c r="DJ29" s="13"/>
      <c r="DL29" s="17"/>
      <c r="DM29" s="16" t="s">
        <v>281</v>
      </c>
      <c r="DN29" s="16" t="s">
        <v>0</v>
      </c>
      <c r="DO29" s="21">
        <v>0.72222222222222221</v>
      </c>
      <c r="DP29" s="27">
        <v>0.72222222222222221</v>
      </c>
    </row>
    <row r="30" spans="1:120">
      <c r="A30" t="s">
        <v>82</v>
      </c>
      <c r="B30" t="s">
        <v>281</v>
      </c>
      <c r="C30">
        <v>5</v>
      </c>
      <c r="D30" s="13" t="s">
        <v>320</v>
      </c>
      <c r="E30" t="s">
        <v>283</v>
      </c>
      <c r="F30" s="13">
        <v>0</v>
      </c>
      <c r="G30" s="13">
        <v>0</v>
      </c>
      <c r="H30" s="13">
        <v>0</v>
      </c>
      <c r="I30" s="13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32">
        <v>0</v>
      </c>
      <c r="Z30" s="32">
        <v>0</v>
      </c>
      <c r="AA30" s="32">
        <v>0</v>
      </c>
      <c r="AB30" s="13">
        <v>1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 s="32">
        <v>0</v>
      </c>
      <c r="BD30" s="32">
        <v>0</v>
      </c>
      <c r="BE30" s="32">
        <v>0</v>
      </c>
      <c r="BF30" s="32">
        <v>0</v>
      </c>
      <c r="BG30" s="32">
        <v>0</v>
      </c>
      <c r="BH30" s="32">
        <v>0</v>
      </c>
      <c r="BI30" s="32">
        <v>0</v>
      </c>
      <c r="BJ30" s="32">
        <v>0</v>
      </c>
      <c r="BK30" s="32">
        <v>0</v>
      </c>
      <c r="BL30" s="32">
        <v>0</v>
      </c>
      <c r="BM30" s="32">
        <v>0</v>
      </c>
      <c r="BN30" s="32">
        <v>0</v>
      </c>
      <c r="BO30">
        <f t="shared" si="2"/>
        <v>1</v>
      </c>
      <c r="BP30" s="13">
        <f t="shared" si="3"/>
        <v>1</v>
      </c>
      <c r="BQ30" s="13">
        <f>[1]!shannonweaver(K30:BL30)</f>
        <v>0</v>
      </c>
      <c r="BR30">
        <f t="shared" si="4"/>
        <v>0</v>
      </c>
      <c r="BS30">
        <f t="shared" si="5"/>
        <v>1</v>
      </c>
      <c r="BT30">
        <f t="shared" si="6"/>
        <v>0</v>
      </c>
      <c r="BU30">
        <f t="shared" si="7"/>
        <v>0</v>
      </c>
      <c r="BV30" s="13">
        <f t="shared" si="8"/>
        <v>0</v>
      </c>
      <c r="BW30" s="13">
        <f t="shared" si="9"/>
        <v>1</v>
      </c>
      <c r="BX30" s="13">
        <f t="shared" si="10"/>
        <v>0</v>
      </c>
      <c r="BY30" s="13">
        <f t="shared" si="11"/>
        <v>1</v>
      </c>
      <c r="BZ30" s="13">
        <f t="shared" si="12"/>
        <v>0</v>
      </c>
      <c r="CA30" s="13">
        <f t="shared" si="13"/>
        <v>1</v>
      </c>
      <c r="CB30" s="13">
        <f t="shared" si="14"/>
        <v>0</v>
      </c>
      <c r="CC30" s="13">
        <f t="shared" si="15"/>
        <v>0</v>
      </c>
      <c r="CD30" s="13">
        <f t="shared" si="16"/>
        <v>1</v>
      </c>
      <c r="CE30" s="13">
        <f t="shared" si="17"/>
        <v>1</v>
      </c>
      <c r="CF30" s="13">
        <f t="shared" si="18"/>
        <v>0</v>
      </c>
      <c r="CG30" s="13">
        <f t="shared" si="19"/>
        <v>0</v>
      </c>
      <c r="CH30" s="13">
        <f t="shared" si="20"/>
        <v>1</v>
      </c>
      <c r="CI30" s="13">
        <f t="shared" si="21"/>
        <v>0</v>
      </c>
      <c r="CJ30" s="13">
        <f t="shared" si="21"/>
        <v>0</v>
      </c>
      <c r="CK30" s="13">
        <f t="shared" si="23"/>
        <v>0</v>
      </c>
      <c r="CL30" s="13">
        <f t="shared" si="24"/>
        <v>1</v>
      </c>
      <c r="CM30" s="13">
        <f t="shared" si="25"/>
        <v>0</v>
      </c>
      <c r="CN30" s="13">
        <f t="shared" si="26"/>
        <v>1</v>
      </c>
      <c r="CO30" s="13">
        <f t="shared" si="27"/>
        <v>0</v>
      </c>
      <c r="CP30" s="13">
        <f t="shared" si="28"/>
        <v>1</v>
      </c>
      <c r="CQ30" s="13">
        <f t="shared" si="29"/>
        <v>0</v>
      </c>
      <c r="CR30" s="13">
        <f t="shared" si="30"/>
        <v>0</v>
      </c>
      <c r="CS30" s="13">
        <f t="shared" si="31"/>
        <v>0.69314718055994529</v>
      </c>
      <c r="CT30" s="13">
        <f t="shared" si="32"/>
        <v>0.69314718055994529</v>
      </c>
      <c r="CU30" s="13">
        <f t="shared" si="33"/>
        <v>0</v>
      </c>
      <c r="CV30" s="13">
        <f t="shared" si="34"/>
        <v>0</v>
      </c>
      <c r="CW30" s="13">
        <f t="shared" si="35"/>
        <v>0.69314718055994529</v>
      </c>
      <c r="CX30" s="13">
        <f t="shared" si="36"/>
        <v>0</v>
      </c>
      <c r="CY30" s="13">
        <f t="shared" si="37"/>
        <v>0</v>
      </c>
      <c r="CZ30" s="13">
        <f t="shared" si="38"/>
        <v>0</v>
      </c>
      <c r="DA30" s="13">
        <f t="shared" si="39"/>
        <v>0.69314718055994529</v>
      </c>
      <c r="DB30" s="13">
        <f t="shared" si="40"/>
        <v>0</v>
      </c>
      <c r="DC30" s="13">
        <f t="shared" si="41"/>
        <v>0.69314718055994529</v>
      </c>
      <c r="DD30" s="13">
        <f t="shared" si="42"/>
        <v>0</v>
      </c>
      <c r="DE30" s="13">
        <f t="shared" si="43"/>
        <v>0.69314718055994529</v>
      </c>
      <c r="DF30" s="13">
        <f t="shared" si="44"/>
        <v>0</v>
      </c>
      <c r="DG30" s="13">
        <f t="shared" si="45"/>
        <v>0</v>
      </c>
      <c r="DH30" s="13"/>
      <c r="DI30" s="13"/>
      <c r="DJ30" s="13"/>
      <c r="DL30" s="17"/>
      <c r="DM30" s="17"/>
      <c r="DN30" s="18" t="s">
        <v>1</v>
      </c>
      <c r="DO30" s="22">
        <v>0.95828004966960012</v>
      </c>
      <c r="DP30" s="28">
        <v>1.1785113019775793</v>
      </c>
    </row>
    <row r="31" spans="1:120">
      <c r="A31" t="s">
        <v>83</v>
      </c>
      <c r="B31" t="s">
        <v>281</v>
      </c>
      <c r="C31">
        <v>5</v>
      </c>
      <c r="D31" s="13" t="s">
        <v>320</v>
      </c>
      <c r="E31" t="s">
        <v>283</v>
      </c>
      <c r="F31" s="13">
        <v>0</v>
      </c>
      <c r="G31" s="13">
        <v>0</v>
      </c>
      <c r="H31" s="13">
        <v>0</v>
      </c>
      <c r="I31" s="13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32">
        <v>0</v>
      </c>
      <c r="R31" s="32">
        <v>0</v>
      </c>
      <c r="S31" s="32">
        <v>0</v>
      </c>
      <c r="T31" s="13">
        <v>1</v>
      </c>
      <c r="U31" s="32">
        <v>0</v>
      </c>
      <c r="V31" s="13">
        <v>1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13">
        <v>1</v>
      </c>
      <c r="BC31" s="32">
        <v>0</v>
      </c>
      <c r="BD31" s="32">
        <v>0</v>
      </c>
      <c r="BE31" s="32">
        <v>0</v>
      </c>
      <c r="BF31" s="32">
        <v>0</v>
      </c>
      <c r="BG31" s="32">
        <v>0</v>
      </c>
      <c r="BH31" s="32">
        <v>0</v>
      </c>
      <c r="BI31" s="32">
        <v>0</v>
      </c>
      <c r="BJ31" s="13">
        <v>2</v>
      </c>
      <c r="BK31" s="32">
        <v>0</v>
      </c>
      <c r="BL31" s="32">
        <v>0</v>
      </c>
      <c r="BM31" s="32">
        <v>0</v>
      </c>
      <c r="BN31" s="32">
        <v>0</v>
      </c>
      <c r="BO31">
        <f t="shared" si="2"/>
        <v>4</v>
      </c>
      <c r="BP31" s="13">
        <f t="shared" si="3"/>
        <v>5</v>
      </c>
      <c r="BQ31" s="13">
        <f>[1]!shannonweaver(K31:BL31)</f>
        <v>1.3321790402101223</v>
      </c>
      <c r="BR31">
        <f t="shared" si="4"/>
        <v>2</v>
      </c>
      <c r="BS31">
        <f t="shared" si="5"/>
        <v>0</v>
      </c>
      <c r="BT31">
        <f t="shared" si="6"/>
        <v>1</v>
      </c>
      <c r="BU31">
        <f t="shared" si="7"/>
        <v>0</v>
      </c>
      <c r="BV31" s="13">
        <f t="shared" si="8"/>
        <v>2</v>
      </c>
      <c r="BW31" s="13">
        <f t="shared" si="9"/>
        <v>0</v>
      </c>
      <c r="BX31" s="13">
        <f t="shared" si="10"/>
        <v>0</v>
      </c>
      <c r="BY31" s="13">
        <f t="shared" si="11"/>
        <v>0</v>
      </c>
      <c r="BZ31" s="13">
        <f t="shared" si="12"/>
        <v>0</v>
      </c>
      <c r="CA31" s="13">
        <f t="shared" si="13"/>
        <v>0</v>
      </c>
      <c r="CB31" s="13">
        <f t="shared" si="14"/>
        <v>1</v>
      </c>
      <c r="CC31" s="13">
        <f t="shared" si="15"/>
        <v>0</v>
      </c>
      <c r="CD31" s="13">
        <f t="shared" si="16"/>
        <v>2</v>
      </c>
      <c r="CE31" s="13">
        <f t="shared" si="17"/>
        <v>2.2360679774997898</v>
      </c>
      <c r="CF31" s="13">
        <f t="shared" si="18"/>
        <v>1.1542006065715449</v>
      </c>
      <c r="CG31" s="13">
        <f t="shared" si="19"/>
        <v>1.4142135623730951</v>
      </c>
      <c r="CH31" s="13">
        <f t="shared" si="20"/>
        <v>0</v>
      </c>
      <c r="CI31" s="13">
        <f t="shared" si="21"/>
        <v>1</v>
      </c>
      <c r="CJ31" s="13">
        <f t="shared" si="21"/>
        <v>0</v>
      </c>
      <c r="CK31" s="13">
        <f t="shared" si="23"/>
        <v>1.4142135623730951</v>
      </c>
      <c r="CL31" s="13">
        <f t="shared" si="24"/>
        <v>0</v>
      </c>
      <c r="CM31" s="13">
        <f t="shared" si="25"/>
        <v>0</v>
      </c>
      <c r="CN31" s="13">
        <f t="shared" si="26"/>
        <v>0</v>
      </c>
      <c r="CO31" s="13">
        <f t="shared" si="27"/>
        <v>0</v>
      </c>
      <c r="CP31" s="13">
        <f t="shared" si="28"/>
        <v>0</v>
      </c>
      <c r="CQ31" s="13">
        <f t="shared" si="29"/>
        <v>1</v>
      </c>
      <c r="CR31" s="13">
        <f t="shared" si="30"/>
        <v>0</v>
      </c>
      <c r="CS31" s="13">
        <f t="shared" si="31"/>
        <v>1.6094379124341003</v>
      </c>
      <c r="CT31" s="13">
        <f t="shared" si="32"/>
        <v>1.791759469228055</v>
      </c>
      <c r="CU31" s="13">
        <f t="shared" si="33"/>
        <v>0.84680304093144199</v>
      </c>
      <c r="CV31" s="13">
        <f t="shared" si="34"/>
        <v>1.0986122886681098</v>
      </c>
      <c r="CW31" s="13">
        <f t="shared" si="35"/>
        <v>0</v>
      </c>
      <c r="CX31" s="13">
        <f t="shared" si="36"/>
        <v>0.69314718055994529</v>
      </c>
      <c r="CY31" s="13">
        <f t="shared" si="37"/>
        <v>0</v>
      </c>
      <c r="CZ31" s="13">
        <f t="shared" si="38"/>
        <v>1.0986122886681098</v>
      </c>
      <c r="DA31" s="13">
        <f t="shared" si="39"/>
        <v>0</v>
      </c>
      <c r="DB31" s="13">
        <f t="shared" si="40"/>
        <v>0</v>
      </c>
      <c r="DC31" s="13">
        <f t="shared" si="41"/>
        <v>0</v>
      </c>
      <c r="DD31" s="13">
        <f t="shared" si="42"/>
        <v>0</v>
      </c>
      <c r="DE31" s="13">
        <f t="shared" si="43"/>
        <v>0</v>
      </c>
      <c r="DF31" s="13">
        <f t="shared" si="44"/>
        <v>0.69314718055994529</v>
      </c>
      <c r="DG31" s="13">
        <f t="shared" si="45"/>
        <v>0</v>
      </c>
      <c r="DH31" s="13"/>
      <c r="DI31" s="13"/>
      <c r="DJ31" s="13"/>
      <c r="DL31" s="17"/>
      <c r="DM31" s="17"/>
      <c r="DN31" s="18" t="s">
        <v>2</v>
      </c>
      <c r="DO31" s="22">
        <v>5.5555555555555552E-2</v>
      </c>
      <c r="DP31" s="28">
        <v>5.5555555555555552E-2</v>
      </c>
    </row>
    <row r="32" spans="1:120">
      <c r="A32" s="13" t="s">
        <v>84</v>
      </c>
      <c r="B32" t="s">
        <v>281</v>
      </c>
      <c r="C32">
        <v>7</v>
      </c>
      <c r="D32" s="13" t="s">
        <v>320</v>
      </c>
      <c r="E32" t="s">
        <v>283</v>
      </c>
      <c r="F32" s="13">
        <v>0</v>
      </c>
      <c r="G32" s="13">
        <v>0</v>
      </c>
      <c r="H32" s="13">
        <v>0</v>
      </c>
      <c r="I32" s="13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13">
        <v>1</v>
      </c>
      <c r="AH32" s="32">
        <v>0</v>
      </c>
      <c r="AI32" s="32">
        <v>0</v>
      </c>
      <c r="AJ32" s="32">
        <v>0</v>
      </c>
      <c r="AK32" s="13">
        <v>1</v>
      </c>
      <c r="AL32" s="32">
        <v>0</v>
      </c>
      <c r="AM32" s="13">
        <v>1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 s="32">
        <v>0</v>
      </c>
      <c r="BD32" s="32">
        <v>0</v>
      </c>
      <c r="BE32" s="32">
        <v>0</v>
      </c>
      <c r="BF32" s="32">
        <v>0</v>
      </c>
      <c r="BG32" s="32">
        <v>0</v>
      </c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>
        <f t="shared" si="2"/>
        <v>3</v>
      </c>
      <c r="BP32" s="13">
        <f t="shared" si="3"/>
        <v>3</v>
      </c>
      <c r="BQ32" s="13">
        <f>[1]!shannonweaver(K32:BL32)</f>
        <v>1.0986122886681096</v>
      </c>
      <c r="BR32">
        <f t="shared" si="4"/>
        <v>0</v>
      </c>
      <c r="BS32">
        <f t="shared" si="5"/>
        <v>3</v>
      </c>
      <c r="BT32">
        <f t="shared" si="6"/>
        <v>0</v>
      </c>
      <c r="BU32">
        <f t="shared" si="7"/>
        <v>0</v>
      </c>
      <c r="BV32" s="13">
        <f t="shared" si="8"/>
        <v>0</v>
      </c>
      <c r="BW32" s="13">
        <f t="shared" si="9"/>
        <v>0</v>
      </c>
      <c r="BX32" s="13">
        <f t="shared" si="10"/>
        <v>0</v>
      </c>
      <c r="BY32" s="13">
        <f t="shared" si="11"/>
        <v>0</v>
      </c>
      <c r="BZ32" s="13">
        <f t="shared" si="12"/>
        <v>1</v>
      </c>
      <c r="CA32" s="13">
        <f t="shared" si="13"/>
        <v>3</v>
      </c>
      <c r="CB32" s="13">
        <f t="shared" si="14"/>
        <v>0</v>
      </c>
      <c r="CC32" s="13">
        <f t="shared" si="15"/>
        <v>0</v>
      </c>
      <c r="CD32" s="13">
        <f t="shared" si="16"/>
        <v>1.7320508075688772</v>
      </c>
      <c r="CE32" s="13">
        <f t="shared" si="17"/>
        <v>1.7320508075688772</v>
      </c>
      <c r="CF32" s="13">
        <f t="shared" si="18"/>
        <v>1.0481470739682048</v>
      </c>
      <c r="CG32" s="13">
        <f t="shared" si="19"/>
        <v>0</v>
      </c>
      <c r="CH32" s="13">
        <f t="shared" si="20"/>
        <v>1.7320508075688772</v>
      </c>
      <c r="CI32" s="13">
        <f t="shared" si="21"/>
        <v>0</v>
      </c>
      <c r="CJ32" s="13">
        <f t="shared" si="21"/>
        <v>0</v>
      </c>
      <c r="CK32" s="13">
        <f t="shared" si="23"/>
        <v>0</v>
      </c>
      <c r="CL32" s="13">
        <f t="shared" si="24"/>
        <v>0</v>
      </c>
      <c r="CM32" s="13">
        <f t="shared" si="25"/>
        <v>0</v>
      </c>
      <c r="CN32" s="13">
        <f t="shared" si="26"/>
        <v>0</v>
      </c>
      <c r="CO32" s="13">
        <f t="shared" si="27"/>
        <v>1</v>
      </c>
      <c r="CP32" s="13">
        <f t="shared" si="28"/>
        <v>1.7320508075688772</v>
      </c>
      <c r="CQ32" s="13">
        <f t="shared" si="29"/>
        <v>0</v>
      </c>
      <c r="CR32" s="13">
        <f t="shared" si="30"/>
        <v>0</v>
      </c>
      <c r="CS32" s="13">
        <f t="shared" si="31"/>
        <v>1.3862943611198906</v>
      </c>
      <c r="CT32" s="13">
        <f t="shared" si="32"/>
        <v>1.3862943611198906</v>
      </c>
      <c r="CU32" s="13">
        <f t="shared" si="33"/>
        <v>0.74127631137501515</v>
      </c>
      <c r="CV32" s="13">
        <f t="shared" si="34"/>
        <v>0</v>
      </c>
      <c r="CW32" s="13">
        <f t="shared" si="35"/>
        <v>1.3862943611198906</v>
      </c>
      <c r="CX32" s="13">
        <f t="shared" si="36"/>
        <v>0</v>
      </c>
      <c r="CY32" s="13">
        <f t="shared" si="37"/>
        <v>0</v>
      </c>
      <c r="CZ32" s="13">
        <f t="shared" si="38"/>
        <v>0</v>
      </c>
      <c r="DA32" s="13">
        <f t="shared" si="39"/>
        <v>0</v>
      </c>
      <c r="DB32" s="13">
        <f t="shared" si="40"/>
        <v>0</v>
      </c>
      <c r="DC32" s="13">
        <f t="shared" si="41"/>
        <v>0</v>
      </c>
      <c r="DD32" s="13">
        <f t="shared" si="42"/>
        <v>0.69314718055994529</v>
      </c>
      <c r="DE32" s="13">
        <f t="shared" si="43"/>
        <v>1.3862943611198906</v>
      </c>
      <c r="DF32" s="13">
        <f t="shared" si="44"/>
        <v>0</v>
      </c>
      <c r="DG32" s="13">
        <f t="shared" si="45"/>
        <v>0</v>
      </c>
      <c r="DH32" s="13"/>
      <c r="DI32" s="13"/>
      <c r="DJ32" s="13"/>
      <c r="DL32" s="17"/>
      <c r="DM32" s="17"/>
      <c r="DN32" s="18" t="s">
        <v>3</v>
      </c>
      <c r="DO32" s="22">
        <v>0.23570226039551584</v>
      </c>
      <c r="DP32" s="28">
        <v>0.23570226039551584</v>
      </c>
    </row>
    <row r="33" spans="1:120">
      <c r="A33" s="13" t="s">
        <v>85</v>
      </c>
      <c r="B33" t="s">
        <v>281</v>
      </c>
      <c r="C33">
        <v>7</v>
      </c>
      <c r="D33" s="13" t="s">
        <v>320</v>
      </c>
      <c r="E33" t="s">
        <v>283</v>
      </c>
      <c r="F33" s="13">
        <v>0</v>
      </c>
      <c r="G33" s="13">
        <v>0</v>
      </c>
      <c r="H33" s="13">
        <v>0</v>
      </c>
      <c r="I33" s="13">
        <v>0</v>
      </c>
      <c r="J33" s="32">
        <v>0</v>
      </c>
      <c r="K33" s="13">
        <v>1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 s="32">
        <v>0</v>
      </c>
      <c r="BD33" s="32">
        <v>0</v>
      </c>
      <c r="BE33" s="32">
        <v>0</v>
      </c>
      <c r="BF33" s="32">
        <v>0</v>
      </c>
      <c r="BG33" s="32">
        <v>0</v>
      </c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>
        <f t="shared" si="2"/>
        <v>1</v>
      </c>
      <c r="BP33" s="13">
        <f t="shared" si="3"/>
        <v>1</v>
      </c>
      <c r="BQ33" s="13">
        <f>[1]!shannonweaver(K33:BL33)</f>
        <v>0</v>
      </c>
      <c r="BR33">
        <f t="shared" si="4"/>
        <v>0</v>
      </c>
      <c r="BS33">
        <f t="shared" si="5"/>
        <v>0</v>
      </c>
      <c r="BT33">
        <f t="shared" si="6"/>
        <v>0</v>
      </c>
      <c r="BU33">
        <f t="shared" si="7"/>
        <v>0</v>
      </c>
      <c r="BV33" s="13">
        <f t="shared" si="8"/>
        <v>0</v>
      </c>
      <c r="BW33" s="13">
        <f t="shared" si="9"/>
        <v>0</v>
      </c>
      <c r="BX33" s="13">
        <f t="shared" si="10"/>
        <v>0</v>
      </c>
      <c r="BY33" s="13">
        <f t="shared" si="11"/>
        <v>0</v>
      </c>
      <c r="BZ33" s="13">
        <f t="shared" si="12"/>
        <v>0</v>
      </c>
      <c r="CA33" s="13">
        <f t="shared" si="13"/>
        <v>0</v>
      </c>
      <c r="CB33" s="13">
        <f t="shared" si="14"/>
        <v>0</v>
      </c>
      <c r="CC33" s="13">
        <f t="shared" si="15"/>
        <v>0</v>
      </c>
      <c r="CD33" s="13">
        <f t="shared" si="16"/>
        <v>1</v>
      </c>
      <c r="CE33" s="13">
        <f t="shared" si="17"/>
        <v>1</v>
      </c>
      <c r="CF33" s="13">
        <f t="shared" si="18"/>
        <v>0</v>
      </c>
      <c r="CG33" s="13">
        <f t="shared" si="19"/>
        <v>0</v>
      </c>
      <c r="CH33" s="13">
        <f t="shared" si="20"/>
        <v>0</v>
      </c>
      <c r="CI33" s="13">
        <f t="shared" si="21"/>
        <v>0</v>
      </c>
      <c r="CJ33" s="13">
        <f t="shared" si="21"/>
        <v>0</v>
      </c>
      <c r="CK33" s="13">
        <f t="shared" si="23"/>
        <v>0</v>
      </c>
      <c r="CL33" s="13">
        <f t="shared" si="24"/>
        <v>0</v>
      </c>
      <c r="CM33" s="13">
        <f t="shared" si="25"/>
        <v>0</v>
      </c>
      <c r="CN33" s="13">
        <f t="shared" si="26"/>
        <v>0</v>
      </c>
      <c r="CO33" s="13">
        <f t="shared" si="27"/>
        <v>0</v>
      </c>
      <c r="CP33" s="13">
        <f t="shared" si="28"/>
        <v>0</v>
      </c>
      <c r="CQ33" s="13">
        <f t="shared" si="29"/>
        <v>0</v>
      </c>
      <c r="CR33" s="13">
        <f t="shared" si="30"/>
        <v>0</v>
      </c>
      <c r="CS33" s="13">
        <f t="shared" si="31"/>
        <v>0.69314718055994529</v>
      </c>
      <c r="CT33" s="13">
        <f t="shared" si="32"/>
        <v>0.69314718055994529</v>
      </c>
      <c r="CU33" s="13">
        <f t="shared" si="33"/>
        <v>0</v>
      </c>
      <c r="CV33" s="13">
        <f t="shared" si="34"/>
        <v>0</v>
      </c>
      <c r="CW33" s="13">
        <f t="shared" si="35"/>
        <v>0</v>
      </c>
      <c r="CX33" s="13">
        <f t="shared" si="36"/>
        <v>0</v>
      </c>
      <c r="CY33" s="13">
        <f t="shared" si="37"/>
        <v>0</v>
      </c>
      <c r="CZ33" s="13">
        <f t="shared" si="38"/>
        <v>0</v>
      </c>
      <c r="DA33" s="13">
        <f t="shared" si="39"/>
        <v>0</v>
      </c>
      <c r="DB33" s="13">
        <f t="shared" si="40"/>
        <v>0</v>
      </c>
      <c r="DC33" s="13">
        <f t="shared" si="41"/>
        <v>0</v>
      </c>
      <c r="DD33" s="13">
        <f t="shared" si="42"/>
        <v>0</v>
      </c>
      <c r="DE33" s="13">
        <f t="shared" si="43"/>
        <v>0</v>
      </c>
      <c r="DF33" s="13">
        <f t="shared" si="44"/>
        <v>0</v>
      </c>
      <c r="DG33" s="13">
        <f t="shared" si="45"/>
        <v>0</v>
      </c>
      <c r="DH33" s="13"/>
      <c r="DI33" s="13"/>
      <c r="DJ33" s="13"/>
      <c r="DL33" s="16" t="s">
        <v>8</v>
      </c>
      <c r="DM33" s="37"/>
      <c r="DN33" s="37"/>
      <c r="DO33" s="21">
        <v>0.90740740740740744</v>
      </c>
      <c r="DP33" s="27">
        <v>1.2037037037037037</v>
      </c>
    </row>
    <row r="34" spans="1:120">
      <c r="A34" s="13" t="s">
        <v>86</v>
      </c>
      <c r="B34" t="s">
        <v>281</v>
      </c>
      <c r="C34">
        <v>7</v>
      </c>
      <c r="D34" s="13" t="s">
        <v>320</v>
      </c>
      <c r="E34" t="s">
        <v>283</v>
      </c>
      <c r="F34" s="13">
        <v>0</v>
      </c>
      <c r="G34" s="13">
        <v>0</v>
      </c>
      <c r="H34" s="13">
        <v>0</v>
      </c>
      <c r="I34" s="13">
        <v>0</v>
      </c>
      <c r="J34" s="32">
        <v>0</v>
      </c>
      <c r="K34" s="32">
        <v>0</v>
      </c>
      <c r="L34" s="32">
        <v>0</v>
      </c>
      <c r="M34" s="13">
        <v>2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13">
        <v>1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 s="32">
        <v>0</v>
      </c>
      <c r="BD34" s="32">
        <v>0</v>
      </c>
      <c r="BE34" s="32">
        <v>0</v>
      </c>
      <c r="BF34" s="32">
        <v>0</v>
      </c>
      <c r="BG34" s="32">
        <v>0</v>
      </c>
      <c r="BH34" s="32">
        <v>0</v>
      </c>
      <c r="BI34" s="32">
        <v>0</v>
      </c>
      <c r="BJ34" s="32">
        <v>0</v>
      </c>
      <c r="BK34" s="13">
        <v>1</v>
      </c>
      <c r="BL34" s="32">
        <v>0</v>
      </c>
      <c r="BM34" s="32">
        <v>0</v>
      </c>
      <c r="BN34" s="32">
        <v>0</v>
      </c>
      <c r="BO34">
        <f t="shared" si="2"/>
        <v>3</v>
      </c>
      <c r="BP34" s="13">
        <f t="shared" si="3"/>
        <v>4</v>
      </c>
      <c r="BQ34" s="13">
        <f>[1]!shannonweaver(K34:BL34)</f>
        <v>1.0397207708399179</v>
      </c>
      <c r="BR34">
        <f t="shared" si="4"/>
        <v>1</v>
      </c>
      <c r="BS34">
        <f t="shared" si="5"/>
        <v>0</v>
      </c>
      <c r="BT34">
        <f t="shared" si="6"/>
        <v>0</v>
      </c>
      <c r="BU34">
        <f t="shared" si="7"/>
        <v>0</v>
      </c>
      <c r="BV34" s="13">
        <f t="shared" si="8"/>
        <v>1</v>
      </c>
      <c r="BW34" s="13">
        <f t="shared" si="9"/>
        <v>0</v>
      </c>
      <c r="BX34" s="13">
        <f t="shared" si="10"/>
        <v>0</v>
      </c>
      <c r="BY34" s="13">
        <f t="shared" si="11"/>
        <v>0</v>
      </c>
      <c r="BZ34" s="13">
        <f t="shared" si="12"/>
        <v>0</v>
      </c>
      <c r="CA34" s="13">
        <f t="shared" si="13"/>
        <v>0</v>
      </c>
      <c r="CB34" s="13">
        <f t="shared" si="14"/>
        <v>0</v>
      </c>
      <c r="CC34" s="13">
        <f t="shared" si="15"/>
        <v>1</v>
      </c>
      <c r="CD34" s="13">
        <f t="shared" si="16"/>
        <v>1.7320508075688772</v>
      </c>
      <c r="CE34" s="13">
        <f t="shared" si="17"/>
        <v>2</v>
      </c>
      <c r="CF34" s="13">
        <f t="shared" si="18"/>
        <v>1.0196669901688089</v>
      </c>
      <c r="CG34" s="13">
        <f t="shared" si="19"/>
        <v>1</v>
      </c>
      <c r="CH34" s="13">
        <f t="shared" si="20"/>
        <v>0</v>
      </c>
      <c r="CI34" s="13">
        <f t="shared" si="21"/>
        <v>0</v>
      </c>
      <c r="CJ34" s="13">
        <f t="shared" si="21"/>
        <v>0</v>
      </c>
      <c r="CK34" s="13">
        <f t="shared" si="23"/>
        <v>1</v>
      </c>
      <c r="CL34" s="13">
        <f t="shared" si="24"/>
        <v>0</v>
      </c>
      <c r="CM34" s="13">
        <f t="shared" si="25"/>
        <v>0</v>
      </c>
      <c r="CN34" s="13">
        <f t="shared" si="26"/>
        <v>0</v>
      </c>
      <c r="CO34" s="13">
        <f t="shared" si="27"/>
        <v>0</v>
      </c>
      <c r="CP34" s="13">
        <f t="shared" si="28"/>
        <v>0</v>
      </c>
      <c r="CQ34" s="13">
        <f t="shared" si="29"/>
        <v>0</v>
      </c>
      <c r="CR34" s="13">
        <f t="shared" si="30"/>
        <v>1</v>
      </c>
      <c r="CS34" s="13">
        <f t="shared" si="31"/>
        <v>1.3862943611198906</v>
      </c>
      <c r="CT34" s="13">
        <f t="shared" si="32"/>
        <v>1.6094379124341003</v>
      </c>
      <c r="CU34" s="13">
        <f t="shared" si="33"/>
        <v>0.7128129214483524</v>
      </c>
      <c r="CV34" s="13">
        <f t="shared" si="34"/>
        <v>0.69314718055994529</v>
      </c>
      <c r="CW34" s="13">
        <f t="shared" si="35"/>
        <v>0</v>
      </c>
      <c r="CX34" s="13">
        <f t="shared" si="36"/>
        <v>0</v>
      </c>
      <c r="CY34" s="13">
        <f t="shared" si="37"/>
        <v>0</v>
      </c>
      <c r="CZ34" s="13">
        <f t="shared" si="38"/>
        <v>0.69314718055994529</v>
      </c>
      <c r="DA34" s="13">
        <f t="shared" si="39"/>
        <v>0</v>
      </c>
      <c r="DB34" s="13">
        <f t="shared" si="40"/>
        <v>0</v>
      </c>
      <c r="DC34" s="13">
        <f t="shared" si="41"/>
        <v>0</v>
      </c>
      <c r="DD34" s="13">
        <f t="shared" si="42"/>
        <v>0</v>
      </c>
      <c r="DE34" s="13">
        <f t="shared" si="43"/>
        <v>0</v>
      </c>
      <c r="DF34" s="13">
        <f t="shared" si="44"/>
        <v>0</v>
      </c>
      <c r="DG34" s="13">
        <f t="shared" si="45"/>
        <v>0.69314718055994529</v>
      </c>
      <c r="DH34" s="13"/>
      <c r="DI34" s="13"/>
      <c r="DJ34" s="13"/>
      <c r="DL34" s="16" t="s">
        <v>9</v>
      </c>
      <c r="DM34" s="37"/>
      <c r="DN34" s="37"/>
      <c r="DO34" s="21">
        <v>1.3772890862538287</v>
      </c>
      <c r="DP34" s="27">
        <v>1.3788103927775228</v>
      </c>
    </row>
    <row r="35" spans="1:120">
      <c r="A35" s="13" t="s">
        <v>87</v>
      </c>
      <c r="B35" t="s">
        <v>281</v>
      </c>
      <c r="C35">
        <v>7</v>
      </c>
      <c r="D35" s="13" t="s">
        <v>320</v>
      </c>
      <c r="E35" t="s">
        <v>283</v>
      </c>
      <c r="F35" s="13">
        <v>0</v>
      </c>
      <c r="G35" s="13">
        <v>0</v>
      </c>
      <c r="H35" s="13">
        <v>0</v>
      </c>
      <c r="I35" s="13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32">
        <v>0</v>
      </c>
      <c r="T35" s="32">
        <v>0</v>
      </c>
      <c r="U35" s="32">
        <v>0</v>
      </c>
      <c r="V35" s="13">
        <v>1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 s="32">
        <v>0</v>
      </c>
      <c r="BD35" s="32">
        <v>0</v>
      </c>
      <c r="BE35" s="32">
        <v>0</v>
      </c>
      <c r="BF35" s="32">
        <v>0</v>
      </c>
      <c r="BG35" s="32">
        <v>0</v>
      </c>
      <c r="BH35" s="32">
        <v>0</v>
      </c>
      <c r="BI35" s="32">
        <v>0</v>
      </c>
      <c r="BJ35" s="32">
        <v>0</v>
      </c>
      <c r="BK35" s="32">
        <v>0</v>
      </c>
      <c r="BL35" s="32">
        <v>0</v>
      </c>
      <c r="BM35" s="13">
        <v>1</v>
      </c>
      <c r="BN35" s="32">
        <v>0</v>
      </c>
      <c r="BO35">
        <f t="shared" si="2"/>
        <v>1</v>
      </c>
      <c r="BP35" s="13">
        <f t="shared" si="3"/>
        <v>1</v>
      </c>
      <c r="BQ35" s="13">
        <f>[1]!shannonweaver(K35:BL35)</f>
        <v>0</v>
      </c>
      <c r="BR35">
        <f t="shared" si="4"/>
        <v>1</v>
      </c>
      <c r="BS35">
        <f t="shared" si="5"/>
        <v>0</v>
      </c>
      <c r="BT35">
        <f t="shared" si="6"/>
        <v>0</v>
      </c>
      <c r="BU35">
        <f t="shared" si="7"/>
        <v>0</v>
      </c>
      <c r="BV35" s="13">
        <f t="shared" si="8"/>
        <v>1</v>
      </c>
      <c r="BW35" s="13">
        <f t="shared" si="9"/>
        <v>0</v>
      </c>
      <c r="BX35" s="13">
        <f t="shared" si="10"/>
        <v>0</v>
      </c>
      <c r="BY35" s="13">
        <f t="shared" si="11"/>
        <v>0</v>
      </c>
      <c r="BZ35" s="13">
        <f t="shared" si="12"/>
        <v>0</v>
      </c>
      <c r="CA35" s="13">
        <f t="shared" si="13"/>
        <v>0</v>
      </c>
      <c r="CB35" s="13">
        <f t="shared" si="14"/>
        <v>0</v>
      </c>
      <c r="CC35" s="13">
        <f t="shared" si="15"/>
        <v>0</v>
      </c>
      <c r="CD35" s="13">
        <f t="shared" si="16"/>
        <v>1</v>
      </c>
      <c r="CE35" s="13">
        <f t="shared" si="17"/>
        <v>1</v>
      </c>
      <c r="CF35" s="13">
        <f t="shared" si="18"/>
        <v>0</v>
      </c>
      <c r="CG35" s="13">
        <f t="shared" si="19"/>
        <v>1</v>
      </c>
      <c r="CH35" s="13">
        <f t="shared" si="20"/>
        <v>0</v>
      </c>
      <c r="CI35" s="13">
        <f t="shared" si="21"/>
        <v>0</v>
      </c>
      <c r="CJ35" s="13">
        <f t="shared" si="21"/>
        <v>0</v>
      </c>
      <c r="CK35" s="13">
        <f t="shared" si="23"/>
        <v>1</v>
      </c>
      <c r="CL35" s="13">
        <f t="shared" si="24"/>
        <v>0</v>
      </c>
      <c r="CM35" s="13">
        <f t="shared" si="25"/>
        <v>0</v>
      </c>
      <c r="CN35" s="13">
        <f t="shared" si="26"/>
        <v>0</v>
      </c>
      <c r="CO35" s="13">
        <f t="shared" si="27"/>
        <v>0</v>
      </c>
      <c r="CP35" s="13">
        <f t="shared" si="28"/>
        <v>0</v>
      </c>
      <c r="CQ35" s="13">
        <f t="shared" si="29"/>
        <v>0</v>
      </c>
      <c r="CR35" s="13">
        <f t="shared" si="30"/>
        <v>0</v>
      </c>
      <c r="CS35" s="13">
        <f t="shared" si="31"/>
        <v>0.69314718055994529</v>
      </c>
      <c r="CT35" s="13">
        <f t="shared" si="32"/>
        <v>0.69314718055994529</v>
      </c>
      <c r="CU35" s="13">
        <f t="shared" si="33"/>
        <v>0</v>
      </c>
      <c r="CV35" s="13">
        <f t="shared" si="34"/>
        <v>0.69314718055994529</v>
      </c>
      <c r="CW35" s="13">
        <f t="shared" si="35"/>
        <v>0</v>
      </c>
      <c r="CX35" s="13">
        <f t="shared" si="36"/>
        <v>0</v>
      </c>
      <c r="CY35" s="13">
        <f t="shared" si="37"/>
        <v>0</v>
      </c>
      <c r="CZ35" s="13">
        <f t="shared" si="38"/>
        <v>0.69314718055994529</v>
      </c>
      <c r="DA35" s="13">
        <f t="shared" si="39"/>
        <v>0</v>
      </c>
      <c r="DB35" s="13">
        <f t="shared" si="40"/>
        <v>0</v>
      </c>
      <c r="DC35" s="13">
        <f t="shared" si="41"/>
        <v>0</v>
      </c>
      <c r="DD35" s="13">
        <f t="shared" si="42"/>
        <v>0</v>
      </c>
      <c r="DE35" s="13">
        <f t="shared" si="43"/>
        <v>0</v>
      </c>
      <c r="DF35" s="13">
        <f t="shared" si="44"/>
        <v>0</v>
      </c>
      <c r="DG35" s="13">
        <f t="shared" si="45"/>
        <v>0</v>
      </c>
      <c r="DH35" s="13"/>
      <c r="DI35" s="13"/>
      <c r="DJ35" s="13"/>
      <c r="DL35" s="16" t="s">
        <v>10</v>
      </c>
      <c r="DM35" s="37"/>
      <c r="DN35" s="37"/>
      <c r="DO35" s="21">
        <v>0.59259259259259256</v>
      </c>
      <c r="DP35" s="27">
        <v>0.66666666666666663</v>
      </c>
    </row>
    <row r="36" spans="1:120">
      <c r="A36" s="13" t="s">
        <v>88</v>
      </c>
      <c r="B36" t="s">
        <v>281</v>
      </c>
      <c r="C36">
        <v>7</v>
      </c>
      <c r="D36" s="13" t="s">
        <v>320</v>
      </c>
      <c r="E36" t="s">
        <v>283</v>
      </c>
      <c r="F36" s="13">
        <v>0</v>
      </c>
      <c r="G36" s="13">
        <v>0</v>
      </c>
      <c r="H36" s="13">
        <v>0</v>
      </c>
      <c r="I36" s="13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>
        <v>0</v>
      </c>
      <c r="P36" s="32">
        <v>0</v>
      </c>
      <c r="Q36" s="32">
        <v>0</v>
      </c>
      <c r="R36" s="13">
        <v>1</v>
      </c>
      <c r="S36" s="32">
        <v>0</v>
      </c>
      <c r="T36" s="32">
        <v>0</v>
      </c>
      <c r="U36" s="13">
        <v>2</v>
      </c>
      <c r="V36" s="13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 s="32">
        <v>0</v>
      </c>
      <c r="BD36" s="32">
        <v>0</v>
      </c>
      <c r="BE36" s="32">
        <v>0</v>
      </c>
      <c r="BF36" s="32">
        <v>0</v>
      </c>
      <c r="BG36" s="32">
        <v>0</v>
      </c>
      <c r="BH36" s="32">
        <v>0</v>
      </c>
      <c r="BI36" s="32">
        <v>0</v>
      </c>
      <c r="BJ36" s="32">
        <v>0</v>
      </c>
      <c r="BK36" s="32">
        <v>0</v>
      </c>
      <c r="BL36" s="32">
        <v>0</v>
      </c>
      <c r="BM36" s="32">
        <v>0</v>
      </c>
      <c r="BN36" s="32">
        <v>0</v>
      </c>
      <c r="BO36">
        <f t="shared" si="2"/>
        <v>2</v>
      </c>
      <c r="BP36" s="13">
        <f t="shared" si="3"/>
        <v>3</v>
      </c>
      <c r="BQ36" s="13">
        <f>[1]!shannonweaver(K36:BL36)</f>
        <v>0.63651416829481278</v>
      </c>
      <c r="BR36">
        <f t="shared" si="4"/>
        <v>2</v>
      </c>
      <c r="BS36">
        <f t="shared" si="5"/>
        <v>0</v>
      </c>
      <c r="BT36">
        <f t="shared" si="6"/>
        <v>0</v>
      </c>
      <c r="BU36">
        <f t="shared" si="7"/>
        <v>1</v>
      </c>
      <c r="BV36" s="13">
        <f t="shared" si="8"/>
        <v>3</v>
      </c>
      <c r="BW36" s="13">
        <f t="shared" si="9"/>
        <v>0</v>
      </c>
      <c r="BX36" s="13">
        <f t="shared" si="10"/>
        <v>0</v>
      </c>
      <c r="BY36" s="13">
        <f t="shared" si="11"/>
        <v>0</v>
      </c>
      <c r="BZ36" s="13">
        <f t="shared" si="12"/>
        <v>0</v>
      </c>
      <c r="CA36" s="13">
        <f t="shared" si="13"/>
        <v>0</v>
      </c>
      <c r="CB36" s="13">
        <f t="shared" si="14"/>
        <v>0</v>
      </c>
      <c r="CC36" s="13">
        <f t="shared" si="15"/>
        <v>0</v>
      </c>
      <c r="CD36" s="13">
        <f t="shared" si="16"/>
        <v>1.4142135623730951</v>
      </c>
      <c r="CE36" s="13">
        <f t="shared" si="17"/>
        <v>1.7320508075688772</v>
      </c>
      <c r="CF36" s="13">
        <f t="shared" si="18"/>
        <v>0.79781838051953446</v>
      </c>
      <c r="CG36" s="13">
        <f t="shared" si="19"/>
        <v>1.4142135623730951</v>
      </c>
      <c r="CH36" s="13">
        <f t="shared" si="20"/>
        <v>0</v>
      </c>
      <c r="CI36" s="13">
        <f t="shared" si="21"/>
        <v>0</v>
      </c>
      <c r="CJ36" s="13">
        <f t="shared" si="21"/>
        <v>1</v>
      </c>
      <c r="CK36" s="13">
        <f t="shared" si="23"/>
        <v>1.7320508075688772</v>
      </c>
      <c r="CL36" s="13">
        <f t="shared" si="24"/>
        <v>0</v>
      </c>
      <c r="CM36" s="13">
        <f t="shared" si="25"/>
        <v>0</v>
      </c>
      <c r="CN36" s="13">
        <f t="shared" si="26"/>
        <v>0</v>
      </c>
      <c r="CO36" s="13">
        <f t="shared" si="27"/>
        <v>0</v>
      </c>
      <c r="CP36" s="13">
        <f t="shared" si="28"/>
        <v>0</v>
      </c>
      <c r="CQ36" s="13">
        <f t="shared" si="29"/>
        <v>0</v>
      </c>
      <c r="CR36" s="13">
        <f t="shared" si="30"/>
        <v>0</v>
      </c>
      <c r="CS36" s="13">
        <f t="shared" si="31"/>
        <v>1.0986122886681098</v>
      </c>
      <c r="CT36" s="13">
        <f t="shared" si="32"/>
        <v>1.3862943611198906</v>
      </c>
      <c r="CU36" s="13">
        <f t="shared" si="33"/>
        <v>0.49256847260253284</v>
      </c>
      <c r="CV36" s="13">
        <f t="shared" si="34"/>
        <v>1.0986122886681098</v>
      </c>
      <c r="CW36" s="13">
        <f t="shared" si="35"/>
        <v>0</v>
      </c>
      <c r="CX36" s="13">
        <f t="shared" si="36"/>
        <v>0</v>
      </c>
      <c r="CY36" s="13">
        <f t="shared" si="37"/>
        <v>0.69314718055994529</v>
      </c>
      <c r="CZ36" s="13">
        <f t="shared" si="38"/>
        <v>1.3862943611198906</v>
      </c>
      <c r="DA36" s="13">
        <f t="shared" si="39"/>
        <v>0</v>
      </c>
      <c r="DB36" s="13">
        <f t="shared" si="40"/>
        <v>0</v>
      </c>
      <c r="DC36" s="13">
        <f t="shared" si="41"/>
        <v>0</v>
      </c>
      <c r="DD36" s="13">
        <f t="shared" si="42"/>
        <v>0</v>
      </c>
      <c r="DE36" s="13">
        <f t="shared" si="43"/>
        <v>0</v>
      </c>
      <c r="DF36" s="13">
        <f t="shared" si="44"/>
        <v>0</v>
      </c>
      <c r="DG36" s="13">
        <f t="shared" si="45"/>
        <v>0</v>
      </c>
      <c r="DH36" s="13"/>
      <c r="DI36" s="13"/>
      <c r="DJ36" s="13"/>
      <c r="DL36" s="38" t="s">
        <v>11</v>
      </c>
      <c r="DM36" s="39"/>
      <c r="DN36" s="39"/>
      <c r="DO36" s="40">
        <v>1.2814867326593089</v>
      </c>
      <c r="DP36" s="41">
        <v>1.0815781621106804</v>
      </c>
    </row>
    <row r="37" spans="1:120">
      <c r="A37" s="13" t="s">
        <v>89</v>
      </c>
      <c r="B37" t="s">
        <v>281</v>
      </c>
      <c r="C37">
        <v>7</v>
      </c>
      <c r="D37" s="13" t="s">
        <v>320</v>
      </c>
      <c r="E37" t="s">
        <v>283</v>
      </c>
      <c r="F37" s="13">
        <v>0</v>
      </c>
      <c r="G37" s="13">
        <v>0</v>
      </c>
      <c r="H37" s="13">
        <v>0</v>
      </c>
      <c r="I37" s="13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13">
        <v>1</v>
      </c>
      <c r="BK37" s="32">
        <v>0</v>
      </c>
      <c r="BL37" s="32">
        <v>0</v>
      </c>
      <c r="BM37" s="32">
        <v>0</v>
      </c>
      <c r="BN37" s="32">
        <v>0</v>
      </c>
      <c r="BO37">
        <f t="shared" si="2"/>
        <v>1</v>
      </c>
      <c r="BP37" s="13">
        <f t="shared" si="3"/>
        <v>1</v>
      </c>
      <c r="BQ37" s="13">
        <f>[1]!shannonweaver(K37:BL37)</f>
        <v>0</v>
      </c>
      <c r="BR37">
        <f t="shared" si="4"/>
        <v>0</v>
      </c>
      <c r="BS37">
        <f t="shared" si="5"/>
        <v>0</v>
      </c>
      <c r="BT37">
        <f t="shared" si="6"/>
        <v>0</v>
      </c>
      <c r="BU37">
        <f t="shared" si="7"/>
        <v>0</v>
      </c>
      <c r="BV37" s="13">
        <f t="shared" si="8"/>
        <v>0</v>
      </c>
      <c r="BW37" s="13">
        <f t="shared" si="9"/>
        <v>0</v>
      </c>
      <c r="BX37" s="13">
        <f t="shared" si="10"/>
        <v>0</v>
      </c>
      <c r="BY37" s="13">
        <f t="shared" si="11"/>
        <v>0</v>
      </c>
      <c r="BZ37" s="13">
        <f t="shared" si="12"/>
        <v>0</v>
      </c>
      <c r="CA37" s="13">
        <f t="shared" si="13"/>
        <v>0</v>
      </c>
      <c r="CB37" s="13">
        <f t="shared" si="14"/>
        <v>0</v>
      </c>
      <c r="CC37" s="13">
        <f t="shared" si="15"/>
        <v>0</v>
      </c>
      <c r="CD37" s="13">
        <f t="shared" si="16"/>
        <v>1</v>
      </c>
      <c r="CE37" s="13">
        <f t="shared" si="17"/>
        <v>1</v>
      </c>
      <c r="CF37" s="13">
        <f t="shared" si="18"/>
        <v>0</v>
      </c>
      <c r="CG37" s="13">
        <f t="shared" si="19"/>
        <v>0</v>
      </c>
      <c r="CH37" s="13">
        <f t="shared" si="20"/>
        <v>0</v>
      </c>
      <c r="CI37" s="13">
        <f t="shared" si="21"/>
        <v>0</v>
      </c>
      <c r="CJ37" s="13">
        <f t="shared" si="21"/>
        <v>0</v>
      </c>
      <c r="CK37" s="13">
        <f t="shared" si="23"/>
        <v>0</v>
      </c>
      <c r="CL37" s="13">
        <f t="shared" si="24"/>
        <v>0</v>
      </c>
      <c r="CM37" s="13">
        <f t="shared" si="25"/>
        <v>0</v>
      </c>
      <c r="CN37" s="13">
        <f t="shared" si="26"/>
        <v>0</v>
      </c>
      <c r="CO37" s="13">
        <f t="shared" si="27"/>
        <v>0</v>
      </c>
      <c r="CP37" s="13">
        <f t="shared" si="28"/>
        <v>0</v>
      </c>
      <c r="CQ37" s="13">
        <f t="shared" si="29"/>
        <v>0</v>
      </c>
      <c r="CR37" s="13">
        <f t="shared" si="30"/>
        <v>0</v>
      </c>
      <c r="CS37" s="13">
        <f t="shared" si="31"/>
        <v>0.69314718055994529</v>
      </c>
      <c r="CT37" s="13">
        <f t="shared" si="32"/>
        <v>0.69314718055994529</v>
      </c>
      <c r="CU37" s="13">
        <f t="shared" si="33"/>
        <v>0</v>
      </c>
      <c r="CV37" s="13">
        <f t="shared" si="34"/>
        <v>0</v>
      </c>
      <c r="CW37" s="13">
        <f t="shared" si="35"/>
        <v>0</v>
      </c>
      <c r="CX37" s="13">
        <f t="shared" si="36"/>
        <v>0</v>
      </c>
      <c r="CY37" s="13">
        <f t="shared" si="37"/>
        <v>0</v>
      </c>
      <c r="CZ37" s="13">
        <f t="shared" si="38"/>
        <v>0</v>
      </c>
      <c r="DA37" s="13">
        <f t="shared" si="39"/>
        <v>0</v>
      </c>
      <c r="DB37" s="13">
        <f t="shared" si="40"/>
        <v>0</v>
      </c>
      <c r="DC37" s="13">
        <f t="shared" si="41"/>
        <v>0</v>
      </c>
      <c r="DD37" s="13">
        <f t="shared" si="42"/>
        <v>0</v>
      </c>
      <c r="DE37" s="13">
        <f t="shared" si="43"/>
        <v>0</v>
      </c>
      <c r="DF37" s="13">
        <f t="shared" si="44"/>
        <v>0</v>
      </c>
      <c r="DG37" s="13">
        <f t="shared" si="45"/>
        <v>0</v>
      </c>
      <c r="DH37" s="13"/>
      <c r="DI37" s="13"/>
      <c r="DJ37" s="13"/>
      <c r="DL37"/>
      <c r="DM37"/>
      <c r="DN37"/>
      <c r="DO37"/>
      <c r="DP37" s="31"/>
    </row>
    <row r="38" spans="1:120">
      <c r="A38" t="s">
        <v>90</v>
      </c>
      <c r="B38" t="s">
        <v>281</v>
      </c>
      <c r="C38" t="s">
        <v>282</v>
      </c>
      <c r="D38" s="13" t="s">
        <v>319</v>
      </c>
      <c r="E38" s="13" t="s">
        <v>91</v>
      </c>
      <c r="F38" s="13">
        <v>0</v>
      </c>
      <c r="G38" s="13">
        <v>0</v>
      </c>
      <c r="H38" s="13">
        <v>0</v>
      </c>
      <c r="I38" s="13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13">
        <v>1</v>
      </c>
      <c r="U38" s="13">
        <v>1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13">
        <v>2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13">
        <v>1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>
        <f t="shared" si="2"/>
        <v>4</v>
      </c>
      <c r="BP38" s="13">
        <f t="shared" si="3"/>
        <v>5</v>
      </c>
      <c r="BQ38" s="13">
        <f>[1]!shannonweaver(K38:BL38)</f>
        <v>1.3321790402101223</v>
      </c>
      <c r="BR38">
        <f t="shared" si="4"/>
        <v>2</v>
      </c>
      <c r="BS38">
        <f t="shared" si="5"/>
        <v>1</v>
      </c>
      <c r="BT38">
        <f t="shared" si="6"/>
        <v>1</v>
      </c>
      <c r="BU38">
        <f t="shared" si="7"/>
        <v>0</v>
      </c>
      <c r="BV38" s="13">
        <f t="shared" si="8"/>
        <v>2</v>
      </c>
      <c r="BW38" s="13">
        <f t="shared" si="9"/>
        <v>0</v>
      </c>
      <c r="BX38" s="13">
        <f t="shared" si="10"/>
        <v>0</v>
      </c>
      <c r="BY38" s="13">
        <f t="shared" si="11"/>
        <v>0</v>
      </c>
      <c r="BZ38" s="13">
        <f t="shared" si="12"/>
        <v>0</v>
      </c>
      <c r="CA38" s="13">
        <f t="shared" si="13"/>
        <v>2</v>
      </c>
      <c r="CB38" s="13">
        <f t="shared" si="14"/>
        <v>1</v>
      </c>
      <c r="CC38" s="13">
        <f t="shared" si="15"/>
        <v>0</v>
      </c>
      <c r="CD38" s="13">
        <f t="shared" si="16"/>
        <v>2</v>
      </c>
      <c r="CE38" s="13">
        <f t="shared" si="17"/>
        <v>2.2360679774997898</v>
      </c>
      <c r="CF38" s="13">
        <f t="shared" si="18"/>
        <v>1.1542006065715449</v>
      </c>
      <c r="CG38" s="13">
        <f t="shared" si="19"/>
        <v>1.4142135623730951</v>
      </c>
      <c r="CH38" s="13">
        <f t="shared" si="20"/>
        <v>1</v>
      </c>
      <c r="CI38" s="13">
        <f t="shared" si="21"/>
        <v>1</v>
      </c>
      <c r="CJ38" s="13">
        <f t="shared" si="21"/>
        <v>0</v>
      </c>
      <c r="CK38" s="13">
        <f t="shared" si="23"/>
        <v>1.4142135623730951</v>
      </c>
      <c r="CL38" s="13">
        <f t="shared" si="24"/>
        <v>0</v>
      </c>
      <c r="CM38" s="13">
        <f t="shared" si="25"/>
        <v>0</v>
      </c>
      <c r="CN38" s="13">
        <f t="shared" si="26"/>
        <v>0</v>
      </c>
      <c r="CO38" s="13">
        <f t="shared" si="27"/>
        <v>0</v>
      </c>
      <c r="CP38" s="13">
        <f t="shared" si="28"/>
        <v>1.4142135623730951</v>
      </c>
      <c r="CQ38" s="13">
        <f t="shared" si="29"/>
        <v>1</v>
      </c>
      <c r="CR38" s="13">
        <f t="shared" si="30"/>
        <v>0</v>
      </c>
      <c r="CS38" s="13">
        <f t="shared" si="31"/>
        <v>1.6094379124341003</v>
      </c>
      <c r="CT38" s="13">
        <f t="shared" si="32"/>
        <v>1.791759469228055</v>
      </c>
      <c r="CU38" s="13">
        <f t="shared" si="33"/>
        <v>0.84680304093144199</v>
      </c>
      <c r="CV38" s="13">
        <f t="shared" si="34"/>
        <v>1.0986122886681098</v>
      </c>
      <c r="CW38" s="13">
        <f t="shared" si="35"/>
        <v>0.69314718055994529</v>
      </c>
      <c r="CX38" s="13">
        <f t="shared" si="36"/>
        <v>0.69314718055994529</v>
      </c>
      <c r="CY38" s="13">
        <f t="shared" si="37"/>
        <v>0</v>
      </c>
      <c r="CZ38" s="13">
        <f t="shared" si="38"/>
        <v>1.0986122886681098</v>
      </c>
      <c r="DA38" s="13">
        <f t="shared" si="39"/>
        <v>0</v>
      </c>
      <c r="DB38" s="13">
        <f t="shared" si="40"/>
        <v>0</v>
      </c>
      <c r="DC38" s="13">
        <f t="shared" si="41"/>
        <v>0</v>
      </c>
      <c r="DD38" s="13">
        <f t="shared" si="42"/>
        <v>0</v>
      </c>
      <c r="DE38" s="13">
        <f t="shared" si="43"/>
        <v>1.0986122886681098</v>
      </c>
      <c r="DF38" s="13">
        <f t="shared" si="44"/>
        <v>0.69314718055994529</v>
      </c>
      <c r="DG38" s="13">
        <f t="shared" si="45"/>
        <v>0</v>
      </c>
      <c r="DH38" s="13"/>
      <c r="DI38" s="13"/>
      <c r="DJ38" s="13"/>
      <c r="DL38"/>
      <c r="DM38"/>
      <c r="DN38"/>
      <c r="DO38"/>
      <c r="DP38" s="31"/>
    </row>
    <row r="39" spans="1:120">
      <c r="A39" s="13" t="s">
        <v>92</v>
      </c>
      <c r="B39" t="s">
        <v>281</v>
      </c>
      <c r="C39" t="s">
        <v>282</v>
      </c>
      <c r="D39" s="13" t="s">
        <v>319</v>
      </c>
      <c r="E39" s="13" t="s">
        <v>91</v>
      </c>
      <c r="F39" s="13">
        <v>0</v>
      </c>
      <c r="G39" s="13">
        <v>0</v>
      </c>
      <c r="H39" s="13">
        <v>0</v>
      </c>
      <c r="I39" s="13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32">
        <v>0</v>
      </c>
      <c r="Z39" s="32">
        <v>0</v>
      </c>
      <c r="AA39" s="32">
        <v>0</v>
      </c>
      <c r="AB39" s="13">
        <v>2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13">
        <v>2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32">
        <v>0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 s="13">
        <v>3</v>
      </c>
      <c r="BD39" s="32">
        <v>0</v>
      </c>
      <c r="BE39" s="32">
        <v>0</v>
      </c>
      <c r="BF39" s="32">
        <v>0</v>
      </c>
      <c r="BG39" s="32">
        <v>0</v>
      </c>
      <c r="BH39" s="32">
        <v>0</v>
      </c>
      <c r="BI39" s="13">
        <v>5</v>
      </c>
      <c r="BJ39" s="32">
        <v>0</v>
      </c>
      <c r="BK39" s="32">
        <v>0</v>
      </c>
      <c r="BL39" s="32">
        <v>0</v>
      </c>
      <c r="BM39" s="32">
        <v>0</v>
      </c>
      <c r="BN39" s="32">
        <v>0</v>
      </c>
      <c r="BO39">
        <f t="shared" si="2"/>
        <v>4</v>
      </c>
      <c r="BP39" s="13">
        <f t="shared" si="3"/>
        <v>12</v>
      </c>
      <c r="BQ39" s="13">
        <f>[1]!shannonweaver(K39:BL39)</f>
        <v>1.3086053872534491</v>
      </c>
      <c r="BR39">
        <f t="shared" si="4"/>
        <v>0</v>
      </c>
      <c r="BS39">
        <f t="shared" si="5"/>
        <v>2</v>
      </c>
      <c r="BT39">
        <f t="shared" si="6"/>
        <v>1</v>
      </c>
      <c r="BU39">
        <f t="shared" si="7"/>
        <v>0</v>
      </c>
      <c r="BV39" s="13">
        <f t="shared" si="8"/>
        <v>0</v>
      </c>
      <c r="BW39" s="13">
        <f t="shared" si="9"/>
        <v>2</v>
      </c>
      <c r="BX39" s="13">
        <f t="shared" si="10"/>
        <v>0</v>
      </c>
      <c r="BY39" s="13">
        <f t="shared" si="11"/>
        <v>2</v>
      </c>
      <c r="BZ39" s="13">
        <f t="shared" si="12"/>
        <v>0</v>
      </c>
      <c r="CA39" s="13">
        <f t="shared" si="13"/>
        <v>4</v>
      </c>
      <c r="CB39" s="13">
        <f t="shared" si="14"/>
        <v>3</v>
      </c>
      <c r="CC39" s="13">
        <f t="shared" si="15"/>
        <v>0</v>
      </c>
      <c r="CD39" s="13">
        <f t="shared" si="16"/>
        <v>2</v>
      </c>
      <c r="CE39" s="13">
        <f t="shared" si="17"/>
        <v>3.4641016151377544</v>
      </c>
      <c r="CF39" s="13">
        <f t="shared" si="18"/>
        <v>1.1439429125849983</v>
      </c>
      <c r="CG39" s="13">
        <f t="shared" si="19"/>
        <v>0</v>
      </c>
      <c r="CH39" s="13">
        <f t="shared" si="20"/>
        <v>1.4142135623730951</v>
      </c>
      <c r="CI39" s="13">
        <f t="shared" si="21"/>
        <v>1</v>
      </c>
      <c r="CJ39" s="13">
        <f t="shared" si="21"/>
        <v>0</v>
      </c>
      <c r="CK39" s="13">
        <f t="shared" si="23"/>
        <v>0</v>
      </c>
      <c r="CL39" s="13">
        <f t="shared" si="24"/>
        <v>1.4142135623730951</v>
      </c>
      <c r="CM39" s="13">
        <f t="shared" si="25"/>
        <v>0</v>
      </c>
      <c r="CN39" s="13">
        <f t="shared" si="26"/>
        <v>1.4142135623730951</v>
      </c>
      <c r="CO39" s="13">
        <f t="shared" si="27"/>
        <v>0</v>
      </c>
      <c r="CP39" s="13">
        <f t="shared" si="28"/>
        <v>2</v>
      </c>
      <c r="CQ39" s="13">
        <f t="shared" si="29"/>
        <v>1.7320508075688772</v>
      </c>
      <c r="CR39" s="13">
        <f t="shared" si="30"/>
        <v>0</v>
      </c>
      <c r="CS39" s="13">
        <f t="shared" si="31"/>
        <v>1.6094379124341003</v>
      </c>
      <c r="CT39" s="13">
        <f t="shared" si="32"/>
        <v>2.5649493574615367</v>
      </c>
      <c r="CU39" s="13">
        <f t="shared" si="33"/>
        <v>0.83664361375458018</v>
      </c>
      <c r="CV39" s="13">
        <f t="shared" si="34"/>
        <v>0</v>
      </c>
      <c r="CW39" s="13">
        <f t="shared" si="35"/>
        <v>1.0986122886681098</v>
      </c>
      <c r="CX39" s="13">
        <f t="shared" si="36"/>
        <v>0.69314718055994529</v>
      </c>
      <c r="CY39" s="13">
        <f t="shared" si="37"/>
        <v>0</v>
      </c>
      <c r="CZ39" s="13">
        <f t="shared" si="38"/>
        <v>0</v>
      </c>
      <c r="DA39" s="13">
        <f t="shared" si="39"/>
        <v>1.0986122886681098</v>
      </c>
      <c r="DB39" s="13">
        <f t="shared" si="40"/>
        <v>0</v>
      </c>
      <c r="DC39" s="13">
        <f t="shared" si="41"/>
        <v>1.0986122886681098</v>
      </c>
      <c r="DD39" s="13">
        <f t="shared" si="42"/>
        <v>0</v>
      </c>
      <c r="DE39" s="13">
        <f t="shared" si="43"/>
        <v>1.6094379124341003</v>
      </c>
      <c r="DF39" s="13">
        <f t="shared" si="44"/>
        <v>1.3862943611198906</v>
      </c>
      <c r="DG39" s="13">
        <f t="shared" si="45"/>
        <v>0</v>
      </c>
      <c r="DH39" s="13"/>
      <c r="DI39" s="13"/>
      <c r="DJ39" s="13"/>
      <c r="DL39"/>
      <c r="DM39"/>
      <c r="DN39"/>
      <c r="DO39"/>
      <c r="DP39" s="31"/>
    </row>
    <row r="40" spans="1:120">
      <c r="A40" s="13" t="s">
        <v>270</v>
      </c>
      <c r="B40" t="s">
        <v>281</v>
      </c>
      <c r="C40" t="s">
        <v>282</v>
      </c>
      <c r="D40" s="13" t="s">
        <v>319</v>
      </c>
      <c r="E40" s="13" t="s">
        <v>91</v>
      </c>
      <c r="F40" s="13">
        <v>0</v>
      </c>
      <c r="G40" s="13">
        <v>0</v>
      </c>
      <c r="H40" s="13">
        <v>0</v>
      </c>
      <c r="I40" s="13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13">
        <v>1</v>
      </c>
      <c r="U40" s="32">
        <v>0</v>
      </c>
      <c r="V40" s="32">
        <v>0</v>
      </c>
      <c r="W40" s="32">
        <v>0</v>
      </c>
      <c r="X40" s="13">
        <v>1</v>
      </c>
      <c r="Y40" s="32">
        <v>0</v>
      </c>
      <c r="Z40" s="32">
        <v>0</v>
      </c>
      <c r="AA40" s="32">
        <v>0</v>
      </c>
      <c r="AB40" s="13">
        <v>4</v>
      </c>
      <c r="AC40" s="32">
        <v>0</v>
      </c>
      <c r="AD40" s="32">
        <v>0</v>
      </c>
      <c r="AE40" s="13">
        <v>3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13">
        <v>1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>
        <f t="shared" si="2"/>
        <v>5</v>
      </c>
      <c r="BP40" s="13">
        <f t="shared" si="3"/>
        <v>10</v>
      </c>
      <c r="BQ40" s="13">
        <f>[1]!shannonweaver(K40:BL40)</f>
        <v>1.4184836619456564</v>
      </c>
      <c r="BR40">
        <f t="shared" si="4"/>
        <v>1</v>
      </c>
      <c r="BS40">
        <f t="shared" si="5"/>
        <v>4</v>
      </c>
      <c r="BT40">
        <f t="shared" si="6"/>
        <v>0</v>
      </c>
      <c r="BU40">
        <f t="shared" si="7"/>
        <v>0</v>
      </c>
      <c r="BV40" s="13">
        <f t="shared" si="8"/>
        <v>1</v>
      </c>
      <c r="BW40" s="13">
        <f t="shared" si="9"/>
        <v>4</v>
      </c>
      <c r="BX40" s="13">
        <f t="shared" si="10"/>
        <v>3</v>
      </c>
      <c r="BY40" s="13">
        <f t="shared" si="11"/>
        <v>7</v>
      </c>
      <c r="BZ40" s="13">
        <f t="shared" si="12"/>
        <v>0</v>
      </c>
      <c r="CA40" s="13">
        <f t="shared" si="13"/>
        <v>9</v>
      </c>
      <c r="CB40" s="13">
        <f t="shared" si="14"/>
        <v>0</v>
      </c>
      <c r="CC40" s="13">
        <f t="shared" si="15"/>
        <v>0</v>
      </c>
      <c r="CD40" s="13">
        <f t="shared" si="16"/>
        <v>2.2360679774997898</v>
      </c>
      <c r="CE40" s="13">
        <f t="shared" si="17"/>
        <v>3.1622776601683795</v>
      </c>
      <c r="CF40" s="13">
        <f t="shared" si="18"/>
        <v>1.1910011175249402</v>
      </c>
      <c r="CG40" s="13">
        <f t="shared" si="19"/>
        <v>1</v>
      </c>
      <c r="CH40" s="13">
        <f t="shared" si="20"/>
        <v>2</v>
      </c>
      <c r="CI40" s="13">
        <f t="shared" si="21"/>
        <v>0</v>
      </c>
      <c r="CJ40" s="13">
        <f t="shared" si="21"/>
        <v>0</v>
      </c>
      <c r="CK40" s="13">
        <f t="shared" si="23"/>
        <v>1</v>
      </c>
      <c r="CL40" s="13">
        <f t="shared" si="24"/>
        <v>2</v>
      </c>
      <c r="CM40" s="13">
        <f t="shared" si="25"/>
        <v>1.7320508075688772</v>
      </c>
      <c r="CN40" s="13">
        <f t="shared" si="26"/>
        <v>2.6457513110645907</v>
      </c>
      <c r="CO40" s="13">
        <f t="shared" si="27"/>
        <v>0</v>
      </c>
      <c r="CP40" s="13">
        <f t="shared" si="28"/>
        <v>3</v>
      </c>
      <c r="CQ40" s="13">
        <f t="shared" si="29"/>
        <v>0</v>
      </c>
      <c r="CR40" s="13">
        <f t="shared" si="30"/>
        <v>0</v>
      </c>
      <c r="CS40" s="13">
        <f t="shared" si="31"/>
        <v>1.791759469228055</v>
      </c>
      <c r="CT40" s="13">
        <f t="shared" si="32"/>
        <v>2.3978952727983707</v>
      </c>
      <c r="CU40" s="13">
        <f t="shared" si="33"/>
        <v>0.88314075780869528</v>
      </c>
      <c r="CV40" s="13">
        <f t="shared" si="34"/>
        <v>0.69314718055994529</v>
      </c>
      <c r="CW40" s="13">
        <f t="shared" si="35"/>
        <v>1.6094379124341003</v>
      </c>
      <c r="CX40" s="13">
        <f t="shared" si="36"/>
        <v>0</v>
      </c>
      <c r="CY40" s="13">
        <f t="shared" si="37"/>
        <v>0</v>
      </c>
      <c r="CZ40" s="13">
        <f t="shared" si="38"/>
        <v>0.69314718055994529</v>
      </c>
      <c r="DA40" s="13">
        <f t="shared" si="39"/>
        <v>1.6094379124341003</v>
      </c>
      <c r="DB40" s="13">
        <f t="shared" si="40"/>
        <v>1.3862943611198906</v>
      </c>
      <c r="DC40" s="13">
        <f t="shared" si="41"/>
        <v>2.0794415416798357</v>
      </c>
      <c r="DD40" s="13">
        <f t="shared" si="42"/>
        <v>0</v>
      </c>
      <c r="DE40" s="13">
        <f t="shared" si="43"/>
        <v>2.3025850929940459</v>
      </c>
      <c r="DF40" s="13">
        <f t="shared" si="44"/>
        <v>0</v>
      </c>
      <c r="DG40" s="13">
        <f t="shared" si="45"/>
        <v>0</v>
      </c>
      <c r="DH40" s="13"/>
      <c r="DI40" s="13"/>
      <c r="DJ40" s="13"/>
      <c r="DL40"/>
      <c r="DM40"/>
      <c r="DN40"/>
      <c r="DO40"/>
      <c r="DP40" s="31"/>
    </row>
    <row r="41" spans="1:120">
      <c r="A41" s="13" t="s">
        <v>271</v>
      </c>
      <c r="B41" t="s">
        <v>281</v>
      </c>
      <c r="C41" t="s">
        <v>282</v>
      </c>
      <c r="D41" s="13" t="s">
        <v>319</v>
      </c>
      <c r="E41" s="13" t="s">
        <v>91</v>
      </c>
      <c r="F41" s="13">
        <v>0</v>
      </c>
      <c r="G41" s="13">
        <v>0</v>
      </c>
      <c r="H41" s="13">
        <v>0</v>
      </c>
      <c r="I41" s="13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32">
        <v>0</v>
      </c>
      <c r="V41" s="32">
        <v>0</v>
      </c>
      <c r="W41" s="32">
        <v>0</v>
      </c>
      <c r="X41" s="13">
        <v>1</v>
      </c>
      <c r="Y41" s="32">
        <v>0</v>
      </c>
      <c r="Z41" s="32">
        <v>0</v>
      </c>
      <c r="AA41" s="32">
        <v>0</v>
      </c>
      <c r="AB41" s="32">
        <v>0</v>
      </c>
      <c r="AC41" s="32">
        <v>0</v>
      </c>
      <c r="AD41" s="32">
        <v>0</v>
      </c>
      <c r="AE41" s="13">
        <v>3</v>
      </c>
      <c r="AF41" s="32">
        <v>0</v>
      </c>
      <c r="AG41" s="13">
        <v>1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 s="32">
        <v>0</v>
      </c>
      <c r="BD41" s="32">
        <v>0</v>
      </c>
      <c r="BE41" s="32">
        <v>0</v>
      </c>
      <c r="BF41" s="32">
        <v>0</v>
      </c>
      <c r="BG41" s="32">
        <v>0</v>
      </c>
      <c r="BH41" s="32">
        <v>0</v>
      </c>
      <c r="BI41" s="32">
        <v>0</v>
      </c>
      <c r="BJ41" s="32">
        <v>0</v>
      </c>
      <c r="BK41" s="13">
        <v>1</v>
      </c>
      <c r="BL41" s="32">
        <v>0</v>
      </c>
      <c r="BM41" s="32">
        <v>0</v>
      </c>
      <c r="BN41" s="32">
        <v>0</v>
      </c>
      <c r="BO41">
        <f t="shared" si="2"/>
        <v>4</v>
      </c>
      <c r="BP41" s="13">
        <f t="shared" si="3"/>
        <v>6</v>
      </c>
      <c r="BQ41" s="13">
        <f>[1]!shannonweaver(K41:BL41)</f>
        <v>1.242453324894</v>
      </c>
      <c r="BR41">
        <f t="shared" si="4"/>
        <v>0</v>
      </c>
      <c r="BS41">
        <f t="shared" si="5"/>
        <v>3</v>
      </c>
      <c r="BT41">
        <f t="shared" si="6"/>
        <v>0</v>
      </c>
      <c r="BU41">
        <f t="shared" si="7"/>
        <v>0</v>
      </c>
      <c r="BV41" s="13">
        <f t="shared" si="8"/>
        <v>0</v>
      </c>
      <c r="BW41" s="13">
        <f t="shared" si="9"/>
        <v>0</v>
      </c>
      <c r="BX41" s="13">
        <f t="shared" si="10"/>
        <v>3</v>
      </c>
      <c r="BY41" s="13">
        <f t="shared" si="11"/>
        <v>3</v>
      </c>
      <c r="BZ41" s="13">
        <f t="shared" si="12"/>
        <v>1</v>
      </c>
      <c r="CA41" s="13">
        <f t="shared" si="13"/>
        <v>5</v>
      </c>
      <c r="CB41" s="13">
        <f t="shared" si="14"/>
        <v>0</v>
      </c>
      <c r="CC41" s="13">
        <f t="shared" si="15"/>
        <v>1</v>
      </c>
      <c r="CD41" s="13">
        <f t="shared" si="16"/>
        <v>2</v>
      </c>
      <c r="CE41" s="13">
        <f t="shared" si="17"/>
        <v>2.4494897427831779</v>
      </c>
      <c r="CF41" s="13">
        <f t="shared" si="18"/>
        <v>1.1146539036373577</v>
      </c>
      <c r="CG41" s="13">
        <f t="shared" si="19"/>
        <v>0</v>
      </c>
      <c r="CH41" s="13">
        <f t="shared" si="20"/>
        <v>1.7320508075688772</v>
      </c>
      <c r="CI41" s="13">
        <f t="shared" si="21"/>
        <v>0</v>
      </c>
      <c r="CJ41" s="13">
        <f t="shared" si="21"/>
        <v>0</v>
      </c>
      <c r="CK41" s="13">
        <f t="shared" si="23"/>
        <v>0</v>
      </c>
      <c r="CL41" s="13">
        <f t="shared" si="24"/>
        <v>0</v>
      </c>
      <c r="CM41" s="13">
        <f t="shared" si="25"/>
        <v>1.7320508075688772</v>
      </c>
      <c r="CN41" s="13">
        <f t="shared" si="26"/>
        <v>1.7320508075688772</v>
      </c>
      <c r="CO41" s="13">
        <f t="shared" si="27"/>
        <v>1</v>
      </c>
      <c r="CP41" s="13">
        <f t="shared" si="28"/>
        <v>2.2360679774997898</v>
      </c>
      <c r="CQ41" s="13">
        <f t="shared" si="29"/>
        <v>0</v>
      </c>
      <c r="CR41" s="13">
        <f t="shared" si="30"/>
        <v>1</v>
      </c>
      <c r="CS41" s="13">
        <f t="shared" si="31"/>
        <v>1.6094379124341003</v>
      </c>
      <c r="CT41" s="13">
        <f t="shared" si="32"/>
        <v>1.9459101490553132</v>
      </c>
      <c r="CU41" s="13">
        <f t="shared" si="33"/>
        <v>0.80757050086307647</v>
      </c>
      <c r="CV41" s="13">
        <f t="shared" si="34"/>
        <v>0</v>
      </c>
      <c r="CW41" s="13">
        <f t="shared" si="35"/>
        <v>1.3862943611198906</v>
      </c>
      <c r="CX41" s="13">
        <f t="shared" si="36"/>
        <v>0</v>
      </c>
      <c r="CY41" s="13">
        <f t="shared" si="37"/>
        <v>0</v>
      </c>
      <c r="CZ41" s="13">
        <f t="shared" si="38"/>
        <v>0</v>
      </c>
      <c r="DA41" s="13">
        <f t="shared" si="39"/>
        <v>0</v>
      </c>
      <c r="DB41" s="13">
        <f t="shared" si="40"/>
        <v>1.3862943611198906</v>
      </c>
      <c r="DC41" s="13">
        <f t="shared" si="41"/>
        <v>1.3862943611198906</v>
      </c>
      <c r="DD41" s="13">
        <f t="shared" si="42"/>
        <v>0.69314718055994529</v>
      </c>
      <c r="DE41" s="13">
        <f t="shared" si="43"/>
        <v>1.791759469228055</v>
      </c>
      <c r="DF41" s="13">
        <f t="shared" si="44"/>
        <v>0</v>
      </c>
      <c r="DG41" s="13">
        <f t="shared" si="45"/>
        <v>0.69314718055994529</v>
      </c>
      <c r="DH41" s="13"/>
      <c r="DI41" s="13"/>
      <c r="DJ41" s="13"/>
      <c r="DL41"/>
      <c r="DM41"/>
      <c r="DN41"/>
      <c r="DO41"/>
      <c r="DP41" s="31"/>
    </row>
    <row r="42" spans="1:120">
      <c r="A42" s="13" t="s">
        <v>272</v>
      </c>
      <c r="B42" t="s">
        <v>281</v>
      </c>
      <c r="C42" t="s">
        <v>282</v>
      </c>
      <c r="D42" s="13" t="s">
        <v>319</v>
      </c>
      <c r="E42" s="13" t="s">
        <v>91</v>
      </c>
      <c r="F42" s="13">
        <v>0</v>
      </c>
      <c r="G42" s="13">
        <v>0</v>
      </c>
      <c r="H42" s="13">
        <v>0</v>
      </c>
      <c r="I42" s="13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32">
        <v>0</v>
      </c>
      <c r="Z42" s="32">
        <v>0</v>
      </c>
      <c r="AA42" s="32">
        <v>0</v>
      </c>
      <c r="AB42" s="13">
        <v>3</v>
      </c>
      <c r="AC42" s="32">
        <v>0</v>
      </c>
      <c r="AD42" s="32">
        <v>0</v>
      </c>
      <c r="AE42" s="13">
        <v>1</v>
      </c>
      <c r="AF42" s="32">
        <v>0</v>
      </c>
      <c r="AG42" s="13">
        <v>1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13">
        <v>1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2">
        <v>0</v>
      </c>
      <c r="AZ42" s="32">
        <v>0</v>
      </c>
      <c r="BA42" s="32">
        <v>0</v>
      </c>
      <c r="BB42" s="32">
        <v>0</v>
      </c>
      <c r="BC42" s="32">
        <v>0</v>
      </c>
      <c r="BD42" s="32">
        <v>0</v>
      </c>
      <c r="BE42" s="32">
        <v>0</v>
      </c>
      <c r="BF42" s="13">
        <v>1</v>
      </c>
      <c r="BG42" s="32">
        <v>0</v>
      </c>
      <c r="BH42" s="32">
        <v>0</v>
      </c>
      <c r="BI42" s="32">
        <v>0</v>
      </c>
      <c r="BJ42" s="32">
        <v>0</v>
      </c>
      <c r="BK42" s="32">
        <v>0</v>
      </c>
      <c r="BL42" s="32">
        <v>0</v>
      </c>
      <c r="BM42" s="32">
        <v>0</v>
      </c>
      <c r="BN42" s="32">
        <v>0</v>
      </c>
      <c r="BO42">
        <f t="shared" si="2"/>
        <v>5</v>
      </c>
      <c r="BP42" s="13">
        <f t="shared" si="3"/>
        <v>7</v>
      </c>
      <c r="BQ42" s="13">
        <f>[1]!shannonweaver(K42:BL42)</f>
        <v>1.4750763110546947</v>
      </c>
      <c r="BR42">
        <f t="shared" si="4"/>
        <v>0</v>
      </c>
      <c r="BS42">
        <f t="shared" si="5"/>
        <v>4</v>
      </c>
      <c r="BT42">
        <f t="shared" si="6"/>
        <v>0</v>
      </c>
      <c r="BU42">
        <f t="shared" si="7"/>
        <v>0</v>
      </c>
      <c r="BV42" s="13">
        <f t="shared" si="8"/>
        <v>0</v>
      </c>
      <c r="BW42" s="13">
        <f t="shared" si="9"/>
        <v>3</v>
      </c>
      <c r="BX42" s="13">
        <f t="shared" si="10"/>
        <v>1</v>
      </c>
      <c r="BY42" s="13">
        <f t="shared" si="11"/>
        <v>4</v>
      </c>
      <c r="BZ42" s="13">
        <f t="shared" si="12"/>
        <v>1</v>
      </c>
      <c r="CA42" s="13">
        <f t="shared" si="13"/>
        <v>6</v>
      </c>
      <c r="CB42" s="13">
        <f t="shared" si="14"/>
        <v>0</v>
      </c>
      <c r="CC42" s="13">
        <f t="shared" si="15"/>
        <v>0</v>
      </c>
      <c r="CD42" s="13">
        <f t="shared" si="16"/>
        <v>2.2360679774997898</v>
      </c>
      <c r="CE42" s="13">
        <f t="shared" si="17"/>
        <v>2.6457513110645907</v>
      </c>
      <c r="CF42" s="13">
        <f t="shared" si="18"/>
        <v>1.2145271965068114</v>
      </c>
      <c r="CG42" s="13">
        <f t="shared" si="19"/>
        <v>0</v>
      </c>
      <c r="CH42" s="13">
        <f t="shared" si="20"/>
        <v>2</v>
      </c>
      <c r="CI42" s="13">
        <f t="shared" si="21"/>
        <v>0</v>
      </c>
      <c r="CJ42" s="13">
        <f t="shared" si="21"/>
        <v>0</v>
      </c>
      <c r="CK42" s="13">
        <f t="shared" si="23"/>
        <v>0</v>
      </c>
      <c r="CL42" s="13">
        <f t="shared" si="24"/>
        <v>1.7320508075688772</v>
      </c>
      <c r="CM42" s="13">
        <f t="shared" si="25"/>
        <v>1</v>
      </c>
      <c r="CN42" s="13">
        <f t="shared" si="26"/>
        <v>2</v>
      </c>
      <c r="CO42" s="13">
        <f t="shared" si="27"/>
        <v>1</v>
      </c>
      <c r="CP42" s="13">
        <f t="shared" si="28"/>
        <v>2.4494897427831779</v>
      </c>
      <c r="CQ42" s="13">
        <f t="shared" si="29"/>
        <v>0</v>
      </c>
      <c r="CR42" s="13">
        <f t="shared" si="30"/>
        <v>0</v>
      </c>
      <c r="CS42" s="13">
        <f t="shared" si="31"/>
        <v>1.791759469228055</v>
      </c>
      <c r="CT42" s="13">
        <f t="shared" si="32"/>
        <v>2.0794415416798357</v>
      </c>
      <c r="CU42" s="13">
        <f t="shared" si="33"/>
        <v>0.90627122829470574</v>
      </c>
      <c r="CV42" s="13">
        <f t="shared" si="34"/>
        <v>0</v>
      </c>
      <c r="CW42" s="13">
        <f t="shared" si="35"/>
        <v>1.6094379124341003</v>
      </c>
      <c r="CX42" s="13">
        <f t="shared" si="36"/>
        <v>0</v>
      </c>
      <c r="CY42" s="13">
        <f t="shared" si="37"/>
        <v>0</v>
      </c>
      <c r="CZ42" s="13">
        <f t="shared" si="38"/>
        <v>0</v>
      </c>
      <c r="DA42" s="13">
        <f t="shared" si="39"/>
        <v>1.3862943611198906</v>
      </c>
      <c r="DB42" s="13">
        <f t="shared" si="40"/>
        <v>0.69314718055994529</v>
      </c>
      <c r="DC42" s="13">
        <f t="shared" si="41"/>
        <v>1.6094379124341003</v>
      </c>
      <c r="DD42" s="13">
        <f t="shared" si="42"/>
        <v>0.69314718055994529</v>
      </c>
      <c r="DE42" s="13">
        <f t="shared" si="43"/>
        <v>1.9459101490553132</v>
      </c>
      <c r="DF42" s="13">
        <f t="shared" si="44"/>
        <v>0</v>
      </c>
      <c r="DG42" s="13">
        <f t="shared" si="45"/>
        <v>0</v>
      </c>
      <c r="DH42" s="13"/>
      <c r="DI42" s="13"/>
      <c r="DJ42" s="13"/>
      <c r="DL42"/>
      <c r="DM42"/>
      <c r="DN42"/>
      <c r="DO42"/>
      <c r="DP42" s="31"/>
    </row>
    <row r="43" spans="1:120">
      <c r="A43" s="13" t="s">
        <v>273</v>
      </c>
      <c r="B43" t="s">
        <v>281</v>
      </c>
      <c r="C43" t="s">
        <v>282</v>
      </c>
      <c r="D43" s="13" t="s">
        <v>319</v>
      </c>
      <c r="E43" s="13" t="s">
        <v>91</v>
      </c>
      <c r="F43" s="13">
        <v>0</v>
      </c>
      <c r="G43" s="13">
        <v>0</v>
      </c>
      <c r="H43" s="13">
        <v>0</v>
      </c>
      <c r="I43" s="13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13">
        <v>1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13">
        <v>2</v>
      </c>
      <c r="AC43" s="32">
        <v>0</v>
      </c>
      <c r="AD43" s="13">
        <v>1</v>
      </c>
      <c r="AE43" s="13">
        <v>0</v>
      </c>
      <c r="AF43" s="32">
        <v>0</v>
      </c>
      <c r="AG43" s="32">
        <v>0</v>
      </c>
      <c r="AH43" s="13">
        <v>1</v>
      </c>
      <c r="AI43" s="32">
        <v>0</v>
      </c>
      <c r="AJ43" s="32">
        <v>0</v>
      </c>
      <c r="AK43" s="32">
        <v>0</v>
      </c>
      <c r="AL43" s="13">
        <v>2</v>
      </c>
      <c r="AM43" s="13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32">
        <v>0</v>
      </c>
      <c r="BA43" s="32">
        <v>0</v>
      </c>
      <c r="BB43" s="32">
        <v>0</v>
      </c>
      <c r="BC43" s="32">
        <v>0</v>
      </c>
      <c r="BD43" s="32">
        <v>0</v>
      </c>
      <c r="BE43" s="32">
        <v>0</v>
      </c>
      <c r="BF43" s="13">
        <v>1</v>
      </c>
      <c r="BG43" s="32">
        <v>0</v>
      </c>
      <c r="BH43" s="32">
        <v>0</v>
      </c>
      <c r="BI43" s="32">
        <v>0</v>
      </c>
      <c r="BJ43" s="32">
        <v>0</v>
      </c>
      <c r="BK43" s="32">
        <v>0</v>
      </c>
      <c r="BL43" s="32">
        <v>0</v>
      </c>
      <c r="BM43" s="32">
        <v>0</v>
      </c>
      <c r="BN43" s="32">
        <v>0</v>
      </c>
      <c r="BO43">
        <f t="shared" si="2"/>
        <v>6</v>
      </c>
      <c r="BP43" s="13">
        <f t="shared" si="3"/>
        <v>8</v>
      </c>
      <c r="BQ43" s="13">
        <f>[1]!shannonweaver(K43:BL43)</f>
        <v>1.7328679513998633</v>
      </c>
      <c r="BR43">
        <f t="shared" si="4"/>
        <v>1</v>
      </c>
      <c r="BS43">
        <f t="shared" si="5"/>
        <v>4</v>
      </c>
      <c r="BT43">
        <f t="shared" si="6"/>
        <v>0</v>
      </c>
      <c r="BU43">
        <f t="shared" si="7"/>
        <v>1</v>
      </c>
      <c r="BV43" s="13">
        <f t="shared" si="8"/>
        <v>1</v>
      </c>
      <c r="BW43" s="13">
        <f t="shared" si="9"/>
        <v>3</v>
      </c>
      <c r="BX43" s="13">
        <f t="shared" si="10"/>
        <v>0</v>
      </c>
      <c r="BY43" s="13">
        <f t="shared" si="11"/>
        <v>3</v>
      </c>
      <c r="BZ43" s="13">
        <f t="shared" si="12"/>
        <v>0</v>
      </c>
      <c r="CA43" s="13">
        <f t="shared" si="13"/>
        <v>6</v>
      </c>
      <c r="CB43" s="13">
        <f t="shared" si="14"/>
        <v>0</v>
      </c>
      <c r="CC43" s="13">
        <f t="shared" si="15"/>
        <v>0</v>
      </c>
      <c r="CD43" s="13">
        <f t="shared" si="16"/>
        <v>2.4494897427831779</v>
      </c>
      <c r="CE43" s="13">
        <f t="shared" si="17"/>
        <v>2.8284271247461903</v>
      </c>
      <c r="CF43" s="13">
        <f t="shared" si="18"/>
        <v>1.3163844238670797</v>
      </c>
      <c r="CG43" s="13">
        <f t="shared" si="19"/>
        <v>1</v>
      </c>
      <c r="CH43" s="13">
        <f t="shared" si="20"/>
        <v>2</v>
      </c>
      <c r="CI43" s="13">
        <f t="shared" si="21"/>
        <v>0</v>
      </c>
      <c r="CJ43" s="13">
        <f t="shared" si="21"/>
        <v>1</v>
      </c>
      <c r="CK43" s="13">
        <f t="shared" si="23"/>
        <v>1</v>
      </c>
      <c r="CL43" s="13">
        <f t="shared" si="24"/>
        <v>1.7320508075688772</v>
      </c>
      <c r="CM43" s="13">
        <f t="shared" si="25"/>
        <v>0</v>
      </c>
      <c r="CN43" s="13">
        <f t="shared" si="26"/>
        <v>1.7320508075688772</v>
      </c>
      <c r="CO43" s="13">
        <f t="shared" si="27"/>
        <v>0</v>
      </c>
      <c r="CP43" s="13">
        <f t="shared" si="28"/>
        <v>2.4494897427831779</v>
      </c>
      <c r="CQ43" s="13">
        <f t="shared" si="29"/>
        <v>0</v>
      </c>
      <c r="CR43" s="13">
        <f t="shared" si="30"/>
        <v>0</v>
      </c>
      <c r="CS43" s="13">
        <f t="shared" si="31"/>
        <v>1.9459101490553132</v>
      </c>
      <c r="CT43" s="13">
        <f t="shared" si="32"/>
        <v>2.1972245773362196</v>
      </c>
      <c r="CU43" s="13">
        <f t="shared" si="33"/>
        <v>1.0053515894229552</v>
      </c>
      <c r="CV43" s="13">
        <f t="shared" si="34"/>
        <v>0.69314718055994529</v>
      </c>
      <c r="CW43" s="13">
        <f t="shared" si="35"/>
        <v>1.6094379124341003</v>
      </c>
      <c r="CX43" s="13">
        <f t="shared" si="36"/>
        <v>0</v>
      </c>
      <c r="CY43" s="13">
        <f t="shared" si="37"/>
        <v>0.69314718055994529</v>
      </c>
      <c r="CZ43" s="13">
        <f t="shared" si="38"/>
        <v>0.69314718055994529</v>
      </c>
      <c r="DA43" s="13">
        <f t="shared" si="39"/>
        <v>1.3862943611198906</v>
      </c>
      <c r="DB43" s="13">
        <f t="shared" si="40"/>
        <v>0</v>
      </c>
      <c r="DC43" s="13">
        <f t="shared" si="41"/>
        <v>1.3862943611198906</v>
      </c>
      <c r="DD43" s="13">
        <f t="shared" si="42"/>
        <v>0</v>
      </c>
      <c r="DE43" s="13">
        <f t="shared" si="43"/>
        <v>1.9459101490553132</v>
      </c>
      <c r="DF43" s="13">
        <f t="shared" si="44"/>
        <v>0</v>
      </c>
      <c r="DG43" s="13">
        <f t="shared" si="45"/>
        <v>0</v>
      </c>
      <c r="DH43" s="13"/>
      <c r="DI43" s="13"/>
      <c r="DJ43" s="13"/>
      <c r="DL43"/>
      <c r="DM43"/>
      <c r="DN43"/>
      <c r="DO43"/>
      <c r="DP43" s="31"/>
    </row>
    <row r="44" spans="1:120">
      <c r="A44" s="13" t="s">
        <v>141</v>
      </c>
      <c r="B44" t="s">
        <v>281</v>
      </c>
      <c r="C44" t="s">
        <v>293</v>
      </c>
      <c r="D44" s="13" t="s">
        <v>319</v>
      </c>
      <c r="E44" s="13" t="s">
        <v>91</v>
      </c>
      <c r="F44" s="13">
        <v>0</v>
      </c>
      <c r="G44" s="13">
        <v>0</v>
      </c>
      <c r="H44" s="13">
        <v>0</v>
      </c>
      <c r="I44" s="13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13">
        <v>1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32">
        <v>0</v>
      </c>
      <c r="V44" s="32">
        <v>0</v>
      </c>
      <c r="W44" s="32">
        <v>0</v>
      </c>
      <c r="X44" s="13">
        <v>1</v>
      </c>
      <c r="Y44" s="32">
        <v>0</v>
      </c>
      <c r="Z44" s="32">
        <v>0</v>
      </c>
      <c r="AA44" s="32">
        <v>0</v>
      </c>
      <c r="AB44" s="13">
        <v>3</v>
      </c>
      <c r="AC44" s="32">
        <v>0</v>
      </c>
      <c r="AD44" s="13">
        <v>1</v>
      </c>
      <c r="AE44" s="13">
        <v>0</v>
      </c>
      <c r="AF44" s="32">
        <v>0</v>
      </c>
      <c r="AG44" s="13">
        <v>2</v>
      </c>
      <c r="AH44" s="13">
        <v>0</v>
      </c>
      <c r="AI44" s="32">
        <v>0</v>
      </c>
      <c r="AJ44" s="32">
        <v>0</v>
      </c>
      <c r="AK44" s="32">
        <v>0</v>
      </c>
      <c r="AL44" s="32">
        <v>0</v>
      </c>
      <c r="AM44" s="13">
        <v>1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32">
        <v>0</v>
      </c>
      <c r="AT44" s="32">
        <v>0</v>
      </c>
      <c r="AU44" s="32">
        <v>0</v>
      </c>
      <c r="AV44" s="32">
        <v>0</v>
      </c>
      <c r="AW44" s="32">
        <v>0</v>
      </c>
      <c r="AX44" s="32">
        <v>0</v>
      </c>
      <c r="AY44" s="13">
        <v>3</v>
      </c>
      <c r="AZ44" s="32">
        <v>0</v>
      </c>
      <c r="BA44" s="32">
        <v>0</v>
      </c>
      <c r="BB44" s="13">
        <v>1</v>
      </c>
      <c r="BC44" s="32">
        <v>0</v>
      </c>
      <c r="BD44" s="32">
        <v>0</v>
      </c>
      <c r="BE44" s="32">
        <v>0</v>
      </c>
      <c r="BF44" s="32">
        <v>0</v>
      </c>
      <c r="BG44" s="32">
        <v>0</v>
      </c>
      <c r="BH44" s="32">
        <v>0</v>
      </c>
      <c r="BI44" s="13">
        <v>1</v>
      </c>
      <c r="BJ44" s="32">
        <v>0</v>
      </c>
      <c r="BK44" s="32">
        <v>0</v>
      </c>
      <c r="BL44" s="32">
        <v>0</v>
      </c>
      <c r="BM44" s="32">
        <v>0</v>
      </c>
      <c r="BN44" s="32">
        <v>0</v>
      </c>
      <c r="BO44">
        <f t="shared" si="2"/>
        <v>9</v>
      </c>
      <c r="BP44" s="13">
        <f t="shared" si="3"/>
        <v>14</v>
      </c>
      <c r="BQ44" s="13">
        <f>[1]!shannonweaver(K44:BL44)</f>
        <v>2.0692024658203625</v>
      </c>
      <c r="BR44">
        <f t="shared" si="4"/>
        <v>1</v>
      </c>
      <c r="BS44">
        <f t="shared" si="5"/>
        <v>5</v>
      </c>
      <c r="BT44">
        <f t="shared" si="6"/>
        <v>2</v>
      </c>
      <c r="BU44">
        <f t="shared" si="7"/>
        <v>1</v>
      </c>
      <c r="BV44" s="13">
        <f t="shared" si="8"/>
        <v>1</v>
      </c>
      <c r="BW44" s="13">
        <f t="shared" si="9"/>
        <v>4</v>
      </c>
      <c r="BX44" s="13">
        <f t="shared" si="10"/>
        <v>0</v>
      </c>
      <c r="BY44" s="13">
        <f t="shared" si="11"/>
        <v>4</v>
      </c>
      <c r="BZ44" s="13">
        <f t="shared" si="12"/>
        <v>2</v>
      </c>
      <c r="CA44" s="13">
        <f t="shared" si="13"/>
        <v>8</v>
      </c>
      <c r="CB44" s="13">
        <f t="shared" si="14"/>
        <v>4</v>
      </c>
      <c r="CC44" s="13">
        <f t="shared" si="15"/>
        <v>0</v>
      </c>
      <c r="CD44" s="13">
        <f t="shared" si="16"/>
        <v>3</v>
      </c>
      <c r="CE44" s="13">
        <f t="shared" si="17"/>
        <v>3.7416573867739413</v>
      </c>
      <c r="CF44" s="13">
        <f t="shared" si="18"/>
        <v>1.4384722680053177</v>
      </c>
      <c r="CG44" s="13">
        <f t="shared" si="19"/>
        <v>1</v>
      </c>
      <c r="CH44" s="13">
        <f t="shared" si="20"/>
        <v>2.2360679774997898</v>
      </c>
      <c r="CI44" s="13">
        <f t="shared" si="21"/>
        <v>1.4142135623730951</v>
      </c>
      <c r="CJ44" s="13">
        <f t="shared" si="21"/>
        <v>1</v>
      </c>
      <c r="CK44" s="13">
        <f t="shared" si="23"/>
        <v>1</v>
      </c>
      <c r="CL44" s="13">
        <f t="shared" si="24"/>
        <v>2</v>
      </c>
      <c r="CM44" s="13">
        <f t="shared" si="25"/>
        <v>0</v>
      </c>
      <c r="CN44" s="13">
        <f t="shared" si="26"/>
        <v>2</v>
      </c>
      <c r="CO44" s="13">
        <f t="shared" si="27"/>
        <v>1.4142135623730951</v>
      </c>
      <c r="CP44" s="13">
        <f t="shared" si="28"/>
        <v>2.8284271247461903</v>
      </c>
      <c r="CQ44" s="13">
        <f t="shared" si="29"/>
        <v>2</v>
      </c>
      <c r="CR44" s="13">
        <f t="shared" si="30"/>
        <v>0</v>
      </c>
      <c r="CS44" s="13">
        <f t="shared" si="31"/>
        <v>2.3025850929940459</v>
      </c>
      <c r="CT44" s="13">
        <f t="shared" si="32"/>
        <v>2.7080502011022101</v>
      </c>
      <c r="CU44" s="13">
        <f t="shared" si="33"/>
        <v>1.1214177447292226</v>
      </c>
      <c r="CV44" s="13">
        <f t="shared" si="34"/>
        <v>0.69314718055994529</v>
      </c>
      <c r="CW44" s="13">
        <f t="shared" si="35"/>
        <v>1.791759469228055</v>
      </c>
      <c r="CX44" s="13">
        <f t="shared" si="36"/>
        <v>1.0986122886681098</v>
      </c>
      <c r="CY44" s="13">
        <f t="shared" si="37"/>
        <v>0.69314718055994529</v>
      </c>
      <c r="CZ44" s="13">
        <f t="shared" si="38"/>
        <v>0.69314718055994529</v>
      </c>
      <c r="DA44" s="13">
        <f t="shared" si="39"/>
        <v>1.6094379124341003</v>
      </c>
      <c r="DB44" s="13">
        <f t="shared" si="40"/>
        <v>0</v>
      </c>
      <c r="DC44" s="13">
        <f t="shared" si="41"/>
        <v>1.6094379124341003</v>
      </c>
      <c r="DD44" s="13">
        <f t="shared" si="42"/>
        <v>1.0986122886681098</v>
      </c>
      <c r="DE44" s="13">
        <f t="shared" si="43"/>
        <v>2.1972245773362196</v>
      </c>
      <c r="DF44" s="13">
        <f t="shared" si="44"/>
        <v>1.6094379124341003</v>
      </c>
      <c r="DG44" s="13">
        <f t="shared" si="45"/>
        <v>0</v>
      </c>
      <c r="DH44" s="13"/>
      <c r="DI44" s="13"/>
      <c r="DJ44" s="13"/>
      <c r="DL44"/>
      <c r="DM44"/>
      <c r="DN44"/>
      <c r="DO44"/>
      <c r="DP44" s="31"/>
    </row>
    <row r="45" spans="1:120">
      <c r="A45" s="13" t="s">
        <v>142</v>
      </c>
      <c r="B45" t="s">
        <v>281</v>
      </c>
      <c r="C45" t="s">
        <v>293</v>
      </c>
      <c r="D45" s="13" t="s">
        <v>319</v>
      </c>
      <c r="E45" s="13" t="s">
        <v>91</v>
      </c>
      <c r="F45" s="13">
        <v>0</v>
      </c>
      <c r="G45" s="13">
        <v>0</v>
      </c>
      <c r="H45" s="13">
        <v>0</v>
      </c>
      <c r="I45" s="13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32">
        <v>0</v>
      </c>
      <c r="R45" s="32">
        <v>0</v>
      </c>
      <c r="S45" s="32">
        <v>0</v>
      </c>
      <c r="T45" s="13">
        <v>1</v>
      </c>
      <c r="U45" s="32">
        <v>0</v>
      </c>
      <c r="V45" s="13">
        <v>1</v>
      </c>
      <c r="W45" s="32">
        <v>0</v>
      </c>
      <c r="X45" s="32">
        <v>0</v>
      </c>
      <c r="Y45" s="32">
        <v>0</v>
      </c>
      <c r="Z45" s="32">
        <v>0</v>
      </c>
      <c r="AA45" s="32">
        <v>0</v>
      </c>
      <c r="AB45" s="13">
        <v>1</v>
      </c>
      <c r="AC45" s="32">
        <v>0</v>
      </c>
      <c r="AD45" s="32">
        <v>0</v>
      </c>
      <c r="AE45" s="13">
        <v>2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13">
        <v>1</v>
      </c>
      <c r="AZ45" s="32">
        <v>0</v>
      </c>
      <c r="BA45" s="32">
        <v>0</v>
      </c>
      <c r="BB45" s="32">
        <v>0</v>
      </c>
      <c r="BC45" s="32">
        <v>0</v>
      </c>
      <c r="BD45" s="32">
        <v>0</v>
      </c>
      <c r="BE45" s="32">
        <v>0</v>
      </c>
      <c r="BF45" s="32">
        <v>0</v>
      </c>
      <c r="BG45" s="32">
        <v>0</v>
      </c>
      <c r="BH45" s="32">
        <v>0</v>
      </c>
      <c r="BI45" s="32">
        <v>0</v>
      </c>
      <c r="BJ45" s="13">
        <v>1</v>
      </c>
      <c r="BK45" s="32">
        <v>0</v>
      </c>
      <c r="BL45" s="32">
        <v>0</v>
      </c>
      <c r="BM45" s="32">
        <v>0</v>
      </c>
      <c r="BN45" s="32">
        <v>0</v>
      </c>
      <c r="BO45">
        <f t="shared" si="2"/>
        <v>6</v>
      </c>
      <c r="BP45" s="13">
        <f t="shared" si="3"/>
        <v>7</v>
      </c>
      <c r="BQ45" s="13">
        <f>[1]!shannonweaver(K45:BL45)</f>
        <v>1.7478680974667573</v>
      </c>
      <c r="BR45">
        <f t="shared" si="4"/>
        <v>2</v>
      </c>
      <c r="BS45">
        <f t="shared" si="5"/>
        <v>2</v>
      </c>
      <c r="BT45">
        <f t="shared" si="6"/>
        <v>1</v>
      </c>
      <c r="BU45">
        <f t="shared" si="7"/>
        <v>0</v>
      </c>
      <c r="BV45" s="13">
        <f t="shared" si="8"/>
        <v>2</v>
      </c>
      <c r="BW45" s="13">
        <f t="shared" si="9"/>
        <v>1</v>
      </c>
      <c r="BX45" s="13">
        <f t="shared" si="10"/>
        <v>2</v>
      </c>
      <c r="BY45" s="13">
        <f t="shared" si="11"/>
        <v>3</v>
      </c>
      <c r="BZ45" s="13">
        <f t="shared" si="12"/>
        <v>0</v>
      </c>
      <c r="CA45" s="13">
        <f t="shared" si="13"/>
        <v>3</v>
      </c>
      <c r="CB45" s="13">
        <f t="shared" si="14"/>
        <v>1</v>
      </c>
      <c r="CC45" s="13">
        <f t="shared" si="15"/>
        <v>0</v>
      </c>
      <c r="CD45" s="13">
        <f t="shared" si="16"/>
        <v>2.4494897427831779</v>
      </c>
      <c r="CE45" s="13">
        <f t="shared" si="17"/>
        <v>2.6457513110645907</v>
      </c>
      <c r="CF45" s="13">
        <f t="shared" si="18"/>
        <v>1.3220696265578289</v>
      </c>
      <c r="CG45" s="13">
        <f t="shared" si="19"/>
        <v>1.4142135623730951</v>
      </c>
      <c r="CH45" s="13">
        <f t="shared" si="20"/>
        <v>1.4142135623730951</v>
      </c>
      <c r="CI45" s="13">
        <f t="shared" si="21"/>
        <v>1</v>
      </c>
      <c r="CJ45" s="13">
        <f t="shared" si="21"/>
        <v>0</v>
      </c>
      <c r="CK45" s="13">
        <f t="shared" si="23"/>
        <v>1.4142135623730951</v>
      </c>
      <c r="CL45" s="13">
        <f t="shared" si="24"/>
        <v>1</v>
      </c>
      <c r="CM45" s="13">
        <f t="shared" si="25"/>
        <v>1.4142135623730951</v>
      </c>
      <c r="CN45" s="13">
        <f t="shared" si="26"/>
        <v>1.7320508075688772</v>
      </c>
      <c r="CO45" s="13">
        <f t="shared" si="27"/>
        <v>0</v>
      </c>
      <c r="CP45" s="13">
        <f t="shared" si="28"/>
        <v>1.7320508075688772</v>
      </c>
      <c r="CQ45" s="13">
        <f t="shared" si="29"/>
        <v>1</v>
      </c>
      <c r="CR45" s="13">
        <f t="shared" si="30"/>
        <v>0</v>
      </c>
      <c r="CS45" s="13">
        <f t="shared" si="31"/>
        <v>1.9459101490553132</v>
      </c>
      <c r="CT45" s="13">
        <f t="shared" si="32"/>
        <v>2.0794415416798357</v>
      </c>
      <c r="CU45" s="13">
        <f t="shared" si="33"/>
        <v>1.0108253737418462</v>
      </c>
      <c r="CV45" s="13">
        <f t="shared" si="34"/>
        <v>1.0986122886681098</v>
      </c>
      <c r="CW45" s="13">
        <f t="shared" si="35"/>
        <v>1.0986122886681098</v>
      </c>
      <c r="CX45" s="13">
        <f t="shared" si="36"/>
        <v>0.69314718055994529</v>
      </c>
      <c r="CY45" s="13">
        <f t="shared" si="37"/>
        <v>0</v>
      </c>
      <c r="CZ45" s="13">
        <f t="shared" si="38"/>
        <v>1.0986122886681098</v>
      </c>
      <c r="DA45" s="13">
        <f t="shared" si="39"/>
        <v>0.69314718055994529</v>
      </c>
      <c r="DB45" s="13">
        <f t="shared" si="40"/>
        <v>1.0986122886681098</v>
      </c>
      <c r="DC45" s="13">
        <f t="shared" si="41"/>
        <v>1.3862943611198906</v>
      </c>
      <c r="DD45" s="13">
        <f t="shared" si="42"/>
        <v>0</v>
      </c>
      <c r="DE45" s="13">
        <f t="shared" si="43"/>
        <v>1.3862943611198906</v>
      </c>
      <c r="DF45" s="13">
        <f t="shared" si="44"/>
        <v>0.69314718055994529</v>
      </c>
      <c r="DG45" s="13">
        <f t="shared" si="45"/>
        <v>0</v>
      </c>
      <c r="DH45" s="13"/>
      <c r="DI45" s="13"/>
      <c r="DJ45" s="13"/>
      <c r="DL45"/>
      <c r="DM45"/>
      <c r="DN45"/>
      <c r="DO45"/>
      <c r="DP45" s="31"/>
    </row>
    <row r="46" spans="1:120">
      <c r="A46" s="13" t="s">
        <v>144</v>
      </c>
      <c r="B46" t="s">
        <v>281</v>
      </c>
      <c r="C46" t="s">
        <v>293</v>
      </c>
      <c r="D46" s="13" t="s">
        <v>319</v>
      </c>
      <c r="E46" s="13" t="s">
        <v>91</v>
      </c>
      <c r="F46" s="13">
        <v>0</v>
      </c>
      <c r="G46" s="13">
        <v>0</v>
      </c>
      <c r="H46" s="13">
        <v>0</v>
      </c>
      <c r="I46" s="13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13">
        <v>5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13">
        <v>1</v>
      </c>
      <c r="Y46" s="32">
        <v>0</v>
      </c>
      <c r="Z46" s="32">
        <v>0</v>
      </c>
      <c r="AA46" s="32">
        <v>0</v>
      </c>
      <c r="AB46" s="13">
        <v>1</v>
      </c>
      <c r="AC46" s="32">
        <v>0</v>
      </c>
      <c r="AD46" s="13">
        <v>3</v>
      </c>
      <c r="AE46" s="13">
        <v>4</v>
      </c>
      <c r="AF46" s="32">
        <v>0</v>
      </c>
      <c r="AG46" s="13">
        <v>1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13">
        <v>1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>
        <f t="shared" si="2"/>
        <v>7</v>
      </c>
      <c r="BP46" s="13">
        <f t="shared" si="3"/>
        <v>16</v>
      </c>
      <c r="BQ46" s="13">
        <f>[1]!shannonweaver(K46:BL46)</f>
        <v>1.7170759801988817</v>
      </c>
      <c r="BR46">
        <f t="shared" si="4"/>
        <v>1</v>
      </c>
      <c r="BS46">
        <f t="shared" si="5"/>
        <v>6</v>
      </c>
      <c r="BT46">
        <f t="shared" si="6"/>
        <v>0</v>
      </c>
      <c r="BU46">
        <f t="shared" si="7"/>
        <v>5</v>
      </c>
      <c r="BV46" s="13">
        <f t="shared" si="8"/>
        <v>5</v>
      </c>
      <c r="BW46" s="13">
        <f t="shared" si="9"/>
        <v>4</v>
      </c>
      <c r="BX46" s="13">
        <f t="shared" si="10"/>
        <v>4</v>
      </c>
      <c r="BY46" s="13">
        <f t="shared" si="11"/>
        <v>8</v>
      </c>
      <c r="BZ46" s="13">
        <f t="shared" si="12"/>
        <v>1</v>
      </c>
      <c r="CA46" s="13">
        <f t="shared" si="13"/>
        <v>11</v>
      </c>
      <c r="CB46" s="13">
        <f t="shared" si="14"/>
        <v>0</v>
      </c>
      <c r="CC46" s="13">
        <f t="shared" si="15"/>
        <v>0</v>
      </c>
      <c r="CD46" s="13">
        <f t="shared" si="16"/>
        <v>2.6457513110645907</v>
      </c>
      <c r="CE46" s="13">
        <f t="shared" si="17"/>
        <v>4</v>
      </c>
      <c r="CF46" s="13">
        <f t="shared" si="18"/>
        <v>1.3103724585776677</v>
      </c>
      <c r="CG46" s="13">
        <f t="shared" si="19"/>
        <v>1</v>
      </c>
      <c r="CH46" s="13">
        <f t="shared" si="20"/>
        <v>2.4494897427831779</v>
      </c>
      <c r="CI46" s="13">
        <f t="shared" si="21"/>
        <v>0</v>
      </c>
      <c r="CJ46" s="13">
        <f t="shared" si="21"/>
        <v>2.2360679774997898</v>
      </c>
      <c r="CK46" s="13">
        <f t="shared" si="23"/>
        <v>2.2360679774997898</v>
      </c>
      <c r="CL46" s="13">
        <f t="shared" si="24"/>
        <v>2</v>
      </c>
      <c r="CM46" s="13">
        <f t="shared" si="25"/>
        <v>2</v>
      </c>
      <c r="CN46" s="13">
        <f t="shared" si="26"/>
        <v>2.8284271247461903</v>
      </c>
      <c r="CO46" s="13">
        <f t="shared" si="27"/>
        <v>1</v>
      </c>
      <c r="CP46" s="13">
        <f t="shared" si="28"/>
        <v>3.3166247903553998</v>
      </c>
      <c r="CQ46" s="13">
        <f t="shared" si="29"/>
        <v>0</v>
      </c>
      <c r="CR46" s="13">
        <f t="shared" si="30"/>
        <v>0</v>
      </c>
      <c r="CS46" s="13">
        <f t="shared" si="31"/>
        <v>2.0794415416798357</v>
      </c>
      <c r="CT46" s="13">
        <f t="shared" si="32"/>
        <v>2.8332133440562162</v>
      </c>
      <c r="CU46" s="13">
        <f t="shared" si="33"/>
        <v>0.99955629479331565</v>
      </c>
      <c r="CV46" s="13">
        <f t="shared" si="34"/>
        <v>0.69314718055994529</v>
      </c>
      <c r="CW46" s="13">
        <f t="shared" si="35"/>
        <v>1.9459101490553132</v>
      </c>
      <c r="CX46" s="13">
        <f t="shared" si="36"/>
        <v>0</v>
      </c>
      <c r="CY46" s="13">
        <f t="shared" si="37"/>
        <v>1.791759469228055</v>
      </c>
      <c r="CZ46" s="13">
        <f t="shared" si="38"/>
        <v>1.791759469228055</v>
      </c>
      <c r="DA46" s="13">
        <f t="shared" si="39"/>
        <v>1.6094379124341003</v>
      </c>
      <c r="DB46" s="13">
        <f t="shared" si="40"/>
        <v>1.6094379124341003</v>
      </c>
      <c r="DC46" s="13">
        <f t="shared" si="41"/>
        <v>2.1972245773362196</v>
      </c>
      <c r="DD46" s="13">
        <f t="shared" si="42"/>
        <v>0.69314718055994529</v>
      </c>
      <c r="DE46" s="13">
        <f t="shared" si="43"/>
        <v>2.4849066497880004</v>
      </c>
      <c r="DF46" s="13">
        <f t="shared" si="44"/>
        <v>0</v>
      </c>
      <c r="DG46" s="13">
        <f t="shared" si="45"/>
        <v>0</v>
      </c>
      <c r="DH46" s="13"/>
      <c r="DI46" s="13"/>
      <c r="DJ46" s="13"/>
      <c r="DL46"/>
      <c r="DM46"/>
      <c r="DN46"/>
      <c r="DO46"/>
      <c r="DP46" s="31"/>
    </row>
    <row r="47" spans="1:120">
      <c r="A47" s="13" t="s">
        <v>145</v>
      </c>
      <c r="B47" t="s">
        <v>281</v>
      </c>
      <c r="C47" t="s">
        <v>293</v>
      </c>
      <c r="D47" s="13" t="s">
        <v>319</v>
      </c>
      <c r="E47" s="13" t="s">
        <v>91</v>
      </c>
      <c r="F47" s="13">
        <v>0</v>
      </c>
      <c r="G47" s="13">
        <v>0</v>
      </c>
      <c r="H47" s="13">
        <v>0</v>
      </c>
      <c r="I47" s="13">
        <v>0</v>
      </c>
      <c r="J47" s="32">
        <v>0</v>
      </c>
      <c r="K47" s="13">
        <v>1</v>
      </c>
      <c r="L47" s="32">
        <v>0</v>
      </c>
      <c r="M47" s="32">
        <v>0</v>
      </c>
      <c r="N47" s="32">
        <v>0</v>
      </c>
      <c r="O47" s="13">
        <v>3</v>
      </c>
      <c r="P47" s="32">
        <v>0</v>
      </c>
      <c r="Q47" s="32">
        <v>0</v>
      </c>
      <c r="R47" s="13">
        <v>1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13">
        <v>2</v>
      </c>
      <c r="AC47" s="32">
        <v>0</v>
      </c>
      <c r="AD47" s="32">
        <v>0</v>
      </c>
      <c r="AE47" s="13">
        <v>1</v>
      </c>
      <c r="AF47" s="32">
        <v>0</v>
      </c>
      <c r="AG47" s="13">
        <v>1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13">
        <v>2</v>
      </c>
      <c r="AN47" s="32">
        <v>0</v>
      </c>
      <c r="AO47" s="32">
        <v>0</v>
      </c>
      <c r="AP47" s="32">
        <v>0</v>
      </c>
      <c r="AQ47" s="13">
        <v>1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13">
        <v>4</v>
      </c>
      <c r="BJ47" s="13">
        <v>1</v>
      </c>
      <c r="BK47" s="13">
        <v>2</v>
      </c>
      <c r="BL47" s="32">
        <v>0</v>
      </c>
      <c r="BM47" s="32">
        <v>0</v>
      </c>
      <c r="BN47" s="32">
        <v>0</v>
      </c>
      <c r="BO47">
        <f t="shared" si="2"/>
        <v>11</v>
      </c>
      <c r="BP47" s="13">
        <f t="shared" si="3"/>
        <v>19</v>
      </c>
      <c r="BQ47" s="13">
        <f>[1]!shannonweaver(K47:BL47)</f>
        <v>2.2602338531746744</v>
      </c>
      <c r="BR47">
        <f t="shared" si="4"/>
        <v>2</v>
      </c>
      <c r="BS47">
        <f t="shared" si="5"/>
        <v>5</v>
      </c>
      <c r="BT47">
        <f t="shared" si="6"/>
        <v>0</v>
      </c>
      <c r="BU47">
        <f t="shared" si="7"/>
        <v>4</v>
      </c>
      <c r="BV47" s="13">
        <f t="shared" si="8"/>
        <v>4</v>
      </c>
      <c r="BW47" s="13">
        <f t="shared" si="9"/>
        <v>2</v>
      </c>
      <c r="BX47" s="13">
        <f t="shared" si="10"/>
        <v>1</v>
      </c>
      <c r="BY47" s="13">
        <f t="shared" si="11"/>
        <v>3</v>
      </c>
      <c r="BZ47" s="13">
        <f t="shared" si="12"/>
        <v>1</v>
      </c>
      <c r="CA47" s="13">
        <f t="shared" si="13"/>
        <v>7</v>
      </c>
      <c r="CB47" s="13">
        <f t="shared" si="14"/>
        <v>0</v>
      </c>
      <c r="CC47" s="13">
        <f t="shared" si="15"/>
        <v>2</v>
      </c>
      <c r="CD47" s="13">
        <f t="shared" si="16"/>
        <v>3.3166247903553998</v>
      </c>
      <c r="CE47" s="13">
        <f t="shared" si="17"/>
        <v>4.358898943540674</v>
      </c>
      <c r="CF47" s="13">
        <f t="shared" si="18"/>
        <v>1.5034074142343035</v>
      </c>
      <c r="CG47" s="13">
        <f t="shared" si="19"/>
        <v>1.4142135623730951</v>
      </c>
      <c r="CH47" s="13">
        <f t="shared" si="20"/>
        <v>2.2360679774997898</v>
      </c>
      <c r="CI47" s="13">
        <f t="shared" si="21"/>
        <v>0</v>
      </c>
      <c r="CJ47" s="13">
        <f t="shared" si="21"/>
        <v>2</v>
      </c>
      <c r="CK47" s="13">
        <f t="shared" si="23"/>
        <v>2</v>
      </c>
      <c r="CL47" s="13">
        <f t="shared" si="24"/>
        <v>1.4142135623730951</v>
      </c>
      <c r="CM47" s="13">
        <f t="shared" si="25"/>
        <v>1</v>
      </c>
      <c r="CN47" s="13">
        <f t="shared" si="26"/>
        <v>1.7320508075688772</v>
      </c>
      <c r="CO47" s="13">
        <f t="shared" si="27"/>
        <v>1</v>
      </c>
      <c r="CP47" s="13">
        <f t="shared" si="28"/>
        <v>2.6457513110645907</v>
      </c>
      <c r="CQ47" s="13">
        <f t="shared" si="29"/>
        <v>0</v>
      </c>
      <c r="CR47" s="13">
        <f t="shared" si="30"/>
        <v>1.4142135623730951</v>
      </c>
      <c r="CS47" s="13">
        <f t="shared" si="31"/>
        <v>2.4849066497880004</v>
      </c>
      <c r="CT47" s="13">
        <f t="shared" si="32"/>
        <v>2.9957322735539909</v>
      </c>
      <c r="CU47" s="13">
        <f t="shared" si="33"/>
        <v>1.1817989269085094</v>
      </c>
      <c r="CV47" s="13">
        <f t="shared" si="34"/>
        <v>1.0986122886681098</v>
      </c>
      <c r="CW47" s="13">
        <f t="shared" si="35"/>
        <v>1.791759469228055</v>
      </c>
      <c r="CX47" s="13">
        <f t="shared" si="36"/>
        <v>0</v>
      </c>
      <c r="CY47" s="13">
        <f t="shared" si="37"/>
        <v>1.6094379124341003</v>
      </c>
      <c r="CZ47" s="13">
        <f t="shared" si="38"/>
        <v>1.6094379124341003</v>
      </c>
      <c r="DA47" s="13">
        <f t="shared" si="39"/>
        <v>1.0986122886681098</v>
      </c>
      <c r="DB47" s="13">
        <f t="shared" si="40"/>
        <v>0.69314718055994529</v>
      </c>
      <c r="DC47" s="13">
        <f t="shared" si="41"/>
        <v>1.3862943611198906</v>
      </c>
      <c r="DD47" s="13">
        <f t="shared" si="42"/>
        <v>0.69314718055994529</v>
      </c>
      <c r="DE47" s="13">
        <f t="shared" si="43"/>
        <v>2.0794415416798357</v>
      </c>
      <c r="DF47" s="13">
        <f t="shared" si="44"/>
        <v>0</v>
      </c>
      <c r="DG47" s="13">
        <f t="shared" si="45"/>
        <v>1.0986122886681098</v>
      </c>
      <c r="DH47" s="13"/>
      <c r="DI47" s="13"/>
      <c r="DJ47" s="13"/>
      <c r="DL47"/>
      <c r="DM47"/>
      <c r="DN47"/>
      <c r="DO47"/>
      <c r="DP47" s="31"/>
    </row>
    <row r="48" spans="1:120">
      <c r="A48" s="13" t="s">
        <v>146</v>
      </c>
      <c r="B48" t="s">
        <v>281</v>
      </c>
      <c r="C48" t="s">
        <v>293</v>
      </c>
      <c r="D48" s="13" t="s">
        <v>319</v>
      </c>
      <c r="E48" s="13" t="s">
        <v>91</v>
      </c>
      <c r="F48" s="13">
        <v>1</v>
      </c>
      <c r="G48" s="13">
        <v>0</v>
      </c>
      <c r="H48" s="13">
        <v>0</v>
      </c>
      <c r="I48" s="13">
        <v>0</v>
      </c>
      <c r="J48" s="32">
        <v>0</v>
      </c>
      <c r="K48" s="32">
        <v>0</v>
      </c>
      <c r="L48" s="32">
        <v>0</v>
      </c>
      <c r="M48" s="32">
        <v>0</v>
      </c>
      <c r="N48" s="32">
        <v>0</v>
      </c>
      <c r="O48" s="13">
        <v>1</v>
      </c>
      <c r="P48" s="32">
        <v>0</v>
      </c>
      <c r="Q48" s="32">
        <v>0</v>
      </c>
      <c r="R48" s="32">
        <v>0</v>
      </c>
      <c r="S48" s="32">
        <v>0</v>
      </c>
      <c r="T48" s="32">
        <v>0</v>
      </c>
      <c r="U48" s="32">
        <v>0</v>
      </c>
      <c r="V48" s="13">
        <v>2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13">
        <v>4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 s="32">
        <v>0</v>
      </c>
      <c r="BD48" s="32">
        <v>0</v>
      </c>
      <c r="BE48" s="32">
        <v>0</v>
      </c>
      <c r="BF48" s="32">
        <v>0</v>
      </c>
      <c r="BG48" s="32">
        <v>0</v>
      </c>
      <c r="BH48" s="32">
        <v>0</v>
      </c>
      <c r="BI48" s="32">
        <v>0</v>
      </c>
      <c r="BJ48" s="13">
        <v>1</v>
      </c>
      <c r="BK48" s="13">
        <v>0</v>
      </c>
      <c r="BL48" s="32">
        <v>0</v>
      </c>
      <c r="BM48" s="32">
        <v>0</v>
      </c>
      <c r="BN48" s="32">
        <v>0</v>
      </c>
      <c r="BO48">
        <f t="shared" si="2"/>
        <v>4</v>
      </c>
      <c r="BP48" s="13">
        <f t="shared" si="3"/>
        <v>8</v>
      </c>
      <c r="BQ48" s="13">
        <f>[1]!shannonweaver(K48:BL48)</f>
        <v>1.2130075659799042</v>
      </c>
      <c r="BR48">
        <f t="shared" si="4"/>
        <v>2</v>
      </c>
      <c r="BS48">
        <f t="shared" si="5"/>
        <v>1</v>
      </c>
      <c r="BT48">
        <f t="shared" si="6"/>
        <v>0</v>
      </c>
      <c r="BU48">
        <f t="shared" si="7"/>
        <v>1</v>
      </c>
      <c r="BV48" s="13">
        <f t="shared" si="8"/>
        <v>3</v>
      </c>
      <c r="BW48" s="13">
        <f t="shared" si="9"/>
        <v>0</v>
      </c>
      <c r="BX48" s="13">
        <f t="shared" si="10"/>
        <v>0</v>
      </c>
      <c r="BY48" s="13">
        <f t="shared" si="11"/>
        <v>0</v>
      </c>
      <c r="BZ48" s="13">
        <f t="shared" si="12"/>
        <v>4</v>
      </c>
      <c r="CA48" s="13">
        <f t="shared" si="13"/>
        <v>4</v>
      </c>
      <c r="CB48" s="13">
        <f t="shared" si="14"/>
        <v>0</v>
      </c>
      <c r="CC48" s="13">
        <f t="shared" si="15"/>
        <v>0</v>
      </c>
      <c r="CD48" s="13">
        <f t="shared" si="16"/>
        <v>2</v>
      </c>
      <c r="CE48" s="13">
        <f t="shared" si="17"/>
        <v>2.8284271247461903</v>
      </c>
      <c r="CF48" s="13">
        <f t="shared" si="18"/>
        <v>1.1013662270016746</v>
      </c>
      <c r="CG48" s="13">
        <f t="shared" si="19"/>
        <v>1.4142135623730951</v>
      </c>
      <c r="CH48" s="13">
        <f t="shared" si="20"/>
        <v>1</v>
      </c>
      <c r="CI48" s="13">
        <f t="shared" si="21"/>
        <v>0</v>
      </c>
      <c r="CJ48" s="13">
        <f t="shared" si="21"/>
        <v>1</v>
      </c>
      <c r="CK48" s="13">
        <f t="shared" si="23"/>
        <v>1.7320508075688772</v>
      </c>
      <c r="CL48" s="13">
        <f t="shared" si="24"/>
        <v>0</v>
      </c>
      <c r="CM48" s="13">
        <f t="shared" si="25"/>
        <v>0</v>
      </c>
      <c r="CN48" s="13">
        <f t="shared" si="26"/>
        <v>0</v>
      </c>
      <c r="CO48" s="13">
        <f t="shared" si="27"/>
        <v>2</v>
      </c>
      <c r="CP48" s="13">
        <f t="shared" si="28"/>
        <v>2</v>
      </c>
      <c r="CQ48" s="13">
        <f t="shared" si="29"/>
        <v>0</v>
      </c>
      <c r="CR48" s="13">
        <f t="shared" si="30"/>
        <v>0</v>
      </c>
      <c r="CS48" s="13">
        <f t="shared" si="31"/>
        <v>1.6094379124341003</v>
      </c>
      <c r="CT48" s="13">
        <f t="shared" si="32"/>
        <v>2.1972245773362196</v>
      </c>
      <c r="CU48" s="13">
        <f t="shared" si="33"/>
        <v>0.79435247994237412</v>
      </c>
      <c r="CV48" s="13">
        <f t="shared" si="34"/>
        <v>1.0986122886681098</v>
      </c>
      <c r="CW48" s="13">
        <f t="shared" si="35"/>
        <v>0.69314718055994529</v>
      </c>
      <c r="CX48" s="13">
        <f t="shared" si="36"/>
        <v>0</v>
      </c>
      <c r="CY48" s="13">
        <f t="shared" si="37"/>
        <v>0.69314718055994529</v>
      </c>
      <c r="CZ48" s="13">
        <f t="shared" si="38"/>
        <v>1.3862943611198906</v>
      </c>
      <c r="DA48" s="13">
        <f t="shared" si="39"/>
        <v>0</v>
      </c>
      <c r="DB48" s="13">
        <f t="shared" si="40"/>
        <v>0</v>
      </c>
      <c r="DC48" s="13">
        <f t="shared" si="41"/>
        <v>0</v>
      </c>
      <c r="DD48" s="13">
        <f t="shared" si="42"/>
        <v>1.6094379124341003</v>
      </c>
      <c r="DE48" s="13">
        <f t="shared" si="43"/>
        <v>1.6094379124341003</v>
      </c>
      <c r="DF48" s="13">
        <f t="shared" si="44"/>
        <v>0</v>
      </c>
      <c r="DG48" s="13">
        <f t="shared" si="45"/>
        <v>0</v>
      </c>
      <c r="DH48" s="13"/>
      <c r="DI48" s="13"/>
      <c r="DJ48" s="13"/>
      <c r="DL48"/>
      <c r="DM48"/>
      <c r="DN48"/>
      <c r="DO48"/>
      <c r="DP48" s="31"/>
    </row>
    <row r="49" spans="1:120">
      <c r="A49" s="13" t="s">
        <v>147</v>
      </c>
      <c r="B49" t="s">
        <v>281</v>
      </c>
      <c r="C49" t="s">
        <v>293</v>
      </c>
      <c r="D49" s="13" t="s">
        <v>319</v>
      </c>
      <c r="E49" s="13" t="s">
        <v>91</v>
      </c>
      <c r="F49" s="13">
        <v>0</v>
      </c>
      <c r="G49" s="13">
        <v>0</v>
      </c>
      <c r="H49" s="13">
        <v>0</v>
      </c>
      <c r="I49" s="13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13">
        <v>1</v>
      </c>
      <c r="P49" s="13">
        <v>1</v>
      </c>
      <c r="Q49" s="32">
        <v>0</v>
      </c>
      <c r="R49" s="32">
        <v>0</v>
      </c>
      <c r="S49" s="32">
        <v>0</v>
      </c>
      <c r="T49" s="13">
        <v>1</v>
      </c>
      <c r="U49" s="32">
        <v>0</v>
      </c>
      <c r="V49" s="13">
        <v>3</v>
      </c>
      <c r="W49" s="32">
        <v>0</v>
      </c>
      <c r="X49" s="13">
        <v>1</v>
      </c>
      <c r="Y49" s="32">
        <v>0</v>
      </c>
      <c r="Z49" s="32">
        <v>0</v>
      </c>
      <c r="AA49" s="32">
        <v>0</v>
      </c>
      <c r="AB49" s="13">
        <v>1</v>
      </c>
      <c r="AC49" s="32">
        <v>0</v>
      </c>
      <c r="AD49" s="32">
        <v>0</v>
      </c>
      <c r="AE49" s="13">
        <v>2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13">
        <v>3</v>
      </c>
      <c r="AN49" s="32">
        <v>0</v>
      </c>
      <c r="AO49" s="32">
        <v>0</v>
      </c>
      <c r="AP49" s="32">
        <v>0</v>
      </c>
      <c r="AQ49" s="13">
        <v>2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13">
        <v>1</v>
      </c>
      <c r="BJ49" s="13">
        <v>0</v>
      </c>
      <c r="BK49" s="13">
        <v>1</v>
      </c>
      <c r="BL49" s="32">
        <v>0</v>
      </c>
      <c r="BM49" s="32">
        <v>0</v>
      </c>
      <c r="BN49" s="32">
        <v>0</v>
      </c>
      <c r="BO49">
        <f t="shared" si="2"/>
        <v>11</v>
      </c>
      <c r="BP49" s="13">
        <f t="shared" si="3"/>
        <v>17</v>
      </c>
      <c r="BQ49" s="13">
        <f>[1]!shannonweaver(K49:BL49)</f>
        <v>2.282374376159249</v>
      </c>
      <c r="BR49">
        <f t="shared" si="4"/>
        <v>4</v>
      </c>
      <c r="BS49">
        <f t="shared" si="5"/>
        <v>5</v>
      </c>
      <c r="BT49">
        <f t="shared" si="6"/>
        <v>0</v>
      </c>
      <c r="BU49">
        <f t="shared" si="7"/>
        <v>2</v>
      </c>
      <c r="BV49" s="13">
        <f t="shared" si="8"/>
        <v>6</v>
      </c>
      <c r="BW49" s="13">
        <f t="shared" si="9"/>
        <v>1</v>
      </c>
      <c r="BX49" s="13">
        <f t="shared" si="10"/>
        <v>2</v>
      </c>
      <c r="BY49" s="13">
        <f t="shared" si="11"/>
        <v>3</v>
      </c>
      <c r="BZ49" s="13">
        <f t="shared" si="12"/>
        <v>0</v>
      </c>
      <c r="CA49" s="13">
        <f t="shared" si="13"/>
        <v>9</v>
      </c>
      <c r="CB49" s="13">
        <f t="shared" si="14"/>
        <v>0</v>
      </c>
      <c r="CC49" s="13">
        <f t="shared" si="15"/>
        <v>1</v>
      </c>
      <c r="CD49" s="13">
        <f t="shared" si="16"/>
        <v>3.3166247903553998</v>
      </c>
      <c r="CE49" s="13">
        <f t="shared" si="17"/>
        <v>4.1231056256176606</v>
      </c>
      <c r="CF49" s="13">
        <f t="shared" si="18"/>
        <v>1.510752916978567</v>
      </c>
      <c r="CG49" s="13">
        <f t="shared" si="19"/>
        <v>2</v>
      </c>
      <c r="CH49" s="13">
        <f t="shared" si="20"/>
        <v>2.2360679774997898</v>
      </c>
      <c r="CI49" s="13">
        <f t="shared" si="21"/>
        <v>0</v>
      </c>
      <c r="CJ49" s="13">
        <f t="shared" si="21"/>
        <v>1.4142135623730951</v>
      </c>
      <c r="CK49" s="13">
        <f t="shared" si="23"/>
        <v>2.4494897427831779</v>
      </c>
      <c r="CL49" s="13">
        <f t="shared" si="24"/>
        <v>1</v>
      </c>
      <c r="CM49" s="13">
        <f t="shared" si="25"/>
        <v>1.4142135623730951</v>
      </c>
      <c r="CN49" s="13">
        <f t="shared" si="26"/>
        <v>1.7320508075688772</v>
      </c>
      <c r="CO49" s="13">
        <f t="shared" si="27"/>
        <v>0</v>
      </c>
      <c r="CP49" s="13">
        <f t="shared" si="28"/>
        <v>3</v>
      </c>
      <c r="CQ49" s="13">
        <f t="shared" si="29"/>
        <v>0</v>
      </c>
      <c r="CR49" s="13">
        <f t="shared" si="30"/>
        <v>1</v>
      </c>
      <c r="CS49" s="13">
        <f t="shared" si="31"/>
        <v>2.4849066497880004</v>
      </c>
      <c r="CT49" s="13">
        <f t="shared" si="32"/>
        <v>2.8903717578961645</v>
      </c>
      <c r="CU49" s="13">
        <f t="shared" si="33"/>
        <v>1.1885670556808237</v>
      </c>
      <c r="CV49" s="13">
        <f t="shared" si="34"/>
        <v>1.6094379124341003</v>
      </c>
      <c r="CW49" s="13">
        <f t="shared" si="35"/>
        <v>1.791759469228055</v>
      </c>
      <c r="CX49" s="13">
        <f t="shared" si="36"/>
        <v>0</v>
      </c>
      <c r="CY49" s="13">
        <f t="shared" si="37"/>
        <v>1.0986122886681098</v>
      </c>
      <c r="CZ49" s="13">
        <f t="shared" si="38"/>
        <v>1.9459101490553132</v>
      </c>
      <c r="DA49" s="13">
        <f t="shared" si="39"/>
        <v>0.69314718055994529</v>
      </c>
      <c r="DB49" s="13">
        <f t="shared" si="40"/>
        <v>1.0986122886681098</v>
      </c>
      <c r="DC49" s="13">
        <f t="shared" si="41"/>
        <v>1.3862943611198906</v>
      </c>
      <c r="DD49" s="13">
        <f t="shared" si="42"/>
        <v>0</v>
      </c>
      <c r="DE49" s="13">
        <f t="shared" si="43"/>
        <v>2.3025850929940459</v>
      </c>
      <c r="DF49" s="13">
        <f t="shared" si="44"/>
        <v>0</v>
      </c>
      <c r="DG49" s="13">
        <f t="shared" si="45"/>
        <v>0.69314718055994529</v>
      </c>
      <c r="DH49" s="13"/>
      <c r="DI49" s="13"/>
      <c r="DJ49" s="13"/>
      <c r="DL49"/>
      <c r="DM49"/>
      <c r="DN49"/>
      <c r="DO49"/>
      <c r="DP49" s="31"/>
    </row>
    <row r="50" spans="1:120">
      <c r="A50" s="13" t="s">
        <v>148</v>
      </c>
      <c r="B50" t="s">
        <v>281</v>
      </c>
      <c r="C50" t="s">
        <v>301</v>
      </c>
      <c r="D50" s="13" t="s">
        <v>319</v>
      </c>
      <c r="E50" s="13" t="s">
        <v>91</v>
      </c>
      <c r="F50" s="13">
        <v>0</v>
      </c>
      <c r="G50" s="13">
        <v>0</v>
      </c>
      <c r="H50" s="13">
        <v>0</v>
      </c>
      <c r="I50" s="13">
        <v>0</v>
      </c>
      <c r="J50" s="32">
        <v>0</v>
      </c>
      <c r="K50" s="32">
        <v>0</v>
      </c>
      <c r="L50" s="13">
        <v>1</v>
      </c>
      <c r="M50" s="32">
        <v>0</v>
      </c>
      <c r="N50" s="13">
        <v>1</v>
      </c>
      <c r="O50" s="13">
        <v>1</v>
      </c>
      <c r="P50" s="13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32">
        <v>0</v>
      </c>
      <c r="Z50" s="32">
        <v>0</v>
      </c>
      <c r="AA50" s="32">
        <v>0</v>
      </c>
      <c r="AB50" s="13">
        <v>2</v>
      </c>
      <c r="AC50" s="32">
        <v>0</v>
      </c>
      <c r="AD50" s="32">
        <v>0</v>
      </c>
      <c r="AE50" s="13">
        <v>8</v>
      </c>
      <c r="AF50" s="32">
        <v>0</v>
      </c>
      <c r="AG50" s="13">
        <v>2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 s="32">
        <v>0</v>
      </c>
      <c r="BD50" s="32">
        <v>0</v>
      </c>
      <c r="BE50" s="32">
        <v>0</v>
      </c>
      <c r="BF50" s="32">
        <v>0</v>
      </c>
      <c r="BG50" s="32">
        <v>0</v>
      </c>
      <c r="BH50" s="32">
        <v>0</v>
      </c>
      <c r="BI50" s="13">
        <v>1</v>
      </c>
      <c r="BJ50" s="13">
        <v>3</v>
      </c>
      <c r="BK50" s="13">
        <v>0</v>
      </c>
      <c r="BL50" s="32">
        <v>0</v>
      </c>
      <c r="BM50" s="32">
        <v>0</v>
      </c>
      <c r="BN50" s="32">
        <v>0</v>
      </c>
      <c r="BO50">
        <f t="shared" si="2"/>
        <v>8</v>
      </c>
      <c r="BP50" s="13">
        <f t="shared" si="3"/>
        <v>19</v>
      </c>
      <c r="BQ50" s="13">
        <f>[1]!shannonweaver(K50:BL50)</f>
        <v>1.7494938253936618</v>
      </c>
      <c r="BR50">
        <f t="shared" si="4"/>
        <v>2</v>
      </c>
      <c r="BS50">
        <f t="shared" si="5"/>
        <v>3</v>
      </c>
      <c r="BT50">
        <f t="shared" si="6"/>
        <v>0</v>
      </c>
      <c r="BU50">
        <f t="shared" si="7"/>
        <v>1</v>
      </c>
      <c r="BV50" s="13">
        <f t="shared" si="8"/>
        <v>2</v>
      </c>
      <c r="BW50" s="13">
        <f t="shared" si="9"/>
        <v>2</v>
      </c>
      <c r="BX50" s="13">
        <f t="shared" si="10"/>
        <v>8</v>
      </c>
      <c r="BY50" s="13">
        <f t="shared" si="11"/>
        <v>10</v>
      </c>
      <c r="BZ50" s="13">
        <f t="shared" si="12"/>
        <v>2</v>
      </c>
      <c r="CA50" s="13">
        <f t="shared" si="13"/>
        <v>12</v>
      </c>
      <c r="CB50" s="13">
        <f t="shared" si="14"/>
        <v>0</v>
      </c>
      <c r="CC50" s="13">
        <f t="shared" si="15"/>
        <v>0</v>
      </c>
      <c r="CD50" s="13">
        <f t="shared" si="16"/>
        <v>2.8284271247461903</v>
      </c>
      <c r="CE50" s="13">
        <f t="shared" si="17"/>
        <v>4.358898943540674</v>
      </c>
      <c r="CF50" s="13">
        <f t="shared" si="18"/>
        <v>1.3226843256777718</v>
      </c>
      <c r="CG50" s="13">
        <f t="shared" si="19"/>
        <v>1.4142135623730951</v>
      </c>
      <c r="CH50" s="13">
        <f t="shared" si="20"/>
        <v>1.7320508075688772</v>
      </c>
      <c r="CI50" s="13">
        <f t="shared" si="21"/>
        <v>0</v>
      </c>
      <c r="CJ50" s="13">
        <f t="shared" si="21"/>
        <v>1</v>
      </c>
      <c r="CK50" s="13">
        <f t="shared" si="23"/>
        <v>1.4142135623730951</v>
      </c>
      <c r="CL50" s="13">
        <f t="shared" si="24"/>
        <v>1.4142135623730951</v>
      </c>
      <c r="CM50" s="13">
        <f t="shared" si="25"/>
        <v>2.8284271247461903</v>
      </c>
      <c r="CN50" s="13">
        <f t="shared" si="26"/>
        <v>3.1622776601683795</v>
      </c>
      <c r="CO50" s="13">
        <f t="shared" si="27"/>
        <v>1.4142135623730951</v>
      </c>
      <c r="CP50" s="13">
        <f t="shared" si="28"/>
        <v>3.4641016151377544</v>
      </c>
      <c r="CQ50" s="13">
        <f t="shared" si="29"/>
        <v>0</v>
      </c>
      <c r="CR50" s="13">
        <f t="shared" si="30"/>
        <v>0</v>
      </c>
      <c r="CS50" s="13">
        <f t="shared" si="31"/>
        <v>2.1972245773362196</v>
      </c>
      <c r="CT50" s="13">
        <f t="shared" si="32"/>
        <v>2.9957322735539909</v>
      </c>
      <c r="CU50" s="13">
        <f t="shared" si="33"/>
        <v>1.0114168312435023</v>
      </c>
      <c r="CV50" s="13">
        <f t="shared" si="34"/>
        <v>1.0986122886681098</v>
      </c>
      <c r="CW50" s="13">
        <f t="shared" si="35"/>
        <v>1.3862943611198906</v>
      </c>
      <c r="CX50" s="13">
        <f t="shared" si="36"/>
        <v>0</v>
      </c>
      <c r="CY50" s="13">
        <f t="shared" si="37"/>
        <v>0.69314718055994529</v>
      </c>
      <c r="CZ50" s="13">
        <f t="shared" si="38"/>
        <v>1.0986122886681098</v>
      </c>
      <c r="DA50" s="13">
        <f t="shared" si="39"/>
        <v>1.0986122886681098</v>
      </c>
      <c r="DB50" s="13">
        <f t="shared" si="40"/>
        <v>2.1972245773362196</v>
      </c>
      <c r="DC50" s="13">
        <f t="shared" si="41"/>
        <v>2.3978952727983707</v>
      </c>
      <c r="DD50" s="13">
        <f t="shared" si="42"/>
        <v>1.0986122886681098</v>
      </c>
      <c r="DE50" s="13">
        <f t="shared" si="43"/>
        <v>2.5649493574615367</v>
      </c>
      <c r="DF50" s="13">
        <f t="shared" si="44"/>
        <v>0</v>
      </c>
      <c r="DG50" s="13">
        <f t="shared" si="45"/>
        <v>0</v>
      </c>
      <c r="DH50" s="13"/>
      <c r="DI50" s="13"/>
      <c r="DJ50" s="13"/>
      <c r="DL50"/>
      <c r="DM50"/>
      <c r="DN50"/>
      <c r="DO50"/>
    </row>
    <row r="51" spans="1:120">
      <c r="A51" s="13" t="s">
        <v>21</v>
      </c>
      <c r="B51" t="s">
        <v>281</v>
      </c>
      <c r="C51" t="s">
        <v>301</v>
      </c>
      <c r="D51" s="13" t="s">
        <v>319</v>
      </c>
      <c r="E51" s="13" t="s">
        <v>91</v>
      </c>
      <c r="F51" s="13">
        <v>0</v>
      </c>
      <c r="G51" s="13">
        <v>0</v>
      </c>
      <c r="H51" s="13">
        <v>0</v>
      </c>
      <c r="I51" s="13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13">
        <v>2</v>
      </c>
      <c r="P51" s="13">
        <v>0</v>
      </c>
      <c r="Q51" s="32">
        <v>0</v>
      </c>
      <c r="R51" s="32">
        <v>0</v>
      </c>
      <c r="S51" s="32">
        <v>0</v>
      </c>
      <c r="T51" s="32">
        <v>0</v>
      </c>
      <c r="U51" s="32">
        <v>0</v>
      </c>
      <c r="V51" s="32">
        <v>0</v>
      </c>
      <c r="W51" s="32">
        <v>0</v>
      </c>
      <c r="X51" s="13">
        <v>1</v>
      </c>
      <c r="Y51" s="32">
        <v>0</v>
      </c>
      <c r="Z51" s="32">
        <v>0</v>
      </c>
      <c r="AA51" s="32">
        <v>0</v>
      </c>
      <c r="AB51" s="32">
        <v>0</v>
      </c>
      <c r="AC51" s="32">
        <v>0</v>
      </c>
      <c r="AD51" s="32">
        <v>0</v>
      </c>
      <c r="AE51" s="13">
        <v>2</v>
      </c>
      <c r="AF51" s="32">
        <v>0</v>
      </c>
      <c r="AG51" s="13">
        <v>1</v>
      </c>
      <c r="AH51" s="32">
        <v>0</v>
      </c>
      <c r="AI51" s="32">
        <v>0</v>
      </c>
      <c r="AJ51" s="32">
        <v>0</v>
      </c>
      <c r="AK51" s="32">
        <v>0</v>
      </c>
      <c r="AL51" s="32">
        <v>0</v>
      </c>
      <c r="AM51" s="32">
        <v>0</v>
      </c>
      <c r="AN51" s="32">
        <v>0</v>
      </c>
      <c r="AO51" s="32">
        <v>0</v>
      </c>
      <c r="AP51" s="32">
        <v>0</v>
      </c>
      <c r="AQ51" s="13">
        <v>2</v>
      </c>
      <c r="AR51" s="32">
        <v>0</v>
      </c>
      <c r="AS51" s="32">
        <v>0</v>
      </c>
      <c r="AT51" s="32">
        <v>0</v>
      </c>
      <c r="AU51" s="13">
        <v>1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 s="32">
        <v>0</v>
      </c>
      <c r="BD51" s="32">
        <v>0</v>
      </c>
      <c r="BE51" s="32">
        <v>0</v>
      </c>
      <c r="BF51" s="32">
        <v>0</v>
      </c>
      <c r="BG51" s="32">
        <v>0</v>
      </c>
      <c r="BH51" s="32">
        <v>0</v>
      </c>
      <c r="BI51" s="13">
        <v>1</v>
      </c>
      <c r="BJ51" s="13">
        <v>0</v>
      </c>
      <c r="BK51" s="13">
        <v>0</v>
      </c>
      <c r="BL51" s="32">
        <v>0</v>
      </c>
      <c r="BM51" s="32">
        <v>0</v>
      </c>
      <c r="BN51" s="32">
        <v>0</v>
      </c>
      <c r="BO51">
        <f t="shared" si="2"/>
        <v>7</v>
      </c>
      <c r="BP51" s="13">
        <f t="shared" si="3"/>
        <v>10</v>
      </c>
      <c r="BQ51" s="13">
        <f>[1]!shannonweaver(K51:BL51)</f>
        <v>1.8866967846580784</v>
      </c>
      <c r="BR51">
        <f t="shared" si="4"/>
        <v>1</v>
      </c>
      <c r="BS51">
        <f t="shared" si="5"/>
        <v>4</v>
      </c>
      <c r="BT51">
        <f t="shared" si="6"/>
        <v>1</v>
      </c>
      <c r="BU51">
        <f t="shared" si="7"/>
        <v>2</v>
      </c>
      <c r="BV51" s="13">
        <f t="shared" si="8"/>
        <v>2</v>
      </c>
      <c r="BW51" s="13">
        <f t="shared" si="9"/>
        <v>0</v>
      </c>
      <c r="BX51" s="13">
        <f t="shared" si="10"/>
        <v>2</v>
      </c>
      <c r="BY51" s="13">
        <f t="shared" si="11"/>
        <v>2</v>
      </c>
      <c r="BZ51" s="13">
        <f t="shared" si="12"/>
        <v>1</v>
      </c>
      <c r="CA51" s="13">
        <f t="shared" si="13"/>
        <v>6</v>
      </c>
      <c r="CB51" s="13">
        <f t="shared" si="14"/>
        <v>1</v>
      </c>
      <c r="CC51" s="13">
        <f t="shared" si="15"/>
        <v>0</v>
      </c>
      <c r="CD51" s="13">
        <f t="shared" si="16"/>
        <v>2.6457513110645907</v>
      </c>
      <c r="CE51" s="13">
        <f t="shared" si="17"/>
        <v>3.1622776601683795</v>
      </c>
      <c r="CF51" s="13">
        <f t="shared" si="18"/>
        <v>1.3735708153051587</v>
      </c>
      <c r="CG51" s="13">
        <f t="shared" si="19"/>
        <v>1</v>
      </c>
      <c r="CH51" s="13">
        <f t="shared" si="20"/>
        <v>2</v>
      </c>
      <c r="CI51" s="13">
        <f t="shared" si="21"/>
        <v>1</v>
      </c>
      <c r="CJ51" s="13">
        <f t="shared" si="21"/>
        <v>1.4142135623730951</v>
      </c>
      <c r="CK51" s="13">
        <f t="shared" si="23"/>
        <v>1.4142135623730951</v>
      </c>
      <c r="CL51" s="13">
        <f t="shared" si="24"/>
        <v>0</v>
      </c>
      <c r="CM51" s="13">
        <f t="shared" si="25"/>
        <v>1.4142135623730951</v>
      </c>
      <c r="CN51" s="13">
        <f t="shared" si="26"/>
        <v>1.4142135623730951</v>
      </c>
      <c r="CO51" s="13">
        <f t="shared" si="27"/>
        <v>1</v>
      </c>
      <c r="CP51" s="13">
        <f t="shared" si="28"/>
        <v>2.4494897427831779</v>
      </c>
      <c r="CQ51" s="13">
        <f t="shared" si="29"/>
        <v>1</v>
      </c>
      <c r="CR51" s="13">
        <f t="shared" si="30"/>
        <v>0</v>
      </c>
      <c r="CS51" s="13">
        <f t="shared" si="31"/>
        <v>2.0794415416798357</v>
      </c>
      <c r="CT51" s="13">
        <f t="shared" si="32"/>
        <v>2.3978952727983707</v>
      </c>
      <c r="CU51" s="13">
        <f t="shared" si="33"/>
        <v>1.0601128673361286</v>
      </c>
      <c r="CV51" s="13">
        <f t="shared" si="34"/>
        <v>0.69314718055994529</v>
      </c>
      <c r="CW51" s="13">
        <f t="shared" si="35"/>
        <v>1.6094379124341003</v>
      </c>
      <c r="CX51" s="13">
        <f t="shared" si="36"/>
        <v>0.69314718055994529</v>
      </c>
      <c r="CY51" s="13">
        <f t="shared" si="37"/>
        <v>1.0986122886681098</v>
      </c>
      <c r="CZ51" s="13">
        <f t="shared" si="38"/>
        <v>1.0986122886681098</v>
      </c>
      <c r="DA51" s="13">
        <f t="shared" si="39"/>
        <v>0</v>
      </c>
      <c r="DB51" s="13">
        <f t="shared" si="40"/>
        <v>1.0986122886681098</v>
      </c>
      <c r="DC51" s="13">
        <f t="shared" si="41"/>
        <v>1.0986122886681098</v>
      </c>
      <c r="DD51" s="13">
        <f t="shared" si="42"/>
        <v>0.69314718055994529</v>
      </c>
      <c r="DE51" s="13">
        <f t="shared" si="43"/>
        <v>1.9459101490553132</v>
      </c>
      <c r="DF51" s="13">
        <f t="shared" si="44"/>
        <v>0.69314718055994529</v>
      </c>
      <c r="DG51" s="13">
        <f t="shared" si="45"/>
        <v>0</v>
      </c>
      <c r="DH51" s="13"/>
      <c r="DI51" s="13"/>
      <c r="DJ51" s="13"/>
      <c r="DL51"/>
      <c r="DM51"/>
      <c r="DN51"/>
      <c r="DO51"/>
    </row>
    <row r="52" spans="1:120">
      <c r="A52" s="13" t="s">
        <v>22</v>
      </c>
      <c r="B52" t="s">
        <v>281</v>
      </c>
      <c r="C52" t="s">
        <v>301</v>
      </c>
      <c r="D52" s="13" t="s">
        <v>319</v>
      </c>
      <c r="E52" s="13" t="s">
        <v>91</v>
      </c>
      <c r="F52" s="13">
        <v>0</v>
      </c>
      <c r="G52" s="13">
        <v>0</v>
      </c>
      <c r="H52" s="13">
        <v>0</v>
      </c>
      <c r="I52" s="13">
        <v>0</v>
      </c>
      <c r="J52" s="32">
        <v>0</v>
      </c>
      <c r="K52" s="32">
        <v>0</v>
      </c>
      <c r="L52" s="13">
        <v>1</v>
      </c>
      <c r="M52" s="32">
        <v>0</v>
      </c>
      <c r="N52" s="32">
        <v>0</v>
      </c>
      <c r="O52" s="13">
        <v>1</v>
      </c>
      <c r="P52" s="13">
        <v>0</v>
      </c>
      <c r="Q52" s="32">
        <v>0</v>
      </c>
      <c r="R52" s="32">
        <v>0</v>
      </c>
      <c r="S52" s="32">
        <v>0</v>
      </c>
      <c r="T52" s="32">
        <v>0</v>
      </c>
      <c r="U52" s="13">
        <v>1</v>
      </c>
      <c r="V52" s="32">
        <v>0</v>
      </c>
      <c r="W52" s="32">
        <v>0</v>
      </c>
      <c r="X52" s="32">
        <v>0</v>
      </c>
      <c r="Y52" s="32">
        <v>0</v>
      </c>
      <c r="Z52" s="13">
        <v>1</v>
      </c>
      <c r="AA52" s="32">
        <v>0</v>
      </c>
      <c r="AB52" s="13">
        <v>3</v>
      </c>
      <c r="AC52" s="32">
        <v>0</v>
      </c>
      <c r="AD52" s="32">
        <v>0</v>
      </c>
      <c r="AE52" s="13">
        <v>6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 s="32">
        <v>0</v>
      </c>
      <c r="BD52" s="32">
        <v>0</v>
      </c>
      <c r="BE52" s="32">
        <v>0</v>
      </c>
      <c r="BF52" s="32">
        <v>0</v>
      </c>
      <c r="BG52" s="32">
        <v>0</v>
      </c>
      <c r="BH52" s="32">
        <v>0</v>
      </c>
      <c r="BI52" s="13">
        <v>1</v>
      </c>
      <c r="BJ52" s="13">
        <v>4</v>
      </c>
      <c r="BK52" s="13">
        <v>1</v>
      </c>
      <c r="BL52" s="32">
        <v>0</v>
      </c>
      <c r="BM52" s="32">
        <v>0</v>
      </c>
      <c r="BN52" s="32">
        <v>0</v>
      </c>
      <c r="BO52">
        <f t="shared" si="2"/>
        <v>9</v>
      </c>
      <c r="BP52" s="13">
        <f t="shared" si="3"/>
        <v>19</v>
      </c>
      <c r="BQ52" s="13">
        <f>[1]!shannonweaver(K52:BL52)</f>
        <v>1.9133036567531658</v>
      </c>
      <c r="BR52">
        <f t="shared" si="4"/>
        <v>2</v>
      </c>
      <c r="BS52">
        <f t="shared" si="5"/>
        <v>3</v>
      </c>
      <c r="BT52">
        <f t="shared" si="6"/>
        <v>0</v>
      </c>
      <c r="BU52">
        <f t="shared" si="7"/>
        <v>1</v>
      </c>
      <c r="BV52" s="13">
        <f t="shared" si="8"/>
        <v>2</v>
      </c>
      <c r="BW52" s="13">
        <f t="shared" si="9"/>
        <v>3</v>
      </c>
      <c r="BX52" s="13">
        <f t="shared" si="10"/>
        <v>6</v>
      </c>
      <c r="BY52" s="13">
        <f t="shared" si="11"/>
        <v>9</v>
      </c>
      <c r="BZ52" s="13">
        <f t="shared" si="12"/>
        <v>0</v>
      </c>
      <c r="CA52" s="13">
        <f t="shared" si="13"/>
        <v>10</v>
      </c>
      <c r="CB52" s="13">
        <f t="shared" si="14"/>
        <v>0</v>
      </c>
      <c r="CC52" s="13">
        <f t="shared" si="15"/>
        <v>1</v>
      </c>
      <c r="CD52" s="13">
        <f t="shared" si="16"/>
        <v>3</v>
      </c>
      <c r="CE52" s="13">
        <f t="shared" si="17"/>
        <v>4.358898943540674</v>
      </c>
      <c r="CF52" s="13">
        <f t="shared" si="18"/>
        <v>1.383222200788133</v>
      </c>
      <c r="CG52" s="13">
        <f t="shared" si="19"/>
        <v>1.4142135623730951</v>
      </c>
      <c r="CH52" s="13">
        <f t="shared" si="20"/>
        <v>1.7320508075688772</v>
      </c>
      <c r="CI52" s="13">
        <f t="shared" si="21"/>
        <v>0</v>
      </c>
      <c r="CJ52" s="13">
        <f t="shared" si="21"/>
        <v>1</v>
      </c>
      <c r="CK52" s="13">
        <f t="shared" si="23"/>
        <v>1.4142135623730951</v>
      </c>
      <c r="CL52" s="13">
        <f t="shared" si="24"/>
        <v>1.7320508075688772</v>
      </c>
      <c r="CM52" s="13">
        <f t="shared" si="25"/>
        <v>2.4494897427831779</v>
      </c>
      <c r="CN52" s="13">
        <f t="shared" si="26"/>
        <v>3</v>
      </c>
      <c r="CO52" s="13">
        <f t="shared" si="27"/>
        <v>0</v>
      </c>
      <c r="CP52" s="13">
        <f t="shared" si="28"/>
        <v>3.1622776601683795</v>
      </c>
      <c r="CQ52" s="13">
        <f t="shared" si="29"/>
        <v>0</v>
      </c>
      <c r="CR52" s="13">
        <f t="shared" si="30"/>
        <v>1</v>
      </c>
      <c r="CS52" s="13">
        <f t="shared" si="31"/>
        <v>2.3025850929940459</v>
      </c>
      <c r="CT52" s="13">
        <f t="shared" si="32"/>
        <v>2.9957322735539909</v>
      </c>
      <c r="CU52" s="13">
        <f t="shared" si="33"/>
        <v>1.0692877144782869</v>
      </c>
      <c r="CV52" s="13">
        <f t="shared" si="34"/>
        <v>1.0986122886681098</v>
      </c>
      <c r="CW52" s="13">
        <f t="shared" si="35"/>
        <v>1.3862943611198906</v>
      </c>
      <c r="CX52" s="13">
        <f t="shared" si="36"/>
        <v>0</v>
      </c>
      <c r="CY52" s="13">
        <f t="shared" si="37"/>
        <v>0.69314718055994529</v>
      </c>
      <c r="CZ52" s="13">
        <f t="shared" si="38"/>
        <v>1.0986122886681098</v>
      </c>
      <c r="DA52" s="13">
        <f t="shared" si="39"/>
        <v>1.3862943611198906</v>
      </c>
      <c r="DB52" s="13">
        <f t="shared" si="40"/>
        <v>1.9459101490553132</v>
      </c>
      <c r="DC52" s="13">
        <f t="shared" si="41"/>
        <v>2.3025850929940459</v>
      </c>
      <c r="DD52" s="13">
        <f t="shared" si="42"/>
        <v>0</v>
      </c>
      <c r="DE52" s="13">
        <f t="shared" si="43"/>
        <v>2.3978952727983707</v>
      </c>
      <c r="DF52" s="13">
        <f t="shared" si="44"/>
        <v>0</v>
      </c>
      <c r="DG52" s="13">
        <f t="shared" si="45"/>
        <v>0.69314718055994529</v>
      </c>
      <c r="DH52" s="13"/>
      <c r="DI52" s="13"/>
      <c r="DJ52" s="13"/>
      <c r="DL52"/>
      <c r="DM52"/>
      <c r="DN52"/>
      <c r="DO52"/>
    </row>
    <row r="53" spans="1:120">
      <c r="A53" s="13" t="s">
        <v>23</v>
      </c>
      <c r="B53" t="s">
        <v>281</v>
      </c>
      <c r="C53" t="s">
        <v>301</v>
      </c>
      <c r="D53" s="13" t="s">
        <v>319</v>
      </c>
      <c r="E53" s="13" t="s">
        <v>91</v>
      </c>
      <c r="F53" s="13">
        <v>0</v>
      </c>
      <c r="G53" s="13">
        <v>0</v>
      </c>
      <c r="H53" s="13">
        <v>0</v>
      </c>
      <c r="I53" s="13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13">
        <v>1</v>
      </c>
      <c r="P53" s="13">
        <v>0</v>
      </c>
      <c r="Q53" s="32">
        <v>0</v>
      </c>
      <c r="R53" s="32">
        <v>0</v>
      </c>
      <c r="S53" s="32">
        <v>0</v>
      </c>
      <c r="T53" s="13">
        <v>1</v>
      </c>
      <c r="U53" s="13">
        <v>0</v>
      </c>
      <c r="V53" s="32">
        <v>0</v>
      </c>
      <c r="W53" s="32">
        <v>0</v>
      </c>
      <c r="X53" s="13">
        <v>1</v>
      </c>
      <c r="Y53" s="32">
        <v>0</v>
      </c>
      <c r="Z53" s="32">
        <v>0</v>
      </c>
      <c r="AA53" s="32">
        <v>0</v>
      </c>
      <c r="AB53" s="13">
        <v>5</v>
      </c>
      <c r="AC53" s="32">
        <v>0</v>
      </c>
      <c r="AD53" s="32">
        <v>0</v>
      </c>
      <c r="AE53" s="13">
        <v>4</v>
      </c>
      <c r="AF53" s="32">
        <v>0</v>
      </c>
      <c r="AG53" s="13">
        <v>1</v>
      </c>
      <c r="AH53" s="32">
        <v>0</v>
      </c>
      <c r="AI53" s="32">
        <v>0</v>
      </c>
      <c r="AJ53" s="32">
        <v>0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13">
        <v>2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0</v>
      </c>
      <c r="AY53" s="32">
        <v>0</v>
      </c>
      <c r="AZ53" s="32">
        <v>0</v>
      </c>
      <c r="BA53" s="32">
        <v>0</v>
      </c>
      <c r="BB53" s="32">
        <v>0</v>
      </c>
      <c r="BC53" s="32">
        <v>0</v>
      </c>
      <c r="BD53" s="32">
        <v>0</v>
      </c>
      <c r="BE53" s="32">
        <v>0</v>
      </c>
      <c r="BF53" s="13">
        <v>2</v>
      </c>
      <c r="BG53" s="32">
        <v>0</v>
      </c>
      <c r="BH53" s="32">
        <v>0</v>
      </c>
      <c r="BI53" s="32">
        <v>0</v>
      </c>
      <c r="BJ53" s="32">
        <v>0</v>
      </c>
      <c r="BK53" s="32">
        <v>0</v>
      </c>
      <c r="BL53" s="32">
        <v>0</v>
      </c>
      <c r="BM53" s="32">
        <v>0</v>
      </c>
      <c r="BN53" s="32">
        <v>0</v>
      </c>
      <c r="BO53">
        <f t="shared" si="2"/>
        <v>8</v>
      </c>
      <c r="BP53" s="13">
        <f t="shared" si="3"/>
        <v>17</v>
      </c>
      <c r="BQ53" s="13">
        <f>[1]!shannonweaver(K53:BL53)</f>
        <v>1.8705688894156369</v>
      </c>
      <c r="BR53">
        <f t="shared" si="4"/>
        <v>2</v>
      </c>
      <c r="BS53">
        <f t="shared" si="5"/>
        <v>5</v>
      </c>
      <c r="BT53">
        <f t="shared" si="6"/>
        <v>0</v>
      </c>
      <c r="BU53">
        <f t="shared" si="7"/>
        <v>1</v>
      </c>
      <c r="BV53" s="13">
        <f t="shared" si="8"/>
        <v>2</v>
      </c>
      <c r="BW53" s="13">
        <f t="shared" si="9"/>
        <v>5</v>
      </c>
      <c r="BX53" s="13">
        <f t="shared" si="10"/>
        <v>4</v>
      </c>
      <c r="BY53" s="13">
        <f t="shared" si="11"/>
        <v>9</v>
      </c>
      <c r="BZ53" s="13">
        <f t="shared" si="12"/>
        <v>1</v>
      </c>
      <c r="CA53" s="13">
        <f t="shared" si="13"/>
        <v>13</v>
      </c>
      <c r="CB53" s="13">
        <f t="shared" si="14"/>
        <v>0</v>
      </c>
      <c r="CC53" s="13">
        <f t="shared" si="15"/>
        <v>0</v>
      </c>
      <c r="CD53" s="13">
        <f t="shared" si="16"/>
        <v>2.8284271247461903</v>
      </c>
      <c r="CE53" s="13">
        <f t="shared" si="17"/>
        <v>4.1231056256176606</v>
      </c>
      <c r="CF53" s="13">
        <f t="shared" si="18"/>
        <v>1.3676874238712722</v>
      </c>
      <c r="CG53" s="13">
        <f t="shared" si="19"/>
        <v>1.4142135623730951</v>
      </c>
      <c r="CH53" s="13">
        <f t="shared" si="20"/>
        <v>2.2360679774997898</v>
      </c>
      <c r="CI53" s="13">
        <f t="shared" si="21"/>
        <v>0</v>
      </c>
      <c r="CJ53" s="13">
        <f t="shared" si="21"/>
        <v>1</v>
      </c>
      <c r="CK53" s="13">
        <f t="shared" si="23"/>
        <v>1.4142135623730951</v>
      </c>
      <c r="CL53" s="13">
        <f t="shared" si="24"/>
        <v>2.2360679774997898</v>
      </c>
      <c r="CM53" s="13">
        <f t="shared" si="25"/>
        <v>2</v>
      </c>
      <c r="CN53" s="13">
        <f t="shared" si="26"/>
        <v>3</v>
      </c>
      <c r="CO53" s="13">
        <f t="shared" si="27"/>
        <v>1</v>
      </c>
      <c r="CP53" s="13">
        <f t="shared" si="28"/>
        <v>3.6055512754639891</v>
      </c>
      <c r="CQ53" s="13">
        <f t="shared" si="29"/>
        <v>0</v>
      </c>
      <c r="CR53" s="13">
        <f t="shared" si="30"/>
        <v>0</v>
      </c>
      <c r="CS53" s="13">
        <f t="shared" si="31"/>
        <v>2.1972245773362196</v>
      </c>
      <c r="CT53" s="13">
        <f t="shared" si="32"/>
        <v>2.8903717578961645</v>
      </c>
      <c r="CU53" s="13">
        <f t="shared" si="33"/>
        <v>1.0545102294372626</v>
      </c>
      <c r="CV53" s="13">
        <f t="shared" si="34"/>
        <v>1.0986122886681098</v>
      </c>
      <c r="CW53" s="13">
        <f t="shared" si="35"/>
        <v>1.791759469228055</v>
      </c>
      <c r="CX53" s="13">
        <f t="shared" si="36"/>
        <v>0</v>
      </c>
      <c r="CY53" s="13">
        <f t="shared" si="37"/>
        <v>0.69314718055994529</v>
      </c>
      <c r="CZ53" s="13">
        <f t="shared" si="38"/>
        <v>1.0986122886681098</v>
      </c>
      <c r="DA53" s="13">
        <f t="shared" si="39"/>
        <v>1.791759469228055</v>
      </c>
      <c r="DB53" s="13">
        <f t="shared" si="40"/>
        <v>1.6094379124341003</v>
      </c>
      <c r="DC53" s="13">
        <f t="shared" si="41"/>
        <v>2.3025850929940459</v>
      </c>
      <c r="DD53" s="13">
        <f t="shared" si="42"/>
        <v>0.69314718055994529</v>
      </c>
      <c r="DE53" s="13">
        <f t="shared" si="43"/>
        <v>2.6390573296152584</v>
      </c>
      <c r="DF53" s="13">
        <f t="shared" si="44"/>
        <v>0</v>
      </c>
      <c r="DG53" s="13">
        <f t="shared" si="45"/>
        <v>0</v>
      </c>
      <c r="DH53" s="13"/>
      <c r="DI53" s="13"/>
      <c r="DJ53" s="13"/>
      <c r="DL53"/>
      <c r="DM53"/>
      <c r="DN53"/>
      <c r="DO53"/>
      <c r="DP53" s="31"/>
    </row>
    <row r="54" spans="1:120">
      <c r="A54" s="13" t="s">
        <v>24</v>
      </c>
      <c r="B54" t="s">
        <v>281</v>
      </c>
      <c r="C54" t="s">
        <v>301</v>
      </c>
      <c r="D54" s="13" t="s">
        <v>319</v>
      </c>
      <c r="E54" s="13" t="s">
        <v>91</v>
      </c>
      <c r="F54" s="13">
        <v>0</v>
      </c>
      <c r="G54" s="13">
        <v>0</v>
      </c>
      <c r="H54" s="13">
        <v>0</v>
      </c>
      <c r="I54" s="13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13">
        <v>1</v>
      </c>
      <c r="U54" s="13">
        <v>3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13">
        <v>3</v>
      </c>
      <c r="AC54" s="32">
        <v>0</v>
      </c>
      <c r="AD54" s="32">
        <v>0</v>
      </c>
      <c r="AE54" s="32">
        <v>0</v>
      </c>
      <c r="AF54" s="32">
        <v>0</v>
      </c>
      <c r="AG54" s="13">
        <v>3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0</v>
      </c>
      <c r="BB54" s="32">
        <v>0</v>
      </c>
      <c r="BC54" s="32">
        <v>0</v>
      </c>
      <c r="BD54" s="32">
        <v>0</v>
      </c>
      <c r="BE54" s="13">
        <v>1</v>
      </c>
      <c r="BF54" s="13">
        <v>1</v>
      </c>
      <c r="BG54" s="32">
        <v>0</v>
      </c>
      <c r="BH54" s="32">
        <v>0</v>
      </c>
      <c r="BI54" s="13">
        <v>1</v>
      </c>
      <c r="BJ54" s="32">
        <v>0</v>
      </c>
      <c r="BK54" s="32">
        <v>0</v>
      </c>
      <c r="BL54" s="32">
        <v>0</v>
      </c>
      <c r="BM54" s="32">
        <v>0</v>
      </c>
      <c r="BN54" s="32">
        <v>0</v>
      </c>
      <c r="BO54">
        <f t="shared" si="2"/>
        <v>7</v>
      </c>
      <c r="BP54" s="13">
        <f t="shared" si="3"/>
        <v>13</v>
      </c>
      <c r="BQ54" s="13">
        <f>[1]!shannonweaver(K54:BL54)</f>
        <v>1.8043716191528456</v>
      </c>
      <c r="BR54">
        <f t="shared" si="4"/>
        <v>2</v>
      </c>
      <c r="BS54">
        <f t="shared" si="5"/>
        <v>2</v>
      </c>
      <c r="BT54">
        <f t="shared" si="6"/>
        <v>0</v>
      </c>
      <c r="BU54">
        <f t="shared" si="7"/>
        <v>0</v>
      </c>
      <c r="BV54" s="13">
        <f t="shared" si="8"/>
        <v>4</v>
      </c>
      <c r="BW54" s="13">
        <f t="shared" si="9"/>
        <v>3</v>
      </c>
      <c r="BX54" s="13">
        <f t="shared" si="10"/>
        <v>0</v>
      </c>
      <c r="BY54" s="13">
        <f t="shared" si="11"/>
        <v>3</v>
      </c>
      <c r="BZ54" s="13">
        <f t="shared" si="12"/>
        <v>3</v>
      </c>
      <c r="CA54" s="13">
        <f t="shared" si="13"/>
        <v>6</v>
      </c>
      <c r="CB54" s="13">
        <f t="shared" si="14"/>
        <v>0</v>
      </c>
      <c r="CC54" s="13">
        <f t="shared" si="15"/>
        <v>0</v>
      </c>
      <c r="CD54" s="13">
        <f t="shared" si="16"/>
        <v>2.6457513110645907</v>
      </c>
      <c r="CE54" s="13">
        <f t="shared" si="17"/>
        <v>3.6055512754639891</v>
      </c>
      <c r="CF54" s="13">
        <f t="shared" si="18"/>
        <v>1.3432690047614608</v>
      </c>
      <c r="CG54" s="13">
        <f t="shared" si="19"/>
        <v>1.4142135623730951</v>
      </c>
      <c r="CH54" s="13">
        <f t="shared" si="20"/>
        <v>1.4142135623730951</v>
      </c>
      <c r="CI54" s="13">
        <f t="shared" si="21"/>
        <v>0</v>
      </c>
      <c r="CJ54" s="13">
        <f t="shared" si="21"/>
        <v>0</v>
      </c>
      <c r="CK54" s="13">
        <f t="shared" si="23"/>
        <v>2</v>
      </c>
      <c r="CL54" s="13">
        <f t="shared" si="24"/>
        <v>1.7320508075688772</v>
      </c>
      <c r="CM54" s="13">
        <f t="shared" si="25"/>
        <v>0</v>
      </c>
      <c r="CN54" s="13">
        <f t="shared" si="26"/>
        <v>1.7320508075688772</v>
      </c>
      <c r="CO54" s="13">
        <f t="shared" si="27"/>
        <v>1.7320508075688772</v>
      </c>
      <c r="CP54" s="13">
        <f t="shared" si="28"/>
        <v>2.4494897427831779</v>
      </c>
      <c r="CQ54" s="13">
        <f t="shared" si="29"/>
        <v>0</v>
      </c>
      <c r="CR54" s="13">
        <f t="shared" si="30"/>
        <v>0</v>
      </c>
      <c r="CS54" s="13">
        <f t="shared" si="31"/>
        <v>2.0794415416798357</v>
      </c>
      <c r="CT54" s="13">
        <f t="shared" si="32"/>
        <v>2.6390573296152584</v>
      </c>
      <c r="CU54" s="13">
        <f t="shared" si="33"/>
        <v>1.0311794921856619</v>
      </c>
      <c r="CV54" s="13">
        <f t="shared" si="34"/>
        <v>1.0986122886681098</v>
      </c>
      <c r="CW54" s="13">
        <f t="shared" si="35"/>
        <v>1.0986122886681098</v>
      </c>
      <c r="CX54" s="13">
        <f t="shared" si="36"/>
        <v>0</v>
      </c>
      <c r="CY54" s="13">
        <f t="shared" si="37"/>
        <v>0</v>
      </c>
      <c r="CZ54" s="13">
        <f t="shared" si="38"/>
        <v>1.6094379124341003</v>
      </c>
      <c r="DA54" s="13">
        <f t="shared" si="39"/>
        <v>1.3862943611198906</v>
      </c>
      <c r="DB54" s="13">
        <f t="shared" si="40"/>
        <v>0</v>
      </c>
      <c r="DC54" s="13">
        <f t="shared" si="41"/>
        <v>1.3862943611198906</v>
      </c>
      <c r="DD54" s="13">
        <f t="shared" si="42"/>
        <v>1.3862943611198906</v>
      </c>
      <c r="DE54" s="13">
        <f t="shared" si="43"/>
        <v>1.9459101490553132</v>
      </c>
      <c r="DF54" s="13">
        <f t="shared" si="44"/>
        <v>0</v>
      </c>
      <c r="DG54" s="13">
        <f t="shared" si="45"/>
        <v>0</v>
      </c>
      <c r="DH54" s="13"/>
      <c r="DI54" s="13"/>
      <c r="DJ54" s="13"/>
      <c r="DL54"/>
      <c r="DM54"/>
      <c r="DN54"/>
      <c r="DO54"/>
      <c r="DP54" s="31"/>
    </row>
    <row r="55" spans="1:120">
      <c r="A55" s="13" t="s">
        <v>26</v>
      </c>
      <c r="B55" t="s">
        <v>281</v>
      </c>
      <c r="C55" t="s">
        <v>301</v>
      </c>
      <c r="D55" s="13" t="s">
        <v>319</v>
      </c>
      <c r="E55" s="13" t="s">
        <v>91</v>
      </c>
      <c r="F55" s="13">
        <v>0</v>
      </c>
      <c r="G55" s="13">
        <v>1</v>
      </c>
      <c r="H55" s="13">
        <v>0</v>
      </c>
      <c r="I55" s="13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13">
        <v>2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32">
        <v>0</v>
      </c>
      <c r="Z55" s="32">
        <v>0</v>
      </c>
      <c r="AA55" s="32">
        <v>0</v>
      </c>
      <c r="AB55" s="13">
        <v>1</v>
      </c>
      <c r="AC55" s="32">
        <v>0</v>
      </c>
      <c r="AD55" s="32">
        <v>0</v>
      </c>
      <c r="AE55" s="13">
        <v>1</v>
      </c>
      <c r="AF55" s="32">
        <v>0</v>
      </c>
      <c r="AG55" s="13">
        <v>1</v>
      </c>
      <c r="AH55" s="32">
        <v>0</v>
      </c>
      <c r="AI55" s="32">
        <v>0</v>
      </c>
      <c r="AJ55" s="32">
        <v>0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13">
        <v>1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 s="32">
        <v>0</v>
      </c>
      <c r="BD55" s="32">
        <v>0</v>
      </c>
      <c r="BE55" s="32">
        <v>0</v>
      </c>
      <c r="BF55" s="32">
        <v>0</v>
      </c>
      <c r="BG55" s="32">
        <v>0</v>
      </c>
      <c r="BH55" s="32">
        <v>0</v>
      </c>
      <c r="BI55" s="13">
        <v>1</v>
      </c>
      <c r="BJ55" s="13">
        <v>2</v>
      </c>
      <c r="BK55" s="32">
        <v>0</v>
      </c>
      <c r="BL55" s="32">
        <v>0</v>
      </c>
      <c r="BM55" s="32">
        <v>0</v>
      </c>
      <c r="BN55" s="32">
        <v>0</v>
      </c>
      <c r="BO55">
        <f t="shared" si="2"/>
        <v>7</v>
      </c>
      <c r="BP55" s="13">
        <f t="shared" si="3"/>
        <v>9</v>
      </c>
      <c r="BQ55" s="13">
        <f>[1]!shannonweaver(K55:BL55)</f>
        <v>1.8891591637540217</v>
      </c>
      <c r="BR55">
        <f t="shared" si="4"/>
        <v>1</v>
      </c>
      <c r="BS55">
        <f t="shared" si="5"/>
        <v>4</v>
      </c>
      <c r="BT55">
        <f t="shared" si="6"/>
        <v>0</v>
      </c>
      <c r="BU55">
        <f t="shared" si="7"/>
        <v>2</v>
      </c>
      <c r="BV55" s="13">
        <f t="shared" si="8"/>
        <v>2</v>
      </c>
      <c r="BW55" s="13">
        <f t="shared" si="9"/>
        <v>1</v>
      </c>
      <c r="BX55" s="13">
        <f t="shared" si="10"/>
        <v>1</v>
      </c>
      <c r="BY55" s="13">
        <f t="shared" si="11"/>
        <v>2</v>
      </c>
      <c r="BZ55" s="13">
        <f t="shared" si="12"/>
        <v>1</v>
      </c>
      <c r="CA55" s="13">
        <f t="shared" si="13"/>
        <v>4</v>
      </c>
      <c r="CB55" s="13">
        <f t="shared" si="14"/>
        <v>0</v>
      </c>
      <c r="CC55" s="13">
        <f t="shared" si="15"/>
        <v>0</v>
      </c>
      <c r="CD55" s="13">
        <f t="shared" si="16"/>
        <v>2.6457513110645907</v>
      </c>
      <c r="CE55" s="13">
        <f t="shared" si="17"/>
        <v>3</v>
      </c>
      <c r="CF55" s="13">
        <f t="shared" si="18"/>
        <v>1.3744668652805063</v>
      </c>
      <c r="CG55" s="13">
        <f t="shared" si="19"/>
        <v>1</v>
      </c>
      <c r="CH55" s="13">
        <f t="shared" si="20"/>
        <v>2</v>
      </c>
      <c r="CI55" s="13">
        <f t="shared" si="21"/>
        <v>0</v>
      </c>
      <c r="CJ55" s="13">
        <f t="shared" si="21"/>
        <v>1.4142135623730951</v>
      </c>
      <c r="CK55" s="13">
        <f t="shared" si="23"/>
        <v>1.4142135623730951</v>
      </c>
      <c r="CL55" s="13">
        <f t="shared" si="24"/>
        <v>1</v>
      </c>
      <c r="CM55" s="13">
        <f t="shared" si="25"/>
        <v>1</v>
      </c>
      <c r="CN55" s="13">
        <f t="shared" si="26"/>
        <v>1.4142135623730951</v>
      </c>
      <c r="CO55" s="13">
        <f t="shared" si="27"/>
        <v>1</v>
      </c>
      <c r="CP55" s="13">
        <f t="shared" si="28"/>
        <v>2</v>
      </c>
      <c r="CQ55" s="13">
        <f t="shared" si="29"/>
        <v>0</v>
      </c>
      <c r="CR55" s="13">
        <f t="shared" si="30"/>
        <v>0</v>
      </c>
      <c r="CS55" s="13">
        <f t="shared" si="31"/>
        <v>2.0794415416798357</v>
      </c>
      <c r="CT55" s="13">
        <f t="shared" si="32"/>
        <v>2.3025850929940459</v>
      </c>
      <c r="CU55" s="13">
        <f t="shared" si="33"/>
        <v>1.0609655129931934</v>
      </c>
      <c r="CV55" s="13">
        <f t="shared" si="34"/>
        <v>0.69314718055994529</v>
      </c>
      <c r="CW55" s="13">
        <f t="shared" si="35"/>
        <v>1.6094379124341003</v>
      </c>
      <c r="CX55" s="13">
        <f t="shared" si="36"/>
        <v>0</v>
      </c>
      <c r="CY55" s="13">
        <f t="shared" si="37"/>
        <v>1.0986122886681098</v>
      </c>
      <c r="CZ55" s="13">
        <f t="shared" si="38"/>
        <v>1.0986122886681098</v>
      </c>
      <c r="DA55" s="13">
        <f t="shared" si="39"/>
        <v>0.69314718055994529</v>
      </c>
      <c r="DB55" s="13">
        <f t="shared" si="40"/>
        <v>0.69314718055994529</v>
      </c>
      <c r="DC55" s="13">
        <f t="shared" si="41"/>
        <v>1.0986122886681098</v>
      </c>
      <c r="DD55" s="13">
        <f t="shared" si="42"/>
        <v>0.69314718055994529</v>
      </c>
      <c r="DE55" s="13">
        <f t="shared" si="43"/>
        <v>1.6094379124341003</v>
      </c>
      <c r="DF55" s="13">
        <f t="shared" si="44"/>
        <v>0</v>
      </c>
      <c r="DG55" s="13">
        <f t="shared" si="45"/>
        <v>0</v>
      </c>
      <c r="DH55" s="13"/>
      <c r="DI55" s="13"/>
      <c r="DJ55" s="13"/>
      <c r="DL55"/>
      <c r="DM55"/>
      <c r="DN55"/>
      <c r="DO55"/>
      <c r="DP55" s="31"/>
    </row>
    <row r="56" spans="1:120">
      <c r="A56" s="13" t="s">
        <v>28</v>
      </c>
      <c r="B56" t="s">
        <v>281</v>
      </c>
      <c r="C56">
        <v>4</v>
      </c>
      <c r="D56" s="13" t="s">
        <v>320</v>
      </c>
      <c r="E56" s="13" t="s">
        <v>91</v>
      </c>
      <c r="F56" s="13">
        <v>0</v>
      </c>
      <c r="G56" s="13">
        <v>0</v>
      </c>
      <c r="H56" s="13">
        <v>0</v>
      </c>
      <c r="I56" s="13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 s="32">
        <v>0</v>
      </c>
      <c r="BD56" s="32">
        <v>0</v>
      </c>
      <c r="BE56" s="32">
        <v>0</v>
      </c>
      <c r="BF56" s="32">
        <v>0</v>
      </c>
      <c r="BG56" s="32">
        <v>0</v>
      </c>
      <c r="BH56" s="32">
        <v>0</v>
      </c>
      <c r="BI56" s="32">
        <v>0</v>
      </c>
      <c r="BJ56" s="13">
        <v>1</v>
      </c>
      <c r="BK56" s="13">
        <v>1</v>
      </c>
      <c r="BL56" s="32">
        <v>0</v>
      </c>
      <c r="BM56" s="32">
        <v>0</v>
      </c>
      <c r="BN56" s="32">
        <v>0</v>
      </c>
      <c r="BO56">
        <f t="shared" si="2"/>
        <v>2</v>
      </c>
      <c r="BP56" s="13">
        <f t="shared" si="3"/>
        <v>2</v>
      </c>
      <c r="BQ56" s="13">
        <f>[1]!shannonweaver(K56:BL56)</f>
        <v>0.69314718055994529</v>
      </c>
      <c r="BR56">
        <f t="shared" si="4"/>
        <v>0</v>
      </c>
      <c r="BS56">
        <f t="shared" si="5"/>
        <v>0</v>
      </c>
      <c r="BT56">
        <f t="shared" si="6"/>
        <v>0</v>
      </c>
      <c r="BU56">
        <f t="shared" si="7"/>
        <v>0</v>
      </c>
      <c r="BV56" s="13">
        <f t="shared" si="8"/>
        <v>0</v>
      </c>
      <c r="BW56" s="13">
        <f t="shared" si="9"/>
        <v>0</v>
      </c>
      <c r="BX56" s="13">
        <f t="shared" si="10"/>
        <v>0</v>
      </c>
      <c r="BY56" s="13">
        <f t="shared" si="11"/>
        <v>0</v>
      </c>
      <c r="BZ56" s="13">
        <f t="shared" si="12"/>
        <v>0</v>
      </c>
      <c r="CA56" s="13">
        <f t="shared" si="13"/>
        <v>0</v>
      </c>
      <c r="CB56" s="13">
        <f t="shared" si="14"/>
        <v>0</v>
      </c>
      <c r="CC56" s="13">
        <f t="shared" si="15"/>
        <v>1</v>
      </c>
      <c r="CD56" s="13">
        <f t="shared" si="16"/>
        <v>1.4142135623730951</v>
      </c>
      <c r="CE56" s="13">
        <f t="shared" si="17"/>
        <v>1.4142135623730951</v>
      </c>
      <c r="CF56" s="13">
        <f t="shared" si="18"/>
        <v>0.83255461115769769</v>
      </c>
      <c r="CG56" s="13">
        <f t="shared" si="19"/>
        <v>0</v>
      </c>
      <c r="CH56" s="13">
        <f t="shared" si="20"/>
        <v>0</v>
      </c>
      <c r="CI56" s="13">
        <f t="shared" si="21"/>
        <v>0</v>
      </c>
      <c r="CJ56" s="13">
        <f t="shared" si="21"/>
        <v>0</v>
      </c>
      <c r="CK56" s="13">
        <f t="shared" si="23"/>
        <v>0</v>
      </c>
      <c r="CL56" s="13">
        <f t="shared" si="24"/>
        <v>0</v>
      </c>
      <c r="CM56" s="13">
        <f t="shared" si="25"/>
        <v>0</v>
      </c>
      <c r="CN56" s="13">
        <f t="shared" si="26"/>
        <v>0</v>
      </c>
      <c r="CO56" s="13">
        <f t="shared" si="27"/>
        <v>0</v>
      </c>
      <c r="CP56" s="13">
        <f t="shared" si="28"/>
        <v>0</v>
      </c>
      <c r="CQ56" s="13">
        <f t="shared" si="29"/>
        <v>0</v>
      </c>
      <c r="CR56" s="13">
        <f t="shared" si="30"/>
        <v>1</v>
      </c>
      <c r="CS56" s="13">
        <f t="shared" si="31"/>
        <v>1.0986122886681098</v>
      </c>
      <c r="CT56" s="13">
        <f t="shared" si="32"/>
        <v>1.0986122886681098</v>
      </c>
      <c r="CU56" s="13">
        <f t="shared" si="33"/>
        <v>0.52658903413904457</v>
      </c>
      <c r="CV56" s="13">
        <f t="shared" si="34"/>
        <v>0</v>
      </c>
      <c r="CW56" s="13">
        <f t="shared" si="35"/>
        <v>0</v>
      </c>
      <c r="CX56" s="13">
        <f t="shared" si="36"/>
        <v>0</v>
      </c>
      <c r="CY56" s="13">
        <f t="shared" si="37"/>
        <v>0</v>
      </c>
      <c r="CZ56" s="13">
        <f t="shared" si="38"/>
        <v>0</v>
      </c>
      <c r="DA56" s="13">
        <f t="shared" si="39"/>
        <v>0</v>
      </c>
      <c r="DB56" s="13">
        <f t="shared" si="40"/>
        <v>0</v>
      </c>
      <c r="DC56" s="13">
        <f t="shared" si="41"/>
        <v>0</v>
      </c>
      <c r="DD56" s="13">
        <f t="shared" si="42"/>
        <v>0</v>
      </c>
      <c r="DE56" s="13">
        <f t="shared" si="43"/>
        <v>0</v>
      </c>
      <c r="DF56" s="13">
        <f t="shared" si="44"/>
        <v>0</v>
      </c>
      <c r="DG56" s="13">
        <f t="shared" si="45"/>
        <v>0.69314718055994529</v>
      </c>
      <c r="DH56" s="13"/>
      <c r="DI56" s="13"/>
      <c r="DJ56" s="13"/>
      <c r="DL56"/>
      <c r="DM56"/>
      <c r="DN56"/>
      <c r="DO56"/>
      <c r="DP56" s="31"/>
    </row>
    <row r="57" spans="1:120">
      <c r="A57" s="13" t="s">
        <v>29</v>
      </c>
      <c r="B57" t="s">
        <v>281</v>
      </c>
      <c r="C57">
        <v>4</v>
      </c>
      <c r="D57" s="13" t="s">
        <v>320</v>
      </c>
      <c r="E57" s="13" t="s">
        <v>91</v>
      </c>
      <c r="F57" s="13">
        <v>0</v>
      </c>
      <c r="G57" s="13">
        <v>0</v>
      </c>
      <c r="H57" s="13">
        <v>0</v>
      </c>
      <c r="I57" s="13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32">
        <v>0</v>
      </c>
      <c r="R57" s="32">
        <v>0</v>
      </c>
      <c r="S57" s="32">
        <v>0</v>
      </c>
      <c r="T57" s="13">
        <v>1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 s="32">
        <v>0</v>
      </c>
      <c r="BD57" s="32">
        <v>0</v>
      </c>
      <c r="BE57" s="32">
        <v>0</v>
      </c>
      <c r="BF57" s="32">
        <v>0</v>
      </c>
      <c r="BG57" s="32">
        <v>0</v>
      </c>
      <c r="BH57" s="32">
        <v>0</v>
      </c>
      <c r="BI57" s="32">
        <v>0</v>
      </c>
      <c r="BJ57" s="13">
        <v>1</v>
      </c>
      <c r="BK57" s="13">
        <v>1</v>
      </c>
      <c r="BL57" s="32">
        <v>0</v>
      </c>
      <c r="BM57" s="32">
        <v>0</v>
      </c>
      <c r="BN57" s="32">
        <v>0</v>
      </c>
      <c r="BO57">
        <f t="shared" si="2"/>
        <v>3</v>
      </c>
      <c r="BP57" s="13">
        <f t="shared" si="3"/>
        <v>3</v>
      </c>
      <c r="BQ57" s="13">
        <f>[1]!shannonweaver(K57:BL57)</f>
        <v>1.0986122886681096</v>
      </c>
      <c r="BR57">
        <f t="shared" si="4"/>
        <v>1</v>
      </c>
      <c r="BS57">
        <f t="shared" si="5"/>
        <v>0</v>
      </c>
      <c r="BT57">
        <f t="shared" si="6"/>
        <v>0</v>
      </c>
      <c r="BU57">
        <f t="shared" si="7"/>
        <v>0</v>
      </c>
      <c r="BV57" s="13">
        <f t="shared" si="8"/>
        <v>1</v>
      </c>
      <c r="BW57" s="13">
        <f t="shared" si="9"/>
        <v>0</v>
      </c>
      <c r="BX57" s="13">
        <f t="shared" si="10"/>
        <v>0</v>
      </c>
      <c r="BY57" s="13">
        <f t="shared" si="11"/>
        <v>0</v>
      </c>
      <c r="BZ57" s="13">
        <f t="shared" si="12"/>
        <v>0</v>
      </c>
      <c r="CA57" s="13">
        <f t="shared" si="13"/>
        <v>0</v>
      </c>
      <c r="CB57" s="13">
        <f t="shared" si="14"/>
        <v>0</v>
      </c>
      <c r="CC57" s="13">
        <f t="shared" si="15"/>
        <v>1</v>
      </c>
      <c r="CD57" s="13">
        <f t="shared" si="16"/>
        <v>1.7320508075688772</v>
      </c>
      <c r="CE57" s="13">
        <f t="shared" si="17"/>
        <v>1.7320508075688772</v>
      </c>
      <c r="CF57" s="13">
        <f t="shared" si="18"/>
        <v>1.0481470739682048</v>
      </c>
      <c r="CG57" s="13">
        <f t="shared" si="19"/>
        <v>1</v>
      </c>
      <c r="CH57" s="13">
        <f t="shared" si="20"/>
        <v>0</v>
      </c>
      <c r="CI57" s="13">
        <f t="shared" si="21"/>
        <v>0</v>
      </c>
      <c r="CJ57" s="13">
        <f t="shared" si="21"/>
        <v>0</v>
      </c>
      <c r="CK57" s="13">
        <f t="shared" si="23"/>
        <v>1</v>
      </c>
      <c r="CL57" s="13">
        <f t="shared" si="24"/>
        <v>0</v>
      </c>
      <c r="CM57" s="13">
        <f t="shared" si="25"/>
        <v>0</v>
      </c>
      <c r="CN57" s="13">
        <f t="shared" si="26"/>
        <v>0</v>
      </c>
      <c r="CO57" s="13">
        <f t="shared" si="27"/>
        <v>0</v>
      </c>
      <c r="CP57" s="13">
        <f t="shared" si="28"/>
        <v>0</v>
      </c>
      <c r="CQ57" s="13">
        <f t="shared" si="29"/>
        <v>0</v>
      </c>
      <c r="CR57" s="13">
        <f t="shared" si="30"/>
        <v>1</v>
      </c>
      <c r="CS57" s="13">
        <f t="shared" si="31"/>
        <v>1.3862943611198906</v>
      </c>
      <c r="CT57" s="13">
        <f t="shared" si="32"/>
        <v>1.3862943611198906</v>
      </c>
      <c r="CU57" s="13">
        <f t="shared" si="33"/>
        <v>0.74127631137501515</v>
      </c>
      <c r="CV57" s="13">
        <f t="shared" si="34"/>
        <v>0.69314718055994529</v>
      </c>
      <c r="CW57" s="13">
        <f t="shared" si="35"/>
        <v>0</v>
      </c>
      <c r="CX57" s="13">
        <f t="shared" si="36"/>
        <v>0</v>
      </c>
      <c r="CY57" s="13">
        <f t="shared" si="37"/>
        <v>0</v>
      </c>
      <c r="CZ57" s="13">
        <f t="shared" si="38"/>
        <v>0.69314718055994529</v>
      </c>
      <c r="DA57" s="13">
        <f t="shared" si="39"/>
        <v>0</v>
      </c>
      <c r="DB57" s="13">
        <f t="shared" si="40"/>
        <v>0</v>
      </c>
      <c r="DC57" s="13">
        <f t="shared" si="41"/>
        <v>0</v>
      </c>
      <c r="DD57" s="13">
        <f t="shared" si="42"/>
        <v>0</v>
      </c>
      <c r="DE57" s="13">
        <f t="shared" si="43"/>
        <v>0</v>
      </c>
      <c r="DF57" s="13">
        <f t="shared" si="44"/>
        <v>0</v>
      </c>
      <c r="DG57" s="13">
        <f t="shared" si="45"/>
        <v>0.69314718055994529</v>
      </c>
      <c r="DH57" s="13"/>
      <c r="DI57" s="13"/>
      <c r="DJ57" s="13"/>
      <c r="DL57"/>
      <c r="DM57"/>
      <c r="DN57"/>
      <c r="DO57"/>
      <c r="DP57" s="31"/>
    </row>
    <row r="58" spans="1:120">
      <c r="A58" s="13" t="s">
        <v>30</v>
      </c>
      <c r="B58" t="s">
        <v>281</v>
      </c>
      <c r="C58">
        <v>4</v>
      </c>
      <c r="D58" s="13" t="s">
        <v>320</v>
      </c>
      <c r="E58" s="13" t="s">
        <v>91</v>
      </c>
      <c r="F58" s="13">
        <v>0</v>
      </c>
      <c r="G58" s="13">
        <v>0</v>
      </c>
      <c r="H58" s="13">
        <v>0</v>
      </c>
      <c r="I58" s="13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32">
        <v>0</v>
      </c>
      <c r="R58" s="32">
        <v>0</v>
      </c>
      <c r="S58" s="32">
        <v>0</v>
      </c>
      <c r="T58" s="13">
        <v>2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 s="32">
        <v>0</v>
      </c>
      <c r="BD58" s="32">
        <v>0</v>
      </c>
      <c r="BE58" s="32">
        <v>0</v>
      </c>
      <c r="BF58" s="32">
        <v>0</v>
      </c>
      <c r="BG58" s="32">
        <v>0</v>
      </c>
      <c r="BH58" s="32">
        <v>0</v>
      </c>
      <c r="BI58" s="32">
        <v>0</v>
      </c>
      <c r="BJ58" s="32">
        <v>0</v>
      </c>
      <c r="BK58" s="32">
        <v>0</v>
      </c>
      <c r="BL58" s="32">
        <v>0</v>
      </c>
      <c r="BM58" s="32">
        <v>0</v>
      </c>
      <c r="BN58" s="32">
        <v>0</v>
      </c>
      <c r="BO58">
        <f t="shared" si="2"/>
        <v>1</v>
      </c>
      <c r="BP58" s="13">
        <f t="shared" si="3"/>
        <v>2</v>
      </c>
      <c r="BQ58" s="13">
        <f>[1]!shannonweaver(K58:BL58)</f>
        <v>0</v>
      </c>
      <c r="BR58">
        <f t="shared" si="4"/>
        <v>1</v>
      </c>
      <c r="BS58">
        <f t="shared" si="5"/>
        <v>0</v>
      </c>
      <c r="BT58">
        <f t="shared" si="6"/>
        <v>0</v>
      </c>
      <c r="BU58">
        <f t="shared" si="7"/>
        <v>0</v>
      </c>
      <c r="BV58" s="13">
        <f t="shared" si="8"/>
        <v>2</v>
      </c>
      <c r="BW58" s="13">
        <f t="shared" si="9"/>
        <v>0</v>
      </c>
      <c r="BX58" s="13">
        <f t="shared" si="10"/>
        <v>0</v>
      </c>
      <c r="BY58" s="13">
        <f t="shared" si="11"/>
        <v>0</v>
      </c>
      <c r="BZ58" s="13">
        <f t="shared" si="12"/>
        <v>0</v>
      </c>
      <c r="CA58" s="13">
        <f t="shared" si="13"/>
        <v>0</v>
      </c>
      <c r="CB58" s="13">
        <f t="shared" si="14"/>
        <v>0</v>
      </c>
      <c r="CC58" s="13">
        <f t="shared" si="15"/>
        <v>0</v>
      </c>
      <c r="CD58" s="13">
        <f t="shared" si="16"/>
        <v>1</v>
      </c>
      <c r="CE58" s="13">
        <f t="shared" si="17"/>
        <v>1.4142135623730951</v>
      </c>
      <c r="CF58" s="13">
        <f t="shared" si="18"/>
        <v>0</v>
      </c>
      <c r="CG58" s="13">
        <f t="shared" si="19"/>
        <v>1</v>
      </c>
      <c r="CH58" s="13">
        <f t="shared" si="20"/>
        <v>0</v>
      </c>
      <c r="CI58" s="13">
        <f t="shared" si="21"/>
        <v>0</v>
      </c>
      <c r="CJ58" s="13">
        <f t="shared" si="21"/>
        <v>0</v>
      </c>
      <c r="CK58" s="13">
        <f t="shared" si="23"/>
        <v>1.4142135623730951</v>
      </c>
      <c r="CL58" s="13">
        <f t="shared" si="24"/>
        <v>0</v>
      </c>
      <c r="CM58" s="13">
        <f t="shared" si="25"/>
        <v>0</v>
      </c>
      <c r="CN58" s="13">
        <f t="shared" si="26"/>
        <v>0</v>
      </c>
      <c r="CO58" s="13">
        <f t="shared" si="27"/>
        <v>0</v>
      </c>
      <c r="CP58" s="13">
        <f t="shared" si="28"/>
        <v>0</v>
      </c>
      <c r="CQ58" s="13">
        <f t="shared" si="29"/>
        <v>0</v>
      </c>
      <c r="CR58" s="13">
        <f t="shared" si="30"/>
        <v>0</v>
      </c>
      <c r="CS58" s="13">
        <f t="shared" si="31"/>
        <v>0.69314718055994529</v>
      </c>
      <c r="CT58" s="13">
        <f t="shared" si="32"/>
        <v>1.0986122886681098</v>
      </c>
      <c r="CU58" s="13">
        <f t="shared" si="33"/>
        <v>0</v>
      </c>
      <c r="CV58" s="13">
        <f t="shared" si="34"/>
        <v>0.69314718055994529</v>
      </c>
      <c r="CW58" s="13">
        <f t="shared" si="35"/>
        <v>0</v>
      </c>
      <c r="CX58" s="13">
        <f t="shared" si="36"/>
        <v>0</v>
      </c>
      <c r="CY58" s="13">
        <f t="shared" si="37"/>
        <v>0</v>
      </c>
      <c r="CZ58" s="13">
        <f t="shared" si="38"/>
        <v>1.0986122886681098</v>
      </c>
      <c r="DA58" s="13">
        <f t="shared" si="39"/>
        <v>0</v>
      </c>
      <c r="DB58" s="13">
        <f t="shared" si="40"/>
        <v>0</v>
      </c>
      <c r="DC58" s="13">
        <f t="shared" si="41"/>
        <v>0</v>
      </c>
      <c r="DD58" s="13">
        <f t="shared" si="42"/>
        <v>0</v>
      </c>
      <c r="DE58" s="13">
        <f t="shared" si="43"/>
        <v>0</v>
      </c>
      <c r="DF58" s="13">
        <f t="shared" si="44"/>
        <v>0</v>
      </c>
      <c r="DG58" s="13">
        <f t="shared" si="45"/>
        <v>0</v>
      </c>
      <c r="DH58" s="13"/>
      <c r="DI58" s="13"/>
      <c r="DJ58" s="13"/>
      <c r="DL58"/>
      <c r="DM58"/>
      <c r="DN58"/>
      <c r="DO58"/>
      <c r="DP58" s="31"/>
    </row>
    <row r="59" spans="1:120">
      <c r="A59" s="13" t="s">
        <v>31</v>
      </c>
      <c r="B59" t="s">
        <v>281</v>
      </c>
      <c r="C59">
        <v>4</v>
      </c>
      <c r="D59" s="13" t="s">
        <v>320</v>
      </c>
      <c r="E59" s="13" t="s">
        <v>91</v>
      </c>
      <c r="F59" s="13">
        <v>0</v>
      </c>
      <c r="G59" s="13">
        <v>0</v>
      </c>
      <c r="H59" s="13">
        <v>0</v>
      </c>
      <c r="I59" s="13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0</v>
      </c>
      <c r="AV59" s="32">
        <v>0</v>
      </c>
      <c r="AW59" s="32">
        <v>0</v>
      </c>
      <c r="AX59" s="32">
        <v>0</v>
      </c>
      <c r="AY59" s="32">
        <v>0</v>
      </c>
      <c r="AZ59" s="32">
        <v>0</v>
      </c>
      <c r="BA59" s="32">
        <v>0</v>
      </c>
      <c r="BB59" s="32">
        <v>0</v>
      </c>
      <c r="BC59" s="32">
        <v>0</v>
      </c>
      <c r="BD59" s="32">
        <v>0</v>
      </c>
      <c r="BE59" s="32">
        <v>0</v>
      </c>
      <c r="BF59" s="32">
        <v>0</v>
      </c>
      <c r="BG59" s="32">
        <v>0</v>
      </c>
      <c r="BH59" s="32">
        <v>0</v>
      </c>
      <c r="BI59" s="32">
        <v>0</v>
      </c>
      <c r="BJ59" s="13">
        <v>1</v>
      </c>
      <c r="BK59" s="32">
        <v>0</v>
      </c>
      <c r="BL59" s="32">
        <v>0</v>
      </c>
      <c r="BM59" s="32">
        <v>0</v>
      </c>
      <c r="BN59" s="32">
        <v>0</v>
      </c>
      <c r="BO59">
        <f t="shared" si="2"/>
        <v>1</v>
      </c>
      <c r="BP59" s="13">
        <f t="shared" si="3"/>
        <v>1</v>
      </c>
      <c r="BQ59" s="13">
        <f>[1]!shannonweaver(K59:BL59)</f>
        <v>0</v>
      </c>
      <c r="BR59">
        <f t="shared" si="4"/>
        <v>0</v>
      </c>
      <c r="BS59">
        <f t="shared" si="5"/>
        <v>0</v>
      </c>
      <c r="BT59">
        <f t="shared" si="6"/>
        <v>0</v>
      </c>
      <c r="BU59">
        <f t="shared" si="7"/>
        <v>0</v>
      </c>
      <c r="BV59" s="13">
        <f t="shared" si="8"/>
        <v>0</v>
      </c>
      <c r="BW59" s="13">
        <f t="shared" si="9"/>
        <v>0</v>
      </c>
      <c r="BX59" s="13">
        <f t="shared" si="10"/>
        <v>0</v>
      </c>
      <c r="BY59" s="13">
        <f t="shared" si="11"/>
        <v>0</v>
      </c>
      <c r="BZ59" s="13">
        <f t="shared" si="12"/>
        <v>0</v>
      </c>
      <c r="CA59" s="13">
        <f t="shared" si="13"/>
        <v>0</v>
      </c>
      <c r="CB59" s="13">
        <f t="shared" si="14"/>
        <v>0</v>
      </c>
      <c r="CC59" s="13">
        <f t="shared" si="15"/>
        <v>0</v>
      </c>
      <c r="CD59" s="13">
        <f t="shared" si="16"/>
        <v>1</v>
      </c>
      <c r="CE59" s="13">
        <f t="shared" si="17"/>
        <v>1</v>
      </c>
      <c r="CF59" s="13">
        <f t="shared" si="18"/>
        <v>0</v>
      </c>
      <c r="CG59" s="13">
        <f t="shared" si="19"/>
        <v>0</v>
      </c>
      <c r="CH59" s="13">
        <f t="shared" si="20"/>
        <v>0</v>
      </c>
      <c r="CI59" s="13">
        <f t="shared" si="21"/>
        <v>0</v>
      </c>
      <c r="CJ59" s="13">
        <f t="shared" si="21"/>
        <v>0</v>
      </c>
      <c r="CK59" s="13">
        <f t="shared" si="23"/>
        <v>0</v>
      </c>
      <c r="CL59" s="13">
        <f t="shared" si="24"/>
        <v>0</v>
      </c>
      <c r="CM59" s="13">
        <f t="shared" si="25"/>
        <v>0</v>
      </c>
      <c r="CN59" s="13">
        <f t="shared" si="26"/>
        <v>0</v>
      </c>
      <c r="CO59" s="13">
        <f t="shared" si="27"/>
        <v>0</v>
      </c>
      <c r="CP59" s="13">
        <f t="shared" si="28"/>
        <v>0</v>
      </c>
      <c r="CQ59" s="13">
        <f t="shared" si="29"/>
        <v>0</v>
      </c>
      <c r="CR59" s="13">
        <f t="shared" si="30"/>
        <v>0</v>
      </c>
      <c r="CS59" s="13">
        <f t="shared" si="31"/>
        <v>0.69314718055994529</v>
      </c>
      <c r="CT59" s="13">
        <f t="shared" si="32"/>
        <v>0.69314718055994529</v>
      </c>
      <c r="CU59" s="13">
        <f t="shared" si="33"/>
        <v>0</v>
      </c>
      <c r="CV59" s="13">
        <f t="shared" si="34"/>
        <v>0</v>
      </c>
      <c r="CW59" s="13">
        <f t="shared" si="35"/>
        <v>0</v>
      </c>
      <c r="CX59" s="13">
        <f t="shared" si="36"/>
        <v>0</v>
      </c>
      <c r="CY59" s="13">
        <f t="shared" si="37"/>
        <v>0</v>
      </c>
      <c r="CZ59" s="13">
        <f t="shared" si="38"/>
        <v>0</v>
      </c>
      <c r="DA59" s="13">
        <f t="shared" si="39"/>
        <v>0</v>
      </c>
      <c r="DB59" s="13">
        <f t="shared" si="40"/>
        <v>0</v>
      </c>
      <c r="DC59" s="13">
        <f t="shared" si="41"/>
        <v>0</v>
      </c>
      <c r="DD59" s="13">
        <f t="shared" si="42"/>
        <v>0</v>
      </c>
      <c r="DE59" s="13">
        <f t="shared" si="43"/>
        <v>0</v>
      </c>
      <c r="DF59" s="13">
        <f t="shared" si="44"/>
        <v>0</v>
      </c>
      <c r="DG59" s="13">
        <f t="shared" si="45"/>
        <v>0</v>
      </c>
      <c r="DH59" s="13"/>
      <c r="DI59" s="13"/>
      <c r="DJ59" s="13"/>
      <c r="DL59"/>
      <c r="DM59"/>
      <c r="DN59"/>
      <c r="DO59"/>
      <c r="DP59" s="31"/>
    </row>
    <row r="60" spans="1:120">
      <c r="A60" s="13" t="s">
        <v>32</v>
      </c>
      <c r="B60" t="s">
        <v>281</v>
      </c>
      <c r="C60">
        <v>4</v>
      </c>
      <c r="D60" s="13" t="s">
        <v>320</v>
      </c>
      <c r="E60" s="13" t="s">
        <v>91</v>
      </c>
      <c r="F60" s="13">
        <v>0</v>
      </c>
      <c r="G60" s="13">
        <v>0</v>
      </c>
      <c r="H60" s="13">
        <v>0</v>
      </c>
      <c r="I60" s="13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32">
        <v>0</v>
      </c>
      <c r="R60" s="32">
        <v>0</v>
      </c>
      <c r="S60" s="32">
        <v>0</v>
      </c>
      <c r="T60" s="13">
        <v>1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32">
        <v>0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13">
        <v>1</v>
      </c>
      <c r="BC60" s="32">
        <v>0</v>
      </c>
      <c r="BD60" s="32">
        <v>0</v>
      </c>
      <c r="BE60" s="32">
        <v>0</v>
      </c>
      <c r="BF60" s="32">
        <v>0</v>
      </c>
      <c r="BG60" s="32">
        <v>0</v>
      </c>
      <c r="BH60" s="32">
        <v>0</v>
      </c>
      <c r="BI60" s="32">
        <v>0</v>
      </c>
      <c r="BJ60" s="13">
        <v>1</v>
      </c>
      <c r="BK60" s="32">
        <v>0</v>
      </c>
      <c r="BL60" s="32">
        <v>0</v>
      </c>
      <c r="BM60" s="32">
        <v>0</v>
      </c>
      <c r="BN60" s="32">
        <v>0</v>
      </c>
      <c r="BO60">
        <f t="shared" si="2"/>
        <v>3</v>
      </c>
      <c r="BP60" s="13">
        <f t="shared" si="3"/>
        <v>3</v>
      </c>
      <c r="BQ60" s="13">
        <f>[1]!shannonweaver(K60:BL60)</f>
        <v>1.0986122886681096</v>
      </c>
      <c r="BR60">
        <f t="shared" si="4"/>
        <v>1</v>
      </c>
      <c r="BS60">
        <f t="shared" si="5"/>
        <v>0</v>
      </c>
      <c r="BT60">
        <f t="shared" si="6"/>
        <v>1</v>
      </c>
      <c r="BU60">
        <f t="shared" si="7"/>
        <v>0</v>
      </c>
      <c r="BV60" s="13">
        <f t="shared" si="8"/>
        <v>1</v>
      </c>
      <c r="BW60" s="13">
        <f t="shared" si="9"/>
        <v>0</v>
      </c>
      <c r="BX60" s="13">
        <f t="shared" si="10"/>
        <v>0</v>
      </c>
      <c r="BY60" s="13">
        <f t="shared" si="11"/>
        <v>0</v>
      </c>
      <c r="BZ60" s="13">
        <f t="shared" si="12"/>
        <v>0</v>
      </c>
      <c r="CA60" s="13">
        <f t="shared" si="13"/>
        <v>0</v>
      </c>
      <c r="CB60" s="13">
        <f t="shared" si="14"/>
        <v>1</v>
      </c>
      <c r="CC60" s="13">
        <f t="shared" si="15"/>
        <v>0</v>
      </c>
      <c r="CD60" s="13">
        <f t="shared" si="16"/>
        <v>1.7320508075688772</v>
      </c>
      <c r="CE60" s="13">
        <f t="shared" si="17"/>
        <v>1.7320508075688772</v>
      </c>
      <c r="CF60" s="13">
        <f t="shared" si="18"/>
        <v>1.0481470739682048</v>
      </c>
      <c r="CG60" s="13">
        <f t="shared" si="19"/>
        <v>1</v>
      </c>
      <c r="CH60" s="13">
        <f t="shared" si="20"/>
        <v>0</v>
      </c>
      <c r="CI60" s="13">
        <f t="shared" si="21"/>
        <v>1</v>
      </c>
      <c r="CJ60" s="13">
        <f t="shared" si="21"/>
        <v>0</v>
      </c>
      <c r="CK60" s="13">
        <f t="shared" si="23"/>
        <v>1</v>
      </c>
      <c r="CL60" s="13">
        <f t="shared" si="24"/>
        <v>0</v>
      </c>
      <c r="CM60" s="13">
        <f t="shared" si="25"/>
        <v>0</v>
      </c>
      <c r="CN60" s="13">
        <f t="shared" si="26"/>
        <v>0</v>
      </c>
      <c r="CO60" s="13">
        <f t="shared" si="27"/>
        <v>0</v>
      </c>
      <c r="CP60" s="13">
        <f t="shared" si="28"/>
        <v>0</v>
      </c>
      <c r="CQ60" s="13">
        <f t="shared" si="29"/>
        <v>1</v>
      </c>
      <c r="CR60" s="13">
        <f t="shared" si="30"/>
        <v>0</v>
      </c>
      <c r="CS60" s="13">
        <f t="shared" si="31"/>
        <v>1.3862943611198906</v>
      </c>
      <c r="CT60" s="13">
        <f t="shared" si="32"/>
        <v>1.3862943611198906</v>
      </c>
      <c r="CU60" s="13">
        <f t="shared" si="33"/>
        <v>0.74127631137501515</v>
      </c>
      <c r="CV60" s="13">
        <f t="shared" si="34"/>
        <v>0.69314718055994529</v>
      </c>
      <c r="CW60" s="13">
        <f t="shared" si="35"/>
        <v>0</v>
      </c>
      <c r="CX60" s="13">
        <f t="shared" si="36"/>
        <v>0.69314718055994529</v>
      </c>
      <c r="CY60" s="13">
        <f t="shared" si="37"/>
        <v>0</v>
      </c>
      <c r="CZ60" s="13">
        <f t="shared" si="38"/>
        <v>0.69314718055994529</v>
      </c>
      <c r="DA60" s="13">
        <f t="shared" si="39"/>
        <v>0</v>
      </c>
      <c r="DB60" s="13">
        <f t="shared" si="40"/>
        <v>0</v>
      </c>
      <c r="DC60" s="13">
        <f t="shared" si="41"/>
        <v>0</v>
      </c>
      <c r="DD60" s="13">
        <f t="shared" si="42"/>
        <v>0</v>
      </c>
      <c r="DE60" s="13">
        <f t="shared" si="43"/>
        <v>0</v>
      </c>
      <c r="DF60" s="13">
        <f t="shared" si="44"/>
        <v>0.69314718055994529</v>
      </c>
      <c r="DG60" s="13">
        <f t="shared" si="45"/>
        <v>0</v>
      </c>
      <c r="DH60" s="13"/>
      <c r="DI60" s="13"/>
      <c r="DJ60" s="13"/>
      <c r="DL60"/>
      <c r="DM60"/>
      <c r="DN60"/>
      <c r="DO60"/>
      <c r="DP60" s="31"/>
    </row>
    <row r="61" spans="1:120">
      <c r="A61" s="13" t="s">
        <v>33</v>
      </c>
      <c r="B61" t="s">
        <v>281</v>
      </c>
      <c r="C61">
        <v>4</v>
      </c>
      <c r="D61" s="13" t="s">
        <v>320</v>
      </c>
      <c r="E61" s="13" t="s">
        <v>91</v>
      </c>
      <c r="F61" s="13">
        <v>0</v>
      </c>
      <c r="G61" s="13">
        <v>0</v>
      </c>
      <c r="H61" s="13">
        <v>0</v>
      </c>
      <c r="I61" s="13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 s="32">
        <v>0</v>
      </c>
      <c r="BD61" s="32">
        <v>0</v>
      </c>
      <c r="BE61" s="32">
        <v>0</v>
      </c>
      <c r="BF61" s="32">
        <v>0</v>
      </c>
      <c r="BG61" s="32">
        <v>0</v>
      </c>
      <c r="BH61" s="32">
        <v>0</v>
      </c>
      <c r="BI61" s="32">
        <v>0</v>
      </c>
      <c r="BJ61" s="32">
        <v>0</v>
      </c>
      <c r="BK61" s="13">
        <v>1</v>
      </c>
      <c r="BL61" s="32">
        <v>0</v>
      </c>
      <c r="BM61" s="32">
        <v>0</v>
      </c>
      <c r="BN61" s="32">
        <v>0</v>
      </c>
      <c r="BO61">
        <f t="shared" si="2"/>
        <v>1</v>
      </c>
      <c r="BP61" s="13">
        <f t="shared" si="3"/>
        <v>1</v>
      </c>
      <c r="BQ61" s="13">
        <f>[1]!shannonweaver(K61:BL61)</f>
        <v>0</v>
      </c>
      <c r="BR61">
        <f t="shared" si="4"/>
        <v>0</v>
      </c>
      <c r="BS61">
        <f t="shared" si="5"/>
        <v>0</v>
      </c>
      <c r="BT61">
        <f t="shared" si="6"/>
        <v>0</v>
      </c>
      <c r="BU61">
        <f t="shared" si="7"/>
        <v>0</v>
      </c>
      <c r="BV61" s="13">
        <f t="shared" si="8"/>
        <v>0</v>
      </c>
      <c r="BW61" s="13">
        <f t="shared" si="9"/>
        <v>0</v>
      </c>
      <c r="BX61" s="13">
        <f t="shared" si="10"/>
        <v>0</v>
      </c>
      <c r="BY61" s="13">
        <f t="shared" si="11"/>
        <v>0</v>
      </c>
      <c r="BZ61" s="13">
        <f t="shared" si="12"/>
        <v>0</v>
      </c>
      <c r="CA61" s="13">
        <f t="shared" si="13"/>
        <v>0</v>
      </c>
      <c r="CB61" s="13">
        <f t="shared" si="14"/>
        <v>0</v>
      </c>
      <c r="CC61" s="13">
        <f t="shared" si="15"/>
        <v>1</v>
      </c>
      <c r="CD61" s="13">
        <f t="shared" si="16"/>
        <v>1</v>
      </c>
      <c r="CE61" s="13">
        <f t="shared" si="17"/>
        <v>1</v>
      </c>
      <c r="CF61" s="13">
        <f t="shared" si="18"/>
        <v>0</v>
      </c>
      <c r="CG61" s="13">
        <f t="shared" si="19"/>
        <v>0</v>
      </c>
      <c r="CH61" s="13">
        <f t="shared" si="20"/>
        <v>0</v>
      </c>
      <c r="CI61" s="13">
        <f t="shared" si="21"/>
        <v>0</v>
      </c>
      <c r="CJ61" s="13">
        <f t="shared" si="21"/>
        <v>0</v>
      </c>
      <c r="CK61" s="13">
        <f t="shared" si="23"/>
        <v>0</v>
      </c>
      <c r="CL61" s="13">
        <f t="shared" si="24"/>
        <v>0</v>
      </c>
      <c r="CM61" s="13">
        <f t="shared" si="25"/>
        <v>0</v>
      </c>
      <c r="CN61" s="13">
        <f t="shared" si="26"/>
        <v>0</v>
      </c>
      <c r="CO61" s="13">
        <f t="shared" si="27"/>
        <v>0</v>
      </c>
      <c r="CP61" s="13">
        <f t="shared" si="28"/>
        <v>0</v>
      </c>
      <c r="CQ61" s="13">
        <f t="shared" si="29"/>
        <v>0</v>
      </c>
      <c r="CR61" s="13">
        <f t="shared" si="30"/>
        <v>1</v>
      </c>
      <c r="CS61" s="13">
        <f t="shared" si="31"/>
        <v>0.69314718055994529</v>
      </c>
      <c r="CT61" s="13">
        <f t="shared" si="32"/>
        <v>0.69314718055994529</v>
      </c>
      <c r="CU61" s="13">
        <f t="shared" si="33"/>
        <v>0</v>
      </c>
      <c r="CV61" s="13">
        <f t="shared" si="34"/>
        <v>0</v>
      </c>
      <c r="CW61" s="13">
        <f t="shared" si="35"/>
        <v>0</v>
      </c>
      <c r="CX61" s="13">
        <f t="shared" si="36"/>
        <v>0</v>
      </c>
      <c r="CY61" s="13">
        <f t="shared" si="37"/>
        <v>0</v>
      </c>
      <c r="CZ61" s="13">
        <f t="shared" si="38"/>
        <v>0</v>
      </c>
      <c r="DA61" s="13">
        <f t="shared" si="39"/>
        <v>0</v>
      </c>
      <c r="DB61" s="13">
        <f t="shared" si="40"/>
        <v>0</v>
      </c>
      <c r="DC61" s="13">
        <f t="shared" si="41"/>
        <v>0</v>
      </c>
      <c r="DD61" s="13">
        <f t="shared" si="42"/>
        <v>0</v>
      </c>
      <c r="DE61" s="13">
        <f t="shared" si="43"/>
        <v>0</v>
      </c>
      <c r="DF61" s="13">
        <f t="shared" si="44"/>
        <v>0</v>
      </c>
      <c r="DG61" s="13">
        <f t="shared" si="45"/>
        <v>0.69314718055994529</v>
      </c>
      <c r="DH61" s="13"/>
      <c r="DI61" s="13"/>
      <c r="DJ61" s="13"/>
      <c r="DL61"/>
      <c r="DM61"/>
      <c r="DN61"/>
      <c r="DO61"/>
      <c r="DP61" s="31"/>
    </row>
    <row r="62" spans="1:120">
      <c r="A62" s="13" t="s">
        <v>34</v>
      </c>
      <c r="B62" t="s">
        <v>281</v>
      </c>
      <c r="C62">
        <v>5</v>
      </c>
      <c r="D62" s="13" t="s">
        <v>320</v>
      </c>
      <c r="E62" t="s">
        <v>91</v>
      </c>
      <c r="F62" s="13">
        <v>0</v>
      </c>
      <c r="G62" s="13">
        <v>0</v>
      </c>
      <c r="H62" s="13">
        <v>0</v>
      </c>
      <c r="I62" s="13">
        <v>0</v>
      </c>
      <c r="J62" s="32">
        <v>0</v>
      </c>
      <c r="K62" s="32">
        <v>0</v>
      </c>
      <c r="L62" s="13">
        <v>1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 s="32">
        <v>0</v>
      </c>
      <c r="BD62" s="32">
        <v>0</v>
      </c>
      <c r="BE62" s="32">
        <v>0</v>
      </c>
      <c r="BF62" s="32">
        <v>0</v>
      </c>
      <c r="BG62" s="32">
        <v>0</v>
      </c>
      <c r="BH62" s="32">
        <v>0</v>
      </c>
      <c r="BI62" s="32">
        <v>0</v>
      </c>
      <c r="BJ62" s="32">
        <v>0</v>
      </c>
      <c r="BK62" s="32">
        <v>0</v>
      </c>
      <c r="BL62" s="32">
        <v>0</v>
      </c>
      <c r="BM62" s="32">
        <v>0</v>
      </c>
      <c r="BN62" s="32">
        <v>0</v>
      </c>
      <c r="BO62">
        <f t="shared" si="2"/>
        <v>1</v>
      </c>
      <c r="BP62" s="13">
        <f t="shared" si="3"/>
        <v>1</v>
      </c>
      <c r="BQ62" s="13">
        <f>[1]!shannonweaver(K62:BL62)</f>
        <v>0</v>
      </c>
      <c r="BR62">
        <f t="shared" si="4"/>
        <v>0</v>
      </c>
      <c r="BS62">
        <f t="shared" si="5"/>
        <v>0</v>
      </c>
      <c r="BT62">
        <f t="shared" si="6"/>
        <v>0</v>
      </c>
      <c r="BU62">
        <f t="shared" si="7"/>
        <v>0</v>
      </c>
      <c r="BV62" s="13">
        <f t="shared" si="8"/>
        <v>0</v>
      </c>
      <c r="BW62" s="13">
        <f t="shared" si="9"/>
        <v>0</v>
      </c>
      <c r="BX62" s="13">
        <f t="shared" si="10"/>
        <v>0</v>
      </c>
      <c r="BY62" s="13">
        <f t="shared" si="11"/>
        <v>0</v>
      </c>
      <c r="BZ62" s="13">
        <f t="shared" si="12"/>
        <v>0</v>
      </c>
      <c r="CA62" s="13">
        <f t="shared" si="13"/>
        <v>0</v>
      </c>
      <c r="CB62" s="13">
        <f t="shared" si="14"/>
        <v>0</v>
      </c>
      <c r="CC62" s="13">
        <f t="shared" si="15"/>
        <v>0</v>
      </c>
      <c r="CD62" s="13">
        <f t="shared" si="16"/>
        <v>1</v>
      </c>
      <c r="CE62" s="13">
        <f t="shared" si="17"/>
        <v>1</v>
      </c>
      <c r="CF62" s="13">
        <f t="shared" si="18"/>
        <v>0</v>
      </c>
      <c r="CG62" s="13">
        <f t="shared" si="19"/>
        <v>0</v>
      </c>
      <c r="CH62" s="13">
        <f t="shared" si="20"/>
        <v>0</v>
      </c>
      <c r="CI62" s="13">
        <f t="shared" si="21"/>
        <v>0</v>
      </c>
      <c r="CJ62" s="13">
        <f t="shared" si="21"/>
        <v>0</v>
      </c>
      <c r="CK62" s="13">
        <f t="shared" si="23"/>
        <v>0</v>
      </c>
      <c r="CL62" s="13">
        <f t="shared" si="24"/>
        <v>0</v>
      </c>
      <c r="CM62" s="13">
        <f t="shared" si="25"/>
        <v>0</v>
      </c>
      <c r="CN62" s="13">
        <f t="shared" si="26"/>
        <v>0</v>
      </c>
      <c r="CO62" s="13">
        <f t="shared" si="27"/>
        <v>0</v>
      </c>
      <c r="CP62" s="13">
        <f t="shared" si="28"/>
        <v>0</v>
      </c>
      <c r="CQ62" s="13">
        <f t="shared" si="29"/>
        <v>0</v>
      </c>
      <c r="CR62" s="13">
        <f t="shared" si="30"/>
        <v>0</v>
      </c>
      <c r="CS62" s="13">
        <f t="shared" si="31"/>
        <v>0.69314718055994529</v>
      </c>
      <c r="CT62" s="13">
        <f t="shared" si="32"/>
        <v>0.69314718055994529</v>
      </c>
      <c r="CU62" s="13">
        <f t="shared" si="33"/>
        <v>0</v>
      </c>
      <c r="CV62" s="13">
        <f t="shared" si="34"/>
        <v>0</v>
      </c>
      <c r="CW62" s="13">
        <f t="shared" si="35"/>
        <v>0</v>
      </c>
      <c r="CX62" s="13">
        <f t="shared" si="36"/>
        <v>0</v>
      </c>
      <c r="CY62" s="13">
        <f t="shared" si="37"/>
        <v>0</v>
      </c>
      <c r="CZ62" s="13">
        <f t="shared" si="38"/>
        <v>0</v>
      </c>
      <c r="DA62" s="13">
        <f t="shared" si="39"/>
        <v>0</v>
      </c>
      <c r="DB62" s="13">
        <f t="shared" si="40"/>
        <v>0</v>
      </c>
      <c r="DC62" s="13">
        <f t="shared" si="41"/>
        <v>0</v>
      </c>
      <c r="DD62" s="13">
        <f t="shared" si="42"/>
        <v>0</v>
      </c>
      <c r="DE62" s="13">
        <f t="shared" si="43"/>
        <v>0</v>
      </c>
      <c r="DF62" s="13">
        <f t="shared" si="44"/>
        <v>0</v>
      </c>
      <c r="DG62" s="13">
        <f t="shared" si="45"/>
        <v>0</v>
      </c>
      <c r="DH62" s="13"/>
      <c r="DI62" s="13"/>
      <c r="DJ62" s="13"/>
      <c r="DL62"/>
      <c r="DM62"/>
      <c r="DN62"/>
      <c r="DO62"/>
      <c r="DP62" s="31"/>
    </row>
    <row r="63" spans="1:120">
      <c r="A63" s="13" t="s">
        <v>290</v>
      </c>
      <c r="B63" t="s">
        <v>281</v>
      </c>
      <c r="C63">
        <v>5</v>
      </c>
      <c r="D63" s="13" t="s">
        <v>320</v>
      </c>
      <c r="E63" t="s">
        <v>91</v>
      </c>
      <c r="F63" s="13">
        <v>0</v>
      </c>
      <c r="G63" s="13">
        <v>0</v>
      </c>
      <c r="H63" s="13">
        <v>0</v>
      </c>
      <c r="I63" s="13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 s="32">
        <v>0</v>
      </c>
      <c r="BD63" s="32">
        <v>0</v>
      </c>
      <c r="BE63" s="32">
        <v>0</v>
      </c>
      <c r="BF63" s="32">
        <v>0</v>
      </c>
      <c r="BG63" s="32">
        <v>0</v>
      </c>
      <c r="BH63" s="32">
        <v>0</v>
      </c>
      <c r="BI63" s="32">
        <v>0</v>
      </c>
      <c r="BJ63" s="13">
        <v>2</v>
      </c>
      <c r="BK63" s="32">
        <v>0</v>
      </c>
      <c r="BL63" s="32">
        <v>0</v>
      </c>
      <c r="BM63" s="32">
        <v>0</v>
      </c>
      <c r="BN63" s="32">
        <v>0</v>
      </c>
      <c r="BO63">
        <f t="shared" si="2"/>
        <v>1</v>
      </c>
      <c r="BP63" s="13">
        <f t="shared" si="3"/>
        <v>2</v>
      </c>
      <c r="BQ63" s="13">
        <f>[1]!shannonweaver(K63:BL63)</f>
        <v>0</v>
      </c>
      <c r="BR63">
        <f t="shared" si="4"/>
        <v>0</v>
      </c>
      <c r="BS63">
        <f t="shared" si="5"/>
        <v>0</v>
      </c>
      <c r="BT63">
        <f t="shared" si="6"/>
        <v>0</v>
      </c>
      <c r="BU63">
        <f t="shared" si="7"/>
        <v>0</v>
      </c>
      <c r="BV63" s="13">
        <f t="shared" si="8"/>
        <v>0</v>
      </c>
      <c r="BW63" s="13">
        <f t="shared" si="9"/>
        <v>0</v>
      </c>
      <c r="BX63" s="13">
        <f t="shared" si="10"/>
        <v>0</v>
      </c>
      <c r="BY63" s="13">
        <f t="shared" si="11"/>
        <v>0</v>
      </c>
      <c r="BZ63" s="13">
        <f t="shared" si="12"/>
        <v>0</v>
      </c>
      <c r="CA63" s="13">
        <f t="shared" si="13"/>
        <v>0</v>
      </c>
      <c r="CB63" s="13">
        <f t="shared" si="14"/>
        <v>0</v>
      </c>
      <c r="CC63" s="13">
        <f t="shared" si="15"/>
        <v>0</v>
      </c>
      <c r="CD63" s="13">
        <f t="shared" si="16"/>
        <v>1</v>
      </c>
      <c r="CE63" s="13">
        <f t="shared" si="17"/>
        <v>1.4142135623730951</v>
      </c>
      <c r="CF63" s="13">
        <f t="shared" si="18"/>
        <v>0</v>
      </c>
      <c r="CG63" s="13">
        <f t="shared" si="19"/>
        <v>0</v>
      </c>
      <c r="CH63" s="13">
        <f t="shared" si="20"/>
        <v>0</v>
      </c>
      <c r="CI63" s="13">
        <f t="shared" si="21"/>
        <v>0</v>
      </c>
      <c r="CJ63" s="13">
        <f t="shared" si="21"/>
        <v>0</v>
      </c>
      <c r="CK63" s="13">
        <f t="shared" si="23"/>
        <v>0</v>
      </c>
      <c r="CL63" s="13">
        <f t="shared" si="24"/>
        <v>0</v>
      </c>
      <c r="CM63" s="13">
        <f t="shared" si="25"/>
        <v>0</v>
      </c>
      <c r="CN63" s="13">
        <f t="shared" si="26"/>
        <v>0</v>
      </c>
      <c r="CO63" s="13">
        <f t="shared" si="27"/>
        <v>0</v>
      </c>
      <c r="CP63" s="13">
        <f t="shared" si="28"/>
        <v>0</v>
      </c>
      <c r="CQ63" s="13">
        <f t="shared" si="29"/>
        <v>0</v>
      </c>
      <c r="CR63" s="13">
        <f t="shared" si="30"/>
        <v>0</v>
      </c>
      <c r="CS63" s="13">
        <f t="shared" si="31"/>
        <v>0.69314718055994529</v>
      </c>
      <c r="CT63" s="13">
        <f t="shared" si="32"/>
        <v>1.0986122886681098</v>
      </c>
      <c r="CU63" s="13">
        <f t="shared" si="33"/>
        <v>0</v>
      </c>
      <c r="CV63" s="13">
        <f t="shared" si="34"/>
        <v>0</v>
      </c>
      <c r="CW63" s="13">
        <f t="shared" si="35"/>
        <v>0</v>
      </c>
      <c r="CX63" s="13">
        <f t="shared" si="36"/>
        <v>0</v>
      </c>
      <c r="CY63" s="13">
        <f t="shared" si="37"/>
        <v>0</v>
      </c>
      <c r="CZ63" s="13">
        <f t="shared" si="38"/>
        <v>0</v>
      </c>
      <c r="DA63" s="13">
        <f t="shared" si="39"/>
        <v>0</v>
      </c>
      <c r="DB63" s="13">
        <f t="shared" si="40"/>
        <v>0</v>
      </c>
      <c r="DC63" s="13">
        <f t="shared" si="41"/>
        <v>0</v>
      </c>
      <c r="DD63" s="13">
        <f t="shared" si="42"/>
        <v>0</v>
      </c>
      <c r="DE63" s="13">
        <f t="shared" si="43"/>
        <v>0</v>
      </c>
      <c r="DF63" s="13">
        <f t="shared" si="44"/>
        <v>0</v>
      </c>
      <c r="DG63" s="13">
        <f t="shared" si="45"/>
        <v>0</v>
      </c>
      <c r="DH63" s="13"/>
      <c r="DI63" s="13"/>
      <c r="DJ63" s="13"/>
      <c r="DL63"/>
      <c r="DM63"/>
      <c r="DN63"/>
      <c r="DO63"/>
      <c r="DP63" s="31"/>
    </row>
    <row r="64" spans="1:120">
      <c r="A64" s="13" t="s">
        <v>228</v>
      </c>
      <c r="B64" t="s">
        <v>281</v>
      </c>
      <c r="C64">
        <v>5</v>
      </c>
      <c r="D64" s="13" t="s">
        <v>320</v>
      </c>
      <c r="E64" t="s">
        <v>91</v>
      </c>
      <c r="F64" s="13">
        <v>0</v>
      </c>
      <c r="G64" s="13">
        <v>0</v>
      </c>
      <c r="H64" s="13">
        <v>0</v>
      </c>
      <c r="I64" s="13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 s="32">
        <v>0</v>
      </c>
      <c r="BD64" s="32">
        <v>0</v>
      </c>
      <c r="BE64" s="32">
        <v>0</v>
      </c>
      <c r="BF64" s="32">
        <v>0</v>
      </c>
      <c r="BG64" s="32">
        <v>0</v>
      </c>
      <c r="BH64" s="32">
        <v>0</v>
      </c>
      <c r="BI64" s="32">
        <v>0</v>
      </c>
      <c r="BJ64" s="13">
        <v>1</v>
      </c>
      <c r="BK64" s="13">
        <v>1</v>
      </c>
      <c r="BL64" s="32">
        <v>0</v>
      </c>
      <c r="BM64" s="32">
        <v>0</v>
      </c>
      <c r="BN64" s="32">
        <v>0</v>
      </c>
      <c r="BO64">
        <f t="shared" si="2"/>
        <v>2</v>
      </c>
      <c r="BP64" s="13">
        <f t="shared" si="3"/>
        <v>2</v>
      </c>
      <c r="BQ64" s="13">
        <f>[1]!shannonweaver(K64:BL64)</f>
        <v>0.69314718055994529</v>
      </c>
      <c r="BR64">
        <f t="shared" si="4"/>
        <v>0</v>
      </c>
      <c r="BS64">
        <f t="shared" si="5"/>
        <v>0</v>
      </c>
      <c r="BT64">
        <f t="shared" si="6"/>
        <v>0</v>
      </c>
      <c r="BU64">
        <f t="shared" si="7"/>
        <v>0</v>
      </c>
      <c r="BV64" s="13">
        <f t="shared" si="8"/>
        <v>0</v>
      </c>
      <c r="BW64" s="13">
        <f t="shared" si="9"/>
        <v>0</v>
      </c>
      <c r="BX64" s="13">
        <f t="shared" si="10"/>
        <v>0</v>
      </c>
      <c r="BY64" s="13">
        <f t="shared" si="11"/>
        <v>0</v>
      </c>
      <c r="BZ64" s="13">
        <f t="shared" si="12"/>
        <v>0</v>
      </c>
      <c r="CA64" s="13">
        <f t="shared" si="13"/>
        <v>0</v>
      </c>
      <c r="CB64" s="13">
        <f t="shared" si="14"/>
        <v>0</v>
      </c>
      <c r="CC64" s="13">
        <f t="shared" si="15"/>
        <v>1</v>
      </c>
      <c r="CD64" s="13">
        <f t="shared" si="16"/>
        <v>1.4142135623730951</v>
      </c>
      <c r="CE64" s="13">
        <f t="shared" si="17"/>
        <v>1.4142135623730951</v>
      </c>
      <c r="CF64" s="13">
        <f t="shared" si="18"/>
        <v>0.83255461115769769</v>
      </c>
      <c r="CG64" s="13">
        <f t="shared" si="19"/>
        <v>0</v>
      </c>
      <c r="CH64" s="13">
        <f t="shared" si="20"/>
        <v>0</v>
      </c>
      <c r="CI64" s="13">
        <f t="shared" si="21"/>
        <v>0</v>
      </c>
      <c r="CJ64" s="13">
        <f t="shared" si="21"/>
        <v>0</v>
      </c>
      <c r="CK64" s="13">
        <f t="shared" si="23"/>
        <v>0</v>
      </c>
      <c r="CL64" s="13">
        <f t="shared" si="24"/>
        <v>0</v>
      </c>
      <c r="CM64" s="13">
        <f t="shared" si="25"/>
        <v>0</v>
      </c>
      <c r="CN64" s="13">
        <f t="shared" si="26"/>
        <v>0</v>
      </c>
      <c r="CO64" s="13">
        <f t="shared" si="27"/>
        <v>0</v>
      </c>
      <c r="CP64" s="13">
        <f t="shared" si="28"/>
        <v>0</v>
      </c>
      <c r="CQ64" s="13">
        <f t="shared" si="29"/>
        <v>0</v>
      </c>
      <c r="CR64" s="13">
        <f t="shared" si="30"/>
        <v>1</v>
      </c>
      <c r="CS64" s="13">
        <f t="shared" si="31"/>
        <v>1.0986122886681098</v>
      </c>
      <c r="CT64" s="13">
        <f t="shared" si="32"/>
        <v>1.0986122886681098</v>
      </c>
      <c r="CU64" s="13">
        <f t="shared" si="33"/>
        <v>0.52658903413904457</v>
      </c>
      <c r="CV64" s="13">
        <f t="shared" si="34"/>
        <v>0</v>
      </c>
      <c r="CW64" s="13">
        <f t="shared" si="35"/>
        <v>0</v>
      </c>
      <c r="CX64" s="13">
        <f t="shared" si="36"/>
        <v>0</v>
      </c>
      <c r="CY64" s="13">
        <f t="shared" si="37"/>
        <v>0</v>
      </c>
      <c r="CZ64" s="13">
        <f t="shared" si="38"/>
        <v>0</v>
      </c>
      <c r="DA64" s="13">
        <f t="shared" si="39"/>
        <v>0</v>
      </c>
      <c r="DB64" s="13">
        <f t="shared" si="40"/>
        <v>0</v>
      </c>
      <c r="DC64" s="13">
        <f t="shared" si="41"/>
        <v>0</v>
      </c>
      <c r="DD64" s="13">
        <f t="shared" si="42"/>
        <v>0</v>
      </c>
      <c r="DE64" s="13">
        <f t="shared" si="43"/>
        <v>0</v>
      </c>
      <c r="DF64" s="13">
        <f t="shared" si="44"/>
        <v>0</v>
      </c>
      <c r="DG64" s="13">
        <f t="shared" si="45"/>
        <v>0.69314718055994529</v>
      </c>
      <c r="DH64" s="13"/>
      <c r="DI64" s="13"/>
      <c r="DJ64" s="13"/>
      <c r="DL64"/>
      <c r="DM64"/>
      <c r="DN64"/>
      <c r="DO64"/>
      <c r="DP64" s="31"/>
    </row>
    <row r="65" spans="1:120">
      <c r="A65" s="13" t="s">
        <v>229</v>
      </c>
      <c r="B65" t="s">
        <v>281</v>
      </c>
      <c r="C65">
        <v>5</v>
      </c>
      <c r="D65" s="13" t="s">
        <v>320</v>
      </c>
      <c r="E65" t="s">
        <v>91</v>
      </c>
      <c r="F65" s="13">
        <v>0</v>
      </c>
      <c r="G65" s="13">
        <v>0</v>
      </c>
      <c r="H65" s="13">
        <v>0</v>
      </c>
      <c r="I65" s="13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32">
        <v>0</v>
      </c>
      <c r="S65" s="32">
        <v>0</v>
      </c>
      <c r="T65" s="32">
        <v>0</v>
      </c>
      <c r="U65" s="13">
        <v>1</v>
      </c>
      <c r="V65" s="32">
        <v>0</v>
      </c>
      <c r="W65" s="32">
        <v>0</v>
      </c>
      <c r="X65" s="32">
        <v>0</v>
      </c>
      <c r="Y65" s="32">
        <v>0</v>
      </c>
      <c r="Z65" s="32">
        <v>0</v>
      </c>
      <c r="AA65" s="32">
        <v>0</v>
      </c>
      <c r="AB65" s="13">
        <v>2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 s="32">
        <v>0</v>
      </c>
      <c r="BD65" s="32">
        <v>0</v>
      </c>
      <c r="BE65" s="32">
        <v>0</v>
      </c>
      <c r="BF65" s="32">
        <v>0</v>
      </c>
      <c r="BG65" s="32">
        <v>0</v>
      </c>
      <c r="BH65" s="32">
        <v>0</v>
      </c>
      <c r="BI65" s="32">
        <v>0</v>
      </c>
      <c r="BJ65" s="32">
        <v>0</v>
      </c>
      <c r="BK65" s="32">
        <v>0</v>
      </c>
      <c r="BL65" s="32">
        <v>0</v>
      </c>
      <c r="BM65" s="32">
        <v>0</v>
      </c>
      <c r="BN65" s="32">
        <v>0</v>
      </c>
      <c r="BO65">
        <f t="shared" si="2"/>
        <v>2</v>
      </c>
      <c r="BP65" s="13">
        <f t="shared" si="3"/>
        <v>3</v>
      </c>
      <c r="BQ65" s="13">
        <f>[1]!shannonweaver(K65:BL65)</f>
        <v>0.63651416829481278</v>
      </c>
      <c r="BR65">
        <f t="shared" si="4"/>
        <v>1</v>
      </c>
      <c r="BS65">
        <f t="shared" si="5"/>
        <v>1</v>
      </c>
      <c r="BT65">
        <f t="shared" si="6"/>
        <v>0</v>
      </c>
      <c r="BU65">
        <f t="shared" si="7"/>
        <v>0</v>
      </c>
      <c r="BV65" s="13">
        <f t="shared" si="8"/>
        <v>1</v>
      </c>
      <c r="BW65" s="13">
        <f t="shared" si="9"/>
        <v>2</v>
      </c>
      <c r="BX65" s="13">
        <f t="shared" si="10"/>
        <v>0</v>
      </c>
      <c r="BY65" s="13">
        <f t="shared" si="11"/>
        <v>2</v>
      </c>
      <c r="BZ65" s="13">
        <f t="shared" si="12"/>
        <v>0</v>
      </c>
      <c r="CA65" s="13">
        <f t="shared" si="13"/>
        <v>2</v>
      </c>
      <c r="CB65" s="13">
        <f t="shared" si="14"/>
        <v>0</v>
      </c>
      <c r="CC65" s="13">
        <f t="shared" si="15"/>
        <v>0</v>
      </c>
      <c r="CD65" s="13">
        <f t="shared" si="16"/>
        <v>1.4142135623730951</v>
      </c>
      <c r="CE65" s="13">
        <f t="shared" si="17"/>
        <v>1.7320508075688772</v>
      </c>
      <c r="CF65" s="13">
        <f t="shared" si="18"/>
        <v>0.79781838051953446</v>
      </c>
      <c r="CG65" s="13">
        <f t="shared" si="19"/>
        <v>1</v>
      </c>
      <c r="CH65" s="13">
        <f t="shared" si="20"/>
        <v>1</v>
      </c>
      <c r="CI65" s="13">
        <f t="shared" si="21"/>
        <v>0</v>
      </c>
      <c r="CJ65" s="13">
        <f t="shared" si="21"/>
        <v>0</v>
      </c>
      <c r="CK65" s="13">
        <f t="shared" si="23"/>
        <v>1</v>
      </c>
      <c r="CL65" s="13">
        <f t="shared" si="24"/>
        <v>1.4142135623730951</v>
      </c>
      <c r="CM65" s="13">
        <f t="shared" si="25"/>
        <v>0</v>
      </c>
      <c r="CN65" s="13">
        <f t="shared" si="26"/>
        <v>1.4142135623730951</v>
      </c>
      <c r="CO65" s="13">
        <f t="shared" si="27"/>
        <v>0</v>
      </c>
      <c r="CP65" s="13">
        <f t="shared" si="28"/>
        <v>1.4142135623730951</v>
      </c>
      <c r="CQ65" s="13">
        <f t="shared" si="29"/>
        <v>0</v>
      </c>
      <c r="CR65" s="13">
        <f t="shared" si="30"/>
        <v>0</v>
      </c>
      <c r="CS65" s="13">
        <f t="shared" si="31"/>
        <v>1.0986122886681098</v>
      </c>
      <c r="CT65" s="13">
        <f t="shared" si="32"/>
        <v>1.3862943611198906</v>
      </c>
      <c r="CU65" s="13">
        <f t="shared" si="33"/>
        <v>0.49256847260253284</v>
      </c>
      <c r="CV65" s="13">
        <f t="shared" si="34"/>
        <v>0.69314718055994529</v>
      </c>
      <c r="CW65" s="13">
        <f t="shared" si="35"/>
        <v>0.69314718055994529</v>
      </c>
      <c r="CX65" s="13">
        <f t="shared" si="36"/>
        <v>0</v>
      </c>
      <c r="CY65" s="13">
        <f t="shared" si="37"/>
        <v>0</v>
      </c>
      <c r="CZ65" s="13">
        <f t="shared" si="38"/>
        <v>0.69314718055994529</v>
      </c>
      <c r="DA65" s="13">
        <f t="shared" si="39"/>
        <v>1.0986122886681098</v>
      </c>
      <c r="DB65" s="13">
        <f t="shared" si="40"/>
        <v>0</v>
      </c>
      <c r="DC65" s="13">
        <f t="shared" si="41"/>
        <v>1.0986122886681098</v>
      </c>
      <c r="DD65" s="13">
        <f t="shared" si="42"/>
        <v>0</v>
      </c>
      <c r="DE65" s="13">
        <f t="shared" si="43"/>
        <v>1.0986122886681098</v>
      </c>
      <c r="DF65" s="13">
        <f t="shared" si="44"/>
        <v>0</v>
      </c>
      <c r="DG65" s="13">
        <f t="shared" si="45"/>
        <v>0</v>
      </c>
      <c r="DH65" s="13"/>
      <c r="DI65" s="13"/>
      <c r="DJ65" s="13"/>
      <c r="DL65"/>
      <c r="DM65"/>
      <c r="DN65"/>
      <c r="DO65"/>
      <c r="DP65" s="31"/>
    </row>
    <row r="66" spans="1:120">
      <c r="A66" s="13" t="s">
        <v>230</v>
      </c>
      <c r="B66" t="s">
        <v>281</v>
      </c>
      <c r="C66">
        <v>5</v>
      </c>
      <c r="D66" s="13" t="s">
        <v>320</v>
      </c>
      <c r="E66" t="s">
        <v>91</v>
      </c>
      <c r="F66" s="13">
        <v>0</v>
      </c>
      <c r="G66" s="13">
        <v>0</v>
      </c>
      <c r="H66" s="13">
        <v>0</v>
      </c>
      <c r="I66" s="13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0</v>
      </c>
      <c r="AA66" s="32">
        <v>0</v>
      </c>
      <c r="AB66" s="32">
        <v>0</v>
      </c>
      <c r="AC66" s="32">
        <v>0</v>
      </c>
      <c r="AD66" s="13">
        <v>1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 s="32">
        <v>0</v>
      </c>
      <c r="BD66" s="32">
        <v>0</v>
      </c>
      <c r="BE66" s="32">
        <v>0</v>
      </c>
      <c r="BF66" s="32">
        <v>0</v>
      </c>
      <c r="BG66" s="32">
        <v>0</v>
      </c>
      <c r="BH66" s="32">
        <v>0</v>
      </c>
      <c r="BI66" s="32">
        <v>0</v>
      </c>
      <c r="BJ66" s="32">
        <v>0</v>
      </c>
      <c r="BK66" s="32">
        <v>0</v>
      </c>
      <c r="BL66" s="32">
        <v>0</v>
      </c>
      <c r="BM66" s="32">
        <v>0</v>
      </c>
      <c r="BN66" s="32">
        <v>0</v>
      </c>
      <c r="BO66">
        <f t="shared" si="2"/>
        <v>1</v>
      </c>
      <c r="BP66" s="13">
        <f t="shared" si="3"/>
        <v>1</v>
      </c>
      <c r="BQ66" s="13">
        <f>[1]!shannonweaver(K66:BL66)</f>
        <v>0</v>
      </c>
      <c r="BR66">
        <f t="shared" si="4"/>
        <v>0</v>
      </c>
      <c r="BS66">
        <f t="shared" si="5"/>
        <v>1</v>
      </c>
      <c r="BT66">
        <f t="shared" si="6"/>
        <v>0</v>
      </c>
      <c r="BU66">
        <f t="shared" si="7"/>
        <v>0</v>
      </c>
      <c r="BV66" s="13">
        <f t="shared" si="8"/>
        <v>0</v>
      </c>
      <c r="BW66" s="13">
        <f t="shared" si="9"/>
        <v>1</v>
      </c>
      <c r="BX66" s="13">
        <f t="shared" si="10"/>
        <v>0</v>
      </c>
      <c r="BY66" s="13">
        <f t="shared" si="11"/>
        <v>1</v>
      </c>
      <c r="BZ66" s="13">
        <f t="shared" si="12"/>
        <v>0</v>
      </c>
      <c r="CA66" s="13">
        <f t="shared" si="13"/>
        <v>1</v>
      </c>
      <c r="CB66" s="13">
        <f t="shared" si="14"/>
        <v>0</v>
      </c>
      <c r="CC66" s="13">
        <f t="shared" si="15"/>
        <v>0</v>
      </c>
      <c r="CD66" s="13">
        <f t="shared" si="16"/>
        <v>1</v>
      </c>
      <c r="CE66" s="13">
        <f t="shared" si="17"/>
        <v>1</v>
      </c>
      <c r="CF66" s="13">
        <f t="shared" si="18"/>
        <v>0</v>
      </c>
      <c r="CG66" s="13">
        <f t="shared" si="19"/>
        <v>0</v>
      </c>
      <c r="CH66" s="13">
        <f t="shared" si="20"/>
        <v>1</v>
      </c>
      <c r="CI66" s="13">
        <f t="shared" si="21"/>
        <v>0</v>
      </c>
      <c r="CJ66" s="13">
        <f t="shared" si="21"/>
        <v>0</v>
      </c>
      <c r="CK66" s="13">
        <f t="shared" si="23"/>
        <v>0</v>
      </c>
      <c r="CL66" s="13">
        <f t="shared" si="24"/>
        <v>1</v>
      </c>
      <c r="CM66" s="13">
        <f t="shared" si="25"/>
        <v>0</v>
      </c>
      <c r="CN66" s="13">
        <f t="shared" si="26"/>
        <v>1</v>
      </c>
      <c r="CO66" s="13">
        <f t="shared" si="27"/>
        <v>0</v>
      </c>
      <c r="CP66" s="13">
        <f t="shared" si="28"/>
        <v>1</v>
      </c>
      <c r="CQ66" s="13">
        <f t="shared" si="29"/>
        <v>0</v>
      </c>
      <c r="CR66" s="13">
        <f t="shared" si="30"/>
        <v>0</v>
      </c>
      <c r="CS66" s="13">
        <f t="shared" si="31"/>
        <v>0.69314718055994529</v>
      </c>
      <c r="CT66" s="13">
        <f t="shared" si="32"/>
        <v>0.69314718055994529</v>
      </c>
      <c r="CU66" s="13">
        <f t="shared" si="33"/>
        <v>0</v>
      </c>
      <c r="CV66" s="13">
        <f t="shared" si="34"/>
        <v>0</v>
      </c>
      <c r="CW66" s="13">
        <f t="shared" si="35"/>
        <v>0.69314718055994529</v>
      </c>
      <c r="CX66" s="13">
        <f t="shared" si="36"/>
        <v>0</v>
      </c>
      <c r="CY66" s="13">
        <f t="shared" si="37"/>
        <v>0</v>
      </c>
      <c r="CZ66" s="13">
        <f t="shared" si="38"/>
        <v>0</v>
      </c>
      <c r="DA66" s="13">
        <f t="shared" si="39"/>
        <v>0.69314718055994529</v>
      </c>
      <c r="DB66" s="13">
        <f t="shared" si="40"/>
        <v>0</v>
      </c>
      <c r="DC66" s="13">
        <f t="shared" si="41"/>
        <v>0.69314718055994529</v>
      </c>
      <c r="DD66" s="13">
        <f t="shared" si="42"/>
        <v>0</v>
      </c>
      <c r="DE66" s="13">
        <f t="shared" si="43"/>
        <v>0.69314718055994529</v>
      </c>
      <c r="DF66" s="13">
        <f t="shared" si="44"/>
        <v>0</v>
      </c>
      <c r="DG66" s="13">
        <f t="shared" si="45"/>
        <v>0</v>
      </c>
      <c r="DH66" s="13"/>
      <c r="DI66" s="13"/>
      <c r="DJ66" s="13"/>
      <c r="DL66"/>
      <c r="DM66"/>
      <c r="DN66"/>
      <c r="DO66"/>
      <c r="DP66" s="31"/>
    </row>
    <row r="67" spans="1:120">
      <c r="A67" s="13" t="s">
        <v>231</v>
      </c>
      <c r="B67" t="s">
        <v>281</v>
      </c>
      <c r="C67">
        <v>5</v>
      </c>
      <c r="D67" s="13" t="s">
        <v>320</v>
      </c>
      <c r="E67" t="s">
        <v>91</v>
      </c>
      <c r="F67" s="13">
        <v>0</v>
      </c>
      <c r="G67" s="13">
        <v>0</v>
      </c>
      <c r="H67" s="13">
        <v>0</v>
      </c>
      <c r="I67" s="13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13">
        <v>1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 s="32">
        <v>0</v>
      </c>
      <c r="BD67" s="32">
        <v>0</v>
      </c>
      <c r="BE67" s="32">
        <v>0</v>
      </c>
      <c r="BF67" s="32">
        <v>0</v>
      </c>
      <c r="BG67" s="32">
        <v>0</v>
      </c>
      <c r="BH67" s="32">
        <v>0</v>
      </c>
      <c r="BI67" s="32">
        <v>0</v>
      </c>
      <c r="BJ67" s="13">
        <v>1</v>
      </c>
      <c r="BK67" s="13">
        <v>1</v>
      </c>
      <c r="BL67" s="32">
        <v>0</v>
      </c>
      <c r="BM67" s="32">
        <v>0</v>
      </c>
      <c r="BN67" s="32">
        <v>0</v>
      </c>
      <c r="BO67">
        <f t="shared" ref="BO67:BO130" si="46">COUNTIF(K67:BL67, "&gt;0")</f>
        <v>3</v>
      </c>
      <c r="BP67" s="13">
        <f t="shared" ref="BP67:BP130" si="47">SUM(K67:BL67)</f>
        <v>3</v>
      </c>
      <c r="BQ67" s="13">
        <f>[1]!shannonweaver(K67:BL67)</f>
        <v>1.0986122886681096</v>
      </c>
      <c r="BR67">
        <f>COUNTIF(N67:W67, "&gt;0")</f>
        <v>0</v>
      </c>
      <c r="BS67">
        <f>COUNTIF(X67:AQ67, "&gt;0")</f>
        <v>1</v>
      </c>
      <c r="BT67">
        <f>COUNTIF(AR67:BD67, "&gt;0")</f>
        <v>0</v>
      </c>
      <c r="BU67">
        <f t="shared" ref="BU67:BU130" si="48">SUM(O67:S67)</f>
        <v>0</v>
      </c>
      <c r="BV67" s="13">
        <f t="shared" ref="BV67:BV130" si="49">SUM(N67:W67)</f>
        <v>0</v>
      </c>
      <c r="BW67" s="13">
        <f t="shared" ref="BW67:BW130" si="50">SUM(AB67:AD67)</f>
        <v>1</v>
      </c>
      <c r="BX67" s="13">
        <f t="shared" ref="BX67:BX130" si="51">AE67</f>
        <v>0</v>
      </c>
      <c r="BY67" s="13">
        <f t="shared" ref="BY67:BY130" si="52">SUM(AB67:AE67)</f>
        <v>1</v>
      </c>
      <c r="BZ67" s="13">
        <f t="shared" ref="BZ67:BZ130" si="53">AG67</f>
        <v>0</v>
      </c>
      <c r="CA67" s="13">
        <f t="shared" ref="CA67:CA130" si="54">SUM(X67:AQ67)</f>
        <v>1</v>
      </c>
      <c r="CB67" s="13">
        <f t="shared" ref="CB67:CB130" si="55">SUM(AR67:BD67)</f>
        <v>0</v>
      </c>
      <c r="CC67" s="13">
        <f t="shared" ref="CC67:CC130" si="56">SUM(BK67:BL67)</f>
        <v>1</v>
      </c>
      <c r="CD67" s="13">
        <f t="shared" ref="CD67:CD130" si="57">BO67^0.5</f>
        <v>1.7320508075688772</v>
      </c>
      <c r="CE67" s="13">
        <f t="shared" ref="CE67:CE130" si="58">BP67^0.5</f>
        <v>1.7320508075688772</v>
      </c>
      <c r="CF67" s="13">
        <f t="shared" ref="CF67:CF130" si="59">BQ67^0.5</f>
        <v>1.0481470739682048</v>
      </c>
      <c r="CG67" s="13">
        <f t="shared" ref="CG67:CG130" si="60">BR67^0.5</f>
        <v>0</v>
      </c>
      <c r="CH67" s="13">
        <f t="shared" ref="CH67:CH130" si="61">BS67^0.5</f>
        <v>1</v>
      </c>
      <c r="CI67" s="13">
        <f t="shared" ref="CI67:CJ130" si="62">BT67^0.5</f>
        <v>0</v>
      </c>
      <c r="CJ67" s="13">
        <f t="shared" si="62"/>
        <v>0</v>
      </c>
      <c r="CK67" s="13">
        <f t="shared" ref="CK67:CK130" si="63">BV67^0.5</f>
        <v>0</v>
      </c>
      <c r="CL67" s="13">
        <f t="shared" ref="CL67:CL130" si="64">BW67^0.5</f>
        <v>1</v>
      </c>
      <c r="CM67" s="13">
        <f t="shared" ref="CM67:CM130" si="65">BX67^0.5</f>
        <v>0</v>
      </c>
      <c r="CN67" s="13">
        <f t="shared" ref="CN67:CN130" si="66">BY67^0.5</f>
        <v>1</v>
      </c>
      <c r="CO67" s="13">
        <f t="shared" ref="CO67:CO130" si="67">BZ67^0.5</f>
        <v>0</v>
      </c>
      <c r="CP67" s="13">
        <f t="shared" ref="CP67:CP130" si="68">CA67^0.5</f>
        <v>1</v>
      </c>
      <c r="CQ67" s="13">
        <f t="shared" ref="CQ67:CQ130" si="69">CB67^0.5</f>
        <v>0</v>
      </c>
      <c r="CR67" s="13">
        <f t="shared" ref="CR67:CR130" si="70">CC67^0.5</f>
        <v>1</v>
      </c>
      <c r="CS67" s="13">
        <f t="shared" ref="CS67:CS130" si="71">LN(BO67+1)</f>
        <v>1.3862943611198906</v>
      </c>
      <c r="CT67" s="13">
        <f t="shared" ref="CT67:CT130" si="72">LN(BP67+1)</f>
        <v>1.3862943611198906</v>
      </c>
      <c r="CU67" s="13">
        <f t="shared" ref="CU67:CU130" si="73">LN(BQ67+1)</f>
        <v>0.74127631137501515</v>
      </c>
      <c r="CV67" s="13">
        <f t="shared" ref="CV67:CV130" si="74">LN(BR67+1)</f>
        <v>0</v>
      </c>
      <c r="CW67" s="13">
        <f t="shared" ref="CW67:CW130" si="75">LN(BS67+1)</f>
        <v>0.69314718055994529</v>
      </c>
      <c r="CX67" s="13">
        <f t="shared" ref="CX67:CX130" si="76">LN(BT67+1)</f>
        <v>0</v>
      </c>
      <c r="CY67" s="13">
        <f t="shared" ref="CY67:CY130" si="77">LN(BU67+1)</f>
        <v>0</v>
      </c>
      <c r="CZ67" s="13">
        <f t="shared" ref="CZ67:CZ130" si="78">LN(BV67+1)</f>
        <v>0</v>
      </c>
      <c r="DA67" s="13">
        <f t="shared" ref="DA67:DA130" si="79">LN(BW67+1)</f>
        <v>0.69314718055994529</v>
      </c>
      <c r="DB67" s="13">
        <f t="shared" ref="DB67:DB130" si="80">LN(BX67+1)</f>
        <v>0</v>
      </c>
      <c r="DC67" s="13">
        <f t="shared" ref="DC67:DC130" si="81">LN(BY67+1)</f>
        <v>0.69314718055994529</v>
      </c>
      <c r="DD67" s="13">
        <f t="shared" ref="DD67:DD130" si="82">LN(BZ67+1)</f>
        <v>0</v>
      </c>
      <c r="DE67" s="13">
        <f t="shared" ref="DE67:DE130" si="83">LN(CA67+1)</f>
        <v>0.69314718055994529</v>
      </c>
      <c r="DF67" s="13">
        <f t="shared" ref="DF67:DF130" si="84">LN(CB67+1)</f>
        <v>0</v>
      </c>
      <c r="DG67" s="13">
        <f t="shared" ref="DG67:DG130" si="85">LN(CC67+1)</f>
        <v>0.69314718055994529</v>
      </c>
      <c r="DH67" s="13"/>
      <c r="DI67" s="13"/>
      <c r="DJ67" s="13"/>
      <c r="DL67"/>
      <c r="DM67"/>
      <c r="DN67"/>
      <c r="DO67"/>
      <c r="DP67" s="31"/>
    </row>
    <row r="68" spans="1:120">
      <c r="A68" t="s">
        <v>232</v>
      </c>
      <c r="B68" t="s">
        <v>281</v>
      </c>
      <c r="C68">
        <v>7</v>
      </c>
      <c r="D68" s="13" t="s">
        <v>320</v>
      </c>
      <c r="E68" s="13" t="s">
        <v>91</v>
      </c>
      <c r="F68" s="13">
        <v>0</v>
      </c>
      <c r="G68" s="13">
        <v>0</v>
      </c>
      <c r="H68" s="13">
        <v>0</v>
      </c>
      <c r="I68" s="13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32">
        <v>0</v>
      </c>
      <c r="R68" s="32">
        <v>0</v>
      </c>
      <c r="S68" s="32">
        <v>0</v>
      </c>
      <c r="T68" s="13">
        <v>2</v>
      </c>
      <c r="U68" s="13">
        <v>1</v>
      </c>
      <c r="V68" s="13">
        <v>1</v>
      </c>
      <c r="W68" s="32">
        <v>0</v>
      </c>
      <c r="X68" s="32">
        <v>0</v>
      </c>
      <c r="Y68" s="32">
        <v>0</v>
      </c>
      <c r="Z68" s="32">
        <v>0</v>
      </c>
      <c r="AA68" s="32">
        <v>0</v>
      </c>
      <c r="AB68" s="13">
        <v>2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 s="32">
        <v>0</v>
      </c>
      <c r="BD68" s="32">
        <v>0</v>
      </c>
      <c r="BE68" s="32">
        <v>0</v>
      </c>
      <c r="BF68" s="32">
        <v>0</v>
      </c>
      <c r="BG68" s="32">
        <v>0</v>
      </c>
      <c r="BH68" s="32">
        <v>0</v>
      </c>
      <c r="BI68" s="32">
        <v>0</v>
      </c>
      <c r="BJ68" s="13">
        <v>1</v>
      </c>
      <c r="BK68" s="13">
        <v>0</v>
      </c>
      <c r="BL68" s="32">
        <v>0</v>
      </c>
      <c r="BM68" s="32">
        <v>0</v>
      </c>
      <c r="BN68" s="32">
        <v>0</v>
      </c>
      <c r="BO68">
        <f t="shared" si="46"/>
        <v>5</v>
      </c>
      <c r="BP68" s="13">
        <f t="shared" si="47"/>
        <v>7</v>
      </c>
      <c r="BQ68" s="13">
        <f>[1]!shannonweaver(K68:BL68)</f>
        <v>1.5498260458782016</v>
      </c>
      <c r="BR68">
        <f>COUNTIF(N68:W68, "&gt;0")</f>
        <v>3</v>
      </c>
      <c r="BS68">
        <f>COUNTIF(X68:AQ68, "&gt;0")</f>
        <v>1</v>
      </c>
      <c r="BT68">
        <f>COUNTIF(AR68:BD68, "&gt;0")</f>
        <v>0</v>
      </c>
      <c r="BU68">
        <f t="shared" si="48"/>
        <v>0</v>
      </c>
      <c r="BV68" s="13">
        <f t="shared" si="49"/>
        <v>4</v>
      </c>
      <c r="BW68" s="13">
        <f t="shared" si="50"/>
        <v>2</v>
      </c>
      <c r="BX68" s="13">
        <f t="shared" si="51"/>
        <v>0</v>
      </c>
      <c r="BY68" s="13">
        <f t="shared" si="52"/>
        <v>2</v>
      </c>
      <c r="BZ68" s="13">
        <f t="shared" si="53"/>
        <v>0</v>
      </c>
      <c r="CA68" s="13">
        <f t="shared" si="54"/>
        <v>2</v>
      </c>
      <c r="CB68" s="13">
        <f t="shared" si="55"/>
        <v>0</v>
      </c>
      <c r="CC68" s="13">
        <f t="shared" si="56"/>
        <v>0</v>
      </c>
      <c r="CD68" s="13">
        <f t="shared" si="57"/>
        <v>2.2360679774997898</v>
      </c>
      <c r="CE68" s="13">
        <f t="shared" si="58"/>
        <v>2.6457513110645907</v>
      </c>
      <c r="CF68" s="13">
        <f t="shared" si="59"/>
        <v>1.2449200961821612</v>
      </c>
      <c r="CG68" s="13">
        <f t="shared" si="60"/>
        <v>1.7320508075688772</v>
      </c>
      <c r="CH68" s="13">
        <f t="shared" si="61"/>
        <v>1</v>
      </c>
      <c r="CI68" s="13">
        <f t="shared" si="62"/>
        <v>0</v>
      </c>
      <c r="CJ68" s="13">
        <f t="shared" si="62"/>
        <v>0</v>
      </c>
      <c r="CK68" s="13">
        <f t="shared" si="63"/>
        <v>2</v>
      </c>
      <c r="CL68" s="13">
        <f t="shared" si="64"/>
        <v>1.4142135623730951</v>
      </c>
      <c r="CM68" s="13">
        <f t="shared" si="65"/>
        <v>0</v>
      </c>
      <c r="CN68" s="13">
        <f t="shared" si="66"/>
        <v>1.4142135623730951</v>
      </c>
      <c r="CO68" s="13">
        <f t="shared" si="67"/>
        <v>0</v>
      </c>
      <c r="CP68" s="13">
        <f t="shared" si="68"/>
        <v>1.4142135623730951</v>
      </c>
      <c r="CQ68" s="13">
        <f t="shared" si="69"/>
        <v>0</v>
      </c>
      <c r="CR68" s="13">
        <f t="shared" si="70"/>
        <v>0</v>
      </c>
      <c r="CS68" s="13">
        <f t="shared" si="71"/>
        <v>1.791759469228055</v>
      </c>
      <c r="CT68" s="13">
        <f t="shared" si="72"/>
        <v>2.0794415416798357</v>
      </c>
      <c r="CU68" s="13">
        <f t="shared" si="73"/>
        <v>0.93602513954076272</v>
      </c>
      <c r="CV68" s="13">
        <f t="shared" si="74"/>
        <v>1.3862943611198906</v>
      </c>
      <c r="CW68" s="13">
        <f t="shared" si="75"/>
        <v>0.69314718055994529</v>
      </c>
      <c r="CX68" s="13">
        <f t="shared" si="76"/>
        <v>0</v>
      </c>
      <c r="CY68" s="13">
        <f t="shared" si="77"/>
        <v>0</v>
      </c>
      <c r="CZ68" s="13">
        <f t="shared" si="78"/>
        <v>1.6094379124341003</v>
      </c>
      <c r="DA68" s="13">
        <f t="shared" si="79"/>
        <v>1.0986122886681098</v>
      </c>
      <c r="DB68" s="13">
        <f t="shared" si="80"/>
        <v>0</v>
      </c>
      <c r="DC68" s="13">
        <f t="shared" si="81"/>
        <v>1.0986122886681098</v>
      </c>
      <c r="DD68" s="13">
        <f t="shared" si="82"/>
        <v>0</v>
      </c>
      <c r="DE68" s="13">
        <f t="shared" si="83"/>
        <v>1.0986122886681098</v>
      </c>
      <c r="DF68" s="13">
        <f t="shared" si="84"/>
        <v>0</v>
      </c>
      <c r="DG68" s="13">
        <f t="shared" si="85"/>
        <v>0</v>
      </c>
      <c r="DH68" s="13"/>
      <c r="DI68" s="13"/>
      <c r="DJ68" s="13"/>
      <c r="DL68"/>
      <c r="DM68"/>
      <c r="DN68"/>
      <c r="DO68"/>
      <c r="DP68" s="31"/>
    </row>
    <row r="69" spans="1:120">
      <c r="A69" t="s">
        <v>233</v>
      </c>
      <c r="B69" t="s">
        <v>281</v>
      </c>
      <c r="C69">
        <v>7</v>
      </c>
      <c r="D69" s="13" t="s">
        <v>320</v>
      </c>
      <c r="E69" s="13" t="s">
        <v>91</v>
      </c>
      <c r="F69" s="13">
        <v>0</v>
      </c>
      <c r="G69" s="13">
        <v>0</v>
      </c>
      <c r="H69" s="13">
        <v>0</v>
      </c>
      <c r="I69" s="13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13">
        <v>1</v>
      </c>
      <c r="P69" s="32">
        <v>0</v>
      </c>
      <c r="Q69" s="32">
        <v>0</v>
      </c>
      <c r="R69" s="32">
        <v>0</v>
      </c>
      <c r="S69" s="32">
        <v>0</v>
      </c>
      <c r="T69" s="32">
        <v>0</v>
      </c>
      <c r="U69" s="32">
        <v>0</v>
      </c>
      <c r="V69" s="13">
        <v>2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 s="32">
        <v>0</v>
      </c>
      <c r="BD69" s="32">
        <v>0</v>
      </c>
      <c r="BE69" s="32">
        <v>0</v>
      </c>
      <c r="BF69" s="32">
        <v>0</v>
      </c>
      <c r="BG69" s="32">
        <v>0</v>
      </c>
      <c r="BH69" s="32">
        <v>0</v>
      </c>
      <c r="BI69" s="32">
        <v>0</v>
      </c>
      <c r="BJ69" s="13">
        <v>1</v>
      </c>
      <c r="BK69" s="13">
        <v>0</v>
      </c>
      <c r="BL69" s="32">
        <v>0</v>
      </c>
      <c r="BM69" s="32">
        <v>0</v>
      </c>
      <c r="BN69" s="32">
        <v>0</v>
      </c>
      <c r="BO69">
        <f t="shared" si="46"/>
        <v>3</v>
      </c>
      <c r="BP69" s="13">
        <f t="shared" si="47"/>
        <v>4</v>
      </c>
      <c r="BQ69" s="13">
        <f>[1]!shannonweaver(K69:BL69)</f>
        <v>1.0397207708399179</v>
      </c>
      <c r="BR69">
        <f>COUNTIF(N69:W69, "&gt;0")</f>
        <v>2</v>
      </c>
      <c r="BS69">
        <f>COUNTIF(X69:AQ69, "&gt;0")</f>
        <v>0</v>
      </c>
      <c r="BT69">
        <f>COUNTIF(AR69:BD69, "&gt;0")</f>
        <v>0</v>
      </c>
      <c r="BU69">
        <f t="shared" si="48"/>
        <v>1</v>
      </c>
      <c r="BV69" s="13">
        <f t="shared" si="49"/>
        <v>3</v>
      </c>
      <c r="BW69" s="13">
        <f t="shared" si="50"/>
        <v>0</v>
      </c>
      <c r="BX69" s="13">
        <f t="shared" si="51"/>
        <v>0</v>
      </c>
      <c r="BY69" s="13">
        <f t="shared" si="52"/>
        <v>0</v>
      </c>
      <c r="BZ69" s="13">
        <f t="shared" si="53"/>
        <v>0</v>
      </c>
      <c r="CA69" s="13">
        <f t="shared" si="54"/>
        <v>0</v>
      </c>
      <c r="CB69" s="13">
        <f t="shared" si="55"/>
        <v>0</v>
      </c>
      <c r="CC69" s="13">
        <f t="shared" si="56"/>
        <v>0</v>
      </c>
      <c r="CD69" s="13">
        <f t="shared" si="57"/>
        <v>1.7320508075688772</v>
      </c>
      <c r="CE69" s="13">
        <f t="shared" si="58"/>
        <v>2</v>
      </c>
      <c r="CF69" s="13">
        <f t="shared" si="59"/>
        <v>1.0196669901688089</v>
      </c>
      <c r="CG69" s="13">
        <f t="shared" si="60"/>
        <v>1.4142135623730951</v>
      </c>
      <c r="CH69" s="13">
        <f t="shared" si="61"/>
        <v>0</v>
      </c>
      <c r="CI69" s="13">
        <f t="shared" si="62"/>
        <v>0</v>
      </c>
      <c r="CJ69" s="13">
        <f t="shared" si="62"/>
        <v>1</v>
      </c>
      <c r="CK69" s="13">
        <f t="shared" si="63"/>
        <v>1.7320508075688772</v>
      </c>
      <c r="CL69" s="13">
        <f t="shared" si="64"/>
        <v>0</v>
      </c>
      <c r="CM69" s="13">
        <f t="shared" si="65"/>
        <v>0</v>
      </c>
      <c r="CN69" s="13">
        <f t="shared" si="66"/>
        <v>0</v>
      </c>
      <c r="CO69" s="13">
        <f t="shared" si="67"/>
        <v>0</v>
      </c>
      <c r="CP69" s="13">
        <f t="shared" si="68"/>
        <v>0</v>
      </c>
      <c r="CQ69" s="13">
        <f t="shared" si="69"/>
        <v>0</v>
      </c>
      <c r="CR69" s="13">
        <f t="shared" si="70"/>
        <v>0</v>
      </c>
      <c r="CS69" s="13">
        <f t="shared" si="71"/>
        <v>1.3862943611198906</v>
      </c>
      <c r="CT69" s="13">
        <f t="shared" si="72"/>
        <v>1.6094379124341003</v>
      </c>
      <c r="CU69" s="13">
        <f t="shared" si="73"/>
        <v>0.7128129214483524</v>
      </c>
      <c r="CV69" s="13">
        <f t="shared" si="74"/>
        <v>1.0986122886681098</v>
      </c>
      <c r="CW69" s="13">
        <f t="shared" si="75"/>
        <v>0</v>
      </c>
      <c r="CX69" s="13">
        <f t="shared" si="76"/>
        <v>0</v>
      </c>
      <c r="CY69" s="13">
        <f t="shared" si="77"/>
        <v>0.69314718055994529</v>
      </c>
      <c r="CZ69" s="13">
        <f t="shared" si="78"/>
        <v>1.3862943611198906</v>
      </c>
      <c r="DA69" s="13">
        <f t="shared" si="79"/>
        <v>0</v>
      </c>
      <c r="DB69" s="13">
        <f t="shared" si="80"/>
        <v>0</v>
      </c>
      <c r="DC69" s="13">
        <f t="shared" si="81"/>
        <v>0</v>
      </c>
      <c r="DD69" s="13">
        <f t="shared" si="82"/>
        <v>0</v>
      </c>
      <c r="DE69" s="13">
        <f t="shared" si="83"/>
        <v>0</v>
      </c>
      <c r="DF69" s="13">
        <f t="shared" si="84"/>
        <v>0</v>
      </c>
      <c r="DG69" s="13">
        <f t="shared" si="85"/>
        <v>0</v>
      </c>
      <c r="DH69" s="13"/>
      <c r="DI69" s="13"/>
      <c r="DJ69" s="13"/>
      <c r="DL69"/>
      <c r="DM69"/>
      <c r="DN69"/>
      <c r="DO69"/>
      <c r="DP69" s="31"/>
    </row>
    <row r="70" spans="1:120">
      <c r="A70" t="s">
        <v>234</v>
      </c>
      <c r="B70" t="s">
        <v>281</v>
      </c>
      <c r="C70">
        <v>7</v>
      </c>
      <c r="D70" s="13" t="s">
        <v>320</v>
      </c>
      <c r="E70" s="13" t="s">
        <v>91</v>
      </c>
      <c r="F70" s="13">
        <v>0</v>
      </c>
      <c r="G70" s="13">
        <v>0</v>
      </c>
      <c r="H70" s="13">
        <v>0</v>
      </c>
      <c r="I70" s="13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13">
        <v>1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13">
        <v>1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 s="32">
        <v>0</v>
      </c>
      <c r="BD70" s="32">
        <v>0</v>
      </c>
      <c r="BE70" s="32">
        <v>0</v>
      </c>
      <c r="BF70" s="32">
        <v>0</v>
      </c>
      <c r="BG70" s="32">
        <v>0</v>
      </c>
      <c r="BH70" s="32">
        <v>0</v>
      </c>
      <c r="BI70" s="32">
        <v>0</v>
      </c>
      <c r="BJ70" s="32">
        <v>0</v>
      </c>
      <c r="BK70" s="32">
        <v>0</v>
      </c>
      <c r="BL70" s="32">
        <v>0</v>
      </c>
      <c r="BM70" s="32">
        <v>0</v>
      </c>
      <c r="BN70" s="32">
        <v>0</v>
      </c>
      <c r="BO70">
        <f t="shared" si="46"/>
        <v>2</v>
      </c>
      <c r="BP70" s="13">
        <f t="shared" si="47"/>
        <v>2</v>
      </c>
      <c r="BQ70" s="13">
        <f>[1]!shannonweaver(K70:BL70)</f>
        <v>0.69314718055994529</v>
      </c>
      <c r="BR70">
        <f>COUNTIF(N70:W70, "&gt;0")</f>
        <v>1</v>
      </c>
      <c r="BS70">
        <f>COUNTIF(X70:AQ70, "&gt;0")</f>
        <v>1</v>
      </c>
      <c r="BT70">
        <f>COUNTIF(AR70:BD70, "&gt;0")</f>
        <v>0</v>
      </c>
      <c r="BU70">
        <f t="shared" si="48"/>
        <v>0</v>
      </c>
      <c r="BV70" s="13">
        <f t="shared" si="49"/>
        <v>1</v>
      </c>
      <c r="BW70" s="13">
        <f t="shared" si="50"/>
        <v>1</v>
      </c>
      <c r="BX70" s="13">
        <f t="shared" si="51"/>
        <v>0</v>
      </c>
      <c r="BY70" s="13">
        <f t="shared" si="52"/>
        <v>1</v>
      </c>
      <c r="BZ70" s="13">
        <f t="shared" si="53"/>
        <v>0</v>
      </c>
      <c r="CA70" s="13">
        <f t="shared" si="54"/>
        <v>1</v>
      </c>
      <c r="CB70" s="13">
        <f t="shared" si="55"/>
        <v>0</v>
      </c>
      <c r="CC70" s="13">
        <f t="shared" si="56"/>
        <v>0</v>
      </c>
      <c r="CD70" s="13">
        <f t="shared" si="57"/>
        <v>1.4142135623730951</v>
      </c>
      <c r="CE70" s="13">
        <f t="shared" si="58"/>
        <v>1.4142135623730951</v>
      </c>
      <c r="CF70" s="13">
        <f t="shared" si="59"/>
        <v>0.83255461115769769</v>
      </c>
      <c r="CG70" s="13">
        <f t="shared" si="60"/>
        <v>1</v>
      </c>
      <c r="CH70" s="13">
        <f t="shared" si="61"/>
        <v>1</v>
      </c>
      <c r="CI70" s="13">
        <f t="shared" si="62"/>
        <v>0</v>
      </c>
      <c r="CJ70" s="13">
        <f t="shared" si="62"/>
        <v>0</v>
      </c>
      <c r="CK70" s="13">
        <f t="shared" si="63"/>
        <v>1</v>
      </c>
      <c r="CL70" s="13">
        <f t="shared" si="64"/>
        <v>1</v>
      </c>
      <c r="CM70" s="13">
        <f t="shared" si="65"/>
        <v>0</v>
      </c>
      <c r="CN70" s="13">
        <f t="shared" si="66"/>
        <v>1</v>
      </c>
      <c r="CO70" s="13">
        <f t="shared" si="67"/>
        <v>0</v>
      </c>
      <c r="CP70" s="13">
        <f t="shared" si="68"/>
        <v>1</v>
      </c>
      <c r="CQ70" s="13">
        <f t="shared" si="69"/>
        <v>0</v>
      </c>
      <c r="CR70" s="13">
        <f t="shared" si="70"/>
        <v>0</v>
      </c>
      <c r="CS70" s="13">
        <f t="shared" si="71"/>
        <v>1.0986122886681098</v>
      </c>
      <c r="CT70" s="13">
        <f t="shared" si="72"/>
        <v>1.0986122886681098</v>
      </c>
      <c r="CU70" s="13">
        <f t="shared" si="73"/>
        <v>0.52658903413904457</v>
      </c>
      <c r="CV70" s="13">
        <f t="shared" si="74"/>
        <v>0.69314718055994529</v>
      </c>
      <c r="CW70" s="13">
        <f t="shared" si="75"/>
        <v>0.69314718055994529</v>
      </c>
      <c r="CX70" s="13">
        <f t="shared" si="76"/>
        <v>0</v>
      </c>
      <c r="CY70" s="13">
        <f t="shared" si="77"/>
        <v>0</v>
      </c>
      <c r="CZ70" s="13">
        <f t="shared" si="78"/>
        <v>0.69314718055994529</v>
      </c>
      <c r="DA70" s="13">
        <f t="shared" si="79"/>
        <v>0.69314718055994529</v>
      </c>
      <c r="DB70" s="13">
        <f t="shared" si="80"/>
        <v>0</v>
      </c>
      <c r="DC70" s="13">
        <f t="shared" si="81"/>
        <v>0.69314718055994529</v>
      </c>
      <c r="DD70" s="13">
        <f t="shared" si="82"/>
        <v>0</v>
      </c>
      <c r="DE70" s="13">
        <f t="shared" si="83"/>
        <v>0.69314718055994529</v>
      </c>
      <c r="DF70" s="13">
        <f t="shared" si="84"/>
        <v>0</v>
      </c>
      <c r="DG70" s="13">
        <f t="shared" si="85"/>
        <v>0</v>
      </c>
      <c r="DH70" s="13"/>
      <c r="DI70" s="13"/>
      <c r="DJ70" s="13"/>
      <c r="DL70"/>
      <c r="DM70"/>
      <c r="DN70"/>
      <c r="DO70"/>
      <c r="DP70" s="31"/>
    </row>
    <row r="71" spans="1:120">
      <c r="A71" s="23" t="s">
        <v>235</v>
      </c>
      <c r="B71" t="s">
        <v>281</v>
      </c>
      <c r="C71">
        <v>7</v>
      </c>
      <c r="D71" s="13" t="s">
        <v>320</v>
      </c>
      <c r="E71" s="13" t="s">
        <v>91</v>
      </c>
      <c r="F71" s="13">
        <v>0</v>
      </c>
      <c r="G71" s="13">
        <v>0</v>
      </c>
      <c r="H71" s="13">
        <v>0</v>
      </c>
      <c r="I71" s="13">
        <v>0</v>
      </c>
      <c r="J71" s="32">
        <v>0</v>
      </c>
      <c r="K71" s="13">
        <v>1</v>
      </c>
      <c r="L71" s="13">
        <v>1</v>
      </c>
      <c r="M71" s="13">
        <v>1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13">
        <v>2</v>
      </c>
      <c r="AH71" s="32">
        <v>0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 s="32">
        <v>0</v>
      </c>
      <c r="BD71" s="32">
        <v>0</v>
      </c>
      <c r="BE71" s="32">
        <v>0</v>
      </c>
      <c r="BF71" s="32">
        <v>0</v>
      </c>
      <c r="BG71" s="32">
        <v>0</v>
      </c>
      <c r="BH71" s="32">
        <v>0</v>
      </c>
      <c r="BI71" s="32">
        <v>0</v>
      </c>
      <c r="BJ71" s="13">
        <v>1</v>
      </c>
      <c r="BK71" s="32">
        <v>0</v>
      </c>
      <c r="BL71" s="32">
        <v>0</v>
      </c>
      <c r="BM71" s="32">
        <v>0</v>
      </c>
      <c r="BN71" s="32">
        <v>0</v>
      </c>
      <c r="BO71">
        <f t="shared" si="46"/>
        <v>5</v>
      </c>
      <c r="BP71" s="13">
        <f t="shared" si="47"/>
        <v>6</v>
      </c>
      <c r="BQ71" s="13">
        <f>[1]!shannonweaver(K71:BL71)</f>
        <v>1.5607104090414063</v>
      </c>
      <c r="BR71">
        <f>COUNTIF(N71:W71, "&gt;0")</f>
        <v>0</v>
      </c>
      <c r="BS71">
        <f>COUNTIF(X71:AQ71, "&gt;0")</f>
        <v>1</v>
      </c>
      <c r="BT71">
        <f>COUNTIF(AR71:BD71, "&gt;0")</f>
        <v>0</v>
      </c>
      <c r="BU71">
        <f t="shared" si="48"/>
        <v>0</v>
      </c>
      <c r="BV71" s="13">
        <f t="shared" si="49"/>
        <v>0</v>
      </c>
      <c r="BW71" s="13">
        <f t="shared" si="50"/>
        <v>0</v>
      </c>
      <c r="BX71" s="13">
        <f t="shared" si="51"/>
        <v>0</v>
      </c>
      <c r="BY71" s="13">
        <f t="shared" si="52"/>
        <v>0</v>
      </c>
      <c r="BZ71" s="13">
        <f t="shared" si="53"/>
        <v>2</v>
      </c>
      <c r="CA71" s="13">
        <f t="shared" si="54"/>
        <v>2</v>
      </c>
      <c r="CB71" s="13">
        <f t="shared" si="55"/>
        <v>0</v>
      </c>
      <c r="CC71" s="13">
        <f t="shared" si="56"/>
        <v>0</v>
      </c>
      <c r="CD71" s="13">
        <f t="shared" si="57"/>
        <v>2.2360679774997898</v>
      </c>
      <c r="CE71" s="13">
        <f t="shared" si="58"/>
        <v>2.4494897427831779</v>
      </c>
      <c r="CF71" s="13">
        <f t="shared" si="59"/>
        <v>1.2492839585304081</v>
      </c>
      <c r="CG71" s="13">
        <f t="shared" si="60"/>
        <v>0</v>
      </c>
      <c r="CH71" s="13">
        <f t="shared" si="61"/>
        <v>1</v>
      </c>
      <c r="CI71" s="13">
        <f t="shared" si="62"/>
        <v>0</v>
      </c>
      <c r="CJ71" s="13">
        <f t="shared" si="62"/>
        <v>0</v>
      </c>
      <c r="CK71" s="13">
        <f t="shared" si="63"/>
        <v>0</v>
      </c>
      <c r="CL71" s="13">
        <f t="shared" si="64"/>
        <v>0</v>
      </c>
      <c r="CM71" s="13">
        <f t="shared" si="65"/>
        <v>0</v>
      </c>
      <c r="CN71" s="13">
        <f t="shared" si="66"/>
        <v>0</v>
      </c>
      <c r="CO71" s="13">
        <f t="shared" si="67"/>
        <v>1.4142135623730951</v>
      </c>
      <c r="CP71" s="13">
        <f t="shared" si="68"/>
        <v>1.4142135623730951</v>
      </c>
      <c r="CQ71" s="13">
        <f t="shared" si="69"/>
        <v>0</v>
      </c>
      <c r="CR71" s="13">
        <f t="shared" si="70"/>
        <v>0</v>
      </c>
      <c r="CS71" s="13">
        <f t="shared" si="71"/>
        <v>1.791759469228055</v>
      </c>
      <c r="CT71" s="13">
        <f t="shared" si="72"/>
        <v>1.9459101490553132</v>
      </c>
      <c r="CU71" s="13">
        <f t="shared" si="73"/>
        <v>0.94028472352628722</v>
      </c>
      <c r="CV71" s="13">
        <f t="shared" si="74"/>
        <v>0</v>
      </c>
      <c r="CW71" s="13">
        <f t="shared" si="75"/>
        <v>0.69314718055994529</v>
      </c>
      <c r="CX71" s="13">
        <f t="shared" si="76"/>
        <v>0</v>
      </c>
      <c r="CY71" s="13">
        <f t="shared" si="77"/>
        <v>0</v>
      </c>
      <c r="CZ71" s="13">
        <f t="shared" si="78"/>
        <v>0</v>
      </c>
      <c r="DA71" s="13">
        <f t="shared" si="79"/>
        <v>0</v>
      </c>
      <c r="DB71" s="13">
        <f t="shared" si="80"/>
        <v>0</v>
      </c>
      <c r="DC71" s="13">
        <f t="shared" si="81"/>
        <v>0</v>
      </c>
      <c r="DD71" s="13">
        <f t="shared" si="82"/>
        <v>1.0986122886681098</v>
      </c>
      <c r="DE71" s="13">
        <f t="shared" si="83"/>
        <v>1.0986122886681098</v>
      </c>
      <c r="DF71" s="13">
        <f t="shared" si="84"/>
        <v>0</v>
      </c>
      <c r="DG71" s="13">
        <f t="shared" si="85"/>
        <v>0</v>
      </c>
      <c r="DH71" s="13"/>
      <c r="DI71" s="13"/>
      <c r="DJ71" s="13"/>
      <c r="DL71"/>
      <c r="DM71"/>
      <c r="DN71"/>
      <c r="DO71"/>
      <c r="DP71" s="31"/>
    </row>
    <row r="72" spans="1:120">
      <c r="A72" t="s">
        <v>236</v>
      </c>
      <c r="B72" t="s">
        <v>281</v>
      </c>
      <c r="C72">
        <v>7</v>
      </c>
      <c r="D72" s="13" t="s">
        <v>320</v>
      </c>
      <c r="E72" s="13" t="s">
        <v>91</v>
      </c>
      <c r="F72" s="13">
        <v>0</v>
      </c>
      <c r="G72" s="13">
        <v>0</v>
      </c>
      <c r="H72" s="13">
        <v>0</v>
      </c>
      <c r="I72" s="13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32">
        <v>0</v>
      </c>
      <c r="Z72" s="32">
        <v>0</v>
      </c>
      <c r="AA72" s="32">
        <v>0</v>
      </c>
      <c r="AB72" s="13">
        <v>1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 s="32">
        <v>0</v>
      </c>
      <c r="BD72" s="32">
        <v>0</v>
      </c>
      <c r="BE72" s="32">
        <v>0</v>
      </c>
      <c r="BF72" s="32">
        <v>0</v>
      </c>
      <c r="BG72" s="32">
        <v>0</v>
      </c>
      <c r="BH72" s="32">
        <v>0</v>
      </c>
      <c r="BI72" s="13">
        <v>1</v>
      </c>
      <c r="BJ72" s="13">
        <v>1</v>
      </c>
      <c r="BK72" s="32">
        <v>0</v>
      </c>
      <c r="BL72" s="32">
        <v>0</v>
      </c>
      <c r="BM72" s="32">
        <v>0</v>
      </c>
      <c r="BN72" s="32">
        <v>0</v>
      </c>
      <c r="BO72">
        <f t="shared" si="46"/>
        <v>3</v>
      </c>
      <c r="BP72" s="13">
        <f t="shared" si="47"/>
        <v>3</v>
      </c>
      <c r="BQ72" s="13">
        <f>[1]!shannonweaver(K72:BL72)</f>
        <v>1.0986122886681096</v>
      </c>
      <c r="BR72">
        <f t="shared" ref="BR72:BR135" si="86">COUNTIF(N72:W72, "&gt;0")</f>
        <v>0</v>
      </c>
      <c r="BS72">
        <f t="shared" ref="BS72:BS135" si="87">COUNTIF(X72:AQ72, "&gt;0")</f>
        <v>1</v>
      </c>
      <c r="BT72">
        <f t="shared" ref="BT72:BT135" si="88">COUNTIF(AR72:BD72, "&gt;0")</f>
        <v>0</v>
      </c>
      <c r="BU72">
        <f t="shared" si="48"/>
        <v>0</v>
      </c>
      <c r="BV72" s="13">
        <f t="shared" si="49"/>
        <v>0</v>
      </c>
      <c r="BW72" s="13">
        <f t="shared" si="50"/>
        <v>1</v>
      </c>
      <c r="BX72" s="13">
        <f t="shared" si="51"/>
        <v>0</v>
      </c>
      <c r="BY72" s="13">
        <f t="shared" si="52"/>
        <v>1</v>
      </c>
      <c r="BZ72" s="13">
        <f t="shared" si="53"/>
        <v>0</v>
      </c>
      <c r="CA72" s="13">
        <f t="shared" si="54"/>
        <v>1</v>
      </c>
      <c r="CB72" s="13">
        <f t="shared" si="55"/>
        <v>0</v>
      </c>
      <c r="CC72" s="13">
        <f t="shared" si="56"/>
        <v>0</v>
      </c>
      <c r="CD72" s="13">
        <f t="shared" si="57"/>
        <v>1.7320508075688772</v>
      </c>
      <c r="CE72" s="13">
        <f t="shared" si="58"/>
        <v>1.7320508075688772</v>
      </c>
      <c r="CF72" s="13">
        <f t="shared" si="59"/>
        <v>1.0481470739682048</v>
      </c>
      <c r="CG72" s="13">
        <f t="shared" si="60"/>
        <v>0</v>
      </c>
      <c r="CH72" s="13">
        <f t="shared" si="61"/>
        <v>1</v>
      </c>
      <c r="CI72" s="13">
        <f t="shared" si="62"/>
        <v>0</v>
      </c>
      <c r="CJ72" s="13">
        <f t="shared" si="62"/>
        <v>0</v>
      </c>
      <c r="CK72" s="13">
        <f t="shared" si="63"/>
        <v>0</v>
      </c>
      <c r="CL72" s="13">
        <f t="shared" si="64"/>
        <v>1</v>
      </c>
      <c r="CM72" s="13">
        <f t="shared" si="65"/>
        <v>0</v>
      </c>
      <c r="CN72" s="13">
        <f t="shared" si="66"/>
        <v>1</v>
      </c>
      <c r="CO72" s="13">
        <f t="shared" si="67"/>
        <v>0</v>
      </c>
      <c r="CP72" s="13">
        <f t="shared" si="68"/>
        <v>1</v>
      </c>
      <c r="CQ72" s="13">
        <f t="shared" si="69"/>
        <v>0</v>
      </c>
      <c r="CR72" s="13">
        <f t="shared" si="70"/>
        <v>0</v>
      </c>
      <c r="CS72" s="13">
        <f t="shared" si="71"/>
        <v>1.3862943611198906</v>
      </c>
      <c r="CT72" s="13">
        <f t="shared" si="72"/>
        <v>1.3862943611198906</v>
      </c>
      <c r="CU72" s="13">
        <f t="shared" si="73"/>
        <v>0.74127631137501515</v>
      </c>
      <c r="CV72" s="13">
        <f t="shared" si="74"/>
        <v>0</v>
      </c>
      <c r="CW72" s="13">
        <f t="shared" si="75"/>
        <v>0.69314718055994529</v>
      </c>
      <c r="CX72" s="13">
        <f t="shared" si="76"/>
        <v>0</v>
      </c>
      <c r="CY72" s="13">
        <f t="shared" si="77"/>
        <v>0</v>
      </c>
      <c r="CZ72" s="13">
        <f t="shared" si="78"/>
        <v>0</v>
      </c>
      <c r="DA72" s="13">
        <f t="shared" si="79"/>
        <v>0.69314718055994529</v>
      </c>
      <c r="DB72" s="13">
        <f t="shared" si="80"/>
        <v>0</v>
      </c>
      <c r="DC72" s="13">
        <f t="shared" si="81"/>
        <v>0.69314718055994529</v>
      </c>
      <c r="DD72" s="13">
        <f t="shared" si="82"/>
        <v>0</v>
      </c>
      <c r="DE72" s="13">
        <f t="shared" si="83"/>
        <v>0.69314718055994529</v>
      </c>
      <c r="DF72" s="13">
        <f t="shared" si="84"/>
        <v>0</v>
      </c>
      <c r="DG72" s="13">
        <f t="shared" si="85"/>
        <v>0</v>
      </c>
      <c r="DH72" s="13"/>
      <c r="DI72" s="13"/>
      <c r="DJ72" s="13"/>
      <c r="DL72"/>
      <c r="DM72"/>
      <c r="DN72"/>
      <c r="DO72"/>
      <c r="DP72" s="31"/>
    </row>
    <row r="73" spans="1:120">
      <c r="A73" t="s">
        <v>205</v>
      </c>
      <c r="B73" t="s">
        <v>281</v>
      </c>
      <c r="C73">
        <v>7</v>
      </c>
      <c r="D73" s="13" t="s">
        <v>320</v>
      </c>
      <c r="E73" s="13" t="s">
        <v>91</v>
      </c>
      <c r="F73" s="13">
        <v>0</v>
      </c>
      <c r="G73" s="13">
        <v>0</v>
      </c>
      <c r="H73" s="13">
        <v>0</v>
      </c>
      <c r="I73" s="13">
        <v>0</v>
      </c>
      <c r="J73" s="32">
        <v>0</v>
      </c>
      <c r="K73" s="32">
        <v>0</v>
      </c>
      <c r="L73" s="32">
        <v>0</v>
      </c>
      <c r="M73" s="13">
        <v>1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32">
        <v>0</v>
      </c>
      <c r="V73" s="32">
        <v>0</v>
      </c>
      <c r="W73" s="32">
        <v>0</v>
      </c>
      <c r="X73" s="13">
        <v>1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13">
        <v>1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13">
        <v>2</v>
      </c>
      <c r="AZ73" s="32">
        <v>0</v>
      </c>
      <c r="BA73" s="32">
        <v>0</v>
      </c>
      <c r="BB73" s="32">
        <v>0</v>
      </c>
      <c r="BC73" s="32">
        <v>0</v>
      </c>
      <c r="BD73" s="32">
        <v>0</v>
      </c>
      <c r="BE73" s="32">
        <v>0</v>
      </c>
      <c r="BF73" s="32">
        <v>0</v>
      </c>
      <c r="BG73" s="32">
        <v>0</v>
      </c>
      <c r="BH73" s="32">
        <v>0</v>
      </c>
      <c r="BI73" s="32">
        <v>0</v>
      </c>
      <c r="BJ73" s="32">
        <v>0</v>
      </c>
      <c r="BK73" s="32">
        <v>0</v>
      </c>
      <c r="BL73" s="32">
        <v>0</v>
      </c>
      <c r="BM73" s="32">
        <v>0</v>
      </c>
      <c r="BN73" s="32">
        <v>0</v>
      </c>
      <c r="BO73">
        <f t="shared" si="46"/>
        <v>4</v>
      </c>
      <c r="BP73" s="13">
        <f t="shared" si="47"/>
        <v>5</v>
      </c>
      <c r="BQ73" s="13">
        <f>[1]!shannonweaver(K73:BL73)</f>
        <v>1.3321790402101223</v>
      </c>
      <c r="BR73">
        <f t="shared" si="86"/>
        <v>0</v>
      </c>
      <c r="BS73">
        <f t="shared" si="87"/>
        <v>2</v>
      </c>
      <c r="BT73">
        <f t="shared" si="88"/>
        <v>1</v>
      </c>
      <c r="BU73">
        <f t="shared" si="48"/>
        <v>0</v>
      </c>
      <c r="BV73" s="13">
        <f t="shared" si="49"/>
        <v>0</v>
      </c>
      <c r="BW73" s="13">
        <f t="shared" si="50"/>
        <v>0</v>
      </c>
      <c r="BX73" s="13">
        <f t="shared" si="51"/>
        <v>0</v>
      </c>
      <c r="BY73" s="13">
        <f t="shared" si="52"/>
        <v>0</v>
      </c>
      <c r="BZ73" s="13">
        <f t="shared" si="53"/>
        <v>1</v>
      </c>
      <c r="CA73" s="13">
        <f t="shared" si="54"/>
        <v>2</v>
      </c>
      <c r="CB73" s="13">
        <f t="shared" si="55"/>
        <v>2</v>
      </c>
      <c r="CC73" s="13">
        <f t="shared" si="56"/>
        <v>0</v>
      </c>
      <c r="CD73" s="13">
        <f t="shared" si="57"/>
        <v>2</v>
      </c>
      <c r="CE73" s="13">
        <f t="shared" si="58"/>
        <v>2.2360679774997898</v>
      </c>
      <c r="CF73" s="13">
        <f t="shared" si="59"/>
        <v>1.1542006065715449</v>
      </c>
      <c r="CG73" s="13">
        <f t="shared" si="60"/>
        <v>0</v>
      </c>
      <c r="CH73" s="13">
        <f t="shared" si="61"/>
        <v>1.4142135623730951</v>
      </c>
      <c r="CI73" s="13">
        <f t="shared" si="62"/>
        <v>1</v>
      </c>
      <c r="CJ73" s="13">
        <f t="shared" si="62"/>
        <v>0</v>
      </c>
      <c r="CK73" s="13">
        <f t="shared" si="63"/>
        <v>0</v>
      </c>
      <c r="CL73" s="13">
        <f t="shared" si="64"/>
        <v>0</v>
      </c>
      <c r="CM73" s="13">
        <f t="shared" si="65"/>
        <v>0</v>
      </c>
      <c r="CN73" s="13">
        <f t="shared" si="66"/>
        <v>0</v>
      </c>
      <c r="CO73" s="13">
        <f t="shared" si="67"/>
        <v>1</v>
      </c>
      <c r="CP73" s="13">
        <f t="shared" si="68"/>
        <v>1.4142135623730951</v>
      </c>
      <c r="CQ73" s="13">
        <f t="shared" si="69"/>
        <v>1.4142135623730951</v>
      </c>
      <c r="CR73" s="13">
        <f t="shared" si="70"/>
        <v>0</v>
      </c>
      <c r="CS73" s="13">
        <f t="shared" si="71"/>
        <v>1.6094379124341003</v>
      </c>
      <c r="CT73" s="13">
        <f t="shared" si="72"/>
        <v>1.791759469228055</v>
      </c>
      <c r="CU73" s="13">
        <f t="shared" si="73"/>
        <v>0.84680304093144199</v>
      </c>
      <c r="CV73" s="13">
        <f t="shared" si="74"/>
        <v>0</v>
      </c>
      <c r="CW73" s="13">
        <f t="shared" si="75"/>
        <v>1.0986122886681098</v>
      </c>
      <c r="CX73" s="13">
        <f t="shared" si="76"/>
        <v>0.69314718055994529</v>
      </c>
      <c r="CY73" s="13">
        <f t="shared" si="77"/>
        <v>0</v>
      </c>
      <c r="CZ73" s="13">
        <f t="shared" si="78"/>
        <v>0</v>
      </c>
      <c r="DA73" s="13">
        <f t="shared" si="79"/>
        <v>0</v>
      </c>
      <c r="DB73" s="13">
        <f t="shared" si="80"/>
        <v>0</v>
      </c>
      <c r="DC73" s="13">
        <f t="shared" si="81"/>
        <v>0</v>
      </c>
      <c r="DD73" s="13">
        <f t="shared" si="82"/>
        <v>0.69314718055994529</v>
      </c>
      <c r="DE73" s="13">
        <f t="shared" si="83"/>
        <v>1.0986122886681098</v>
      </c>
      <c r="DF73" s="13">
        <f t="shared" si="84"/>
        <v>1.0986122886681098</v>
      </c>
      <c r="DG73" s="13">
        <f t="shared" si="85"/>
        <v>0</v>
      </c>
      <c r="DH73" s="13"/>
      <c r="DI73" s="13"/>
      <c r="DJ73" s="13"/>
      <c r="DL73"/>
      <c r="DM73"/>
      <c r="DN73"/>
      <c r="DO73"/>
      <c r="DP73" s="31"/>
    </row>
    <row r="74" spans="1:120">
      <c r="A74" t="s">
        <v>175</v>
      </c>
      <c r="B74" t="s">
        <v>176</v>
      </c>
      <c r="C74" t="s">
        <v>177</v>
      </c>
      <c r="D74" s="13" t="s">
        <v>319</v>
      </c>
      <c r="E74" s="13" t="s">
        <v>283</v>
      </c>
      <c r="F74" s="13">
        <v>0</v>
      </c>
      <c r="G74" s="13">
        <v>0</v>
      </c>
      <c r="H74" s="13">
        <v>0</v>
      </c>
      <c r="I74" s="13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32">
        <v>0</v>
      </c>
      <c r="V74" s="32">
        <v>0</v>
      </c>
      <c r="W74" s="32">
        <v>0</v>
      </c>
      <c r="X74" s="13">
        <v>1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 s="32">
        <v>0</v>
      </c>
      <c r="BD74" s="32">
        <v>0</v>
      </c>
      <c r="BE74" s="32">
        <v>0</v>
      </c>
      <c r="BF74" s="32">
        <v>0</v>
      </c>
      <c r="BG74" s="32">
        <v>0</v>
      </c>
      <c r="BH74" s="32">
        <v>0</v>
      </c>
      <c r="BI74" s="32">
        <v>0</v>
      </c>
      <c r="BJ74" s="32">
        <v>0</v>
      </c>
      <c r="BK74" s="32">
        <v>0</v>
      </c>
      <c r="BL74" s="32">
        <v>0</v>
      </c>
      <c r="BM74" s="32">
        <v>0</v>
      </c>
      <c r="BN74" s="32">
        <v>0</v>
      </c>
      <c r="BO74">
        <f t="shared" si="46"/>
        <v>1</v>
      </c>
      <c r="BP74" s="13">
        <f t="shared" si="47"/>
        <v>1</v>
      </c>
      <c r="BQ74" s="13">
        <f>[1]!shannonweaver(K74:BL74)</f>
        <v>0</v>
      </c>
      <c r="BR74">
        <f t="shared" si="86"/>
        <v>0</v>
      </c>
      <c r="BS74">
        <f t="shared" si="87"/>
        <v>1</v>
      </c>
      <c r="BT74">
        <f t="shared" si="88"/>
        <v>0</v>
      </c>
      <c r="BU74">
        <f t="shared" si="48"/>
        <v>0</v>
      </c>
      <c r="BV74" s="13">
        <f t="shared" si="49"/>
        <v>0</v>
      </c>
      <c r="BW74" s="13">
        <f t="shared" si="50"/>
        <v>0</v>
      </c>
      <c r="BX74" s="13">
        <f t="shared" si="51"/>
        <v>0</v>
      </c>
      <c r="BY74" s="13">
        <f t="shared" si="52"/>
        <v>0</v>
      </c>
      <c r="BZ74" s="13">
        <f t="shared" si="53"/>
        <v>0</v>
      </c>
      <c r="CA74" s="13">
        <f t="shared" si="54"/>
        <v>1</v>
      </c>
      <c r="CB74" s="13">
        <f t="shared" si="55"/>
        <v>0</v>
      </c>
      <c r="CC74" s="13">
        <f t="shared" si="56"/>
        <v>0</v>
      </c>
      <c r="CD74" s="13">
        <f t="shared" si="57"/>
        <v>1</v>
      </c>
      <c r="CE74" s="13">
        <f t="shared" si="58"/>
        <v>1</v>
      </c>
      <c r="CF74" s="13">
        <f t="shared" si="59"/>
        <v>0</v>
      </c>
      <c r="CG74" s="13">
        <f t="shared" si="60"/>
        <v>0</v>
      </c>
      <c r="CH74" s="13">
        <f t="shared" si="61"/>
        <v>1</v>
      </c>
      <c r="CI74" s="13">
        <f t="shared" si="62"/>
        <v>0</v>
      </c>
      <c r="CJ74" s="13">
        <f t="shared" si="62"/>
        <v>0</v>
      </c>
      <c r="CK74" s="13">
        <f t="shared" si="63"/>
        <v>0</v>
      </c>
      <c r="CL74" s="13">
        <f t="shared" si="64"/>
        <v>0</v>
      </c>
      <c r="CM74" s="13">
        <f t="shared" si="65"/>
        <v>0</v>
      </c>
      <c r="CN74" s="13">
        <f t="shared" si="66"/>
        <v>0</v>
      </c>
      <c r="CO74" s="13">
        <f t="shared" si="67"/>
        <v>0</v>
      </c>
      <c r="CP74" s="13">
        <f t="shared" si="68"/>
        <v>1</v>
      </c>
      <c r="CQ74" s="13">
        <f t="shared" si="69"/>
        <v>0</v>
      </c>
      <c r="CR74" s="13">
        <f t="shared" si="70"/>
        <v>0</v>
      </c>
      <c r="CS74" s="13">
        <f t="shared" si="71"/>
        <v>0.69314718055994529</v>
      </c>
      <c r="CT74" s="13">
        <f t="shared" si="72"/>
        <v>0.69314718055994529</v>
      </c>
      <c r="CU74" s="13">
        <f t="shared" si="73"/>
        <v>0</v>
      </c>
      <c r="CV74" s="13">
        <f t="shared" si="74"/>
        <v>0</v>
      </c>
      <c r="CW74" s="13">
        <f t="shared" si="75"/>
        <v>0.69314718055994529</v>
      </c>
      <c r="CX74" s="13">
        <f t="shared" si="76"/>
        <v>0</v>
      </c>
      <c r="CY74" s="13">
        <f t="shared" si="77"/>
        <v>0</v>
      </c>
      <c r="CZ74" s="13">
        <f t="shared" si="78"/>
        <v>0</v>
      </c>
      <c r="DA74" s="13">
        <f t="shared" si="79"/>
        <v>0</v>
      </c>
      <c r="DB74" s="13">
        <f t="shared" si="80"/>
        <v>0</v>
      </c>
      <c r="DC74" s="13">
        <f t="shared" si="81"/>
        <v>0</v>
      </c>
      <c r="DD74" s="13">
        <f t="shared" si="82"/>
        <v>0</v>
      </c>
      <c r="DE74" s="13">
        <f t="shared" si="83"/>
        <v>0.69314718055994529</v>
      </c>
      <c r="DF74" s="13">
        <f t="shared" si="84"/>
        <v>0</v>
      </c>
      <c r="DG74" s="13">
        <f t="shared" si="85"/>
        <v>0</v>
      </c>
      <c r="DH74" s="13"/>
      <c r="DI74" s="13"/>
      <c r="DJ74" s="13"/>
      <c r="DL74"/>
      <c r="DM74"/>
      <c r="DN74"/>
      <c r="DO74"/>
      <c r="DP74" s="31"/>
    </row>
    <row r="75" spans="1:120">
      <c r="A75" t="s">
        <v>178</v>
      </c>
      <c r="B75" t="s">
        <v>176</v>
      </c>
      <c r="C75" t="s">
        <v>177</v>
      </c>
      <c r="D75" s="13" t="s">
        <v>319</v>
      </c>
      <c r="E75" s="13" t="s">
        <v>283</v>
      </c>
      <c r="F75" s="13">
        <v>0</v>
      </c>
      <c r="G75" s="13">
        <v>0</v>
      </c>
      <c r="H75" s="13">
        <v>0</v>
      </c>
      <c r="I75" s="13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13">
        <v>1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0</v>
      </c>
      <c r="AA75" s="32">
        <v>0</v>
      </c>
      <c r="AB75" s="32">
        <v>0</v>
      </c>
      <c r="AC75" s="32">
        <v>0</v>
      </c>
      <c r="AD75" s="32">
        <v>0</v>
      </c>
      <c r="AE75" s="13">
        <v>2</v>
      </c>
      <c r="AF75" s="32">
        <v>0</v>
      </c>
      <c r="AG75" s="32">
        <v>0</v>
      </c>
      <c r="AH75" s="32">
        <v>0</v>
      </c>
      <c r="AI75" s="32">
        <v>0</v>
      </c>
      <c r="AJ75" s="32">
        <v>0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13">
        <v>1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 s="32">
        <v>0</v>
      </c>
      <c r="BD75" s="32">
        <v>0</v>
      </c>
      <c r="BE75" s="32">
        <v>0</v>
      </c>
      <c r="BF75" s="32">
        <v>0</v>
      </c>
      <c r="BG75" s="32">
        <v>0</v>
      </c>
      <c r="BH75" s="32">
        <v>0</v>
      </c>
      <c r="BI75" s="32">
        <v>0</v>
      </c>
      <c r="BJ75" s="32">
        <v>0</v>
      </c>
      <c r="BK75" s="32">
        <v>0</v>
      </c>
      <c r="BL75" s="32">
        <v>0</v>
      </c>
      <c r="BM75" s="32">
        <v>0</v>
      </c>
      <c r="BN75" s="32">
        <v>0</v>
      </c>
      <c r="BO75">
        <f t="shared" si="46"/>
        <v>3</v>
      </c>
      <c r="BP75" s="13">
        <f t="shared" si="47"/>
        <v>4</v>
      </c>
      <c r="BQ75" s="13">
        <f>[1]!shannonweaver(K75:BL75)</f>
        <v>1.0397207708399179</v>
      </c>
      <c r="BR75">
        <f t="shared" si="86"/>
        <v>1</v>
      </c>
      <c r="BS75">
        <f t="shared" si="87"/>
        <v>2</v>
      </c>
      <c r="BT75">
        <f t="shared" si="88"/>
        <v>0</v>
      </c>
      <c r="BU75">
        <f t="shared" si="48"/>
        <v>1</v>
      </c>
      <c r="BV75" s="13">
        <f t="shared" si="49"/>
        <v>1</v>
      </c>
      <c r="BW75" s="13">
        <f t="shared" si="50"/>
        <v>0</v>
      </c>
      <c r="BX75" s="13">
        <f t="shared" si="51"/>
        <v>2</v>
      </c>
      <c r="BY75" s="13">
        <f t="shared" si="52"/>
        <v>2</v>
      </c>
      <c r="BZ75" s="13">
        <f t="shared" si="53"/>
        <v>0</v>
      </c>
      <c r="CA75" s="13">
        <f t="shared" si="54"/>
        <v>3</v>
      </c>
      <c r="CB75" s="13">
        <f t="shared" si="55"/>
        <v>0</v>
      </c>
      <c r="CC75" s="13">
        <f t="shared" si="56"/>
        <v>0</v>
      </c>
      <c r="CD75" s="13">
        <f t="shared" si="57"/>
        <v>1.7320508075688772</v>
      </c>
      <c r="CE75" s="13">
        <f t="shared" si="58"/>
        <v>2</v>
      </c>
      <c r="CF75" s="13">
        <f t="shared" si="59"/>
        <v>1.0196669901688089</v>
      </c>
      <c r="CG75" s="13">
        <f t="shared" si="60"/>
        <v>1</v>
      </c>
      <c r="CH75" s="13">
        <f t="shared" si="61"/>
        <v>1.4142135623730951</v>
      </c>
      <c r="CI75" s="13">
        <f t="shared" si="62"/>
        <v>0</v>
      </c>
      <c r="CJ75" s="13">
        <f t="shared" si="62"/>
        <v>1</v>
      </c>
      <c r="CK75" s="13">
        <f t="shared" si="63"/>
        <v>1</v>
      </c>
      <c r="CL75" s="13">
        <f t="shared" si="64"/>
        <v>0</v>
      </c>
      <c r="CM75" s="13">
        <f t="shared" si="65"/>
        <v>1.4142135623730951</v>
      </c>
      <c r="CN75" s="13">
        <f t="shared" si="66"/>
        <v>1.4142135623730951</v>
      </c>
      <c r="CO75" s="13">
        <f t="shared" si="67"/>
        <v>0</v>
      </c>
      <c r="CP75" s="13">
        <f t="shared" si="68"/>
        <v>1.7320508075688772</v>
      </c>
      <c r="CQ75" s="13">
        <f t="shared" si="69"/>
        <v>0</v>
      </c>
      <c r="CR75" s="13">
        <f t="shared" si="70"/>
        <v>0</v>
      </c>
      <c r="CS75" s="13">
        <f t="shared" si="71"/>
        <v>1.3862943611198906</v>
      </c>
      <c r="CT75" s="13">
        <f t="shared" si="72"/>
        <v>1.6094379124341003</v>
      </c>
      <c r="CU75" s="13">
        <f t="shared" si="73"/>
        <v>0.7128129214483524</v>
      </c>
      <c r="CV75" s="13">
        <f t="shared" si="74"/>
        <v>0.69314718055994529</v>
      </c>
      <c r="CW75" s="13">
        <f t="shared" si="75"/>
        <v>1.0986122886681098</v>
      </c>
      <c r="CX75" s="13">
        <f t="shared" si="76"/>
        <v>0</v>
      </c>
      <c r="CY75" s="13">
        <f t="shared" si="77"/>
        <v>0.69314718055994529</v>
      </c>
      <c r="CZ75" s="13">
        <f t="shared" si="78"/>
        <v>0.69314718055994529</v>
      </c>
      <c r="DA75" s="13">
        <f t="shared" si="79"/>
        <v>0</v>
      </c>
      <c r="DB75" s="13">
        <f t="shared" si="80"/>
        <v>1.0986122886681098</v>
      </c>
      <c r="DC75" s="13">
        <f t="shared" si="81"/>
        <v>1.0986122886681098</v>
      </c>
      <c r="DD75" s="13">
        <f t="shared" si="82"/>
        <v>0</v>
      </c>
      <c r="DE75" s="13">
        <f t="shared" si="83"/>
        <v>1.3862943611198906</v>
      </c>
      <c r="DF75" s="13">
        <f t="shared" si="84"/>
        <v>0</v>
      </c>
      <c r="DG75" s="13">
        <f t="shared" si="85"/>
        <v>0</v>
      </c>
      <c r="DH75" s="13"/>
      <c r="DI75" s="13"/>
      <c r="DJ75" s="13"/>
      <c r="DL75"/>
      <c r="DM75"/>
      <c r="DN75"/>
      <c r="DO75"/>
      <c r="DP75" s="31"/>
    </row>
    <row r="76" spans="1:120">
      <c r="A76" s="13" t="s">
        <v>200</v>
      </c>
      <c r="B76" t="s">
        <v>176</v>
      </c>
      <c r="C76" t="s">
        <v>177</v>
      </c>
      <c r="D76" s="13" t="s">
        <v>319</v>
      </c>
      <c r="E76" s="13" t="s">
        <v>283</v>
      </c>
      <c r="F76" s="13">
        <v>0</v>
      </c>
      <c r="G76" s="13">
        <v>0</v>
      </c>
      <c r="H76" s="13">
        <v>0</v>
      </c>
      <c r="I76" s="13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32">
        <v>0</v>
      </c>
      <c r="AB76" s="32">
        <v>0</v>
      </c>
      <c r="AC76" s="32">
        <v>0</v>
      </c>
      <c r="AD76" s="13">
        <v>1</v>
      </c>
      <c r="AE76" s="13">
        <v>1</v>
      </c>
      <c r="AF76" s="32">
        <v>0</v>
      </c>
      <c r="AG76" s="13">
        <v>1</v>
      </c>
      <c r="AH76" s="32">
        <v>0</v>
      </c>
      <c r="AI76" s="32">
        <v>0</v>
      </c>
      <c r="AJ76" s="32">
        <v>0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 s="32">
        <v>0</v>
      </c>
      <c r="BD76" s="32">
        <v>0</v>
      </c>
      <c r="BE76" s="32">
        <v>0</v>
      </c>
      <c r="BF76" s="32">
        <v>0</v>
      </c>
      <c r="BG76" s="32">
        <v>0</v>
      </c>
      <c r="BH76" s="32">
        <v>0</v>
      </c>
      <c r="BI76" s="32">
        <v>0</v>
      </c>
      <c r="BJ76" s="32">
        <v>0</v>
      </c>
      <c r="BK76" s="32">
        <v>0</v>
      </c>
      <c r="BL76" s="32">
        <v>0</v>
      </c>
      <c r="BM76" s="32">
        <v>0</v>
      </c>
      <c r="BN76" s="32">
        <v>0</v>
      </c>
      <c r="BO76">
        <f t="shared" si="46"/>
        <v>3</v>
      </c>
      <c r="BP76" s="13">
        <f t="shared" si="47"/>
        <v>3</v>
      </c>
      <c r="BQ76" s="13">
        <f>[1]!shannonweaver(K76:BL76)</f>
        <v>1.0986122886681096</v>
      </c>
      <c r="BR76">
        <f t="shared" si="86"/>
        <v>0</v>
      </c>
      <c r="BS76">
        <f t="shared" si="87"/>
        <v>3</v>
      </c>
      <c r="BT76">
        <f t="shared" si="88"/>
        <v>0</v>
      </c>
      <c r="BU76">
        <f t="shared" si="48"/>
        <v>0</v>
      </c>
      <c r="BV76" s="13">
        <f t="shared" si="49"/>
        <v>0</v>
      </c>
      <c r="BW76" s="13">
        <f t="shared" si="50"/>
        <v>1</v>
      </c>
      <c r="BX76" s="13">
        <f t="shared" si="51"/>
        <v>1</v>
      </c>
      <c r="BY76" s="13">
        <f t="shared" si="52"/>
        <v>2</v>
      </c>
      <c r="BZ76" s="13">
        <f t="shared" si="53"/>
        <v>1</v>
      </c>
      <c r="CA76" s="13">
        <f t="shared" si="54"/>
        <v>3</v>
      </c>
      <c r="CB76" s="13">
        <f t="shared" si="55"/>
        <v>0</v>
      </c>
      <c r="CC76" s="13">
        <f t="shared" si="56"/>
        <v>0</v>
      </c>
      <c r="CD76" s="13">
        <f t="shared" si="57"/>
        <v>1.7320508075688772</v>
      </c>
      <c r="CE76" s="13">
        <f t="shared" si="58"/>
        <v>1.7320508075688772</v>
      </c>
      <c r="CF76" s="13">
        <f t="shared" si="59"/>
        <v>1.0481470739682048</v>
      </c>
      <c r="CG76" s="13">
        <f t="shared" si="60"/>
        <v>0</v>
      </c>
      <c r="CH76" s="13">
        <f t="shared" si="61"/>
        <v>1.7320508075688772</v>
      </c>
      <c r="CI76" s="13">
        <f t="shared" si="62"/>
        <v>0</v>
      </c>
      <c r="CJ76" s="13">
        <f t="shared" si="62"/>
        <v>0</v>
      </c>
      <c r="CK76" s="13">
        <f t="shared" si="63"/>
        <v>0</v>
      </c>
      <c r="CL76" s="13">
        <f t="shared" si="64"/>
        <v>1</v>
      </c>
      <c r="CM76" s="13">
        <f t="shared" si="65"/>
        <v>1</v>
      </c>
      <c r="CN76" s="13">
        <f t="shared" si="66"/>
        <v>1.4142135623730951</v>
      </c>
      <c r="CO76" s="13">
        <f t="shared" si="67"/>
        <v>1</v>
      </c>
      <c r="CP76" s="13">
        <f t="shared" si="68"/>
        <v>1.7320508075688772</v>
      </c>
      <c r="CQ76" s="13">
        <f t="shared" si="69"/>
        <v>0</v>
      </c>
      <c r="CR76" s="13">
        <f t="shared" si="70"/>
        <v>0</v>
      </c>
      <c r="CS76" s="13">
        <f t="shared" si="71"/>
        <v>1.3862943611198906</v>
      </c>
      <c r="CT76" s="13">
        <f t="shared" si="72"/>
        <v>1.3862943611198906</v>
      </c>
      <c r="CU76" s="13">
        <f t="shared" si="73"/>
        <v>0.74127631137501515</v>
      </c>
      <c r="CV76" s="13">
        <f t="shared" si="74"/>
        <v>0</v>
      </c>
      <c r="CW76" s="13">
        <f t="shared" si="75"/>
        <v>1.3862943611198906</v>
      </c>
      <c r="CX76" s="13">
        <f t="shared" si="76"/>
        <v>0</v>
      </c>
      <c r="CY76" s="13">
        <f t="shared" si="77"/>
        <v>0</v>
      </c>
      <c r="CZ76" s="13">
        <f t="shared" si="78"/>
        <v>0</v>
      </c>
      <c r="DA76" s="13">
        <f t="shared" si="79"/>
        <v>0.69314718055994529</v>
      </c>
      <c r="DB76" s="13">
        <f t="shared" si="80"/>
        <v>0.69314718055994529</v>
      </c>
      <c r="DC76" s="13">
        <f t="shared" si="81"/>
        <v>1.0986122886681098</v>
      </c>
      <c r="DD76" s="13">
        <f t="shared" si="82"/>
        <v>0.69314718055994529</v>
      </c>
      <c r="DE76" s="13">
        <f t="shared" si="83"/>
        <v>1.3862943611198906</v>
      </c>
      <c r="DF76" s="13">
        <f t="shared" si="84"/>
        <v>0</v>
      </c>
      <c r="DG76" s="13">
        <f t="shared" si="85"/>
        <v>0</v>
      </c>
      <c r="DH76" s="13"/>
      <c r="DI76" s="13"/>
      <c r="DJ76" s="13"/>
      <c r="DL76"/>
      <c r="DM76"/>
      <c r="DN76"/>
      <c r="DO76"/>
      <c r="DP76" s="31"/>
    </row>
    <row r="77" spans="1:120">
      <c r="A77" s="13" t="s">
        <v>201</v>
      </c>
      <c r="B77" t="s">
        <v>176</v>
      </c>
      <c r="C77" t="s">
        <v>177</v>
      </c>
      <c r="D77" s="13" t="s">
        <v>319</v>
      </c>
      <c r="E77" s="13" t="s">
        <v>283</v>
      </c>
      <c r="F77" s="13">
        <v>0</v>
      </c>
      <c r="G77" s="13">
        <v>0</v>
      </c>
      <c r="H77" s="13">
        <v>0</v>
      </c>
      <c r="I77" s="13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32">
        <v>0</v>
      </c>
      <c r="AC77" s="32">
        <v>0</v>
      </c>
      <c r="AD77" s="32">
        <v>0</v>
      </c>
      <c r="AE77" s="13">
        <v>1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v>0</v>
      </c>
      <c r="AY77" s="32">
        <v>0</v>
      </c>
      <c r="AZ77" s="32">
        <v>0</v>
      </c>
      <c r="BA77" s="32">
        <v>0</v>
      </c>
      <c r="BB77" s="32">
        <v>0</v>
      </c>
      <c r="BC77" s="32">
        <v>0</v>
      </c>
      <c r="BD77" s="32">
        <v>0</v>
      </c>
      <c r="BE77" s="32">
        <v>0</v>
      </c>
      <c r="BF77" s="32">
        <v>0</v>
      </c>
      <c r="BG77" s="32">
        <v>0</v>
      </c>
      <c r="BH77" s="32">
        <v>0</v>
      </c>
      <c r="BI77" s="32">
        <v>0</v>
      </c>
      <c r="BJ77" s="32">
        <v>0</v>
      </c>
      <c r="BK77" s="32">
        <v>0</v>
      </c>
      <c r="BL77" s="32">
        <v>0</v>
      </c>
      <c r="BM77" s="32">
        <v>0</v>
      </c>
      <c r="BN77" s="32">
        <v>0</v>
      </c>
      <c r="BO77">
        <f t="shared" si="46"/>
        <v>1</v>
      </c>
      <c r="BP77" s="13">
        <f t="shared" si="47"/>
        <v>1</v>
      </c>
      <c r="BQ77" s="13">
        <f>[1]!shannonweaver(K77:BL77)</f>
        <v>0</v>
      </c>
      <c r="BR77">
        <f t="shared" si="86"/>
        <v>0</v>
      </c>
      <c r="BS77">
        <f t="shared" si="87"/>
        <v>1</v>
      </c>
      <c r="BT77">
        <f t="shared" si="88"/>
        <v>0</v>
      </c>
      <c r="BU77">
        <f t="shared" si="48"/>
        <v>0</v>
      </c>
      <c r="BV77" s="13">
        <f t="shared" si="49"/>
        <v>0</v>
      </c>
      <c r="BW77" s="13">
        <f t="shared" si="50"/>
        <v>0</v>
      </c>
      <c r="BX77" s="13">
        <f t="shared" si="51"/>
        <v>1</v>
      </c>
      <c r="BY77" s="13">
        <f t="shared" si="52"/>
        <v>1</v>
      </c>
      <c r="BZ77" s="13">
        <f t="shared" si="53"/>
        <v>0</v>
      </c>
      <c r="CA77" s="13">
        <f t="shared" si="54"/>
        <v>1</v>
      </c>
      <c r="CB77" s="13">
        <f t="shared" si="55"/>
        <v>0</v>
      </c>
      <c r="CC77" s="13">
        <f t="shared" si="56"/>
        <v>0</v>
      </c>
      <c r="CD77" s="13">
        <f t="shared" si="57"/>
        <v>1</v>
      </c>
      <c r="CE77" s="13">
        <f t="shared" si="58"/>
        <v>1</v>
      </c>
      <c r="CF77" s="13">
        <f t="shared" si="59"/>
        <v>0</v>
      </c>
      <c r="CG77" s="13">
        <f t="shared" si="60"/>
        <v>0</v>
      </c>
      <c r="CH77" s="13">
        <f t="shared" si="61"/>
        <v>1</v>
      </c>
      <c r="CI77" s="13">
        <f t="shared" si="62"/>
        <v>0</v>
      </c>
      <c r="CJ77" s="13">
        <f t="shared" si="62"/>
        <v>0</v>
      </c>
      <c r="CK77" s="13">
        <f t="shared" si="63"/>
        <v>0</v>
      </c>
      <c r="CL77" s="13">
        <f t="shared" si="64"/>
        <v>0</v>
      </c>
      <c r="CM77" s="13">
        <f t="shared" si="65"/>
        <v>1</v>
      </c>
      <c r="CN77" s="13">
        <f t="shared" si="66"/>
        <v>1</v>
      </c>
      <c r="CO77" s="13">
        <f t="shared" si="67"/>
        <v>0</v>
      </c>
      <c r="CP77" s="13">
        <f t="shared" si="68"/>
        <v>1</v>
      </c>
      <c r="CQ77" s="13">
        <f t="shared" si="69"/>
        <v>0</v>
      </c>
      <c r="CR77" s="13">
        <f t="shared" si="70"/>
        <v>0</v>
      </c>
      <c r="CS77" s="13">
        <f t="shared" si="71"/>
        <v>0.69314718055994529</v>
      </c>
      <c r="CT77" s="13">
        <f t="shared" si="72"/>
        <v>0.69314718055994529</v>
      </c>
      <c r="CU77" s="13">
        <f t="shared" si="73"/>
        <v>0</v>
      </c>
      <c r="CV77" s="13">
        <f t="shared" si="74"/>
        <v>0</v>
      </c>
      <c r="CW77" s="13">
        <f t="shared" si="75"/>
        <v>0.69314718055994529</v>
      </c>
      <c r="CX77" s="13">
        <f t="shared" si="76"/>
        <v>0</v>
      </c>
      <c r="CY77" s="13">
        <f t="shared" si="77"/>
        <v>0</v>
      </c>
      <c r="CZ77" s="13">
        <f t="shared" si="78"/>
        <v>0</v>
      </c>
      <c r="DA77" s="13">
        <f t="shared" si="79"/>
        <v>0</v>
      </c>
      <c r="DB77" s="13">
        <f t="shared" si="80"/>
        <v>0.69314718055994529</v>
      </c>
      <c r="DC77" s="13">
        <f t="shared" si="81"/>
        <v>0.69314718055994529</v>
      </c>
      <c r="DD77" s="13">
        <f t="shared" si="82"/>
        <v>0</v>
      </c>
      <c r="DE77" s="13">
        <f t="shared" si="83"/>
        <v>0.69314718055994529</v>
      </c>
      <c r="DF77" s="13">
        <f t="shared" si="84"/>
        <v>0</v>
      </c>
      <c r="DG77" s="13">
        <f t="shared" si="85"/>
        <v>0</v>
      </c>
      <c r="DH77" s="13"/>
      <c r="DI77" s="13"/>
      <c r="DJ77" s="13"/>
      <c r="DL77"/>
      <c r="DM77"/>
      <c r="DN77"/>
      <c r="DO77"/>
      <c r="DP77" s="31"/>
    </row>
    <row r="78" spans="1:120">
      <c r="A78" s="13" t="s">
        <v>202</v>
      </c>
      <c r="B78" t="s">
        <v>176</v>
      </c>
      <c r="C78" t="s">
        <v>177</v>
      </c>
      <c r="D78" s="13" t="s">
        <v>319</v>
      </c>
      <c r="E78" s="13" t="s">
        <v>283</v>
      </c>
      <c r="F78" s="13">
        <v>0</v>
      </c>
      <c r="G78" s="13">
        <v>0</v>
      </c>
      <c r="H78" s="13">
        <v>0</v>
      </c>
      <c r="I78" s="13">
        <v>0</v>
      </c>
      <c r="J78" s="32">
        <v>0</v>
      </c>
      <c r="K78" s="32">
        <v>0</v>
      </c>
      <c r="L78" s="32">
        <v>0</v>
      </c>
      <c r="M78" s="32">
        <v>0</v>
      </c>
      <c r="N78" s="32">
        <v>0</v>
      </c>
      <c r="O78" s="13">
        <v>1</v>
      </c>
      <c r="P78" s="13">
        <v>2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32">
        <v>0</v>
      </c>
      <c r="AX78" s="32">
        <v>0</v>
      </c>
      <c r="AY78" s="32">
        <v>0</v>
      </c>
      <c r="AZ78" s="32">
        <v>0</v>
      </c>
      <c r="BA78" s="32">
        <v>0</v>
      </c>
      <c r="BB78" s="32">
        <v>0</v>
      </c>
      <c r="BC78" s="13">
        <v>1</v>
      </c>
      <c r="BD78" s="32">
        <v>0</v>
      </c>
      <c r="BE78" s="32">
        <v>0</v>
      </c>
      <c r="BF78" s="32">
        <v>0</v>
      </c>
      <c r="BG78" s="32">
        <v>0</v>
      </c>
      <c r="BH78" s="32">
        <v>0</v>
      </c>
      <c r="BI78" s="32">
        <v>0</v>
      </c>
      <c r="BJ78" s="32">
        <v>0</v>
      </c>
      <c r="BK78" s="32">
        <v>0</v>
      </c>
      <c r="BL78" s="32">
        <v>0</v>
      </c>
      <c r="BM78" s="32">
        <v>0</v>
      </c>
      <c r="BN78" s="32">
        <v>0</v>
      </c>
      <c r="BO78">
        <f t="shared" si="46"/>
        <v>3</v>
      </c>
      <c r="BP78" s="13">
        <f t="shared" si="47"/>
        <v>4</v>
      </c>
      <c r="BQ78" s="13">
        <f>[1]!shannonweaver(K78:BL78)</f>
        <v>1.0397207708399179</v>
      </c>
      <c r="BR78">
        <f t="shared" si="86"/>
        <v>2</v>
      </c>
      <c r="BS78">
        <f t="shared" si="87"/>
        <v>0</v>
      </c>
      <c r="BT78">
        <f t="shared" si="88"/>
        <v>1</v>
      </c>
      <c r="BU78">
        <f t="shared" si="48"/>
        <v>3</v>
      </c>
      <c r="BV78" s="13">
        <f t="shared" si="49"/>
        <v>3</v>
      </c>
      <c r="BW78" s="13">
        <f t="shared" si="50"/>
        <v>0</v>
      </c>
      <c r="BX78" s="13">
        <f t="shared" si="51"/>
        <v>0</v>
      </c>
      <c r="BY78" s="13">
        <f t="shared" si="52"/>
        <v>0</v>
      </c>
      <c r="BZ78" s="13">
        <f t="shared" si="53"/>
        <v>0</v>
      </c>
      <c r="CA78" s="13">
        <f t="shared" si="54"/>
        <v>0</v>
      </c>
      <c r="CB78" s="13">
        <f t="shared" si="55"/>
        <v>1</v>
      </c>
      <c r="CC78" s="13">
        <f t="shared" si="56"/>
        <v>0</v>
      </c>
      <c r="CD78" s="13">
        <f t="shared" si="57"/>
        <v>1.7320508075688772</v>
      </c>
      <c r="CE78" s="13">
        <f t="shared" si="58"/>
        <v>2</v>
      </c>
      <c r="CF78" s="13">
        <f t="shared" si="59"/>
        <v>1.0196669901688089</v>
      </c>
      <c r="CG78" s="13">
        <f t="shared" si="60"/>
        <v>1.4142135623730951</v>
      </c>
      <c r="CH78" s="13">
        <f t="shared" si="61"/>
        <v>0</v>
      </c>
      <c r="CI78" s="13">
        <f t="shared" si="62"/>
        <v>1</v>
      </c>
      <c r="CJ78" s="13">
        <f t="shared" si="62"/>
        <v>1.7320508075688772</v>
      </c>
      <c r="CK78" s="13">
        <f t="shared" si="63"/>
        <v>1.7320508075688772</v>
      </c>
      <c r="CL78" s="13">
        <f t="shared" si="64"/>
        <v>0</v>
      </c>
      <c r="CM78" s="13">
        <f t="shared" si="65"/>
        <v>0</v>
      </c>
      <c r="CN78" s="13">
        <f t="shared" si="66"/>
        <v>0</v>
      </c>
      <c r="CO78" s="13">
        <f t="shared" si="67"/>
        <v>0</v>
      </c>
      <c r="CP78" s="13">
        <f t="shared" si="68"/>
        <v>0</v>
      </c>
      <c r="CQ78" s="13">
        <f t="shared" si="69"/>
        <v>1</v>
      </c>
      <c r="CR78" s="13">
        <f t="shared" si="70"/>
        <v>0</v>
      </c>
      <c r="CS78" s="13">
        <f t="shared" si="71"/>
        <v>1.3862943611198906</v>
      </c>
      <c r="CT78" s="13">
        <f t="shared" si="72"/>
        <v>1.6094379124341003</v>
      </c>
      <c r="CU78" s="13">
        <f t="shared" si="73"/>
        <v>0.7128129214483524</v>
      </c>
      <c r="CV78" s="13">
        <f t="shared" si="74"/>
        <v>1.0986122886681098</v>
      </c>
      <c r="CW78" s="13">
        <f t="shared" si="75"/>
        <v>0</v>
      </c>
      <c r="CX78" s="13">
        <f t="shared" si="76"/>
        <v>0.69314718055994529</v>
      </c>
      <c r="CY78" s="13">
        <f t="shared" si="77"/>
        <v>1.3862943611198906</v>
      </c>
      <c r="CZ78" s="13">
        <f t="shared" si="78"/>
        <v>1.3862943611198906</v>
      </c>
      <c r="DA78" s="13">
        <f t="shared" si="79"/>
        <v>0</v>
      </c>
      <c r="DB78" s="13">
        <f t="shared" si="80"/>
        <v>0</v>
      </c>
      <c r="DC78" s="13">
        <f t="shared" si="81"/>
        <v>0</v>
      </c>
      <c r="DD78" s="13">
        <f t="shared" si="82"/>
        <v>0</v>
      </c>
      <c r="DE78" s="13">
        <f t="shared" si="83"/>
        <v>0</v>
      </c>
      <c r="DF78" s="13">
        <f t="shared" si="84"/>
        <v>0.69314718055994529</v>
      </c>
      <c r="DG78" s="13">
        <f t="shared" si="85"/>
        <v>0</v>
      </c>
      <c r="DH78" s="13"/>
      <c r="DI78" s="13"/>
      <c r="DJ78" s="13"/>
      <c r="DL78"/>
      <c r="DM78"/>
      <c r="DN78"/>
      <c r="DO78"/>
      <c r="DP78" s="31"/>
    </row>
    <row r="79" spans="1:120">
      <c r="A79" s="13" t="s">
        <v>203</v>
      </c>
      <c r="B79" t="s">
        <v>176</v>
      </c>
      <c r="C79" t="s">
        <v>177</v>
      </c>
      <c r="D79" s="13" t="s">
        <v>319</v>
      </c>
      <c r="E79" s="13" t="s">
        <v>283</v>
      </c>
      <c r="F79" s="13">
        <v>0</v>
      </c>
      <c r="G79" s="13">
        <v>0</v>
      </c>
      <c r="H79" s="13">
        <v>0</v>
      </c>
      <c r="I79" s="13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32">
        <v>0</v>
      </c>
      <c r="Z79" s="32">
        <v>0</v>
      </c>
      <c r="AA79" s="32">
        <v>0</v>
      </c>
      <c r="AB79" s="13">
        <v>1</v>
      </c>
      <c r="AC79" s="32">
        <v>0</v>
      </c>
      <c r="AD79" s="32">
        <v>0</v>
      </c>
      <c r="AE79" s="13">
        <v>1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 s="32">
        <v>0</v>
      </c>
      <c r="BD79" s="32">
        <v>0</v>
      </c>
      <c r="BE79" s="32">
        <v>0</v>
      </c>
      <c r="BF79" s="32">
        <v>0</v>
      </c>
      <c r="BG79" s="32">
        <v>0</v>
      </c>
      <c r="BH79" s="32">
        <v>0</v>
      </c>
      <c r="BI79" s="32">
        <v>0</v>
      </c>
      <c r="BJ79" s="32">
        <v>0</v>
      </c>
      <c r="BK79" s="32">
        <v>0</v>
      </c>
      <c r="BL79" s="32">
        <v>0</v>
      </c>
      <c r="BM79" s="32">
        <v>0</v>
      </c>
      <c r="BN79" s="32">
        <v>0</v>
      </c>
      <c r="BO79">
        <f t="shared" si="46"/>
        <v>2</v>
      </c>
      <c r="BP79" s="13">
        <f t="shared" si="47"/>
        <v>2</v>
      </c>
      <c r="BQ79" s="13">
        <f>[1]!shannonweaver(K79:BL79)</f>
        <v>0.69314718055994529</v>
      </c>
      <c r="BR79">
        <f t="shared" si="86"/>
        <v>0</v>
      </c>
      <c r="BS79">
        <f t="shared" si="87"/>
        <v>2</v>
      </c>
      <c r="BT79">
        <f t="shared" si="88"/>
        <v>0</v>
      </c>
      <c r="BU79">
        <f t="shared" si="48"/>
        <v>0</v>
      </c>
      <c r="BV79" s="13">
        <f t="shared" si="49"/>
        <v>0</v>
      </c>
      <c r="BW79" s="13">
        <f t="shared" si="50"/>
        <v>1</v>
      </c>
      <c r="BX79" s="13">
        <f t="shared" si="51"/>
        <v>1</v>
      </c>
      <c r="BY79" s="13">
        <f t="shared" si="52"/>
        <v>2</v>
      </c>
      <c r="BZ79" s="13">
        <f t="shared" si="53"/>
        <v>0</v>
      </c>
      <c r="CA79" s="13">
        <f t="shared" si="54"/>
        <v>2</v>
      </c>
      <c r="CB79" s="13">
        <f t="shared" si="55"/>
        <v>0</v>
      </c>
      <c r="CC79" s="13">
        <f t="shared" si="56"/>
        <v>0</v>
      </c>
      <c r="CD79" s="13">
        <f t="shared" si="57"/>
        <v>1.4142135623730951</v>
      </c>
      <c r="CE79" s="13">
        <f t="shared" si="58"/>
        <v>1.4142135623730951</v>
      </c>
      <c r="CF79" s="13">
        <f t="shared" si="59"/>
        <v>0.83255461115769769</v>
      </c>
      <c r="CG79" s="13">
        <f t="shared" si="60"/>
        <v>0</v>
      </c>
      <c r="CH79" s="13">
        <f t="shared" si="61"/>
        <v>1.4142135623730951</v>
      </c>
      <c r="CI79" s="13">
        <f t="shared" si="62"/>
        <v>0</v>
      </c>
      <c r="CJ79" s="13">
        <f t="shared" si="62"/>
        <v>0</v>
      </c>
      <c r="CK79" s="13">
        <f t="shared" si="63"/>
        <v>0</v>
      </c>
      <c r="CL79" s="13">
        <f t="shared" si="64"/>
        <v>1</v>
      </c>
      <c r="CM79" s="13">
        <f t="shared" si="65"/>
        <v>1</v>
      </c>
      <c r="CN79" s="13">
        <f t="shared" si="66"/>
        <v>1.4142135623730951</v>
      </c>
      <c r="CO79" s="13">
        <f t="shared" si="67"/>
        <v>0</v>
      </c>
      <c r="CP79" s="13">
        <f t="shared" si="68"/>
        <v>1.4142135623730951</v>
      </c>
      <c r="CQ79" s="13">
        <f t="shared" si="69"/>
        <v>0</v>
      </c>
      <c r="CR79" s="13">
        <f t="shared" si="70"/>
        <v>0</v>
      </c>
      <c r="CS79" s="13">
        <f t="shared" si="71"/>
        <v>1.0986122886681098</v>
      </c>
      <c r="CT79" s="13">
        <f t="shared" si="72"/>
        <v>1.0986122886681098</v>
      </c>
      <c r="CU79" s="13">
        <f t="shared" si="73"/>
        <v>0.52658903413904457</v>
      </c>
      <c r="CV79" s="13">
        <f t="shared" si="74"/>
        <v>0</v>
      </c>
      <c r="CW79" s="13">
        <f t="shared" si="75"/>
        <v>1.0986122886681098</v>
      </c>
      <c r="CX79" s="13">
        <f t="shared" si="76"/>
        <v>0</v>
      </c>
      <c r="CY79" s="13">
        <f t="shared" si="77"/>
        <v>0</v>
      </c>
      <c r="CZ79" s="13">
        <f t="shared" si="78"/>
        <v>0</v>
      </c>
      <c r="DA79" s="13">
        <f t="shared" si="79"/>
        <v>0.69314718055994529</v>
      </c>
      <c r="DB79" s="13">
        <f t="shared" si="80"/>
        <v>0.69314718055994529</v>
      </c>
      <c r="DC79" s="13">
        <f t="shared" si="81"/>
        <v>1.0986122886681098</v>
      </c>
      <c r="DD79" s="13">
        <f t="shared" si="82"/>
        <v>0</v>
      </c>
      <c r="DE79" s="13">
        <f t="shared" si="83"/>
        <v>1.0986122886681098</v>
      </c>
      <c r="DF79" s="13">
        <f t="shared" si="84"/>
        <v>0</v>
      </c>
      <c r="DG79" s="13">
        <f t="shared" si="85"/>
        <v>0</v>
      </c>
      <c r="DH79" s="13"/>
      <c r="DI79" s="13"/>
      <c r="DJ79" s="13"/>
      <c r="DL79"/>
      <c r="DM79"/>
      <c r="DN79"/>
      <c r="DO79"/>
      <c r="DP79" s="31"/>
    </row>
    <row r="80" spans="1:120">
      <c r="A80" s="13" t="s">
        <v>100</v>
      </c>
      <c r="B80" t="s">
        <v>176</v>
      </c>
      <c r="C80" t="s">
        <v>204</v>
      </c>
      <c r="D80" s="13" t="s">
        <v>319</v>
      </c>
      <c r="E80" s="13" t="s">
        <v>283</v>
      </c>
      <c r="F80" s="13">
        <v>0</v>
      </c>
      <c r="G80" s="13">
        <v>0</v>
      </c>
      <c r="H80" s="13">
        <v>0</v>
      </c>
      <c r="I80" s="13">
        <v>0</v>
      </c>
      <c r="J80" s="32">
        <v>0</v>
      </c>
      <c r="K80" s="32">
        <v>0</v>
      </c>
      <c r="L80" s="32">
        <v>0</v>
      </c>
      <c r="M80" s="32">
        <v>0</v>
      </c>
      <c r="N80" s="32">
        <v>0</v>
      </c>
      <c r="O80" s="13">
        <v>3</v>
      </c>
      <c r="P80" s="13">
        <v>1</v>
      </c>
      <c r="Q80" s="32">
        <v>0</v>
      </c>
      <c r="R80" s="32">
        <v>0</v>
      </c>
      <c r="S80" s="32">
        <v>0</v>
      </c>
      <c r="T80" s="32">
        <v>0</v>
      </c>
      <c r="U80" s="32">
        <v>0</v>
      </c>
      <c r="V80" s="13">
        <v>1</v>
      </c>
      <c r="W80" s="32">
        <v>0</v>
      </c>
      <c r="X80" s="32">
        <v>0</v>
      </c>
      <c r="Y80" s="32">
        <v>0</v>
      </c>
      <c r="Z80" s="32">
        <v>0</v>
      </c>
      <c r="AA80" s="32">
        <v>0</v>
      </c>
      <c r="AB80" s="13">
        <v>3</v>
      </c>
      <c r="AC80" s="32">
        <v>0</v>
      </c>
      <c r="AD80" s="13">
        <v>2</v>
      </c>
      <c r="AE80" s="13">
        <v>4</v>
      </c>
      <c r="AF80" s="32">
        <v>0</v>
      </c>
      <c r="AG80" s="32">
        <v>0</v>
      </c>
      <c r="AH80" s="13">
        <v>1</v>
      </c>
      <c r="AI80" s="32">
        <v>0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13">
        <v>1</v>
      </c>
      <c r="BA80" s="32">
        <v>0</v>
      </c>
      <c r="BB80" s="32">
        <v>0</v>
      </c>
      <c r="BC80" s="32">
        <v>0</v>
      </c>
      <c r="BD80" s="32">
        <v>0</v>
      </c>
      <c r="BE80" s="32">
        <v>0</v>
      </c>
      <c r="BF80" s="32">
        <v>0</v>
      </c>
      <c r="BG80" s="32">
        <v>0</v>
      </c>
      <c r="BH80" s="32">
        <v>0</v>
      </c>
      <c r="BI80" s="32">
        <v>0</v>
      </c>
      <c r="BJ80" s="32">
        <v>0</v>
      </c>
      <c r="BK80" s="32">
        <v>0</v>
      </c>
      <c r="BL80" s="32">
        <v>0</v>
      </c>
      <c r="BM80" s="32">
        <v>0</v>
      </c>
      <c r="BN80" s="32">
        <v>0</v>
      </c>
      <c r="BO80">
        <f t="shared" si="46"/>
        <v>8</v>
      </c>
      <c r="BP80" s="13">
        <f t="shared" si="47"/>
        <v>16</v>
      </c>
      <c r="BQ80" s="13">
        <f>[1]!shannonweaver(K80:BL80)</f>
        <v>1.9273921261392744</v>
      </c>
      <c r="BR80">
        <f t="shared" si="86"/>
        <v>3</v>
      </c>
      <c r="BS80">
        <f t="shared" si="87"/>
        <v>4</v>
      </c>
      <c r="BT80">
        <f t="shared" si="88"/>
        <v>1</v>
      </c>
      <c r="BU80">
        <f t="shared" si="48"/>
        <v>4</v>
      </c>
      <c r="BV80" s="13">
        <f t="shared" si="49"/>
        <v>5</v>
      </c>
      <c r="BW80" s="13">
        <f t="shared" si="50"/>
        <v>5</v>
      </c>
      <c r="BX80" s="13">
        <f t="shared" si="51"/>
        <v>4</v>
      </c>
      <c r="BY80" s="13">
        <f t="shared" si="52"/>
        <v>9</v>
      </c>
      <c r="BZ80" s="13">
        <f t="shared" si="53"/>
        <v>0</v>
      </c>
      <c r="CA80" s="13">
        <f t="shared" si="54"/>
        <v>10</v>
      </c>
      <c r="CB80" s="13">
        <f t="shared" si="55"/>
        <v>1</v>
      </c>
      <c r="CC80" s="13">
        <f t="shared" si="56"/>
        <v>0</v>
      </c>
      <c r="CD80" s="13">
        <f t="shared" si="57"/>
        <v>2.8284271247461903</v>
      </c>
      <c r="CE80" s="13">
        <f t="shared" si="58"/>
        <v>4</v>
      </c>
      <c r="CF80" s="13">
        <f t="shared" si="59"/>
        <v>1.3883054873259251</v>
      </c>
      <c r="CG80" s="13">
        <f t="shared" si="60"/>
        <v>1.7320508075688772</v>
      </c>
      <c r="CH80" s="13">
        <f t="shared" si="61"/>
        <v>2</v>
      </c>
      <c r="CI80" s="13">
        <f t="shared" si="62"/>
        <v>1</v>
      </c>
      <c r="CJ80" s="13">
        <f t="shared" si="62"/>
        <v>2</v>
      </c>
      <c r="CK80" s="13">
        <f t="shared" si="63"/>
        <v>2.2360679774997898</v>
      </c>
      <c r="CL80" s="13">
        <f t="shared" si="64"/>
        <v>2.2360679774997898</v>
      </c>
      <c r="CM80" s="13">
        <f t="shared" si="65"/>
        <v>2</v>
      </c>
      <c r="CN80" s="13">
        <f t="shared" si="66"/>
        <v>3</v>
      </c>
      <c r="CO80" s="13">
        <f t="shared" si="67"/>
        <v>0</v>
      </c>
      <c r="CP80" s="13">
        <f t="shared" si="68"/>
        <v>3.1622776601683795</v>
      </c>
      <c r="CQ80" s="13">
        <f t="shared" si="69"/>
        <v>1</v>
      </c>
      <c r="CR80" s="13">
        <f t="shared" si="70"/>
        <v>0</v>
      </c>
      <c r="CS80" s="13">
        <f t="shared" si="71"/>
        <v>2.1972245773362196</v>
      </c>
      <c r="CT80" s="13">
        <f t="shared" si="72"/>
        <v>2.8332133440562162</v>
      </c>
      <c r="CU80" s="13">
        <f t="shared" si="73"/>
        <v>1.0741119673528379</v>
      </c>
      <c r="CV80" s="13">
        <f t="shared" si="74"/>
        <v>1.3862943611198906</v>
      </c>
      <c r="CW80" s="13">
        <f t="shared" si="75"/>
        <v>1.6094379124341003</v>
      </c>
      <c r="CX80" s="13">
        <f t="shared" si="76"/>
        <v>0.69314718055994529</v>
      </c>
      <c r="CY80" s="13">
        <f t="shared" si="77"/>
        <v>1.6094379124341003</v>
      </c>
      <c r="CZ80" s="13">
        <f t="shared" si="78"/>
        <v>1.791759469228055</v>
      </c>
      <c r="DA80" s="13">
        <f t="shared" si="79"/>
        <v>1.791759469228055</v>
      </c>
      <c r="DB80" s="13">
        <f t="shared" si="80"/>
        <v>1.6094379124341003</v>
      </c>
      <c r="DC80" s="13">
        <f t="shared" si="81"/>
        <v>2.3025850929940459</v>
      </c>
      <c r="DD80" s="13">
        <f t="shared" si="82"/>
        <v>0</v>
      </c>
      <c r="DE80" s="13">
        <f t="shared" si="83"/>
        <v>2.3978952727983707</v>
      </c>
      <c r="DF80" s="13">
        <f t="shared" si="84"/>
        <v>0.69314718055994529</v>
      </c>
      <c r="DG80" s="13">
        <f t="shared" si="85"/>
        <v>0</v>
      </c>
      <c r="DH80" s="13"/>
      <c r="DI80" s="13"/>
      <c r="DJ80" s="13"/>
      <c r="DL80"/>
      <c r="DM80"/>
      <c r="DN80"/>
      <c r="DO80"/>
      <c r="DP80" s="31"/>
    </row>
    <row r="81" spans="1:120">
      <c r="A81" s="13" t="s">
        <v>99</v>
      </c>
      <c r="B81" t="s">
        <v>176</v>
      </c>
      <c r="C81" t="s">
        <v>204</v>
      </c>
      <c r="D81" s="13" t="s">
        <v>319</v>
      </c>
      <c r="E81" s="13" t="s">
        <v>283</v>
      </c>
      <c r="F81" s="13">
        <v>0</v>
      </c>
      <c r="G81" s="13">
        <v>0</v>
      </c>
      <c r="H81" s="13">
        <v>0</v>
      </c>
      <c r="I81" s="13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13">
        <v>2</v>
      </c>
      <c r="P81" s="13">
        <v>0</v>
      </c>
      <c r="Q81" s="32">
        <v>0</v>
      </c>
      <c r="R81" s="32">
        <v>0</v>
      </c>
      <c r="S81" s="32">
        <v>0</v>
      </c>
      <c r="T81" s="32">
        <v>0</v>
      </c>
      <c r="U81" s="32">
        <v>0</v>
      </c>
      <c r="V81" s="13">
        <v>1</v>
      </c>
      <c r="W81" s="32">
        <v>0</v>
      </c>
      <c r="X81" s="32">
        <v>0</v>
      </c>
      <c r="Y81" s="32">
        <v>0</v>
      </c>
      <c r="Z81" s="32">
        <v>0</v>
      </c>
      <c r="AA81" s="32">
        <v>0</v>
      </c>
      <c r="AB81" s="13">
        <v>4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 s="32">
        <v>0</v>
      </c>
      <c r="BD81" s="32">
        <v>0</v>
      </c>
      <c r="BE81" s="32">
        <v>0</v>
      </c>
      <c r="BF81" s="32">
        <v>0</v>
      </c>
      <c r="BG81" s="32">
        <v>0</v>
      </c>
      <c r="BH81" s="32">
        <v>0</v>
      </c>
      <c r="BI81" s="32">
        <v>0</v>
      </c>
      <c r="BJ81" s="32">
        <v>0</v>
      </c>
      <c r="BK81" s="32">
        <v>0</v>
      </c>
      <c r="BL81" s="32">
        <v>0</v>
      </c>
      <c r="BM81" s="32">
        <v>0</v>
      </c>
      <c r="BN81" s="32">
        <v>0</v>
      </c>
      <c r="BO81">
        <f t="shared" si="46"/>
        <v>3</v>
      </c>
      <c r="BP81" s="13">
        <f t="shared" si="47"/>
        <v>7</v>
      </c>
      <c r="BQ81" s="13">
        <f>[1]!shannonweaver(K81:BL81)</f>
        <v>0.95569989111253428</v>
      </c>
      <c r="BR81">
        <f t="shared" si="86"/>
        <v>2</v>
      </c>
      <c r="BS81">
        <f t="shared" si="87"/>
        <v>1</v>
      </c>
      <c r="BT81">
        <f t="shared" si="88"/>
        <v>0</v>
      </c>
      <c r="BU81">
        <f t="shared" si="48"/>
        <v>2</v>
      </c>
      <c r="BV81" s="13">
        <f t="shared" si="49"/>
        <v>3</v>
      </c>
      <c r="BW81" s="13">
        <f t="shared" si="50"/>
        <v>4</v>
      </c>
      <c r="BX81" s="13">
        <f t="shared" si="51"/>
        <v>0</v>
      </c>
      <c r="BY81" s="13">
        <f t="shared" si="52"/>
        <v>4</v>
      </c>
      <c r="BZ81" s="13">
        <f t="shared" si="53"/>
        <v>0</v>
      </c>
      <c r="CA81" s="13">
        <f t="shared" si="54"/>
        <v>4</v>
      </c>
      <c r="CB81" s="13">
        <f t="shared" si="55"/>
        <v>0</v>
      </c>
      <c r="CC81" s="13">
        <f t="shared" si="56"/>
        <v>0</v>
      </c>
      <c r="CD81" s="13">
        <f t="shared" si="57"/>
        <v>1.7320508075688772</v>
      </c>
      <c r="CE81" s="13">
        <f t="shared" si="58"/>
        <v>2.6457513110645907</v>
      </c>
      <c r="CF81" s="13">
        <f t="shared" si="59"/>
        <v>0.97759904414465049</v>
      </c>
      <c r="CG81" s="13">
        <f t="shared" si="60"/>
        <v>1.4142135623730951</v>
      </c>
      <c r="CH81" s="13">
        <f t="shared" si="61"/>
        <v>1</v>
      </c>
      <c r="CI81" s="13">
        <f t="shared" si="62"/>
        <v>0</v>
      </c>
      <c r="CJ81" s="13">
        <f t="shared" si="62"/>
        <v>1.4142135623730951</v>
      </c>
      <c r="CK81" s="13">
        <f t="shared" si="63"/>
        <v>1.7320508075688772</v>
      </c>
      <c r="CL81" s="13">
        <f t="shared" si="64"/>
        <v>2</v>
      </c>
      <c r="CM81" s="13">
        <f t="shared" si="65"/>
        <v>0</v>
      </c>
      <c r="CN81" s="13">
        <f t="shared" si="66"/>
        <v>2</v>
      </c>
      <c r="CO81" s="13">
        <f t="shared" si="67"/>
        <v>0</v>
      </c>
      <c r="CP81" s="13">
        <f t="shared" si="68"/>
        <v>2</v>
      </c>
      <c r="CQ81" s="13">
        <f t="shared" si="69"/>
        <v>0</v>
      </c>
      <c r="CR81" s="13">
        <f t="shared" si="70"/>
        <v>0</v>
      </c>
      <c r="CS81" s="13">
        <f t="shared" si="71"/>
        <v>1.3862943611198906</v>
      </c>
      <c r="CT81" s="13">
        <f t="shared" si="72"/>
        <v>2.0794415416798357</v>
      </c>
      <c r="CU81" s="13">
        <f t="shared" si="73"/>
        <v>0.67074812993948685</v>
      </c>
      <c r="CV81" s="13">
        <f t="shared" si="74"/>
        <v>1.0986122886681098</v>
      </c>
      <c r="CW81" s="13">
        <f t="shared" si="75"/>
        <v>0.69314718055994529</v>
      </c>
      <c r="CX81" s="13">
        <f t="shared" si="76"/>
        <v>0</v>
      </c>
      <c r="CY81" s="13">
        <f t="shared" si="77"/>
        <v>1.0986122886681098</v>
      </c>
      <c r="CZ81" s="13">
        <f t="shared" si="78"/>
        <v>1.3862943611198906</v>
      </c>
      <c r="DA81" s="13">
        <f t="shared" si="79"/>
        <v>1.6094379124341003</v>
      </c>
      <c r="DB81" s="13">
        <f t="shared" si="80"/>
        <v>0</v>
      </c>
      <c r="DC81" s="13">
        <f t="shared" si="81"/>
        <v>1.6094379124341003</v>
      </c>
      <c r="DD81" s="13">
        <f t="shared" si="82"/>
        <v>0</v>
      </c>
      <c r="DE81" s="13">
        <f t="shared" si="83"/>
        <v>1.6094379124341003</v>
      </c>
      <c r="DF81" s="13">
        <f t="shared" si="84"/>
        <v>0</v>
      </c>
      <c r="DG81" s="13">
        <f t="shared" si="85"/>
        <v>0</v>
      </c>
      <c r="DH81" s="13"/>
      <c r="DI81" s="13"/>
      <c r="DJ81" s="13"/>
      <c r="DL81"/>
      <c r="DM81"/>
      <c r="DN81"/>
      <c r="DO81"/>
      <c r="DP81" s="31"/>
    </row>
    <row r="82" spans="1:120">
      <c r="A82" s="13" t="s">
        <v>102</v>
      </c>
      <c r="B82" t="s">
        <v>176</v>
      </c>
      <c r="C82" t="s">
        <v>204</v>
      </c>
      <c r="D82" s="13" t="s">
        <v>319</v>
      </c>
      <c r="E82" s="13" t="s">
        <v>283</v>
      </c>
      <c r="F82" s="13">
        <v>0</v>
      </c>
      <c r="G82" s="13">
        <v>0</v>
      </c>
      <c r="H82" s="13">
        <v>0</v>
      </c>
      <c r="I82" s="13">
        <v>0</v>
      </c>
      <c r="J82" s="32">
        <v>0</v>
      </c>
      <c r="K82" s="32">
        <v>0</v>
      </c>
      <c r="L82" s="32">
        <v>0</v>
      </c>
      <c r="M82" s="32">
        <v>0</v>
      </c>
      <c r="N82" s="32">
        <v>0</v>
      </c>
      <c r="O82" s="13">
        <v>1</v>
      </c>
      <c r="P82" s="13">
        <v>1</v>
      </c>
      <c r="Q82" s="32">
        <v>0</v>
      </c>
      <c r="R82" s="13">
        <v>1</v>
      </c>
      <c r="S82" s="32">
        <v>0</v>
      </c>
      <c r="T82" s="13">
        <v>1</v>
      </c>
      <c r="U82" s="32">
        <v>0</v>
      </c>
      <c r="V82" s="32">
        <v>0</v>
      </c>
      <c r="W82" s="32">
        <v>0</v>
      </c>
      <c r="X82" s="32">
        <v>0</v>
      </c>
      <c r="Y82" s="32">
        <v>0</v>
      </c>
      <c r="Z82" s="32">
        <v>0</v>
      </c>
      <c r="AA82" s="32">
        <v>0</v>
      </c>
      <c r="AB82" s="13">
        <v>1</v>
      </c>
      <c r="AC82" s="32">
        <v>0</v>
      </c>
      <c r="AD82" s="32">
        <v>0</v>
      </c>
      <c r="AE82" s="13">
        <v>1</v>
      </c>
      <c r="AF82" s="32">
        <v>0</v>
      </c>
      <c r="AG82" s="13">
        <v>1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 s="32">
        <v>0</v>
      </c>
      <c r="BD82" s="32">
        <v>0</v>
      </c>
      <c r="BE82" s="32">
        <v>0</v>
      </c>
      <c r="BF82" s="32">
        <v>0</v>
      </c>
      <c r="BG82" s="32">
        <v>0</v>
      </c>
      <c r="BH82" s="32">
        <v>0</v>
      </c>
      <c r="BI82" s="32">
        <v>0</v>
      </c>
      <c r="BJ82" s="32">
        <v>0</v>
      </c>
      <c r="BK82" s="13">
        <v>1</v>
      </c>
      <c r="BL82" s="32">
        <v>0</v>
      </c>
      <c r="BM82" s="32">
        <v>0</v>
      </c>
      <c r="BN82" s="32">
        <v>0</v>
      </c>
      <c r="BO82">
        <f t="shared" si="46"/>
        <v>8</v>
      </c>
      <c r="BP82" s="13">
        <f t="shared" si="47"/>
        <v>8</v>
      </c>
      <c r="BQ82" s="13">
        <f>[1]!shannonweaver(K82:BL82)</f>
        <v>2.0794415416798357</v>
      </c>
      <c r="BR82">
        <f t="shared" si="86"/>
        <v>4</v>
      </c>
      <c r="BS82">
        <f t="shared" si="87"/>
        <v>3</v>
      </c>
      <c r="BT82">
        <f t="shared" si="88"/>
        <v>0</v>
      </c>
      <c r="BU82">
        <f t="shared" si="48"/>
        <v>3</v>
      </c>
      <c r="BV82" s="13">
        <f t="shared" si="49"/>
        <v>4</v>
      </c>
      <c r="BW82" s="13">
        <f t="shared" si="50"/>
        <v>1</v>
      </c>
      <c r="BX82" s="13">
        <f t="shared" si="51"/>
        <v>1</v>
      </c>
      <c r="BY82" s="13">
        <f t="shared" si="52"/>
        <v>2</v>
      </c>
      <c r="BZ82" s="13">
        <f t="shared" si="53"/>
        <v>1</v>
      </c>
      <c r="CA82" s="13">
        <f t="shared" si="54"/>
        <v>3</v>
      </c>
      <c r="CB82" s="13">
        <f t="shared" si="55"/>
        <v>0</v>
      </c>
      <c r="CC82" s="13">
        <f t="shared" si="56"/>
        <v>1</v>
      </c>
      <c r="CD82" s="13">
        <f t="shared" si="57"/>
        <v>2.8284271247461903</v>
      </c>
      <c r="CE82" s="13">
        <f t="shared" si="58"/>
        <v>2.8284271247461903</v>
      </c>
      <c r="CF82" s="13">
        <f t="shared" si="59"/>
        <v>1.442026886600883</v>
      </c>
      <c r="CG82" s="13">
        <f t="shared" si="60"/>
        <v>2</v>
      </c>
      <c r="CH82" s="13">
        <f t="shared" si="61"/>
        <v>1.7320508075688772</v>
      </c>
      <c r="CI82" s="13">
        <f t="shared" si="62"/>
        <v>0</v>
      </c>
      <c r="CJ82" s="13">
        <f t="shared" si="62"/>
        <v>1.7320508075688772</v>
      </c>
      <c r="CK82" s="13">
        <f t="shared" si="63"/>
        <v>2</v>
      </c>
      <c r="CL82" s="13">
        <f t="shared" si="64"/>
        <v>1</v>
      </c>
      <c r="CM82" s="13">
        <f t="shared" si="65"/>
        <v>1</v>
      </c>
      <c r="CN82" s="13">
        <f t="shared" si="66"/>
        <v>1.4142135623730951</v>
      </c>
      <c r="CO82" s="13">
        <f t="shared" si="67"/>
        <v>1</v>
      </c>
      <c r="CP82" s="13">
        <f t="shared" si="68"/>
        <v>1.7320508075688772</v>
      </c>
      <c r="CQ82" s="13">
        <f t="shared" si="69"/>
        <v>0</v>
      </c>
      <c r="CR82" s="13">
        <f t="shared" si="70"/>
        <v>1</v>
      </c>
      <c r="CS82" s="13">
        <f t="shared" si="71"/>
        <v>2.1972245773362196</v>
      </c>
      <c r="CT82" s="13">
        <f t="shared" si="72"/>
        <v>2.1972245773362196</v>
      </c>
      <c r="CU82" s="13">
        <f t="shared" si="73"/>
        <v>1.1247482629090362</v>
      </c>
      <c r="CV82" s="13">
        <f t="shared" si="74"/>
        <v>1.6094379124341003</v>
      </c>
      <c r="CW82" s="13">
        <f t="shared" si="75"/>
        <v>1.3862943611198906</v>
      </c>
      <c r="CX82" s="13">
        <f t="shared" si="76"/>
        <v>0</v>
      </c>
      <c r="CY82" s="13">
        <f t="shared" si="77"/>
        <v>1.3862943611198906</v>
      </c>
      <c r="CZ82" s="13">
        <f t="shared" si="78"/>
        <v>1.6094379124341003</v>
      </c>
      <c r="DA82" s="13">
        <f t="shared" si="79"/>
        <v>0.69314718055994529</v>
      </c>
      <c r="DB82" s="13">
        <f t="shared" si="80"/>
        <v>0.69314718055994529</v>
      </c>
      <c r="DC82" s="13">
        <f t="shared" si="81"/>
        <v>1.0986122886681098</v>
      </c>
      <c r="DD82" s="13">
        <f t="shared" si="82"/>
        <v>0.69314718055994529</v>
      </c>
      <c r="DE82" s="13">
        <f t="shared" si="83"/>
        <v>1.3862943611198906</v>
      </c>
      <c r="DF82" s="13">
        <f t="shared" si="84"/>
        <v>0</v>
      </c>
      <c r="DG82" s="13">
        <f t="shared" si="85"/>
        <v>0.69314718055994529</v>
      </c>
      <c r="DH82" s="13"/>
      <c r="DI82" s="13"/>
      <c r="DJ82" s="13"/>
      <c r="DL82"/>
      <c r="DM82"/>
      <c r="DN82"/>
      <c r="DO82"/>
      <c r="DP82" s="31"/>
    </row>
    <row r="83" spans="1:120">
      <c r="A83" s="13" t="s">
        <v>118</v>
      </c>
      <c r="B83" t="s">
        <v>176</v>
      </c>
      <c r="C83" t="s">
        <v>204</v>
      </c>
      <c r="D83" s="13" t="s">
        <v>319</v>
      </c>
      <c r="E83" s="13" t="s">
        <v>283</v>
      </c>
      <c r="F83" s="13">
        <v>0</v>
      </c>
      <c r="G83" s="13">
        <v>0</v>
      </c>
      <c r="H83" s="13">
        <v>0</v>
      </c>
      <c r="I83" s="13">
        <v>0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13">
        <v>1</v>
      </c>
      <c r="P83" s="13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32">
        <v>0</v>
      </c>
      <c r="AB83" s="32">
        <v>0</v>
      </c>
      <c r="AC83" s="32">
        <v>0</v>
      </c>
      <c r="AD83" s="13">
        <v>9</v>
      </c>
      <c r="AE83" s="13">
        <v>3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 s="32">
        <v>0</v>
      </c>
      <c r="BD83" s="32">
        <v>0</v>
      </c>
      <c r="BE83" s="32">
        <v>0</v>
      </c>
      <c r="BF83" s="32">
        <v>0</v>
      </c>
      <c r="BG83" s="32">
        <v>0</v>
      </c>
      <c r="BH83" s="32">
        <v>0</v>
      </c>
      <c r="BI83" s="32">
        <v>0</v>
      </c>
      <c r="BJ83" s="32">
        <v>0</v>
      </c>
      <c r="BK83" s="32">
        <v>0</v>
      </c>
      <c r="BL83" s="32">
        <v>0</v>
      </c>
      <c r="BM83" s="32">
        <v>0</v>
      </c>
      <c r="BN83" s="32">
        <v>0</v>
      </c>
      <c r="BO83">
        <f t="shared" si="46"/>
        <v>3</v>
      </c>
      <c r="BP83" s="13">
        <f t="shared" si="47"/>
        <v>13</v>
      </c>
      <c r="BQ83" s="13">
        <f>[1]!shannonweaver(K83:BL83)</f>
        <v>0.79026796807459032</v>
      </c>
      <c r="BR83">
        <f t="shared" si="86"/>
        <v>1</v>
      </c>
      <c r="BS83">
        <f t="shared" si="87"/>
        <v>2</v>
      </c>
      <c r="BT83">
        <f t="shared" si="88"/>
        <v>0</v>
      </c>
      <c r="BU83">
        <f t="shared" si="48"/>
        <v>1</v>
      </c>
      <c r="BV83" s="13">
        <f t="shared" si="49"/>
        <v>1</v>
      </c>
      <c r="BW83" s="13">
        <f t="shared" si="50"/>
        <v>9</v>
      </c>
      <c r="BX83" s="13">
        <f t="shared" si="51"/>
        <v>3</v>
      </c>
      <c r="BY83" s="13">
        <f t="shared" si="52"/>
        <v>12</v>
      </c>
      <c r="BZ83" s="13">
        <f t="shared" si="53"/>
        <v>0</v>
      </c>
      <c r="CA83" s="13">
        <f t="shared" si="54"/>
        <v>12</v>
      </c>
      <c r="CB83" s="13">
        <f t="shared" si="55"/>
        <v>0</v>
      </c>
      <c r="CC83" s="13">
        <f t="shared" si="56"/>
        <v>0</v>
      </c>
      <c r="CD83" s="13">
        <f t="shared" si="57"/>
        <v>1.7320508075688772</v>
      </c>
      <c r="CE83" s="13">
        <f t="shared" si="58"/>
        <v>3.6055512754639891</v>
      </c>
      <c r="CF83" s="13">
        <f t="shared" si="59"/>
        <v>0.88897017276992496</v>
      </c>
      <c r="CG83" s="13">
        <f t="shared" si="60"/>
        <v>1</v>
      </c>
      <c r="CH83" s="13">
        <f t="shared" si="61"/>
        <v>1.4142135623730951</v>
      </c>
      <c r="CI83" s="13">
        <f t="shared" si="62"/>
        <v>0</v>
      </c>
      <c r="CJ83" s="13">
        <f t="shared" si="62"/>
        <v>1</v>
      </c>
      <c r="CK83" s="13">
        <f t="shared" si="63"/>
        <v>1</v>
      </c>
      <c r="CL83" s="13">
        <f t="shared" si="64"/>
        <v>3</v>
      </c>
      <c r="CM83" s="13">
        <f t="shared" si="65"/>
        <v>1.7320508075688772</v>
      </c>
      <c r="CN83" s="13">
        <f t="shared" si="66"/>
        <v>3.4641016151377544</v>
      </c>
      <c r="CO83" s="13">
        <f t="shared" si="67"/>
        <v>0</v>
      </c>
      <c r="CP83" s="13">
        <f t="shared" si="68"/>
        <v>3.4641016151377544</v>
      </c>
      <c r="CQ83" s="13">
        <f t="shared" si="69"/>
        <v>0</v>
      </c>
      <c r="CR83" s="13">
        <f t="shared" si="70"/>
        <v>0</v>
      </c>
      <c r="CS83" s="13">
        <f t="shared" si="71"/>
        <v>1.3862943611198906</v>
      </c>
      <c r="CT83" s="13">
        <f t="shared" si="72"/>
        <v>2.6390573296152584</v>
      </c>
      <c r="CU83" s="13">
        <f t="shared" si="73"/>
        <v>0.58236531148327908</v>
      </c>
      <c r="CV83" s="13">
        <f t="shared" si="74"/>
        <v>0.69314718055994529</v>
      </c>
      <c r="CW83" s="13">
        <f t="shared" si="75"/>
        <v>1.0986122886681098</v>
      </c>
      <c r="CX83" s="13">
        <f t="shared" si="76"/>
        <v>0</v>
      </c>
      <c r="CY83" s="13">
        <f t="shared" si="77"/>
        <v>0.69314718055994529</v>
      </c>
      <c r="CZ83" s="13">
        <f t="shared" si="78"/>
        <v>0.69314718055994529</v>
      </c>
      <c r="DA83" s="13">
        <f t="shared" si="79"/>
        <v>2.3025850929940459</v>
      </c>
      <c r="DB83" s="13">
        <f t="shared" si="80"/>
        <v>1.3862943611198906</v>
      </c>
      <c r="DC83" s="13">
        <f t="shared" si="81"/>
        <v>2.5649493574615367</v>
      </c>
      <c r="DD83" s="13">
        <f t="shared" si="82"/>
        <v>0</v>
      </c>
      <c r="DE83" s="13">
        <f t="shared" si="83"/>
        <v>2.5649493574615367</v>
      </c>
      <c r="DF83" s="13">
        <f t="shared" si="84"/>
        <v>0</v>
      </c>
      <c r="DG83" s="13">
        <f t="shared" si="85"/>
        <v>0</v>
      </c>
      <c r="DH83" s="13"/>
      <c r="DI83" s="13"/>
      <c r="DJ83" s="13"/>
      <c r="DL83"/>
      <c r="DM83"/>
      <c r="DN83"/>
      <c r="DO83"/>
      <c r="DP83" s="31"/>
    </row>
    <row r="84" spans="1:120">
      <c r="A84" s="13" t="s">
        <v>119</v>
      </c>
      <c r="B84" t="s">
        <v>176</v>
      </c>
      <c r="C84" t="s">
        <v>204</v>
      </c>
      <c r="D84" s="13" t="s">
        <v>319</v>
      </c>
      <c r="E84" s="13" t="s">
        <v>283</v>
      </c>
      <c r="F84" s="13">
        <v>0</v>
      </c>
      <c r="G84" s="13">
        <v>0</v>
      </c>
      <c r="H84" s="13">
        <v>0</v>
      </c>
      <c r="I84" s="13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32">
        <v>0</v>
      </c>
      <c r="T84" s="32">
        <v>0</v>
      </c>
      <c r="U84" s="32">
        <v>0</v>
      </c>
      <c r="V84" s="13">
        <v>1</v>
      </c>
      <c r="W84" s="32">
        <v>0</v>
      </c>
      <c r="X84" s="32">
        <v>0</v>
      </c>
      <c r="Y84" s="32">
        <v>0</v>
      </c>
      <c r="Z84" s="32">
        <v>0</v>
      </c>
      <c r="AA84" s="32">
        <v>0</v>
      </c>
      <c r="AB84" s="32">
        <v>0</v>
      </c>
      <c r="AC84" s="32">
        <v>0</v>
      </c>
      <c r="AD84" s="13">
        <v>1</v>
      </c>
      <c r="AE84" s="13">
        <v>1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 s="32">
        <v>0</v>
      </c>
      <c r="BD84" s="32">
        <v>0</v>
      </c>
      <c r="BE84" s="32">
        <v>0</v>
      </c>
      <c r="BF84" s="32">
        <v>0</v>
      </c>
      <c r="BG84" s="32">
        <v>0</v>
      </c>
      <c r="BH84" s="32">
        <v>0</v>
      </c>
      <c r="BI84" s="32">
        <v>0</v>
      </c>
      <c r="BJ84" s="32">
        <v>0</v>
      </c>
      <c r="BK84" s="32">
        <v>0</v>
      </c>
      <c r="BL84" s="32">
        <v>0</v>
      </c>
      <c r="BM84" s="32">
        <v>0</v>
      </c>
      <c r="BN84" s="32">
        <v>0</v>
      </c>
      <c r="BO84">
        <f t="shared" si="46"/>
        <v>3</v>
      </c>
      <c r="BP84" s="13">
        <f t="shared" si="47"/>
        <v>3</v>
      </c>
      <c r="BQ84" s="13">
        <f>[1]!shannonweaver(K84:BL84)</f>
        <v>1.0986122886681096</v>
      </c>
      <c r="BR84">
        <f t="shared" si="86"/>
        <v>1</v>
      </c>
      <c r="BS84">
        <f t="shared" si="87"/>
        <v>2</v>
      </c>
      <c r="BT84">
        <f t="shared" si="88"/>
        <v>0</v>
      </c>
      <c r="BU84">
        <f t="shared" si="48"/>
        <v>0</v>
      </c>
      <c r="BV84" s="13">
        <f t="shared" si="49"/>
        <v>1</v>
      </c>
      <c r="BW84" s="13">
        <f t="shared" si="50"/>
        <v>1</v>
      </c>
      <c r="BX84" s="13">
        <f t="shared" si="51"/>
        <v>1</v>
      </c>
      <c r="BY84" s="13">
        <f t="shared" si="52"/>
        <v>2</v>
      </c>
      <c r="BZ84" s="13">
        <f t="shared" si="53"/>
        <v>0</v>
      </c>
      <c r="CA84" s="13">
        <f t="shared" si="54"/>
        <v>2</v>
      </c>
      <c r="CB84" s="13">
        <f t="shared" si="55"/>
        <v>0</v>
      </c>
      <c r="CC84" s="13">
        <f t="shared" si="56"/>
        <v>0</v>
      </c>
      <c r="CD84" s="13">
        <f t="shared" si="57"/>
        <v>1.7320508075688772</v>
      </c>
      <c r="CE84" s="13">
        <f t="shared" si="58"/>
        <v>1.7320508075688772</v>
      </c>
      <c r="CF84" s="13">
        <f t="shared" si="59"/>
        <v>1.0481470739682048</v>
      </c>
      <c r="CG84" s="13">
        <f t="shared" si="60"/>
        <v>1</v>
      </c>
      <c r="CH84" s="13">
        <f t="shared" si="61"/>
        <v>1.4142135623730951</v>
      </c>
      <c r="CI84" s="13">
        <f t="shared" si="62"/>
        <v>0</v>
      </c>
      <c r="CJ84" s="13">
        <f t="shared" si="62"/>
        <v>0</v>
      </c>
      <c r="CK84" s="13">
        <f t="shared" si="63"/>
        <v>1</v>
      </c>
      <c r="CL84" s="13">
        <f t="shared" si="64"/>
        <v>1</v>
      </c>
      <c r="CM84" s="13">
        <f t="shared" si="65"/>
        <v>1</v>
      </c>
      <c r="CN84" s="13">
        <f t="shared" si="66"/>
        <v>1.4142135623730951</v>
      </c>
      <c r="CO84" s="13">
        <f t="shared" si="67"/>
        <v>0</v>
      </c>
      <c r="CP84" s="13">
        <f t="shared" si="68"/>
        <v>1.4142135623730951</v>
      </c>
      <c r="CQ84" s="13">
        <f t="shared" si="69"/>
        <v>0</v>
      </c>
      <c r="CR84" s="13">
        <f t="shared" si="70"/>
        <v>0</v>
      </c>
      <c r="CS84" s="13">
        <f t="shared" si="71"/>
        <v>1.3862943611198906</v>
      </c>
      <c r="CT84" s="13">
        <f t="shared" si="72"/>
        <v>1.3862943611198906</v>
      </c>
      <c r="CU84" s="13">
        <f t="shared" si="73"/>
        <v>0.74127631137501515</v>
      </c>
      <c r="CV84" s="13">
        <f t="shared" si="74"/>
        <v>0.69314718055994529</v>
      </c>
      <c r="CW84" s="13">
        <f t="shared" si="75"/>
        <v>1.0986122886681098</v>
      </c>
      <c r="CX84" s="13">
        <f t="shared" si="76"/>
        <v>0</v>
      </c>
      <c r="CY84" s="13">
        <f t="shared" si="77"/>
        <v>0</v>
      </c>
      <c r="CZ84" s="13">
        <f t="shared" si="78"/>
        <v>0.69314718055994529</v>
      </c>
      <c r="DA84" s="13">
        <f t="shared" si="79"/>
        <v>0.69314718055994529</v>
      </c>
      <c r="DB84" s="13">
        <f t="shared" si="80"/>
        <v>0.69314718055994529</v>
      </c>
      <c r="DC84" s="13">
        <f t="shared" si="81"/>
        <v>1.0986122886681098</v>
      </c>
      <c r="DD84" s="13">
        <f t="shared" si="82"/>
        <v>0</v>
      </c>
      <c r="DE84" s="13">
        <f t="shared" si="83"/>
        <v>1.0986122886681098</v>
      </c>
      <c r="DF84" s="13">
        <f t="shared" si="84"/>
        <v>0</v>
      </c>
      <c r="DG84" s="13">
        <f t="shared" si="85"/>
        <v>0</v>
      </c>
      <c r="DH84" s="13"/>
      <c r="DI84" s="13"/>
      <c r="DJ84" s="13"/>
      <c r="DL84"/>
      <c r="DM84"/>
      <c r="DN84"/>
      <c r="DO84"/>
      <c r="DP84" s="31"/>
    </row>
    <row r="85" spans="1:120">
      <c r="A85" s="13" t="s">
        <v>137</v>
      </c>
      <c r="B85" t="s">
        <v>176</v>
      </c>
      <c r="C85" t="s">
        <v>204</v>
      </c>
      <c r="D85" s="13" t="s">
        <v>319</v>
      </c>
      <c r="E85" s="13" t="s">
        <v>283</v>
      </c>
      <c r="F85" s="13">
        <v>0</v>
      </c>
      <c r="G85" s="13">
        <v>0</v>
      </c>
      <c r="H85" s="13">
        <v>0</v>
      </c>
      <c r="I85" s="13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13">
        <v>1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13">
        <v>1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 s="32">
        <v>0</v>
      </c>
      <c r="BD85" s="32">
        <v>0</v>
      </c>
      <c r="BE85" s="32">
        <v>0</v>
      </c>
      <c r="BF85" s="32">
        <v>0</v>
      </c>
      <c r="BG85" s="32">
        <v>0</v>
      </c>
      <c r="BH85" s="32">
        <v>0</v>
      </c>
      <c r="BI85" s="32">
        <v>0</v>
      </c>
      <c r="BJ85" s="32">
        <v>0</v>
      </c>
      <c r="BK85" s="32">
        <v>0</v>
      </c>
      <c r="BL85" s="32">
        <v>0</v>
      </c>
      <c r="BM85" s="32">
        <v>0</v>
      </c>
      <c r="BN85" s="32">
        <v>0</v>
      </c>
      <c r="BO85">
        <f t="shared" si="46"/>
        <v>2</v>
      </c>
      <c r="BP85" s="13">
        <f t="shared" si="47"/>
        <v>2</v>
      </c>
      <c r="BQ85" s="13">
        <f>[1]!shannonweaver(K85:BL85)</f>
        <v>0.69314718055994529</v>
      </c>
      <c r="BR85">
        <f t="shared" si="86"/>
        <v>1</v>
      </c>
      <c r="BS85">
        <f t="shared" si="87"/>
        <v>1</v>
      </c>
      <c r="BT85">
        <f t="shared" si="88"/>
        <v>0</v>
      </c>
      <c r="BU85">
        <f t="shared" si="48"/>
        <v>1</v>
      </c>
      <c r="BV85" s="13">
        <f t="shared" si="49"/>
        <v>1</v>
      </c>
      <c r="BW85" s="13">
        <f t="shared" si="50"/>
        <v>0</v>
      </c>
      <c r="BX85" s="13">
        <f t="shared" si="51"/>
        <v>0</v>
      </c>
      <c r="BY85" s="13">
        <f t="shared" si="52"/>
        <v>0</v>
      </c>
      <c r="BZ85" s="13">
        <f t="shared" si="53"/>
        <v>0</v>
      </c>
      <c r="CA85" s="13">
        <f t="shared" si="54"/>
        <v>1</v>
      </c>
      <c r="CB85" s="13">
        <f t="shared" si="55"/>
        <v>0</v>
      </c>
      <c r="CC85" s="13">
        <f t="shared" si="56"/>
        <v>0</v>
      </c>
      <c r="CD85" s="13">
        <f t="shared" si="57"/>
        <v>1.4142135623730951</v>
      </c>
      <c r="CE85" s="13">
        <f t="shared" si="58"/>
        <v>1.4142135623730951</v>
      </c>
      <c r="CF85" s="13">
        <f t="shared" si="59"/>
        <v>0.83255461115769769</v>
      </c>
      <c r="CG85" s="13">
        <f t="shared" si="60"/>
        <v>1</v>
      </c>
      <c r="CH85" s="13">
        <f t="shared" si="61"/>
        <v>1</v>
      </c>
      <c r="CI85" s="13">
        <f t="shared" si="62"/>
        <v>0</v>
      </c>
      <c r="CJ85" s="13">
        <f t="shared" si="62"/>
        <v>1</v>
      </c>
      <c r="CK85" s="13">
        <f t="shared" si="63"/>
        <v>1</v>
      </c>
      <c r="CL85" s="13">
        <f t="shared" si="64"/>
        <v>0</v>
      </c>
      <c r="CM85" s="13">
        <f t="shared" si="65"/>
        <v>0</v>
      </c>
      <c r="CN85" s="13">
        <f t="shared" si="66"/>
        <v>0</v>
      </c>
      <c r="CO85" s="13">
        <f t="shared" si="67"/>
        <v>0</v>
      </c>
      <c r="CP85" s="13">
        <f t="shared" si="68"/>
        <v>1</v>
      </c>
      <c r="CQ85" s="13">
        <f t="shared" si="69"/>
        <v>0</v>
      </c>
      <c r="CR85" s="13">
        <f t="shared" si="70"/>
        <v>0</v>
      </c>
      <c r="CS85" s="13">
        <f t="shared" si="71"/>
        <v>1.0986122886681098</v>
      </c>
      <c r="CT85" s="13">
        <f t="shared" si="72"/>
        <v>1.0986122886681098</v>
      </c>
      <c r="CU85" s="13">
        <f t="shared" si="73"/>
        <v>0.52658903413904457</v>
      </c>
      <c r="CV85" s="13">
        <f t="shared" si="74"/>
        <v>0.69314718055994529</v>
      </c>
      <c r="CW85" s="13">
        <f t="shared" si="75"/>
        <v>0.69314718055994529</v>
      </c>
      <c r="CX85" s="13">
        <f t="shared" si="76"/>
        <v>0</v>
      </c>
      <c r="CY85" s="13">
        <f t="shared" si="77"/>
        <v>0.69314718055994529</v>
      </c>
      <c r="CZ85" s="13">
        <f t="shared" si="78"/>
        <v>0.69314718055994529</v>
      </c>
      <c r="DA85" s="13">
        <f t="shared" si="79"/>
        <v>0</v>
      </c>
      <c r="DB85" s="13">
        <f t="shared" si="80"/>
        <v>0</v>
      </c>
      <c r="DC85" s="13">
        <f t="shared" si="81"/>
        <v>0</v>
      </c>
      <c r="DD85" s="13">
        <f t="shared" si="82"/>
        <v>0</v>
      </c>
      <c r="DE85" s="13">
        <f t="shared" si="83"/>
        <v>0.69314718055994529</v>
      </c>
      <c r="DF85" s="13">
        <f t="shared" si="84"/>
        <v>0</v>
      </c>
      <c r="DG85" s="13">
        <f t="shared" si="85"/>
        <v>0</v>
      </c>
      <c r="DH85" s="13"/>
      <c r="DI85" s="13"/>
      <c r="DJ85" s="13"/>
      <c r="DL85"/>
      <c r="DM85"/>
      <c r="DN85"/>
      <c r="DO85"/>
      <c r="DP85" s="31"/>
    </row>
    <row r="86" spans="1:120">
      <c r="A86" s="13" t="s">
        <v>139</v>
      </c>
      <c r="B86" t="s">
        <v>176</v>
      </c>
      <c r="C86" t="s">
        <v>138</v>
      </c>
      <c r="D86" s="13" t="s">
        <v>319</v>
      </c>
      <c r="E86" s="13" t="s">
        <v>283</v>
      </c>
      <c r="F86" s="13">
        <v>0</v>
      </c>
      <c r="G86" s="13">
        <v>0</v>
      </c>
      <c r="H86" s="13">
        <v>0</v>
      </c>
      <c r="I86" s="13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13">
        <v>3</v>
      </c>
      <c r="P86" s="32">
        <v>0</v>
      </c>
      <c r="Q86" s="32">
        <v>0</v>
      </c>
      <c r="R86" s="32">
        <v>0</v>
      </c>
      <c r="S86" s="32">
        <v>0</v>
      </c>
      <c r="T86" s="32">
        <v>0</v>
      </c>
      <c r="U86" s="32">
        <v>0</v>
      </c>
      <c r="V86" s="13">
        <v>1</v>
      </c>
      <c r="W86" s="32">
        <v>0</v>
      </c>
      <c r="X86" s="32">
        <v>0</v>
      </c>
      <c r="Y86" s="32">
        <v>0</v>
      </c>
      <c r="Z86" s="32">
        <v>0</v>
      </c>
      <c r="AA86" s="32">
        <v>0</v>
      </c>
      <c r="AB86" s="13">
        <v>3</v>
      </c>
      <c r="AC86" s="32">
        <v>0</v>
      </c>
      <c r="AD86" s="13">
        <v>2</v>
      </c>
      <c r="AE86" s="13">
        <v>17</v>
      </c>
      <c r="AF86" s="32">
        <v>0</v>
      </c>
      <c r="AG86" s="13">
        <v>1</v>
      </c>
      <c r="AH86" s="32">
        <v>0</v>
      </c>
      <c r="AI86" s="32">
        <v>0</v>
      </c>
      <c r="AJ86" s="32">
        <v>0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13">
        <v>1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 s="32">
        <v>0</v>
      </c>
      <c r="BD86" s="32">
        <v>0</v>
      </c>
      <c r="BE86" s="32">
        <v>0</v>
      </c>
      <c r="BF86" s="32">
        <v>0</v>
      </c>
      <c r="BG86" s="32">
        <v>0</v>
      </c>
      <c r="BH86" s="32">
        <v>0</v>
      </c>
      <c r="BI86" s="13">
        <v>1</v>
      </c>
      <c r="BJ86" s="32">
        <v>0</v>
      </c>
      <c r="BK86" s="32">
        <v>0</v>
      </c>
      <c r="BL86" s="32">
        <v>0</v>
      </c>
      <c r="BM86" s="13">
        <v>1</v>
      </c>
      <c r="BN86" s="32">
        <v>0</v>
      </c>
      <c r="BO86">
        <f t="shared" si="46"/>
        <v>8</v>
      </c>
      <c r="BP86" s="13">
        <f t="shared" si="47"/>
        <v>29</v>
      </c>
      <c r="BQ86" s="13">
        <f>[1]!shannonweaver(K86:BL86)</f>
        <v>1.4313442802594321</v>
      </c>
      <c r="BR86">
        <f t="shared" si="86"/>
        <v>2</v>
      </c>
      <c r="BS86">
        <f t="shared" si="87"/>
        <v>5</v>
      </c>
      <c r="BT86">
        <f t="shared" si="88"/>
        <v>0</v>
      </c>
      <c r="BU86">
        <f t="shared" si="48"/>
        <v>3</v>
      </c>
      <c r="BV86" s="13">
        <f t="shared" si="49"/>
        <v>4</v>
      </c>
      <c r="BW86" s="13">
        <f t="shared" si="50"/>
        <v>5</v>
      </c>
      <c r="BX86" s="13">
        <f t="shared" si="51"/>
        <v>17</v>
      </c>
      <c r="BY86" s="13">
        <f t="shared" si="52"/>
        <v>22</v>
      </c>
      <c r="BZ86" s="13">
        <f t="shared" si="53"/>
        <v>1</v>
      </c>
      <c r="CA86" s="13">
        <f t="shared" si="54"/>
        <v>24</v>
      </c>
      <c r="CB86" s="13">
        <f t="shared" si="55"/>
        <v>0</v>
      </c>
      <c r="CC86" s="13">
        <f t="shared" si="56"/>
        <v>0</v>
      </c>
      <c r="CD86" s="13">
        <f t="shared" si="57"/>
        <v>2.8284271247461903</v>
      </c>
      <c r="CE86" s="13">
        <f t="shared" si="58"/>
        <v>5.3851648071345037</v>
      </c>
      <c r="CF86" s="13">
        <f t="shared" si="59"/>
        <v>1.196388014090509</v>
      </c>
      <c r="CG86" s="13">
        <f t="shared" si="60"/>
        <v>1.4142135623730951</v>
      </c>
      <c r="CH86" s="13">
        <f t="shared" si="61"/>
        <v>2.2360679774997898</v>
      </c>
      <c r="CI86" s="13">
        <f t="shared" si="62"/>
        <v>0</v>
      </c>
      <c r="CJ86" s="13">
        <f t="shared" si="62"/>
        <v>1.7320508075688772</v>
      </c>
      <c r="CK86" s="13">
        <f t="shared" si="63"/>
        <v>2</v>
      </c>
      <c r="CL86" s="13">
        <f t="shared" si="64"/>
        <v>2.2360679774997898</v>
      </c>
      <c r="CM86" s="13">
        <f t="shared" si="65"/>
        <v>4.1231056256176606</v>
      </c>
      <c r="CN86" s="13">
        <f t="shared" si="66"/>
        <v>4.6904157598234297</v>
      </c>
      <c r="CO86" s="13">
        <f t="shared" si="67"/>
        <v>1</v>
      </c>
      <c r="CP86" s="13">
        <f t="shared" si="68"/>
        <v>4.8989794855663558</v>
      </c>
      <c r="CQ86" s="13">
        <f t="shared" si="69"/>
        <v>0</v>
      </c>
      <c r="CR86" s="13">
        <f t="shared" si="70"/>
        <v>0</v>
      </c>
      <c r="CS86" s="13">
        <f t="shared" si="71"/>
        <v>2.1972245773362196</v>
      </c>
      <c r="CT86" s="13">
        <f t="shared" si="72"/>
        <v>3.4011973816621555</v>
      </c>
      <c r="CU86" s="13">
        <f t="shared" si="73"/>
        <v>0.88844430614562908</v>
      </c>
      <c r="CV86" s="13">
        <f t="shared" si="74"/>
        <v>1.0986122886681098</v>
      </c>
      <c r="CW86" s="13">
        <f t="shared" si="75"/>
        <v>1.791759469228055</v>
      </c>
      <c r="CX86" s="13">
        <f t="shared" si="76"/>
        <v>0</v>
      </c>
      <c r="CY86" s="13">
        <f t="shared" si="77"/>
        <v>1.3862943611198906</v>
      </c>
      <c r="CZ86" s="13">
        <f t="shared" si="78"/>
        <v>1.6094379124341003</v>
      </c>
      <c r="DA86" s="13">
        <f t="shared" si="79"/>
        <v>1.791759469228055</v>
      </c>
      <c r="DB86" s="13">
        <f t="shared" si="80"/>
        <v>2.8903717578961645</v>
      </c>
      <c r="DC86" s="13">
        <f t="shared" si="81"/>
        <v>3.1354942159291497</v>
      </c>
      <c r="DD86" s="13">
        <f t="shared" si="82"/>
        <v>0.69314718055994529</v>
      </c>
      <c r="DE86" s="13">
        <f t="shared" si="83"/>
        <v>3.2188758248682006</v>
      </c>
      <c r="DF86" s="13">
        <f t="shared" si="84"/>
        <v>0</v>
      </c>
      <c r="DG86" s="13">
        <f t="shared" si="85"/>
        <v>0</v>
      </c>
      <c r="DH86" s="13"/>
      <c r="DI86" s="13"/>
      <c r="DJ86" s="13"/>
      <c r="DL86"/>
      <c r="DM86"/>
      <c r="DN86"/>
      <c r="DO86"/>
      <c r="DP86" s="31"/>
    </row>
    <row r="87" spans="1:120">
      <c r="A87" s="13" t="s">
        <v>71</v>
      </c>
      <c r="B87" t="s">
        <v>176</v>
      </c>
      <c r="C87" t="s">
        <v>138</v>
      </c>
      <c r="D87" s="13" t="s">
        <v>319</v>
      </c>
      <c r="E87" s="13" t="s">
        <v>283</v>
      </c>
      <c r="F87" s="13">
        <v>0</v>
      </c>
      <c r="G87" s="13">
        <v>0</v>
      </c>
      <c r="H87" s="13">
        <v>0</v>
      </c>
      <c r="I87" s="13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13">
        <v>6</v>
      </c>
      <c r="P87" s="13">
        <v>1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  <c r="Y87" s="32">
        <v>0</v>
      </c>
      <c r="Z87" s="32">
        <v>0</v>
      </c>
      <c r="AA87" s="32">
        <v>0</v>
      </c>
      <c r="AB87" s="13">
        <v>1</v>
      </c>
      <c r="AC87" s="32">
        <v>0</v>
      </c>
      <c r="AD87" s="13">
        <v>9</v>
      </c>
      <c r="AE87" s="13">
        <v>13</v>
      </c>
      <c r="AF87" s="32">
        <v>0</v>
      </c>
      <c r="AG87" s="32">
        <v>0</v>
      </c>
      <c r="AH87" s="32">
        <v>0</v>
      </c>
      <c r="AI87" s="32">
        <v>0</v>
      </c>
      <c r="AJ87" s="32">
        <v>0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13">
        <v>2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v>0</v>
      </c>
      <c r="AY87" s="32">
        <v>0</v>
      </c>
      <c r="AZ87" s="32">
        <v>0</v>
      </c>
      <c r="BA87" s="32">
        <v>0</v>
      </c>
      <c r="BB87" s="32">
        <v>0</v>
      </c>
      <c r="BC87" s="32">
        <v>0</v>
      </c>
      <c r="BD87" s="32">
        <v>0</v>
      </c>
      <c r="BE87" s="32">
        <v>0</v>
      </c>
      <c r="BF87" s="32">
        <v>0</v>
      </c>
      <c r="BG87" s="32">
        <v>0</v>
      </c>
      <c r="BH87" s="32">
        <v>0</v>
      </c>
      <c r="BI87" s="13">
        <v>1</v>
      </c>
      <c r="BJ87" s="32">
        <v>0</v>
      </c>
      <c r="BK87" s="32">
        <v>0</v>
      </c>
      <c r="BL87" s="32">
        <v>0</v>
      </c>
      <c r="BM87" s="32">
        <v>0</v>
      </c>
      <c r="BN87" s="32">
        <v>0</v>
      </c>
      <c r="BO87">
        <f t="shared" si="46"/>
        <v>7</v>
      </c>
      <c r="BP87" s="13">
        <f t="shared" si="47"/>
        <v>33</v>
      </c>
      <c r="BQ87" s="13">
        <f>[1]!shannonweaver(K87:BL87)</f>
        <v>1.5190465305721117</v>
      </c>
      <c r="BR87">
        <f t="shared" si="86"/>
        <v>2</v>
      </c>
      <c r="BS87">
        <f t="shared" si="87"/>
        <v>4</v>
      </c>
      <c r="BT87">
        <f t="shared" si="88"/>
        <v>0</v>
      </c>
      <c r="BU87">
        <f t="shared" si="48"/>
        <v>7</v>
      </c>
      <c r="BV87" s="13">
        <f t="shared" si="49"/>
        <v>7</v>
      </c>
      <c r="BW87" s="13">
        <f t="shared" si="50"/>
        <v>10</v>
      </c>
      <c r="BX87" s="13">
        <f t="shared" si="51"/>
        <v>13</v>
      </c>
      <c r="BY87" s="13">
        <f t="shared" si="52"/>
        <v>23</v>
      </c>
      <c r="BZ87" s="13">
        <f t="shared" si="53"/>
        <v>0</v>
      </c>
      <c r="CA87" s="13">
        <f t="shared" si="54"/>
        <v>25</v>
      </c>
      <c r="CB87" s="13">
        <f t="shared" si="55"/>
        <v>0</v>
      </c>
      <c r="CC87" s="13">
        <f t="shared" si="56"/>
        <v>0</v>
      </c>
      <c r="CD87" s="13">
        <f t="shared" si="57"/>
        <v>2.6457513110645907</v>
      </c>
      <c r="CE87" s="13">
        <f t="shared" si="58"/>
        <v>5.7445626465380286</v>
      </c>
      <c r="CF87" s="13">
        <f t="shared" si="59"/>
        <v>1.2324960570209187</v>
      </c>
      <c r="CG87" s="13">
        <f t="shared" si="60"/>
        <v>1.4142135623730951</v>
      </c>
      <c r="CH87" s="13">
        <f t="shared" si="61"/>
        <v>2</v>
      </c>
      <c r="CI87" s="13">
        <f t="shared" si="62"/>
        <v>0</v>
      </c>
      <c r="CJ87" s="13">
        <f t="shared" si="62"/>
        <v>2.6457513110645907</v>
      </c>
      <c r="CK87" s="13">
        <f t="shared" si="63"/>
        <v>2.6457513110645907</v>
      </c>
      <c r="CL87" s="13">
        <f t="shared" si="64"/>
        <v>3.1622776601683795</v>
      </c>
      <c r="CM87" s="13">
        <f t="shared" si="65"/>
        <v>3.6055512754639891</v>
      </c>
      <c r="CN87" s="13">
        <f t="shared" si="66"/>
        <v>4.7958315233127191</v>
      </c>
      <c r="CO87" s="13">
        <f t="shared" si="67"/>
        <v>0</v>
      </c>
      <c r="CP87" s="13">
        <f t="shared" si="68"/>
        <v>5</v>
      </c>
      <c r="CQ87" s="13">
        <f t="shared" si="69"/>
        <v>0</v>
      </c>
      <c r="CR87" s="13">
        <f t="shared" si="70"/>
        <v>0</v>
      </c>
      <c r="CS87" s="13">
        <f t="shared" si="71"/>
        <v>2.0794415416798357</v>
      </c>
      <c r="CT87" s="13">
        <f t="shared" si="72"/>
        <v>3.5263605246161616</v>
      </c>
      <c r="CU87" s="13">
        <f t="shared" si="73"/>
        <v>0.92388046904270993</v>
      </c>
      <c r="CV87" s="13">
        <f t="shared" si="74"/>
        <v>1.0986122886681098</v>
      </c>
      <c r="CW87" s="13">
        <f t="shared" si="75"/>
        <v>1.6094379124341003</v>
      </c>
      <c r="CX87" s="13">
        <f t="shared" si="76"/>
        <v>0</v>
      </c>
      <c r="CY87" s="13">
        <f t="shared" si="77"/>
        <v>2.0794415416798357</v>
      </c>
      <c r="CZ87" s="13">
        <f t="shared" si="78"/>
        <v>2.0794415416798357</v>
      </c>
      <c r="DA87" s="13">
        <f t="shared" si="79"/>
        <v>2.3978952727983707</v>
      </c>
      <c r="DB87" s="13">
        <f t="shared" si="80"/>
        <v>2.6390573296152584</v>
      </c>
      <c r="DC87" s="13">
        <f t="shared" si="81"/>
        <v>3.1780538303479458</v>
      </c>
      <c r="DD87" s="13">
        <f t="shared" si="82"/>
        <v>0</v>
      </c>
      <c r="DE87" s="13">
        <f t="shared" si="83"/>
        <v>3.2580965380214821</v>
      </c>
      <c r="DF87" s="13">
        <f t="shared" si="84"/>
        <v>0</v>
      </c>
      <c r="DG87" s="13">
        <f t="shared" si="85"/>
        <v>0</v>
      </c>
      <c r="DH87" s="13"/>
      <c r="DI87" s="13"/>
      <c r="DJ87" s="13"/>
      <c r="DL87"/>
      <c r="DM87"/>
      <c r="DN87"/>
      <c r="DO87"/>
      <c r="DP87" s="31"/>
    </row>
    <row r="88" spans="1:120">
      <c r="A88" s="13" t="s">
        <v>72</v>
      </c>
      <c r="B88" t="s">
        <v>176</v>
      </c>
      <c r="C88" t="s">
        <v>138</v>
      </c>
      <c r="D88" s="13" t="s">
        <v>319</v>
      </c>
      <c r="E88" s="13" t="s">
        <v>283</v>
      </c>
      <c r="F88" s="13">
        <v>0</v>
      </c>
      <c r="G88" s="13">
        <v>0</v>
      </c>
      <c r="H88" s="13">
        <v>0</v>
      </c>
      <c r="I88" s="13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13">
        <v>4</v>
      </c>
      <c r="P88" s="13">
        <v>1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13">
        <v>1</v>
      </c>
      <c r="W88" s="32">
        <v>0</v>
      </c>
      <c r="X88" s="13">
        <v>1</v>
      </c>
      <c r="Y88" s="32">
        <v>0</v>
      </c>
      <c r="Z88" s="32">
        <v>0</v>
      </c>
      <c r="AA88" s="32">
        <v>0</v>
      </c>
      <c r="AB88" s="32">
        <v>0</v>
      </c>
      <c r="AC88" s="32">
        <v>0</v>
      </c>
      <c r="AD88" s="13">
        <v>6</v>
      </c>
      <c r="AE88" s="13">
        <v>16</v>
      </c>
      <c r="AF88" s="32">
        <v>0</v>
      </c>
      <c r="AG88" s="13">
        <v>1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 s="32">
        <v>0</v>
      </c>
      <c r="BD88" s="32">
        <v>0</v>
      </c>
      <c r="BE88" s="32">
        <v>0</v>
      </c>
      <c r="BF88" s="32">
        <v>0</v>
      </c>
      <c r="BG88" s="32">
        <v>0</v>
      </c>
      <c r="BH88" s="32">
        <v>0</v>
      </c>
      <c r="BI88" s="32">
        <v>0</v>
      </c>
      <c r="BJ88" s="32">
        <v>0</v>
      </c>
      <c r="BK88" s="32">
        <v>0</v>
      </c>
      <c r="BL88" s="32">
        <v>0</v>
      </c>
      <c r="BM88" s="32">
        <v>0</v>
      </c>
      <c r="BN88" s="32">
        <v>0</v>
      </c>
      <c r="BO88">
        <f t="shared" si="46"/>
        <v>7</v>
      </c>
      <c r="BP88" s="13">
        <f t="shared" si="47"/>
        <v>30</v>
      </c>
      <c r="BQ88" s="13">
        <f>[1]!shannonweaver(K88:BL88)</f>
        <v>1.3792922544726756</v>
      </c>
      <c r="BR88">
        <f t="shared" si="86"/>
        <v>3</v>
      </c>
      <c r="BS88">
        <f t="shared" si="87"/>
        <v>4</v>
      </c>
      <c r="BT88">
        <f t="shared" si="88"/>
        <v>0</v>
      </c>
      <c r="BU88">
        <f t="shared" si="48"/>
        <v>5</v>
      </c>
      <c r="BV88" s="13">
        <f t="shared" si="49"/>
        <v>6</v>
      </c>
      <c r="BW88" s="13">
        <f t="shared" si="50"/>
        <v>6</v>
      </c>
      <c r="BX88" s="13">
        <f t="shared" si="51"/>
        <v>16</v>
      </c>
      <c r="BY88" s="13">
        <f t="shared" si="52"/>
        <v>22</v>
      </c>
      <c r="BZ88" s="13">
        <f t="shared" si="53"/>
        <v>1</v>
      </c>
      <c r="CA88" s="13">
        <f t="shared" si="54"/>
        <v>24</v>
      </c>
      <c r="CB88" s="13">
        <f t="shared" si="55"/>
        <v>0</v>
      </c>
      <c r="CC88" s="13">
        <f t="shared" si="56"/>
        <v>0</v>
      </c>
      <c r="CD88" s="13">
        <f t="shared" si="57"/>
        <v>2.6457513110645907</v>
      </c>
      <c r="CE88" s="13">
        <f t="shared" si="58"/>
        <v>5.4772255750516612</v>
      </c>
      <c r="CF88" s="13">
        <f t="shared" si="59"/>
        <v>1.1744327373130721</v>
      </c>
      <c r="CG88" s="13">
        <f t="shared" si="60"/>
        <v>1.7320508075688772</v>
      </c>
      <c r="CH88" s="13">
        <f t="shared" si="61"/>
        <v>2</v>
      </c>
      <c r="CI88" s="13">
        <f t="shared" si="62"/>
        <v>0</v>
      </c>
      <c r="CJ88" s="13">
        <f t="shared" si="62"/>
        <v>2.2360679774997898</v>
      </c>
      <c r="CK88" s="13">
        <f t="shared" si="63"/>
        <v>2.4494897427831779</v>
      </c>
      <c r="CL88" s="13">
        <f t="shared" si="64"/>
        <v>2.4494897427831779</v>
      </c>
      <c r="CM88" s="13">
        <f t="shared" si="65"/>
        <v>4</v>
      </c>
      <c r="CN88" s="13">
        <f t="shared" si="66"/>
        <v>4.6904157598234297</v>
      </c>
      <c r="CO88" s="13">
        <f t="shared" si="67"/>
        <v>1</v>
      </c>
      <c r="CP88" s="13">
        <f t="shared" si="68"/>
        <v>4.8989794855663558</v>
      </c>
      <c r="CQ88" s="13">
        <f t="shared" si="69"/>
        <v>0</v>
      </c>
      <c r="CR88" s="13">
        <f t="shared" si="70"/>
        <v>0</v>
      </c>
      <c r="CS88" s="13">
        <f t="shared" si="71"/>
        <v>2.0794415416798357</v>
      </c>
      <c r="CT88" s="13">
        <f t="shared" si="72"/>
        <v>3.4339872044851463</v>
      </c>
      <c r="CU88" s="13">
        <f t="shared" si="73"/>
        <v>0.86680307138923729</v>
      </c>
      <c r="CV88" s="13">
        <f t="shared" si="74"/>
        <v>1.3862943611198906</v>
      </c>
      <c r="CW88" s="13">
        <f t="shared" si="75"/>
        <v>1.6094379124341003</v>
      </c>
      <c r="CX88" s="13">
        <f t="shared" si="76"/>
        <v>0</v>
      </c>
      <c r="CY88" s="13">
        <f t="shared" si="77"/>
        <v>1.791759469228055</v>
      </c>
      <c r="CZ88" s="13">
        <f t="shared" si="78"/>
        <v>1.9459101490553132</v>
      </c>
      <c r="DA88" s="13">
        <f t="shared" si="79"/>
        <v>1.9459101490553132</v>
      </c>
      <c r="DB88" s="13">
        <f t="shared" si="80"/>
        <v>2.8332133440562162</v>
      </c>
      <c r="DC88" s="13">
        <f t="shared" si="81"/>
        <v>3.1354942159291497</v>
      </c>
      <c r="DD88" s="13">
        <f t="shared" si="82"/>
        <v>0.69314718055994529</v>
      </c>
      <c r="DE88" s="13">
        <f t="shared" si="83"/>
        <v>3.2188758248682006</v>
      </c>
      <c r="DF88" s="13">
        <f t="shared" si="84"/>
        <v>0</v>
      </c>
      <c r="DG88" s="13">
        <f t="shared" si="85"/>
        <v>0</v>
      </c>
      <c r="DH88" s="13"/>
      <c r="DI88" s="13"/>
      <c r="DJ88" s="13"/>
      <c r="DL88"/>
      <c r="DM88"/>
      <c r="DN88"/>
      <c r="DO88"/>
      <c r="DP88" s="31"/>
    </row>
    <row r="89" spans="1:120">
      <c r="A89" s="13" t="s">
        <v>73</v>
      </c>
      <c r="B89" t="s">
        <v>176</v>
      </c>
      <c r="C89" t="s">
        <v>138</v>
      </c>
      <c r="D89" s="13" t="s">
        <v>319</v>
      </c>
      <c r="E89" s="13" t="s">
        <v>283</v>
      </c>
      <c r="F89" s="13">
        <v>0</v>
      </c>
      <c r="G89" s="13">
        <v>0</v>
      </c>
      <c r="H89" s="13">
        <v>0</v>
      </c>
      <c r="I89" s="13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13">
        <v>3</v>
      </c>
      <c r="P89" s="13">
        <v>0</v>
      </c>
      <c r="Q89" s="32">
        <v>0</v>
      </c>
      <c r="R89" s="32">
        <v>0</v>
      </c>
      <c r="S89" s="13">
        <v>1</v>
      </c>
      <c r="T89" s="13">
        <v>1</v>
      </c>
      <c r="U89" s="32">
        <v>0</v>
      </c>
      <c r="V89" s="13">
        <v>1</v>
      </c>
      <c r="W89" s="32">
        <v>0</v>
      </c>
      <c r="X89" s="32">
        <v>0</v>
      </c>
      <c r="Y89" s="32">
        <v>0</v>
      </c>
      <c r="Z89" s="32">
        <v>0</v>
      </c>
      <c r="AA89" s="32">
        <v>0</v>
      </c>
      <c r="AB89" s="13">
        <v>3</v>
      </c>
      <c r="AC89" s="32">
        <v>0</v>
      </c>
      <c r="AD89" s="13">
        <v>2</v>
      </c>
      <c r="AE89" s="13">
        <v>8</v>
      </c>
      <c r="AF89" s="32">
        <v>0</v>
      </c>
      <c r="AG89" s="13">
        <v>1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 s="32">
        <v>0</v>
      </c>
      <c r="BD89" s="32">
        <v>0</v>
      </c>
      <c r="BE89" s="32">
        <v>0</v>
      </c>
      <c r="BF89" s="32">
        <v>0</v>
      </c>
      <c r="BG89" s="32">
        <v>0</v>
      </c>
      <c r="BH89" s="32">
        <v>0</v>
      </c>
      <c r="BI89" s="32">
        <v>0</v>
      </c>
      <c r="BJ89" s="32">
        <v>0</v>
      </c>
      <c r="BK89" s="32">
        <v>0</v>
      </c>
      <c r="BL89" s="32">
        <v>0</v>
      </c>
      <c r="BM89" s="32">
        <v>0</v>
      </c>
      <c r="BN89" s="32">
        <v>0</v>
      </c>
      <c r="BO89">
        <f t="shared" si="46"/>
        <v>8</v>
      </c>
      <c r="BP89" s="13">
        <f t="shared" si="47"/>
        <v>20</v>
      </c>
      <c r="BQ89" s="13">
        <f>[1]!shannonweaver(K89:BL89)</f>
        <v>1.7650572522256289</v>
      </c>
      <c r="BR89">
        <f t="shared" si="86"/>
        <v>4</v>
      </c>
      <c r="BS89">
        <f t="shared" si="87"/>
        <v>4</v>
      </c>
      <c r="BT89">
        <f t="shared" si="88"/>
        <v>0</v>
      </c>
      <c r="BU89">
        <f t="shared" si="48"/>
        <v>4</v>
      </c>
      <c r="BV89" s="13">
        <f t="shared" si="49"/>
        <v>6</v>
      </c>
      <c r="BW89" s="13">
        <f t="shared" si="50"/>
        <v>5</v>
      </c>
      <c r="BX89" s="13">
        <f t="shared" si="51"/>
        <v>8</v>
      </c>
      <c r="BY89" s="13">
        <f t="shared" si="52"/>
        <v>13</v>
      </c>
      <c r="BZ89" s="13">
        <f t="shared" si="53"/>
        <v>1</v>
      </c>
      <c r="CA89" s="13">
        <f t="shared" si="54"/>
        <v>14</v>
      </c>
      <c r="CB89" s="13">
        <f t="shared" si="55"/>
        <v>0</v>
      </c>
      <c r="CC89" s="13">
        <f t="shared" si="56"/>
        <v>0</v>
      </c>
      <c r="CD89" s="13">
        <f t="shared" si="57"/>
        <v>2.8284271247461903</v>
      </c>
      <c r="CE89" s="13">
        <f t="shared" si="58"/>
        <v>4.4721359549995796</v>
      </c>
      <c r="CF89" s="13">
        <f t="shared" si="59"/>
        <v>1.3285545725432693</v>
      </c>
      <c r="CG89" s="13">
        <f t="shared" si="60"/>
        <v>2</v>
      </c>
      <c r="CH89" s="13">
        <f t="shared" si="61"/>
        <v>2</v>
      </c>
      <c r="CI89" s="13">
        <f t="shared" si="62"/>
        <v>0</v>
      </c>
      <c r="CJ89" s="13">
        <f t="shared" si="62"/>
        <v>2</v>
      </c>
      <c r="CK89" s="13">
        <f t="shared" si="63"/>
        <v>2.4494897427831779</v>
      </c>
      <c r="CL89" s="13">
        <f t="shared" si="64"/>
        <v>2.2360679774997898</v>
      </c>
      <c r="CM89" s="13">
        <f t="shared" si="65"/>
        <v>2.8284271247461903</v>
      </c>
      <c r="CN89" s="13">
        <f t="shared" si="66"/>
        <v>3.6055512754639891</v>
      </c>
      <c r="CO89" s="13">
        <f t="shared" si="67"/>
        <v>1</v>
      </c>
      <c r="CP89" s="13">
        <f t="shared" si="68"/>
        <v>3.7416573867739413</v>
      </c>
      <c r="CQ89" s="13">
        <f t="shared" si="69"/>
        <v>0</v>
      </c>
      <c r="CR89" s="13">
        <f t="shared" si="70"/>
        <v>0</v>
      </c>
      <c r="CS89" s="13">
        <f t="shared" si="71"/>
        <v>2.1972245773362196</v>
      </c>
      <c r="CT89" s="13">
        <f t="shared" si="72"/>
        <v>3.044522437723423</v>
      </c>
      <c r="CU89" s="13">
        <f t="shared" si="73"/>
        <v>1.0170613408089828</v>
      </c>
      <c r="CV89" s="13">
        <f t="shared" si="74"/>
        <v>1.6094379124341003</v>
      </c>
      <c r="CW89" s="13">
        <f t="shared" si="75"/>
        <v>1.6094379124341003</v>
      </c>
      <c r="CX89" s="13">
        <f t="shared" si="76"/>
        <v>0</v>
      </c>
      <c r="CY89" s="13">
        <f t="shared" si="77"/>
        <v>1.6094379124341003</v>
      </c>
      <c r="CZ89" s="13">
        <f t="shared" si="78"/>
        <v>1.9459101490553132</v>
      </c>
      <c r="DA89" s="13">
        <f t="shared" si="79"/>
        <v>1.791759469228055</v>
      </c>
      <c r="DB89" s="13">
        <f t="shared" si="80"/>
        <v>2.1972245773362196</v>
      </c>
      <c r="DC89" s="13">
        <f t="shared" si="81"/>
        <v>2.6390573296152584</v>
      </c>
      <c r="DD89" s="13">
        <f t="shared" si="82"/>
        <v>0.69314718055994529</v>
      </c>
      <c r="DE89" s="13">
        <f t="shared" si="83"/>
        <v>2.7080502011022101</v>
      </c>
      <c r="DF89" s="13">
        <f t="shared" si="84"/>
        <v>0</v>
      </c>
      <c r="DG89" s="13">
        <f t="shared" si="85"/>
        <v>0</v>
      </c>
      <c r="DH89" s="13"/>
      <c r="DI89" s="13"/>
      <c r="DJ89" s="13"/>
      <c r="DL89"/>
      <c r="DM89"/>
      <c r="DN89"/>
      <c r="DO89"/>
      <c r="DP89" s="31"/>
    </row>
    <row r="90" spans="1:120">
      <c r="A90" s="13" t="s">
        <v>74</v>
      </c>
      <c r="B90" t="s">
        <v>176</v>
      </c>
      <c r="C90" t="s">
        <v>138</v>
      </c>
      <c r="D90" s="13" t="s">
        <v>319</v>
      </c>
      <c r="E90" s="13" t="s">
        <v>283</v>
      </c>
      <c r="F90" s="13">
        <v>0</v>
      </c>
      <c r="G90" s="13">
        <v>0</v>
      </c>
      <c r="H90" s="13">
        <v>0</v>
      </c>
      <c r="I90" s="13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13">
        <v>3</v>
      </c>
      <c r="P90" s="24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32">
        <v>0</v>
      </c>
      <c r="W90" s="32">
        <v>0</v>
      </c>
      <c r="X90" s="32">
        <v>0</v>
      </c>
      <c r="Y90" s="13">
        <v>4</v>
      </c>
      <c r="Z90" s="32">
        <v>0</v>
      </c>
      <c r="AA90" s="32">
        <v>0</v>
      </c>
      <c r="AB90" s="13">
        <v>1</v>
      </c>
      <c r="AC90" s="32">
        <v>0</v>
      </c>
      <c r="AD90" s="13">
        <v>8</v>
      </c>
      <c r="AE90" s="13">
        <v>19</v>
      </c>
      <c r="AF90" s="32">
        <v>0</v>
      </c>
      <c r="AG90" s="13">
        <v>1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0</v>
      </c>
      <c r="BB90" s="32">
        <v>0</v>
      </c>
      <c r="BC90" s="32">
        <v>0</v>
      </c>
      <c r="BD90" s="32">
        <v>0</v>
      </c>
      <c r="BE90" s="32">
        <v>0</v>
      </c>
      <c r="BF90" s="32">
        <v>0</v>
      </c>
      <c r="BG90" s="32">
        <v>0</v>
      </c>
      <c r="BH90" s="32">
        <v>0</v>
      </c>
      <c r="BI90" s="13">
        <v>1</v>
      </c>
      <c r="BJ90" s="32">
        <v>0</v>
      </c>
      <c r="BK90" s="32">
        <v>0</v>
      </c>
      <c r="BL90" s="32">
        <v>0</v>
      </c>
      <c r="BM90" s="32">
        <v>0</v>
      </c>
      <c r="BN90" s="32">
        <v>0</v>
      </c>
      <c r="BO90">
        <f t="shared" si="46"/>
        <v>7</v>
      </c>
      <c r="BP90" s="13">
        <f t="shared" si="47"/>
        <v>37</v>
      </c>
      <c r="BQ90" s="13">
        <f>[1]!shannonweaver(K90:BL90)</f>
        <v>1.4103533924257126</v>
      </c>
      <c r="BR90">
        <f t="shared" si="86"/>
        <v>1</v>
      </c>
      <c r="BS90">
        <f t="shared" si="87"/>
        <v>5</v>
      </c>
      <c r="BT90">
        <f t="shared" si="88"/>
        <v>0</v>
      </c>
      <c r="BU90">
        <f t="shared" si="48"/>
        <v>3</v>
      </c>
      <c r="BV90" s="13">
        <f t="shared" si="49"/>
        <v>3</v>
      </c>
      <c r="BW90" s="13">
        <f t="shared" si="50"/>
        <v>9</v>
      </c>
      <c r="BX90" s="13">
        <f t="shared" si="51"/>
        <v>19</v>
      </c>
      <c r="BY90" s="13">
        <f t="shared" si="52"/>
        <v>28</v>
      </c>
      <c r="BZ90" s="13">
        <f t="shared" si="53"/>
        <v>1</v>
      </c>
      <c r="CA90" s="13">
        <f t="shared" si="54"/>
        <v>33</v>
      </c>
      <c r="CB90" s="13">
        <f t="shared" si="55"/>
        <v>0</v>
      </c>
      <c r="CC90" s="13">
        <f t="shared" si="56"/>
        <v>0</v>
      </c>
      <c r="CD90" s="13">
        <f t="shared" si="57"/>
        <v>2.6457513110645907</v>
      </c>
      <c r="CE90" s="13">
        <f t="shared" si="58"/>
        <v>6.0827625302982193</v>
      </c>
      <c r="CF90" s="13">
        <f t="shared" si="59"/>
        <v>1.1875830044362006</v>
      </c>
      <c r="CG90" s="13">
        <f t="shared" si="60"/>
        <v>1</v>
      </c>
      <c r="CH90" s="13">
        <f t="shared" si="61"/>
        <v>2.2360679774997898</v>
      </c>
      <c r="CI90" s="13">
        <f t="shared" si="62"/>
        <v>0</v>
      </c>
      <c r="CJ90" s="13">
        <f t="shared" si="62"/>
        <v>1.7320508075688772</v>
      </c>
      <c r="CK90" s="13">
        <f t="shared" si="63"/>
        <v>1.7320508075688772</v>
      </c>
      <c r="CL90" s="13">
        <f t="shared" si="64"/>
        <v>3</v>
      </c>
      <c r="CM90" s="13">
        <f t="shared" si="65"/>
        <v>4.358898943540674</v>
      </c>
      <c r="CN90" s="13">
        <f t="shared" si="66"/>
        <v>5.2915026221291814</v>
      </c>
      <c r="CO90" s="13">
        <f t="shared" si="67"/>
        <v>1</v>
      </c>
      <c r="CP90" s="13">
        <f t="shared" si="68"/>
        <v>5.7445626465380286</v>
      </c>
      <c r="CQ90" s="13">
        <f t="shared" si="69"/>
        <v>0</v>
      </c>
      <c r="CR90" s="13">
        <f t="shared" si="70"/>
        <v>0</v>
      </c>
      <c r="CS90" s="13">
        <f t="shared" si="71"/>
        <v>2.0794415416798357</v>
      </c>
      <c r="CT90" s="13">
        <f t="shared" si="72"/>
        <v>3.6375861597263857</v>
      </c>
      <c r="CU90" s="13">
        <f t="shared" si="73"/>
        <v>0.87977337261386812</v>
      </c>
      <c r="CV90" s="13">
        <f t="shared" si="74"/>
        <v>0.69314718055994529</v>
      </c>
      <c r="CW90" s="13">
        <f t="shared" si="75"/>
        <v>1.791759469228055</v>
      </c>
      <c r="CX90" s="13">
        <f t="shared" si="76"/>
        <v>0</v>
      </c>
      <c r="CY90" s="13">
        <f t="shared" si="77"/>
        <v>1.3862943611198906</v>
      </c>
      <c r="CZ90" s="13">
        <f t="shared" si="78"/>
        <v>1.3862943611198906</v>
      </c>
      <c r="DA90" s="13">
        <f t="shared" si="79"/>
        <v>2.3025850929940459</v>
      </c>
      <c r="DB90" s="13">
        <f t="shared" si="80"/>
        <v>2.9957322735539909</v>
      </c>
      <c r="DC90" s="13">
        <f t="shared" si="81"/>
        <v>3.3672958299864741</v>
      </c>
      <c r="DD90" s="13">
        <f t="shared" si="82"/>
        <v>0.69314718055994529</v>
      </c>
      <c r="DE90" s="13">
        <f t="shared" si="83"/>
        <v>3.5263605246161616</v>
      </c>
      <c r="DF90" s="13">
        <f t="shared" si="84"/>
        <v>0</v>
      </c>
      <c r="DG90" s="13">
        <f t="shared" si="85"/>
        <v>0</v>
      </c>
      <c r="DH90" s="13"/>
      <c r="DI90" s="13"/>
      <c r="DJ90" s="13"/>
      <c r="DL90"/>
      <c r="DM90"/>
      <c r="DN90"/>
      <c r="DO90"/>
      <c r="DP90" s="31"/>
    </row>
    <row r="91" spans="1:120">
      <c r="A91" s="13" t="s">
        <v>75</v>
      </c>
      <c r="B91" t="s">
        <v>176</v>
      </c>
      <c r="C91" t="s">
        <v>138</v>
      </c>
      <c r="D91" s="13" t="s">
        <v>319</v>
      </c>
      <c r="E91" s="13" t="s">
        <v>283</v>
      </c>
      <c r="F91" s="13">
        <v>0</v>
      </c>
      <c r="G91" s="13">
        <v>0</v>
      </c>
      <c r="H91" s="13">
        <v>0</v>
      </c>
      <c r="I91" s="13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13">
        <v>5</v>
      </c>
      <c r="P91" s="24">
        <v>0</v>
      </c>
      <c r="Q91" s="32">
        <v>0</v>
      </c>
      <c r="R91" s="32">
        <v>0</v>
      </c>
      <c r="S91" s="32">
        <v>0</v>
      </c>
      <c r="T91" s="32">
        <v>0</v>
      </c>
      <c r="U91" s="32">
        <v>0</v>
      </c>
      <c r="V91" s="13">
        <v>1</v>
      </c>
      <c r="W91" s="13">
        <v>1</v>
      </c>
      <c r="X91" s="13">
        <v>1</v>
      </c>
      <c r="Y91" s="13">
        <v>0</v>
      </c>
      <c r="Z91" s="32">
        <v>0</v>
      </c>
      <c r="AA91" s="32">
        <v>0</v>
      </c>
      <c r="AB91" s="32">
        <v>0</v>
      </c>
      <c r="AC91" s="32">
        <v>0</v>
      </c>
      <c r="AD91" s="13">
        <v>6</v>
      </c>
      <c r="AE91" s="13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 s="32">
        <v>0</v>
      </c>
      <c r="BD91" s="32">
        <v>0</v>
      </c>
      <c r="BE91" s="32">
        <v>0</v>
      </c>
      <c r="BF91" s="32">
        <v>0</v>
      </c>
      <c r="BG91" s="32">
        <v>0</v>
      </c>
      <c r="BH91" s="32">
        <v>0</v>
      </c>
      <c r="BI91" s="32">
        <v>0</v>
      </c>
      <c r="BJ91" s="32">
        <v>0</v>
      </c>
      <c r="BK91" s="32">
        <v>0</v>
      </c>
      <c r="BL91" s="32">
        <v>0</v>
      </c>
      <c r="BM91" s="13">
        <v>1</v>
      </c>
      <c r="BN91" s="32">
        <v>0</v>
      </c>
      <c r="BO91">
        <f t="shared" si="46"/>
        <v>5</v>
      </c>
      <c r="BP91" s="13">
        <f t="shared" si="47"/>
        <v>14</v>
      </c>
      <c r="BQ91" s="13">
        <f>[1]!shannonweaver(K91:BL91)</f>
        <v>1.2963611597910563</v>
      </c>
      <c r="BR91">
        <f t="shared" si="86"/>
        <v>3</v>
      </c>
      <c r="BS91">
        <f t="shared" si="87"/>
        <v>2</v>
      </c>
      <c r="BT91">
        <f t="shared" si="88"/>
        <v>0</v>
      </c>
      <c r="BU91">
        <f t="shared" si="48"/>
        <v>5</v>
      </c>
      <c r="BV91" s="13">
        <f t="shared" si="49"/>
        <v>7</v>
      </c>
      <c r="BW91" s="13">
        <f t="shared" si="50"/>
        <v>6</v>
      </c>
      <c r="BX91" s="13">
        <f t="shared" si="51"/>
        <v>0</v>
      </c>
      <c r="BY91" s="13">
        <f t="shared" si="52"/>
        <v>6</v>
      </c>
      <c r="BZ91" s="13">
        <f t="shared" si="53"/>
        <v>0</v>
      </c>
      <c r="CA91" s="13">
        <f t="shared" si="54"/>
        <v>7</v>
      </c>
      <c r="CB91" s="13">
        <f t="shared" si="55"/>
        <v>0</v>
      </c>
      <c r="CC91" s="13">
        <f t="shared" si="56"/>
        <v>0</v>
      </c>
      <c r="CD91" s="13">
        <f t="shared" si="57"/>
        <v>2.2360679774997898</v>
      </c>
      <c r="CE91" s="13">
        <f t="shared" si="58"/>
        <v>3.7416573867739413</v>
      </c>
      <c r="CF91" s="13">
        <f t="shared" si="59"/>
        <v>1.13857856988047</v>
      </c>
      <c r="CG91" s="13">
        <f t="shared" si="60"/>
        <v>1.7320508075688772</v>
      </c>
      <c r="CH91" s="13">
        <f t="shared" si="61"/>
        <v>1.4142135623730951</v>
      </c>
      <c r="CI91" s="13">
        <f t="shared" si="62"/>
        <v>0</v>
      </c>
      <c r="CJ91" s="13">
        <f t="shared" si="62"/>
        <v>2.2360679774997898</v>
      </c>
      <c r="CK91" s="13">
        <f t="shared" si="63"/>
        <v>2.6457513110645907</v>
      </c>
      <c r="CL91" s="13">
        <f t="shared" si="64"/>
        <v>2.4494897427831779</v>
      </c>
      <c r="CM91" s="13">
        <f t="shared" si="65"/>
        <v>0</v>
      </c>
      <c r="CN91" s="13">
        <f t="shared" si="66"/>
        <v>2.4494897427831779</v>
      </c>
      <c r="CO91" s="13">
        <f t="shared" si="67"/>
        <v>0</v>
      </c>
      <c r="CP91" s="13">
        <f t="shared" si="68"/>
        <v>2.6457513110645907</v>
      </c>
      <c r="CQ91" s="13">
        <f t="shared" si="69"/>
        <v>0</v>
      </c>
      <c r="CR91" s="13">
        <f t="shared" si="70"/>
        <v>0</v>
      </c>
      <c r="CS91" s="13">
        <f t="shared" si="71"/>
        <v>1.791759469228055</v>
      </c>
      <c r="CT91" s="13">
        <f t="shared" si="72"/>
        <v>2.7080502011022101</v>
      </c>
      <c r="CU91" s="13">
        <f t="shared" si="73"/>
        <v>0.83132576564760574</v>
      </c>
      <c r="CV91" s="13">
        <f t="shared" si="74"/>
        <v>1.3862943611198906</v>
      </c>
      <c r="CW91" s="13">
        <f t="shared" si="75"/>
        <v>1.0986122886681098</v>
      </c>
      <c r="CX91" s="13">
        <f t="shared" si="76"/>
        <v>0</v>
      </c>
      <c r="CY91" s="13">
        <f t="shared" si="77"/>
        <v>1.791759469228055</v>
      </c>
      <c r="CZ91" s="13">
        <f t="shared" si="78"/>
        <v>2.0794415416798357</v>
      </c>
      <c r="DA91" s="13">
        <f t="shared" si="79"/>
        <v>1.9459101490553132</v>
      </c>
      <c r="DB91" s="13">
        <f t="shared" si="80"/>
        <v>0</v>
      </c>
      <c r="DC91" s="13">
        <f t="shared" si="81"/>
        <v>1.9459101490553132</v>
      </c>
      <c r="DD91" s="13">
        <f t="shared" si="82"/>
        <v>0</v>
      </c>
      <c r="DE91" s="13">
        <f t="shared" si="83"/>
        <v>2.0794415416798357</v>
      </c>
      <c r="DF91" s="13">
        <f t="shared" si="84"/>
        <v>0</v>
      </c>
      <c r="DG91" s="13">
        <f t="shared" si="85"/>
        <v>0</v>
      </c>
      <c r="DH91" s="13"/>
      <c r="DI91" s="13"/>
      <c r="DJ91" s="13"/>
      <c r="DL91"/>
      <c r="DM91"/>
      <c r="DN91"/>
      <c r="DO91"/>
      <c r="DP91" s="31"/>
    </row>
    <row r="92" spans="1:120">
      <c r="A92" t="s">
        <v>140</v>
      </c>
      <c r="B92" t="s">
        <v>176</v>
      </c>
      <c r="C92" t="s">
        <v>207</v>
      </c>
      <c r="D92" s="13" t="s">
        <v>320</v>
      </c>
      <c r="E92" s="13" t="s">
        <v>283</v>
      </c>
      <c r="F92" s="13">
        <v>0</v>
      </c>
      <c r="G92" s="13">
        <v>0</v>
      </c>
      <c r="H92" s="13">
        <v>0</v>
      </c>
      <c r="I92" s="13">
        <v>0</v>
      </c>
      <c r="J92" s="32">
        <v>0</v>
      </c>
      <c r="K92" s="13">
        <v>1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32">
        <v>0</v>
      </c>
      <c r="AC92" s="32">
        <v>0</v>
      </c>
      <c r="AD92" s="32">
        <v>0</v>
      </c>
      <c r="AE92" s="13">
        <v>1</v>
      </c>
      <c r="AF92" s="32">
        <v>0</v>
      </c>
      <c r="AG92" s="32">
        <v>0</v>
      </c>
      <c r="AH92" s="32">
        <v>0</v>
      </c>
      <c r="AI92" s="32">
        <v>0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32">
        <v>0</v>
      </c>
      <c r="AV92" s="32">
        <v>0</v>
      </c>
      <c r="AW92" s="32">
        <v>0</v>
      </c>
      <c r="AX92" s="32">
        <v>0</v>
      </c>
      <c r="AY92" s="32">
        <v>0</v>
      </c>
      <c r="AZ92" s="32">
        <v>0</v>
      </c>
      <c r="BA92" s="32">
        <v>0</v>
      </c>
      <c r="BB92" s="13">
        <v>1</v>
      </c>
      <c r="BC92" s="32">
        <v>0</v>
      </c>
      <c r="BD92" s="32">
        <v>0</v>
      </c>
      <c r="BE92" s="32">
        <v>0</v>
      </c>
      <c r="BF92" s="32">
        <v>0</v>
      </c>
      <c r="BG92" s="32">
        <v>0</v>
      </c>
      <c r="BH92" s="32">
        <v>0</v>
      </c>
      <c r="BI92" s="32">
        <v>0</v>
      </c>
      <c r="BJ92" s="32">
        <v>0</v>
      </c>
      <c r="BK92" s="13">
        <v>1</v>
      </c>
      <c r="BL92" s="32">
        <v>0</v>
      </c>
      <c r="BM92" s="32">
        <v>0</v>
      </c>
      <c r="BN92" s="32">
        <v>0</v>
      </c>
      <c r="BO92">
        <f t="shared" si="46"/>
        <v>4</v>
      </c>
      <c r="BP92" s="13">
        <f t="shared" si="47"/>
        <v>4</v>
      </c>
      <c r="BQ92" s="13">
        <f>[1]!shannonweaver(K92:BL92)</f>
        <v>1.3862943611198906</v>
      </c>
      <c r="BR92">
        <f t="shared" si="86"/>
        <v>0</v>
      </c>
      <c r="BS92">
        <f t="shared" si="87"/>
        <v>1</v>
      </c>
      <c r="BT92">
        <f t="shared" si="88"/>
        <v>1</v>
      </c>
      <c r="BU92">
        <f t="shared" si="48"/>
        <v>0</v>
      </c>
      <c r="BV92" s="13">
        <f t="shared" si="49"/>
        <v>0</v>
      </c>
      <c r="BW92" s="13">
        <f t="shared" si="50"/>
        <v>0</v>
      </c>
      <c r="BX92" s="13">
        <f t="shared" si="51"/>
        <v>1</v>
      </c>
      <c r="BY92" s="13">
        <f t="shared" si="52"/>
        <v>1</v>
      </c>
      <c r="BZ92" s="13">
        <f t="shared" si="53"/>
        <v>0</v>
      </c>
      <c r="CA92" s="13">
        <f t="shared" si="54"/>
        <v>1</v>
      </c>
      <c r="CB92" s="13">
        <f t="shared" si="55"/>
        <v>1</v>
      </c>
      <c r="CC92" s="13">
        <f t="shared" si="56"/>
        <v>1</v>
      </c>
      <c r="CD92" s="13">
        <f t="shared" si="57"/>
        <v>2</v>
      </c>
      <c r="CE92" s="13">
        <f t="shared" si="58"/>
        <v>2</v>
      </c>
      <c r="CF92" s="13">
        <f t="shared" si="59"/>
        <v>1.1774100225154747</v>
      </c>
      <c r="CG92" s="13">
        <f t="shared" si="60"/>
        <v>0</v>
      </c>
      <c r="CH92" s="13">
        <f t="shared" si="61"/>
        <v>1</v>
      </c>
      <c r="CI92" s="13">
        <f t="shared" si="62"/>
        <v>1</v>
      </c>
      <c r="CJ92" s="13">
        <f t="shared" si="62"/>
        <v>0</v>
      </c>
      <c r="CK92" s="13">
        <f t="shared" si="63"/>
        <v>0</v>
      </c>
      <c r="CL92" s="13">
        <f t="shared" si="64"/>
        <v>0</v>
      </c>
      <c r="CM92" s="13">
        <f t="shared" si="65"/>
        <v>1</v>
      </c>
      <c r="CN92" s="13">
        <f t="shared" si="66"/>
        <v>1</v>
      </c>
      <c r="CO92" s="13">
        <f t="shared" si="67"/>
        <v>0</v>
      </c>
      <c r="CP92" s="13">
        <f t="shared" si="68"/>
        <v>1</v>
      </c>
      <c r="CQ92" s="13">
        <f t="shared" si="69"/>
        <v>1</v>
      </c>
      <c r="CR92" s="13">
        <f t="shared" si="70"/>
        <v>1</v>
      </c>
      <c r="CS92" s="13">
        <f t="shared" si="71"/>
        <v>1.6094379124341003</v>
      </c>
      <c r="CT92" s="13">
        <f t="shared" si="72"/>
        <v>1.6094379124341003</v>
      </c>
      <c r="CU92" s="13">
        <f t="shared" si="73"/>
        <v>0.86974168619194392</v>
      </c>
      <c r="CV92" s="13">
        <f t="shared" si="74"/>
        <v>0</v>
      </c>
      <c r="CW92" s="13">
        <f t="shared" si="75"/>
        <v>0.69314718055994529</v>
      </c>
      <c r="CX92" s="13">
        <f t="shared" si="76"/>
        <v>0.69314718055994529</v>
      </c>
      <c r="CY92" s="13">
        <f t="shared" si="77"/>
        <v>0</v>
      </c>
      <c r="CZ92" s="13">
        <f t="shared" si="78"/>
        <v>0</v>
      </c>
      <c r="DA92" s="13">
        <f t="shared" si="79"/>
        <v>0</v>
      </c>
      <c r="DB92" s="13">
        <f t="shared" si="80"/>
        <v>0.69314718055994529</v>
      </c>
      <c r="DC92" s="13">
        <f t="shared" si="81"/>
        <v>0.69314718055994529</v>
      </c>
      <c r="DD92" s="13">
        <f t="shared" si="82"/>
        <v>0</v>
      </c>
      <c r="DE92" s="13">
        <f t="shared" si="83"/>
        <v>0.69314718055994529</v>
      </c>
      <c r="DF92" s="13">
        <f t="shared" si="84"/>
        <v>0.69314718055994529</v>
      </c>
      <c r="DG92" s="13">
        <f t="shared" si="85"/>
        <v>0.69314718055994529</v>
      </c>
      <c r="DH92" s="13"/>
      <c r="DI92" s="13"/>
      <c r="DJ92" s="13"/>
      <c r="DL92"/>
      <c r="DM92"/>
      <c r="DN92"/>
      <c r="DO92"/>
      <c r="DP92" s="31"/>
    </row>
    <row r="93" spans="1:120">
      <c r="A93" s="13" t="s">
        <v>208</v>
      </c>
      <c r="B93" t="s">
        <v>176</v>
      </c>
      <c r="C93" t="s">
        <v>207</v>
      </c>
      <c r="D93" s="13" t="s">
        <v>320</v>
      </c>
      <c r="E93" s="13" t="s">
        <v>283</v>
      </c>
      <c r="F93" s="13">
        <v>0</v>
      </c>
      <c r="G93" s="13">
        <v>0</v>
      </c>
      <c r="H93" s="13">
        <v>0</v>
      </c>
      <c r="I93" s="13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32">
        <v>0</v>
      </c>
      <c r="Z93" s="32">
        <v>0</v>
      </c>
      <c r="AA93" s="32">
        <v>0</v>
      </c>
      <c r="AB93" s="13">
        <v>5</v>
      </c>
      <c r="AC93" s="32">
        <v>0</v>
      </c>
      <c r="AD93" s="32">
        <v>0</v>
      </c>
      <c r="AE93" s="13">
        <v>6</v>
      </c>
      <c r="AF93" s="32">
        <v>0</v>
      </c>
      <c r="AG93" s="13">
        <v>1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0</v>
      </c>
      <c r="BC93" s="13">
        <v>2</v>
      </c>
      <c r="BD93" s="32">
        <v>0</v>
      </c>
      <c r="BE93" s="32">
        <v>0</v>
      </c>
      <c r="BF93" s="32">
        <v>0</v>
      </c>
      <c r="BG93" s="32">
        <v>0</v>
      </c>
      <c r="BH93" s="32">
        <v>0</v>
      </c>
      <c r="BI93" s="32">
        <v>0</v>
      </c>
      <c r="BJ93" s="32">
        <v>0</v>
      </c>
      <c r="BK93" s="32">
        <v>0</v>
      </c>
      <c r="BL93" s="32">
        <v>0</v>
      </c>
      <c r="BM93" s="32">
        <v>0</v>
      </c>
      <c r="BN93" s="32">
        <v>0</v>
      </c>
      <c r="BO93">
        <f t="shared" si="46"/>
        <v>4</v>
      </c>
      <c r="BP93" s="13">
        <f t="shared" si="47"/>
        <v>14</v>
      </c>
      <c r="BQ93" s="13">
        <f>[1]!shannonweaver(K93:BL93)</f>
        <v>1.1973401339967784</v>
      </c>
      <c r="BR93">
        <f t="shared" si="86"/>
        <v>0</v>
      </c>
      <c r="BS93">
        <f t="shared" si="87"/>
        <v>3</v>
      </c>
      <c r="BT93">
        <f t="shared" si="88"/>
        <v>1</v>
      </c>
      <c r="BU93">
        <f t="shared" si="48"/>
        <v>0</v>
      </c>
      <c r="BV93" s="13">
        <f t="shared" si="49"/>
        <v>0</v>
      </c>
      <c r="BW93" s="13">
        <f t="shared" si="50"/>
        <v>5</v>
      </c>
      <c r="BX93" s="13">
        <f t="shared" si="51"/>
        <v>6</v>
      </c>
      <c r="BY93" s="13">
        <f t="shared" si="52"/>
        <v>11</v>
      </c>
      <c r="BZ93" s="13">
        <f t="shared" si="53"/>
        <v>1</v>
      </c>
      <c r="CA93" s="13">
        <f t="shared" si="54"/>
        <v>12</v>
      </c>
      <c r="CB93" s="13">
        <f t="shared" si="55"/>
        <v>2</v>
      </c>
      <c r="CC93" s="13">
        <f t="shared" si="56"/>
        <v>0</v>
      </c>
      <c r="CD93" s="13">
        <f t="shared" si="57"/>
        <v>2</v>
      </c>
      <c r="CE93" s="13">
        <f t="shared" si="58"/>
        <v>3.7416573867739413</v>
      </c>
      <c r="CF93" s="13">
        <f t="shared" si="59"/>
        <v>1.0942303843326497</v>
      </c>
      <c r="CG93" s="13">
        <f t="shared" si="60"/>
        <v>0</v>
      </c>
      <c r="CH93" s="13">
        <f t="shared" si="61"/>
        <v>1.7320508075688772</v>
      </c>
      <c r="CI93" s="13">
        <f t="shared" si="62"/>
        <v>1</v>
      </c>
      <c r="CJ93" s="13">
        <f t="shared" si="62"/>
        <v>0</v>
      </c>
      <c r="CK93" s="13">
        <f t="shared" si="63"/>
        <v>0</v>
      </c>
      <c r="CL93" s="13">
        <f t="shared" si="64"/>
        <v>2.2360679774997898</v>
      </c>
      <c r="CM93" s="13">
        <f t="shared" si="65"/>
        <v>2.4494897427831779</v>
      </c>
      <c r="CN93" s="13">
        <f t="shared" si="66"/>
        <v>3.3166247903553998</v>
      </c>
      <c r="CO93" s="13">
        <f t="shared" si="67"/>
        <v>1</v>
      </c>
      <c r="CP93" s="13">
        <f t="shared" si="68"/>
        <v>3.4641016151377544</v>
      </c>
      <c r="CQ93" s="13">
        <f t="shared" si="69"/>
        <v>1.4142135623730951</v>
      </c>
      <c r="CR93" s="13">
        <f t="shared" si="70"/>
        <v>0</v>
      </c>
      <c r="CS93" s="13">
        <f t="shared" si="71"/>
        <v>1.6094379124341003</v>
      </c>
      <c r="CT93" s="13">
        <f t="shared" si="72"/>
        <v>2.7080502011022101</v>
      </c>
      <c r="CU93" s="13">
        <f t="shared" si="73"/>
        <v>0.78724759889639773</v>
      </c>
      <c r="CV93" s="13">
        <f t="shared" si="74"/>
        <v>0</v>
      </c>
      <c r="CW93" s="13">
        <f t="shared" si="75"/>
        <v>1.3862943611198906</v>
      </c>
      <c r="CX93" s="13">
        <f t="shared" si="76"/>
        <v>0.69314718055994529</v>
      </c>
      <c r="CY93" s="13">
        <f t="shared" si="77"/>
        <v>0</v>
      </c>
      <c r="CZ93" s="13">
        <f t="shared" si="78"/>
        <v>0</v>
      </c>
      <c r="DA93" s="13">
        <f t="shared" si="79"/>
        <v>1.791759469228055</v>
      </c>
      <c r="DB93" s="13">
        <f t="shared" si="80"/>
        <v>1.9459101490553132</v>
      </c>
      <c r="DC93" s="13">
        <f t="shared" si="81"/>
        <v>2.4849066497880004</v>
      </c>
      <c r="DD93" s="13">
        <f t="shared" si="82"/>
        <v>0.69314718055994529</v>
      </c>
      <c r="DE93" s="13">
        <f t="shared" si="83"/>
        <v>2.5649493574615367</v>
      </c>
      <c r="DF93" s="13">
        <f t="shared" si="84"/>
        <v>1.0986122886681098</v>
      </c>
      <c r="DG93" s="13">
        <f t="shared" si="85"/>
        <v>0</v>
      </c>
      <c r="DH93" s="13"/>
      <c r="DI93" s="13"/>
      <c r="DJ93" s="13"/>
      <c r="DL93"/>
      <c r="DM93"/>
      <c r="DN93"/>
      <c r="DO93"/>
      <c r="DP93" s="31"/>
    </row>
    <row r="94" spans="1:120">
      <c r="A94" s="13" t="s">
        <v>209</v>
      </c>
      <c r="B94" t="s">
        <v>176</v>
      </c>
      <c r="C94" t="s">
        <v>207</v>
      </c>
      <c r="D94" s="13" t="s">
        <v>320</v>
      </c>
      <c r="E94" s="13" t="s">
        <v>283</v>
      </c>
      <c r="F94" s="13">
        <v>0</v>
      </c>
      <c r="G94" s="13">
        <v>0</v>
      </c>
      <c r="H94" s="13">
        <v>0</v>
      </c>
      <c r="I94" s="13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13">
        <v>1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32">
        <v>0</v>
      </c>
      <c r="Z94" s="32">
        <v>0</v>
      </c>
      <c r="AA94" s="32">
        <v>0</v>
      </c>
      <c r="AB94" s="13">
        <v>5</v>
      </c>
      <c r="AC94" s="32">
        <v>0</v>
      </c>
      <c r="AD94" s="13">
        <v>1</v>
      </c>
      <c r="AE94" s="13">
        <v>15</v>
      </c>
      <c r="AF94" s="32">
        <v>0</v>
      </c>
      <c r="AG94" s="32">
        <v>0</v>
      </c>
      <c r="AH94" s="32">
        <v>0</v>
      </c>
      <c r="AI94" s="32">
        <v>0</v>
      </c>
      <c r="AJ94" s="32">
        <v>0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13">
        <v>2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2">
        <v>0</v>
      </c>
      <c r="AZ94" s="32">
        <v>0</v>
      </c>
      <c r="BA94" s="32">
        <v>0</v>
      </c>
      <c r="BB94" s="32">
        <v>0</v>
      </c>
      <c r="BC94" s="32">
        <v>0</v>
      </c>
      <c r="BD94" s="32">
        <v>0</v>
      </c>
      <c r="BE94" s="32">
        <v>0</v>
      </c>
      <c r="BF94" s="32">
        <v>0</v>
      </c>
      <c r="BG94" s="32">
        <v>0</v>
      </c>
      <c r="BH94" s="32">
        <v>0</v>
      </c>
      <c r="BI94" s="13">
        <v>2</v>
      </c>
      <c r="BJ94" s="32">
        <v>0</v>
      </c>
      <c r="BK94" s="32">
        <v>0</v>
      </c>
      <c r="BL94" s="32">
        <v>0</v>
      </c>
      <c r="BM94" s="32">
        <v>0</v>
      </c>
      <c r="BN94" s="32">
        <v>0</v>
      </c>
      <c r="BO94">
        <f t="shared" si="46"/>
        <v>6</v>
      </c>
      <c r="BP94" s="13">
        <f t="shared" si="47"/>
        <v>26</v>
      </c>
      <c r="BQ94" s="13">
        <f>[1]!shannonweaver(K94:BL94)</f>
        <v>1.2796145649082733</v>
      </c>
      <c r="BR94">
        <f t="shared" si="86"/>
        <v>1</v>
      </c>
      <c r="BS94">
        <f t="shared" si="87"/>
        <v>4</v>
      </c>
      <c r="BT94">
        <f t="shared" si="88"/>
        <v>0</v>
      </c>
      <c r="BU94">
        <f t="shared" si="48"/>
        <v>1</v>
      </c>
      <c r="BV94" s="13">
        <f t="shared" si="49"/>
        <v>1</v>
      </c>
      <c r="BW94" s="13">
        <f t="shared" si="50"/>
        <v>6</v>
      </c>
      <c r="BX94" s="13">
        <f t="shared" si="51"/>
        <v>15</v>
      </c>
      <c r="BY94" s="13">
        <f t="shared" si="52"/>
        <v>21</v>
      </c>
      <c r="BZ94" s="13">
        <f t="shared" si="53"/>
        <v>0</v>
      </c>
      <c r="CA94" s="13">
        <f t="shared" si="54"/>
        <v>23</v>
      </c>
      <c r="CB94" s="13">
        <f t="shared" si="55"/>
        <v>0</v>
      </c>
      <c r="CC94" s="13">
        <f t="shared" si="56"/>
        <v>0</v>
      </c>
      <c r="CD94" s="13">
        <f t="shared" si="57"/>
        <v>2.4494897427831779</v>
      </c>
      <c r="CE94" s="13">
        <f t="shared" si="58"/>
        <v>5.0990195135927845</v>
      </c>
      <c r="CF94" s="13">
        <f t="shared" si="59"/>
        <v>1.131200497218894</v>
      </c>
      <c r="CG94" s="13">
        <f t="shared" si="60"/>
        <v>1</v>
      </c>
      <c r="CH94" s="13">
        <f t="shared" si="61"/>
        <v>2</v>
      </c>
      <c r="CI94" s="13">
        <f t="shared" si="62"/>
        <v>0</v>
      </c>
      <c r="CJ94" s="13">
        <f t="shared" si="62"/>
        <v>1</v>
      </c>
      <c r="CK94" s="13">
        <f t="shared" si="63"/>
        <v>1</v>
      </c>
      <c r="CL94" s="13">
        <f t="shared" si="64"/>
        <v>2.4494897427831779</v>
      </c>
      <c r="CM94" s="13">
        <f t="shared" si="65"/>
        <v>3.872983346207417</v>
      </c>
      <c r="CN94" s="13">
        <f t="shared" si="66"/>
        <v>4.5825756949558398</v>
      </c>
      <c r="CO94" s="13">
        <f t="shared" si="67"/>
        <v>0</v>
      </c>
      <c r="CP94" s="13">
        <f t="shared" si="68"/>
        <v>4.7958315233127191</v>
      </c>
      <c r="CQ94" s="13">
        <f t="shared" si="69"/>
        <v>0</v>
      </c>
      <c r="CR94" s="13">
        <f t="shared" si="70"/>
        <v>0</v>
      </c>
      <c r="CS94" s="13">
        <f t="shared" si="71"/>
        <v>1.9459101490553132</v>
      </c>
      <c r="CT94" s="13">
        <f t="shared" si="72"/>
        <v>3.2958368660043291</v>
      </c>
      <c r="CU94" s="13">
        <f t="shared" si="73"/>
        <v>0.82400637819687927</v>
      </c>
      <c r="CV94" s="13">
        <f t="shared" si="74"/>
        <v>0.69314718055994529</v>
      </c>
      <c r="CW94" s="13">
        <f t="shared" si="75"/>
        <v>1.6094379124341003</v>
      </c>
      <c r="CX94" s="13">
        <f t="shared" si="76"/>
        <v>0</v>
      </c>
      <c r="CY94" s="13">
        <f t="shared" si="77"/>
        <v>0.69314718055994529</v>
      </c>
      <c r="CZ94" s="13">
        <f t="shared" si="78"/>
        <v>0.69314718055994529</v>
      </c>
      <c r="DA94" s="13">
        <f t="shared" si="79"/>
        <v>1.9459101490553132</v>
      </c>
      <c r="DB94" s="13">
        <f t="shared" si="80"/>
        <v>2.7725887222397811</v>
      </c>
      <c r="DC94" s="13">
        <f t="shared" si="81"/>
        <v>3.0910424533583161</v>
      </c>
      <c r="DD94" s="13">
        <f t="shared" si="82"/>
        <v>0</v>
      </c>
      <c r="DE94" s="13">
        <f t="shared" si="83"/>
        <v>3.1780538303479458</v>
      </c>
      <c r="DF94" s="13">
        <f t="shared" si="84"/>
        <v>0</v>
      </c>
      <c r="DG94" s="13">
        <f t="shared" si="85"/>
        <v>0</v>
      </c>
      <c r="DH94" s="13"/>
      <c r="DI94" s="13"/>
      <c r="DJ94" s="13"/>
      <c r="DL94"/>
      <c r="DM94"/>
      <c r="DN94"/>
      <c r="DO94"/>
      <c r="DP94" s="31"/>
    </row>
    <row r="95" spans="1:120">
      <c r="A95" s="13" t="s">
        <v>210</v>
      </c>
      <c r="B95" t="s">
        <v>176</v>
      </c>
      <c r="C95" t="s">
        <v>207</v>
      </c>
      <c r="D95" s="13" t="s">
        <v>320</v>
      </c>
      <c r="E95" s="13" t="s">
        <v>283</v>
      </c>
      <c r="F95" s="13">
        <v>0</v>
      </c>
      <c r="G95" s="13">
        <v>0</v>
      </c>
      <c r="H95" s="13">
        <v>0</v>
      </c>
      <c r="I95" s="13">
        <v>0</v>
      </c>
      <c r="J95" s="32">
        <v>0</v>
      </c>
      <c r="K95" s="32">
        <v>0</v>
      </c>
      <c r="L95" s="32">
        <v>0</v>
      </c>
      <c r="M95" s="32">
        <v>0</v>
      </c>
      <c r="N95" s="32">
        <v>0</v>
      </c>
      <c r="O95" s="13">
        <v>2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32">
        <v>0</v>
      </c>
      <c r="Z95" s="32">
        <v>0</v>
      </c>
      <c r="AA95" s="32">
        <v>0</v>
      </c>
      <c r="AB95" s="13">
        <v>1</v>
      </c>
      <c r="AC95" s="32">
        <v>0</v>
      </c>
      <c r="AD95" s="32">
        <v>0</v>
      </c>
      <c r="AE95" s="13">
        <v>1</v>
      </c>
      <c r="AF95" s="32">
        <v>0</v>
      </c>
      <c r="AG95" s="32">
        <v>0</v>
      </c>
      <c r="AH95" s="32">
        <v>0</v>
      </c>
      <c r="AI95" s="32">
        <v>0</v>
      </c>
      <c r="AJ95" s="32">
        <v>0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0</v>
      </c>
      <c r="AW95" s="32">
        <v>0</v>
      </c>
      <c r="AX95" s="32">
        <v>0</v>
      </c>
      <c r="AY95" s="32">
        <v>0</v>
      </c>
      <c r="AZ95" s="32">
        <v>0</v>
      </c>
      <c r="BA95" s="32">
        <v>0</v>
      </c>
      <c r="BB95" s="32">
        <v>0</v>
      </c>
      <c r="BC95" s="32">
        <v>0</v>
      </c>
      <c r="BD95" s="32">
        <v>0</v>
      </c>
      <c r="BE95" s="32">
        <v>0</v>
      </c>
      <c r="BF95" s="32">
        <v>0</v>
      </c>
      <c r="BG95" s="32">
        <v>0</v>
      </c>
      <c r="BH95" s="32">
        <v>0</v>
      </c>
      <c r="BI95" s="32">
        <v>0</v>
      </c>
      <c r="BJ95" s="32">
        <v>0</v>
      </c>
      <c r="BK95" s="32">
        <v>0</v>
      </c>
      <c r="BL95" s="32">
        <v>0</v>
      </c>
      <c r="BM95" s="32">
        <v>0</v>
      </c>
      <c r="BN95" s="32">
        <v>0</v>
      </c>
      <c r="BO95">
        <f t="shared" si="46"/>
        <v>3</v>
      </c>
      <c r="BP95" s="13">
        <f t="shared" si="47"/>
        <v>4</v>
      </c>
      <c r="BQ95" s="13">
        <f>[1]!shannonweaver(K95:BL95)</f>
        <v>1.0397207708399179</v>
      </c>
      <c r="BR95">
        <f t="shared" si="86"/>
        <v>1</v>
      </c>
      <c r="BS95">
        <f t="shared" si="87"/>
        <v>2</v>
      </c>
      <c r="BT95">
        <f t="shared" si="88"/>
        <v>0</v>
      </c>
      <c r="BU95">
        <f t="shared" si="48"/>
        <v>2</v>
      </c>
      <c r="BV95" s="13">
        <f t="shared" si="49"/>
        <v>2</v>
      </c>
      <c r="BW95" s="13">
        <f t="shared" si="50"/>
        <v>1</v>
      </c>
      <c r="BX95" s="13">
        <f t="shared" si="51"/>
        <v>1</v>
      </c>
      <c r="BY95" s="13">
        <f t="shared" si="52"/>
        <v>2</v>
      </c>
      <c r="BZ95" s="13">
        <f t="shared" si="53"/>
        <v>0</v>
      </c>
      <c r="CA95" s="13">
        <f t="shared" si="54"/>
        <v>2</v>
      </c>
      <c r="CB95" s="13">
        <f t="shared" si="55"/>
        <v>0</v>
      </c>
      <c r="CC95" s="13">
        <f t="shared" si="56"/>
        <v>0</v>
      </c>
      <c r="CD95" s="13">
        <f t="shared" si="57"/>
        <v>1.7320508075688772</v>
      </c>
      <c r="CE95" s="13">
        <f t="shared" si="58"/>
        <v>2</v>
      </c>
      <c r="CF95" s="13">
        <f t="shared" si="59"/>
        <v>1.0196669901688089</v>
      </c>
      <c r="CG95" s="13">
        <f t="shared" si="60"/>
        <v>1</v>
      </c>
      <c r="CH95" s="13">
        <f t="shared" si="61"/>
        <v>1.4142135623730951</v>
      </c>
      <c r="CI95" s="13">
        <f t="shared" si="62"/>
        <v>0</v>
      </c>
      <c r="CJ95" s="13">
        <f t="shared" si="62"/>
        <v>1.4142135623730951</v>
      </c>
      <c r="CK95" s="13">
        <f t="shared" si="63"/>
        <v>1.4142135623730951</v>
      </c>
      <c r="CL95" s="13">
        <f t="shared" si="64"/>
        <v>1</v>
      </c>
      <c r="CM95" s="13">
        <f t="shared" si="65"/>
        <v>1</v>
      </c>
      <c r="CN95" s="13">
        <f t="shared" si="66"/>
        <v>1.4142135623730951</v>
      </c>
      <c r="CO95" s="13">
        <f t="shared" si="67"/>
        <v>0</v>
      </c>
      <c r="CP95" s="13">
        <f t="shared" si="68"/>
        <v>1.4142135623730951</v>
      </c>
      <c r="CQ95" s="13">
        <f t="shared" si="69"/>
        <v>0</v>
      </c>
      <c r="CR95" s="13">
        <f t="shared" si="70"/>
        <v>0</v>
      </c>
      <c r="CS95" s="13">
        <f t="shared" si="71"/>
        <v>1.3862943611198906</v>
      </c>
      <c r="CT95" s="13">
        <f t="shared" si="72"/>
        <v>1.6094379124341003</v>
      </c>
      <c r="CU95" s="13">
        <f t="shared" si="73"/>
        <v>0.7128129214483524</v>
      </c>
      <c r="CV95" s="13">
        <f t="shared" si="74"/>
        <v>0.69314718055994529</v>
      </c>
      <c r="CW95" s="13">
        <f t="shared" si="75"/>
        <v>1.0986122886681098</v>
      </c>
      <c r="CX95" s="13">
        <f t="shared" si="76"/>
        <v>0</v>
      </c>
      <c r="CY95" s="13">
        <f t="shared" si="77"/>
        <v>1.0986122886681098</v>
      </c>
      <c r="CZ95" s="13">
        <f t="shared" si="78"/>
        <v>1.0986122886681098</v>
      </c>
      <c r="DA95" s="13">
        <f t="shared" si="79"/>
        <v>0.69314718055994529</v>
      </c>
      <c r="DB95" s="13">
        <f t="shared" si="80"/>
        <v>0.69314718055994529</v>
      </c>
      <c r="DC95" s="13">
        <f t="shared" si="81"/>
        <v>1.0986122886681098</v>
      </c>
      <c r="DD95" s="13">
        <f t="shared" si="82"/>
        <v>0</v>
      </c>
      <c r="DE95" s="13">
        <f t="shared" si="83"/>
        <v>1.0986122886681098</v>
      </c>
      <c r="DF95" s="13">
        <f t="shared" si="84"/>
        <v>0</v>
      </c>
      <c r="DG95" s="13">
        <f t="shared" si="85"/>
        <v>0</v>
      </c>
      <c r="DH95" s="13"/>
      <c r="DI95" s="13"/>
      <c r="DJ95" s="13"/>
      <c r="DL95"/>
      <c r="DM95"/>
      <c r="DN95"/>
      <c r="DO95"/>
      <c r="DP95" s="31"/>
    </row>
    <row r="96" spans="1:120">
      <c r="A96" s="13" t="s">
        <v>211</v>
      </c>
      <c r="B96" t="s">
        <v>176</v>
      </c>
      <c r="C96" t="s">
        <v>207</v>
      </c>
      <c r="D96" s="13" t="s">
        <v>320</v>
      </c>
      <c r="E96" s="13" t="s">
        <v>283</v>
      </c>
      <c r="F96" s="13">
        <v>0</v>
      </c>
      <c r="G96" s="13">
        <v>1</v>
      </c>
      <c r="H96" s="13">
        <v>0</v>
      </c>
      <c r="I96" s="13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13">
        <v>1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32">
        <v>0</v>
      </c>
      <c r="V96" s="32">
        <v>0</v>
      </c>
      <c r="W96" s="32">
        <v>0</v>
      </c>
      <c r="X96" s="13">
        <v>1</v>
      </c>
      <c r="Y96" s="13">
        <v>2</v>
      </c>
      <c r="Z96" s="32">
        <v>0</v>
      </c>
      <c r="AA96" s="32">
        <v>0</v>
      </c>
      <c r="AB96" s="13">
        <v>1</v>
      </c>
      <c r="AC96" s="32">
        <v>0</v>
      </c>
      <c r="AD96" s="32">
        <v>0</v>
      </c>
      <c r="AE96" s="13">
        <v>3</v>
      </c>
      <c r="AF96" s="32">
        <v>0</v>
      </c>
      <c r="AG96" s="32">
        <v>0</v>
      </c>
      <c r="AH96" s="32">
        <v>0</v>
      </c>
      <c r="AI96" s="32">
        <v>0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v>0</v>
      </c>
      <c r="AY96" s="32">
        <v>0</v>
      </c>
      <c r="AZ96" s="32">
        <v>0</v>
      </c>
      <c r="BA96" s="32">
        <v>0</v>
      </c>
      <c r="BB96" s="32">
        <v>0</v>
      </c>
      <c r="BC96" s="32">
        <v>0</v>
      </c>
      <c r="BD96" s="32">
        <v>0</v>
      </c>
      <c r="BE96" s="32">
        <v>0</v>
      </c>
      <c r="BF96" s="32">
        <v>0</v>
      </c>
      <c r="BG96" s="32">
        <v>0</v>
      </c>
      <c r="BH96" s="32">
        <v>0</v>
      </c>
      <c r="BI96" s="32">
        <v>0</v>
      </c>
      <c r="BJ96" s="32">
        <v>0</v>
      </c>
      <c r="BK96" s="32">
        <v>0</v>
      </c>
      <c r="BL96" s="32">
        <v>0</v>
      </c>
      <c r="BM96" s="32">
        <v>0</v>
      </c>
      <c r="BN96" s="32">
        <v>0</v>
      </c>
      <c r="BO96">
        <f t="shared" si="46"/>
        <v>5</v>
      </c>
      <c r="BP96" s="13">
        <f t="shared" si="47"/>
        <v>8</v>
      </c>
      <c r="BQ96" s="13">
        <f>[1]!shannonweaver(K96:BL96)</f>
        <v>1.4941751382893083</v>
      </c>
      <c r="BR96">
        <f t="shared" si="86"/>
        <v>1</v>
      </c>
      <c r="BS96">
        <f t="shared" si="87"/>
        <v>4</v>
      </c>
      <c r="BT96">
        <f t="shared" si="88"/>
        <v>0</v>
      </c>
      <c r="BU96">
        <f t="shared" si="48"/>
        <v>1</v>
      </c>
      <c r="BV96" s="13">
        <f t="shared" si="49"/>
        <v>1</v>
      </c>
      <c r="BW96" s="13">
        <f t="shared" si="50"/>
        <v>1</v>
      </c>
      <c r="BX96" s="13">
        <f t="shared" si="51"/>
        <v>3</v>
      </c>
      <c r="BY96" s="13">
        <f t="shared" si="52"/>
        <v>4</v>
      </c>
      <c r="BZ96" s="13">
        <f t="shared" si="53"/>
        <v>0</v>
      </c>
      <c r="CA96" s="13">
        <f t="shared" si="54"/>
        <v>7</v>
      </c>
      <c r="CB96" s="13">
        <f t="shared" si="55"/>
        <v>0</v>
      </c>
      <c r="CC96" s="13">
        <f t="shared" si="56"/>
        <v>0</v>
      </c>
      <c r="CD96" s="13">
        <f t="shared" si="57"/>
        <v>2.2360679774997898</v>
      </c>
      <c r="CE96" s="13">
        <f t="shared" si="58"/>
        <v>2.8284271247461903</v>
      </c>
      <c r="CF96" s="13">
        <f t="shared" si="59"/>
        <v>1.2223645684857314</v>
      </c>
      <c r="CG96" s="13">
        <f t="shared" si="60"/>
        <v>1</v>
      </c>
      <c r="CH96" s="13">
        <f t="shared" si="61"/>
        <v>2</v>
      </c>
      <c r="CI96" s="13">
        <f t="shared" si="62"/>
        <v>0</v>
      </c>
      <c r="CJ96" s="13">
        <f t="shared" si="62"/>
        <v>1</v>
      </c>
      <c r="CK96" s="13">
        <f t="shared" si="63"/>
        <v>1</v>
      </c>
      <c r="CL96" s="13">
        <f t="shared" si="64"/>
        <v>1</v>
      </c>
      <c r="CM96" s="13">
        <f t="shared" si="65"/>
        <v>1.7320508075688772</v>
      </c>
      <c r="CN96" s="13">
        <f t="shared" si="66"/>
        <v>2</v>
      </c>
      <c r="CO96" s="13">
        <f t="shared" si="67"/>
        <v>0</v>
      </c>
      <c r="CP96" s="13">
        <f t="shared" si="68"/>
        <v>2.6457513110645907</v>
      </c>
      <c r="CQ96" s="13">
        <f t="shared" si="69"/>
        <v>0</v>
      </c>
      <c r="CR96" s="13">
        <f t="shared" si="70"/>
        <v>0</v>
      </c>
      <c r="CS96" s="13">
        <f t="shared" si="71"/>
        <v>1.791759469228055</v>
      </c>
      <c r="CT96" s="13">
        <f t="shared" si="72"/>
        <v>2.1972245773362196</v>
      </c>
      <c r="CU96" s="13">
        <f t="shared" si="73"/>
        <v>0.91395806864523577</v>
      </c>
      <c r="CV96" s="13">
        <f t="shared" si="74"/>
        <v>0.69314718055994529</v>
      </c>
      <c r="CW96" s="13">
        <f t="shared" si="75"/>
        <v>1.6094379124341003</v>
      </c>
      <c r="CX96" s="13">
        <f t="shared" si="76"/>
        <v>0</v>
      </c>
      <c r="CY96" s="13">
        <f t="shared" si="77"/>
        <v>0.69314718055994529</v>
      </c>
      <c r="CZ96" s="13">
        <f t="shared" si="78"/>
        <v>0.69314718055994529</v>
      </c>
      <c r="DA96" s="13">
        <f t="shared" si="79"/>
        <v>0.69314718055994529</v>
      </c>
      <c r="DB96" s="13">
        <f t="shared" si="80"/>
        <v>1.3862943611198906</v>
      </c>
      <c r="DC96" s="13">
        <f t="shared" si="81"/>
        <v>1.6094379124341003</v>
      </c>
      <c r="DD96" s="13">
        <f t="shared" si="82"/>
        <v>0</v>
      </c>
      <c r="DE96" s="13">
        <f t="shared" si="83"/>
        <v>2.0794415416798357</v>
      </c>
      <c r="DF96" s="13">
        <f t="shared" si="84"/>
        <v>0</v>
      </c>
      <c r="DG96" s="13">
        <f t="shared" si="85"/>
        <v>0</v>
      </c>
      <c r="DH96" s="13"/>
      <c r="DI96" s="13"/>
      <c r="DJ96" s="13"/>
      <c r="DL96"/>
      <c r="DM96"/>
      <c r="DN96"/>
      <c r="DO96"/>
      <c r="DP96" s="31"/>
    </row>
    <row r="97" spans="1:120">
      <c r="A97" s="13" t="s">
        <v>212</v>
      </c>
      <c r="B97" t="s">
        <v>176</v>
      </c>
      <c r="C97" t="s">
        <v>207</v>
      </c>
      <c r="D97" s="13" t="s">
        <v>320</v>
      </c>
      <c r="E97" s="13" t="s">
        <v>283</v>
      </c>
      <c r="F97" s="13">
        <v>0</v>
      </c>
      <c r="G97" s="13">
        <v>0</v>
      </c>
      <c r="H97" s="13">
        <v>0</v>
      </c>
      <c r="I97" s="13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13">
        <v>1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 s="32">
        <v>0</v>
      </c>
      <c r="BD97" s="32">
        <v>0</v>
      </c>
      <c r="BE97" s="32">
        <v>0</v>
      </c>
      <c r="BF97" s="32">
        <v>0</v>
      </c>
      <c r="BG97" s="32">
        <v>0</v>
      </c>
      <c r="BH97" s="32">
        <v>0</v>
      </c>
      <c r="BI97" s="13">
        <v>1</v>
      </c>
      <c r="BJ97" s="32">
        <v>0</v>
      </c>
      <c r="BK97" s="32">
        <v>0</v>
      </c>
      <c r="BL97" s="32">
        <v>0</v>
      </c>
      <c r="BM97" s="32">
        <v>0</v>
      </c>
      <c r="BN97" s="32">
        <v>0</v>
      </c>
      <c r="BO97">
        <f t="shared" si="46"/>
        <v>2</v>
      </c>
      <c r="BP97" s="13">
        <f t="shared" si="47"/>
        <v>2</v>
      </c>
      <c r="BQ97" s="13">
        <f>[1]!shannonweaver(K97:BL97)</f>
        <v>0.69314718055994529</v>
      </c>
      <c r="BR97">
        <f t="shared" si="86"/>
        <v>1</v>
      </c>
      <c r="BS97">
        <f t="shared" si="87"/>
        <v>0</v>
      </c>
      <c r="BT97">
        <f t="shared" si="88"/>
        <v>0</v>
      </c>
      <c r="BU97">
        <f t="shared" si="48"/>
        <v>1</v>
      </c>
      <c r="BV97" s="13">
        <f t="shared" si="49"/>
        <v>1</v>
      </c>
      <c r="BW97" s="13">
        <f t="shared" si="50"/>
        <v>0</v>
      </c>
      <c r="BX97" s="13">
        <f t="shared" si="51"/>
        <v>0</v>
      </c>
      <c r="BY97" s="13">
        <f t="shared" si="52"/>
        <v>0</v>
      </c>
      <c r="BZ97" s="13">
        <f t="shared" si="53"/>
        <v>0</v>
      </c>
      <c r="CA97" s="13">
        <f t="shared" si="54"/>
        <v>0</v>
      </c>
      <c r="CB97" s="13">
        <f t="shared" si="55"/>
        <v>0</v>
      </c>
      <c r="CC97" s="13">
        <f t="shared" si="56"/>
        <v>0</v>
      </c>
      <c r="CD97" s="13">
        <f t="shared" si="57"/>
        <v>1.4142135623730951</v>
      </c>
      <c r="CE97" s="13">
        <f t="shared" si="58"/>
        <v>1.4142135623730951</v>
      </c>
      <c r="CF97" s="13">
        <f t="shared" si="59"/>
        <v>0.83255461115769769</v>
      </c>
      <c r="CG97" s="13">
        <f t="shared" si="60"/>
        <v>1</v>
      </c>
      <c r="CH97" s="13">
        <f t="shared" si="61"/>
        <v>0</v>
      </c>
      <c r="CI97" s="13">
        <f t="shared" si="62"/>
        <v>0</v>
      </c>
      <c r="CJ97" s="13">
        <f t="shared" si="62"/>
        <v>1</v>
      </c>
      <c r="CK97" s="13">
        <f t="shared" si="63"/>
        <v>1</v>
      </c>
      <c r="CL97" s="13">
        <f t="shared" si="64"/>
        <v>0</v>
      </c>
      <c r="CM97" s="13">
        <f t="shared" si="65"/>
        <v>0</v>
      </c>
      <c r="CN97" s="13">
        <f t="shared" si="66"/>
        <v>0</v>
      </c>
      <c r="CO97" s="13">
        <f t="shared" si="67"/>
        <v>0</v>
      </c>
      <c r="CP97" s="13">
        <f t="shared" si="68"/>
        <v>0</v>
      </c>
      <c r="CQ97" s="13">
        <f t="shared" si="69"/>
        <v>0</v>
      </c>
      <c r="CR97" s="13">
        <f t="shared" si="70"/>
        <v>0</v>
      </c>
      <c r="CS97" s="13">
        <f t="shared" si="71"/>
        <v>1.0986122886681098</v>
      </c>
      <c r="CT97" s="13">
        <f t="shared" si="72"/>
        <v>1.0986122886681098</v>
      </c>
      <c r="CU97" s="13">
        <f t="shared" si="73"/>
        <v>0.52658903413904457</v>
      </c>
      <c r="CV97" s="13">
        <f t="shared" si="74"/>
        <v>0.69314718055994529</v>
      </c>
      <c r="CW97" s="13">
        <f t="shared" si="75"/>
        <v>0</v>
      </c>
      <c r="CX97" s="13">
        <f t="shared" si="76"/>
        <v>0</v>
      </c>
      <c r="CY97" s="13">
        <f t="shared" si="77"/>
        <v>0.69314718055994529</v>
      </c>
      <c r="CZ97" s="13">
        <f t="shared" si="78"/>
        <v>0.69314718055994529</v>
      </c>
      <c r="DA97" s="13">
        <f t="shared" si="79"/>
        <v>0</v>
      </c>
      <c r="DB97" s="13">
        <f t="shared" si="80"/>
        <v>0</v>
      </c>
      <c r="DC97" s="13">
        <f t="shared" si="81"/>
        <v>0</v>
      </c>
      <c r="DD97" s="13">
        <f t="shared" si="82"/>
        <v>0</v>
      </c>
      <c r="DE97" s="13">
        <f t="shared" si="83"/>
        <v>0</v>
      </c>
      <c r="DF97" s="13">
        <f t="shared" si="84"/>
        <v>0</v>
      </c>
      <c r="DG97" s="13">
        <f t="shared" si="85"/>
        <v>0</v>
      </c>
      <c r="DH97" s="13"/>
      <c r="DI97" s="13"/>
      <c r="DJ97" s="13"/>
      <c r="DL97"/>
      <c r="DM97"/>
      <c r="DN97"/>
      <c r="DO97"/>
      <c r="DP97" s="31"/>
    </row>
    <row r="98" spans="1:120">
      <c r="A98" s="13" t="s">
        <v>214</v>
      </c>
      <c r="B98" t="s">
        <v>176</v>
      </c>
      <c r="C98" t="s">
        <v>213</v>
      </c>
      <c r="D98" s="13" t="s">
        <v>320</v>
      </c>
      <c r="E98" s="13" t="s">
        <v>283</v>
      </c>
      <c r="F98" s="13">
        <v>0</v>
      </c>
      <c r="G98" s="13">
        <v>0</v>
      </c>
      <c r="H98" s="13">
        <v>0</v>
      </c>
      <c r="I98" s="13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32">
        <v>0</v>
      </c>
      <c r="U98" s="32">
        <v>0</v>
      </c>
      <c r="V98" s="32">
        <v>0</v>
      </c>
      <c r="W98" s="13">
        <v>1</v>
      </c>
      <c r="X98" s="32">
        <v>0</v>
      </c>
      <c r="Y98" s="32">
        <v>0</v>
      </c>
      <c r="Z98" s="32">
        <v>0</v>
      </c>
      <c r="AA98" s="32">
        <v>0</v>
      </c>
      <c r="AB98" s="13">
        <v>8</v>
      </c>
      <c r="AC98" s="32">
        <v>0</v>
      </c>
      <c r="AD98" s="13">
        <v>1</v>
      </c>
      <c r="AE98" s="13">
        <v>12</v>
      </c>
      <c r="AF98" s="32">
        <v>0</v>
      </c>
      <c r="AG98" s="32">
        <v>0</v>
      </c>
      <c r="AH98" s="13">
        <v>1</v>
      </c>
      <c r="AI98" s="32">
        <v>0</v>
      </c>
      <c r="AJ98" s="32">
        <v>0</v>
      </c>
      <c r="AK98" s="32">
        <v>0</v>
      </c>
      <c r="AL98" s="32">
        <v>0</v>
      </c>
      <c r="AM98" s="13">
        <v>2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32">
        <v>0</v>
      </c>
      <c r="BB98" s="32">
        <v>0</v>
      </c>
      <c r="BC98" s="32">
        <v>0</v>
      </c>
      <c r="BD98" s="32">
        <v>0</v>
      </c>
      <c r="BE98" s="32">
        <v>0</v>
      </c>
      <c r="BF98" s="32">
        <v>0</v>
      </c>
      <c r="BG98" s="32">
        <v>0</v>
      </c>
      <c r="BH98" s="32">
        <v>0</v>
      </c>
      <c r="BI98" s="32">
        <v>0</v>
      </c>
      <c r="BJ98" s="32">
        <v>0</v>
      </c>
      <c r="BK98" s="32">
        <v>0</v>
      </c>
      <c r="BL98" s="32">
        <v>0</v>
      </c>
      <c r="BM98" s="32">
        <v>0</v>
      </c>
      <c r="BN98" s="32">
        <v>0</v>
      </c>
      <c r="BO98">
        <f t="shared" si="46"/>
        <v>6</v>
      </c>
      <c r="BP98" s="13">
        <f t="shared" si="47"/>
        <v>25</v>
      </c>
      <c r="BQ98" s="13">
        <f>[1]!shannonweaver(K98:BL98)</f>
        <v>1.3052475651876174</v>
      </c>
      <c r="BR98">
        <f t="shared" si="86"/>
        <v>1</v>
      </c>
      <c r="BS98">
        <f t="shared" si="87"/>
        <v>5</v>
      </c>
      <c r="BT98">
        <f t="shared" si="88"/>
        <v>0</v>
      </c>
      <c r="BU98">
        <f t="shared" si="48"/>
        <v>0</v>
      </c>
      <c r="BV98" s="13">
        <f t="shared" si="49"/>
        <v>1</v>
      </c>
      <c r="BW98" s="13">
        <f t="shared" si="50"/>
        <v>9</v>
      </c>
      <c r="BX98" s="13">
        <f t="shared" si="51"/>
        <v>12</v>
      </c>
      <c r="BY98" s="13">
        <f t="shared" si="52"/>
        <v>21</v>
      </c>
      <c r="BZ98" s="13">
        <f t="shared" si="53"/>
        <v>0</v>
      </c>
      <c r="CA98" s="13">
        <f t="shared" si="54"/>
        <v>24</v>
      </c>
      <c r="CB98" s="13">
        <f t="shared" si="55"/>
        <v>0</v>
      </c>
      <c r="CC98" s="13">
        <f t="shared" si="56"/>
        <v>0</v>
      </c>
      <c r="CD98" s="13">
        <f t="shared" si="57"/>
        <v>2.4494897427831779</v>
      </c>
      <c r="CE98" s="13">
        <f t="shared" si="58"/>
        <v>5</v>
      </c>
      <c r="CF98" s="13">
        <f t="shared" si="59"/>
        <v>1.1424743170800897</v>
      </c>
      <c r="CG98" s="13">
        <f t="shared" si="60"/>
        <v>1</v>
      </c>
      <c r="CH98" s="13">
        <f t="shared" si="61"/>
        <v>2.2360679774997898</v>
      </c>
      <c r="CI98" s="13">
        <f t="shared" si="62"/>
        <v>0</v>
      </c>
      <c r="CJ98" s="13">
        <f t="shared" si="62"/>
        <v>0</v>
      </c>
      <c r="CK98" s="13">
        <f t="shared" si="63"/>
        <v>1</v>
      </c>
      <c r="CL98" s="13">
        <f t="shared" si="64"/>
        <v>3</v>
      </c>
      <c r="CM98" s="13">
        <f t="shared" si="65"/>
        <v>3.4641016151377544</v>
      </c>
      <c r="CN98" s="13">
        <f t="shared" si="66"/>
        <v>4.5825756949558398</v>
      </c>
      <c r="CO98" s="13">
        <f t="shared" si="67"/>
        <v>0</v>
      </c>
      <c r="CP98" s="13">
        <f t="shared" si="68"/>
        <v>4.8989794855663558</v>
      </c>
      <c r="CQ98" s="13">
        <f t="shared" si="69"/>
        <v>0</v>
      </c>
      <c r="CR98" s="13">
        <f t="shared" si="70"/>
        <v>0</v>
      </c>
      <c r="CS98" s="13">
        <f t="shared" si="71"/>
        <v>1.9459101490553132</v>
      </c>
      <c r="CT98" s="13">
        <f t="shared" si="72"/>
        <v>3.2580965380214821</v>
      </c>
      <c r="CU98" s="13">
        <f t="shared" si="73"/>
        <v>0.83518807423337482</v>
      </c>
      <c r="CV98" s="13">
        <f t="shared" si="74"/>
        <v>0.69314718055994529</v>
      </c>
      <c r="CW98" s="13">
        <f t="shared" si="75"/>
        <v>1.791759469228055</v>
      </c>
      <c r="CX98" s="13">
        <f t="shared" si="76"/>
        <v>0</v>
      </c>
      <c r="CY98" s="13">
        <f t="shared" si="77"/>
        <v>0</v>
      </c>
      <c r="CZ98" s="13">
        <f t="shared" si="78"/>
        <v>0.69314718055994529</v>
      </c>
      <c r="DA98" s="13">
        <f t="shared" si="79"/>
        <v>2.3025850929940459</v>
      </c>
      <c r="DB98" s="13">
        <f t="shared" si="80"/>
        <v>2.5649493574615367</v>
      </c>
      <c r="DC98" s="13">
        <f t="shared" si="81"/>
        <v>3.0910424533583161</v>
      </c>
      <c r="DD98" s="13">
        <f t="shared" si="82"/>
        <v>0</v>
      </c>
      <c r="DE98" s="13">
        <f t="shared" si="83"/>
        <v>3.2188758248682006</v>
      </c>
      <c r="DF98" s="13">
        <f t="shared" si="84"/>
        <v>0</v>
      </c>
      <c r="DG98" s="13">
        <f t="shared" si="85"/>
        <v>0</v>
      </c>
      <c r="DH98" s="13"/>
      <c r="DI98" s="13"/>
      <c r="DJ98" s="13"/>
      <c r="DL98"/>
      <c r="DM98"/>
      <c r="DN98"/>
      <c r="DO98"/>
      <c r="DP98" s="31"/>
    </row>
    <row r="99" spans="1:120">
      <c r="A99" s="13" t="s">
        <v>215</v>
      </c>
      <c r="B99" t="s">
        <v>176</v>
      </c>
      <c r="C99" t="s">
        <v>213</v>
      </c>
      <c r="D99" s="13" t="s">
        <v>320</v>
      </c>
      <c r="E99" s="13" t="s">
        <v>283</v>
      </c>
      <c r="F99" s="13">
        <v>0</v>
      </c>
      <c r="G99" s="13">
        <v>0</v>
      </c>
      <c r="H99" s="13">
        <v>0</v>
      </c>
      <c r="I99" s="13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32">
        <v>0</v>
      </c>
      <c r="V99" s="32">
        <v>0</v>
      </c>
      <c r="W99" s="32">
        <v>0</v>
      </c>
      <c r="X99" s="13">
        <v>1</v>
      </c>
      <c r="Y99" s="32">
        <v>0</v>
      </c>
      <c r="Z99" s="32">
        <v>0</v>
      </c>
      <c r="AA99" s="32">
        <v>0</v>
      </c>
      <c r="AB99" s="13">
        <v>8</v>
      </c>
      <c r="AC99" s="32">
        <v>0</v>
      </c>
      <c r="AD99" s="13">
        <v>2</v>
      </c>
      <c r="AE99" s="13">
        <v>11</v>
      </c>
      <c r="AF99" s="32">
        <v>0</v>
      </c>
      <c r="AG99" s="32">
        <v>0</v>
      </c>
      <c r="AH99" s="13">
        <v>1</v>
      </c>
      <c r="AI99" s="32">
        <v>0</v>
      </c>
      <c r="AJ99" s="32">
        <v>0</v>
      </c>
      <c r="AK99" s="32">
        <v>0</v>
      </c>
      <c r="AL99" s="32">
        <v>0</v>
      </c>
      <c r="AM99" s="13">
        <v>2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 s="32">
        <v>0</v>
      </c>
      <c r="BD99" s="32">
        <v>0</v>
      </c>
      <c r="BE99" s="32">
        <v>0</v>
      </c>
      <c r="BF99" s="32">
        <v>0</v>
      </c>
      <c r="BG99" s="32">
        <v>0</v>
      </c>
      <c r="BH99" s="32">
        <v>0</v>
      </c>
      <c r="BI99" s="32">
        <v>0</v>
      </c>
      <c r="BJ99" s="32">
        <v>0</v>
      </c>
      <c r="BK99" s="32">
        <v>0</v>
      </c>
      <c r="BL99" s="32">
        <v>0</v>
      </c>
      <c r="BM99" s="32">
        <v>0</v>
      </c>
      <c r="BN99" s="32">
        <v>0</v>
      </c>
      <c r="BO99">
        <f t="shared" si="46"/>
        <v>6</v>
      </c>
      <c r="BP99" s="13">
        <f t="shared" si="47"/>
        <v>25</v>
      </c>
      <c r="BQ99" s="13">
        <f>[1]!shannonweaver(K99:BL99)</f>
        <v>1.387477062609779</v>
      </c>
      <c r="BR99">
        <f t="shared" si="86"/>
        <v>0</v>
      </c>
      <c r="BS99">
        <f t="shared" si="87"/>
        <v>6</v>
      </c>
      <c r="BT99">
        <f t="shared" si="88"/>
        <v>0</v>
      </c>
      <c r="BU99">
        <f t="shared" si="48"/>
        <v>0</v>
      </c>
      <c r="BV99" s="13">
        <f t="shared" si="49"/>
        <v>0</v>
      </c>
      <c r="BW99" s="13">
        <f t="shared" si="50"/>
        <v>10</v>
      </c>
      <c r="BX99" s="13">
        <f t="shared" si="51"/>
        <v>11</v>
      </c>
      <c r="BY99" s="13">
        <f t="shared" si="52"/>
        <v>21</v>
      </c>
      <c r="BZ99" s="13">
        <f t="shared" si="53"/>
        <v>0</v>
      </c>
      <c r="CA99" s="13">
        <f t="shared" si="54"/>
        <v>25</v>
      </c>
      <c r="CB99" s="13">
        <f t="shared" si="55"/>
        <v>0</v>
      </c>
      <c r="CC99" s="13">
        <f t="shared" si="56"/>
        <v>0</v>
      </c>
      <c r="CD99" s="13">
        <f t="shared" si="57"/>
        <v>2.4494897427831779</v>
      </c>
      <c r="CE99" s="13">
        <f t="shared" si="58"/>
        <v>5</v>
      </c>
      <c r="CF99" s="13">
        <f t="shared" si="59"/>
        <v>1.1779121625188267</v>
      </c>
      <c r="CG99" s="13">
        <f t="shared" si="60"/>
        <v>0</v>
      </c>
      <c r="CH99" s="13">
        <f t="shared" si="61"/>
        <v>2.4494897427831779</v>
      </c>
      <c r="CI99" s="13">
        <f t="shared" si="62"/>
        <v>0</v>
      </c>
      <c r="CJ99" s="13">
        <f t="shared" si="62"/>
        <v>0</v>
      </c>
      <c r="CK99" s="13">
        <f t="shared" si="63"/>
        <v>0</v>
      </c>
      <c r="CL99" s="13">
        <f t="shared" si="64"/>
        <v>3.1622776601683795</v>
      </c>
      <c r="CM99" s="13">
        <f t="shared" si="65"/>
        <v>3.3166247903553998</v>
      </c>
      <c r="CN99" s="13">
        <f t="shared" si="66"/>
        <v>4.5825756949558398</v>
      </c>
      <c r="CO99" s="13">
        <f t="shared" si="67"/>
        <v>0</v>
      </c>
      <c r="CP99" s="13">
        <f t="shared" si="68"/>
        <v>5</v>
      </c>
      <c r="CQ99" s="13">
        <f t="shared" si="69"/>
        <v>0</v>
      </c>
      <c r="CR99" s="13">
        <f t="shared" si="70"/>
        <v>0</v>
      </c>
      <c r="CS99" s="13">
        <f t="shared" si="71"/>
        <v>1.9459101490553132</v>
      </c>
      <c r="CT99" s="13">
        <f t="shared" si="72"/>
        <v>3.2580965380214821</v>
      </c>
      <c r="CU99" s="13">
        <f t="shared" si="73"/>
        <v>0.87023718604273592</v>
      </c>
      <c r="CV99" s="13">
        <f t="shared" si="74"/>
        <v>0</v>
      </c>
      <c r="CW99" s="13">
        <f t="shared" si="75"/>
        <v>1.9459101490553132</v>
      </c>
      <c r="CX99" s="13">
        <f t="shared" si="76"/>
        <v>0</v>
      </c>
      <c r="CY99" s="13">
        <f t="shared" si="77"/>
        <v>0</v>
      </c>
      <c r="CZ99" s="13">
        <f t="shared" si="78"/>
        <v>0</v>
      </c>
      <c r="DA99" s="13">
        <f t="shared" si="79"/>
        <v>2.3978952727983707</v>
      </c>
      <c r="DB99" s="13">
        <f t="shared" si="80"/>
        <v>2.4849066497880004</v>
      </c>
      <c r="DC99" s="13">
        <f t="shared" si="81"/>
        <v>3.0910424533583161</v>
      </c>
      <c r="DD99" s="13">
        <f t="shared" si="82"/>
        <v>0</v>
      </c>
      <c r="DE99" s="13">
        <f t="shared" si="83"/>
        <v>3.2580965380214821</v>
      </c>
      <c r="DF99" s="13">
        <f t="shared" si="84"/>
        <v>0</v>
      </c>
      <c r="DG99" s="13">
        <f t="shared" si="85"/>
        <v>0</v>
      </c>
      <c r="DH99" s="13"/>
      <c r="DI99" s="13"/>
      <c r="DJ99" s="13"/>
      <c r="DL99"/>
      <c r="DM99"/>
      <c r="DN99"/>
      <c r="DO99"/>
      <c r="DP99" s="31"/>
    </row>
    <row r="100" spans="1:120">
      <c r="A100" s="13" t="s">
        <v>216</v>
      </c>
      <c r="B100" t="s">
        <v>176</v>
      </c>
      <c r="C100" t="s">
        <v>213</v>
      </c>
      <c r="D100" s="13" t="s">
        <v>320</v>
      </c>
      <c r="E100" s="13" t="s">
        <v>283</v>
      </c>
      <c r="F100" s="13">
        <v>0</v>
      </c>
      <c r="G100" s="13">
        <v>0</v>
      </c>
      <c r="H100" s="13">
        <v>0</v>
      </c>
      <c r="I100" s="13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32">
        <v>0</v>
      </c>
      <c r="V100" s="32">
        <v>0</v>
      </c>
      <c r="W100" s="32">
        <v>0</v>
      </c>
      <c r="X100" s="13">
        <v>1</v>
      </c>
      <c r="Y100" s="32">
        <v>0</v>
      </c>
      <c r="Z100" s="32">
        <v>0</v>
      </c>
      <c r="AA100" s="32">
        <v>0</v>
      </c>
      <c r="AB100" s="13">
        <v>8</v>
      </c>
      <c r="AC100" s="32">
        <v>0</v>
      </c>
      <c r="AD100" s="13">
        <v>1</v>
      </c>
      <c r="AE100" s="13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 s="32">
        <v>0</v>
      </c>
      <c r="BD100" s="32">
        <v>0</v>
      </c>
      <c r="BE100" s="32">
        <v>0</v>
      </c>
      <c r="BF100" s="32">
        <v>0</v>
      </c>
      <c r="BG100" s="32">
        <v>0</v>
      </c>
      <c r="BH100" s="32">
        <v>0</v>
      </c>
      <c r="BI100" s="32">
        <v>0</v>
      </c>
      <c r="BJ100" s="32">
        <v>0</v>
      </c>
      <c r="BK100" s="32">
        <v>0</v>
      </c>
      <c r="BL100" s="32">
        <v>0</v>
      </c>
      <c r="BM100" s="32">
        <v>0</v>
      </c>
      <c r="BN100" s="32">
        <v>0</v>
      </c>
      <c r="BO100">
        <f t="shared" si="46"/>
        <v>3</v>
      </c>
      <c r="BP100" s="13">
        <f t="shared" si="47"/>
        <v>10</v>
      </c>
      <c r="BQ100" s="13">
        <f>[1]!shannonweaver(K100:BL100)</f>
        <v>0.63903185965017695</v>
      </c>
      <c r="BR100">
        <f t="shared" si="86"/>
        <v>0</v>
      </c>
      <c r="BS100">
        <f t="shared" si="87"/>
        <v>3</v>
      </c>
      <c r="BT100">
        <f t="shared" si="88"/>
        <v>0</v>
      </c>
      <c r="BU100">
        <f t="shared" si="48"/>
        <v>0</v>
      </c>
      <c r="BV100" s="13">
        <f t="shared" si="49"/>
        <v>0</v>
      </c>
      <c r="BW100" s="13">
        <f t="shared" si="50"/>
        <v>9</v>
      </c>
      <c r="BX100" s="13">
        <f t="shared" si="51"/>
        <v>0</v>
      </c>
      <c r="BY100" s="13">
        <f t="shared" si="52"/>
        <v>9</v>
      </c>
      <c r="BZ100" s="13">
        <f t="shared" si="53"/>
        <v>0</v>
      </c>
      <c r="CA100" s="13">
        <f t="shared" si="54"/>
        <v>10</v>
      </c>
      <c r="CB100" s="13">
        <f t="shared" si="55"/>
        <v>0</v>
      </c>
      <c r="CC100" s="13">
        <f t="shared" si="56"/>
        <v>0</v>
      </c>
      <c r="CD100" s="13">
        <f t="shared" si="57"/>
        <v>1.7320508075688772</v>
      </c>
      <c r="CE100" s="13">
        <f t="shared" si="58"/>
        <v>3.1622776601683795</v>
      </c>
      <c r="CF100" s="13">
        <f t="shared" si="59"/>
        <v>0.79939468327615049</v>
      </c>
      <c r="CG100" s="13">
        <f t="shared" si="60"/>
        <v>0</v>
      </c>
      <c r="CH100" s="13">
        <f t="shared" si="61"/>
        <v>1.7320508075688772</v>
      </c>
      <c r="CI100" s="13">
        <f t="shared" si="62"/>
        <v>0</v>
      </c>
      <c r="CJ100" s="13">
        <f t="shared" si="62"/>
        <v>0</v>
      </c>
      <c r="CK100" s="13">
        <f t="shared" si="63"/>
        <v>0</v>
      </c>
      <c r="CL100" s="13">
        <f t="shared" si="64"/>
        <v>3</v>
      </c>
      <c r="CM100" s="13">
        <f t="shared" si="65"/>
        <v>0</v>
      </c>
      <c r="CN100" s="13">
        <f t="shared" si="66"/>
        <v>3</v>
      </c>
      <c r="CO100" s="13">
        <f t="shared" si="67"/>
        <v>0</v>
      </c>
      <c r="CP100" s="13">
        <f t="shared" si="68"/>
        <v>3.1622776601683795</v>
      </c>
      <c r="CQ100" s="13">
        <f t="shared" si="69"/>
        <v>0</v>
      </c>
      <c r="CR100" s="13">
        <f t="shared" si="70"/>
        <v>0</v>
      </c>
      <c r="CS100" s="13">
        <f t="shared" si="71"/>
        <v>1.3862943611198906</v>
      </c>
      <c r="CT100" s="13">
        <f t="shared" si="72"/>
        <v>2.3978952727983707</v>
      </c>
      <c r="CU100" s="13">
        <f t="shared" si="73"/>
        <v>0.49410573804145441</v>
      </c>
      <c r="CV100" s="13">
        <f t="shared" si="74"/>
        <v>0</v>
      </c>
      <c r="CW100" s="13">
        <f t="shared" si="75"/>
        <v>1.3862943611198906</v>
      </c>
      <c r="CX100" s="13">
        <f t="shared" si="76"/>
        <v>0</v>
      </c>
      <c r="CY100" s="13">
        <f t="shared" si="77"/>
        <v>0</v>
      </c>
      <c r="CZ100" s="13">
        <f t="shared" si="78"/>
        <v>0</v>
      </c>
      <c r="DA100" s="13">
        <f t="shared" si="79"/>
        <v>2.3025850929940459</v>
      </c>
      <c r="DB100" s="13">
        <f t="shared" si="80"/>
        <v>0</v>
      </c>
      <c r="DC100" s="13">
        <f t="shared" si="81"/>
        <v>2.3025850929940459</v>
      </c>
      <c r="DD100" s="13">
        <f t="shared" si="82"/>
        <v>0</v>
      </c>
      <c r="DE100" s="13">
        <f t="shared" si="83"/>
        <v>2.3978952727983707</v>
      </c>
      <c r="DF100" s="13">
        <f t="shared" si="84"/>
        <v>0</v>
      </c>
      <c r="DG100" s="13">
        <f t="shared" si="85"/>
        <v>0</v>
      </c>
      <c r="DH100" s="13"/>
      <c r="DI100" s="13"/>
      <c r="DJ100" s="13"/>
      <c r="DL100"/>
      <c r="DM100"/>
      <c r="DN100"/>
      <c r="DO100"/>
      <c r="DP100" s="31"/>
    </row>
    <row r="101" spans="1:120">
      <c r="A101" s="13" t="s">
        <v>217</v>
      </c>
      <c r="B101" t="s">
        <v>176</v>
      </c>
      <c r="C101" t="s">
        <v>213</v>
      </c>
      <c r="D101" s="13" t="s">
        <v>320</v>
      </c>
      <c r="E101" s="13" t="s">
        <v>283</v>
      </c>
      <c r="F101" s="13">
        <v>0</v>
      </c>
      <c r="G101" s="13">
        <v>0</v>
      </c>
      <c r="H101" s="13">
        <v>0</v>
      </c>
      <c r="I101" s="13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13">
        <v>5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32">
        <v>0</v>
      </c>
      <c r="Z101" s="32">
        <v>0</v>
      </c>
      <c r="AA101" s="32">
        <v>0</v>
      </c>
      <c r="AB101" s="13">
        <v>5</v>
      </c>
      <c r="AC101" s="32">
        <v>0</v>
      </c>
      <c r="AD101" s="13">
        <v>2</v>
      </c>
      <c r="AE101" s="13">
        <v>4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13">
        <v>2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32">
        <v>0</v>
      </c>
      <c r="BA101" s="32">
        <v>0</v>
      </c>
      <c r="BB101" s="32">
        <v>0</v>
      </c>
      <c r="BC101" s="32">
        <v>0</v>
      </c>
      <c r="BD101" s="32">
        <v>0</v>
      </c>
      <c r="BE101" s="32">
        <v>0</v>
      </c>
      <c r="BF101" s="13">
        <v>1</v>
      </c>
      <c r="BG101" s="32">
        <v>0</v>
      </c>
      <c r="BH101" s="32">
        <v>0</v>
      </c>
      <c r="BI101" s="32">
        <v>0</v>
      </c>
      <c r="BJ101" s="32">
        <v>0</v>
      </c>
      <c r="BK101" s="32">
        <v>0</v>
      </c>
      <c r="BL101" s="32">
        <v>0</v>
      </c>
      <c r="BM101" s="32">
        <v>0</v>
      </c>
      <c r="BN101" s="32">
        <v>0</v>
      </c>
      <c r="BO101">
        <f t="shared" si="46"/>
        <v>6</v>
      </c>
      <c r="BP101" s="13">
        <f t="shared" si="47"/>
        <v>19</v>
      </c>
      <c r="BQ101" s="13">
        <f>[1]!shannonweaver(K101:BL101)</f>
        <v>1.6595892270053696</v>
      </c>
      <c r="BR101">
        <f t="shared" si="86"/>
        <v>1</v>
      </c>
      <c r="BS101">
        <f t="shared" si="87"/>
        <v>4</v>
      </c>
      <c r="BT101">
        <f t="shared" si="88"/>
        <v>0</v>
      </c>
      <c r="BU101">
        <f t="shared" si="48"/>
        <v>5</v>
      </c>
      <c r="BV101" s="13">
        <f t="shared" si="49"/>
        <v>5</v>
      </c>
      <c r="BW101" s="13">
        <f t="shared" si="50"/>
        <v>7</v>
      </c>
      <c r="BX101" s="13">
        <f t="shared" si="51"/>
        <v>4</v>
      </c>
      <c r="BY101" s="13">
        <f t="shared" si="52"/>
        <v>11</v>
      </c>
      <c r="BZ101" s="13">
        <f t="shared" si="53"/>
        <v>0</v>
      </c>
      <c r="CA101" s="13">
        <f t="shared" si="54"/>
        <v>13</v>
      </c>
      <c r="CB101" s="13">
        <f t="shared" si="55"/>
        <v>0</v>
      </c>
      <c r="CC101" s="13">
        <f t="shared" si="56"/>
        <v>0</v>
      </c>
      <c r="CD101" s="13">
        <f t="shared" si="57"/>
        <v>2.4494897427831779</v>
      </c>
      <c r="CE101" s="13">
        <f t="shared" si="58"/>
        <v>4.358898943540674</v>
      </c>
      <c r="CF101" s="13">
        <f t="shared" si="59"/>
        <v>1.288250451971731</v>
      </c>
      <c r="CG101" s="13">
        <f t="shared" si="60"/>
        <v>1</v>
      </c>
      <c r="CH101" s="13">
        <f t="shared" si="61"/>
        <v>2</v>
      </c>
      <c r="CI101" s="13">
        <f t="shared" si="62"/>
        <v>0</v>
      </c>
      <c r="CJ101" s="13">
        <f t="shared" si="62"/>
        <v>2.2360679774997898</v>
      </c>
      <c r="CK101" s="13">
        <f t="shared" si="63"/>
        <v>2.2360679774997898</v>
      </c>
      <c r="CL101" s="13">
        <f t="shared" si="64"/>
        <v>2.6457513110645907</v>
      </c>
      <c r="CM101" s="13">
        <f t="shared" si="65"/>
        <v>2</v>
      </c>
      <c r="CN101" s="13">
        <f t="shared" si="66"/>
        <v>3.3166247903553998</v>
      </c>
      <c r="CO101" s="13">
        <f t="shared" si="67"/>
        <v>0</v>
      </c>
      <c r="CP101" s="13">
        <f t="shared" si="68"/>
        <v>3.6055512754639891</v>
      </c>
      <c r="CQ101" s="13">
        <f t="shared" si="69"/>
        <v>0</v>
      </c>
      <c r="CR101" s="13">
        <f t="shared" si="70"/>
        <v>0</v>
      </c>
      <c r="CS101" s="13">
        <f t="shared" si="71"/>
        <v>1.9459101490553132</v>
      </c>
      <c r="CT101" s="13">
        <f t="shared" si="72"/>
        <v>2.9957322735539909</v>
      </c>
      <c r="CU101" s="13">
        <f t="shared" si="73"/>
        <v>0.97817168493086393</v>
      </c>
      <c r="CV101" s="13">
        <f t="shared" si="74"/>
        <v>0.69314718055994529</v>
      </c>
      <c r="CW101" s="13">
        <f t="shared" si="75"/>
        <v>1.6094379124341003</v>
      </c>
      <c r="CX101" s="13">
        <f t="shared" si="76"/>
        <v>0</v>
      </c>
      <c r="CY101" s="13">
        <f t="shared" si="77"/>
        <v>1.791759469228055</v>
      </c>
      <c r="CZ101" s="13">
        <f t="shared" si="78"/>
        <v>1.791759469228055</v>
      </c>
      <c r="DA101" s="13">
        <f t="shared" si="79"/>
        <v>2.0794415416798357</v>
      </c>
      <c r="DB101" s="13">
        <f t="shared" si="80"/>
        <v>1.6094379124341003</v>
      </c>
      <c r="DC101" s="13">
        <f t="shared" si="81"/>
        <v>2.4849066497880004</v>
      </c>
      <c r="DD101" s="13">
        <f t="shared" si="82"/>
        <v>0</v>
      </c>
      <c r="DE101" s="13">
        <f t="shared" si="83"/>
        <v>2.6390573296152584</v>
      </c>
      <c r="DF101" s="13">
        <f t="shared" si="84"/>
        <v>0</v>
      </c>
      <c r="DG101" s="13">
        <f t="shared" si="85"/>
        <v>0</v>
      </c>
      <c r="DH101" s="13"/>
      <c r="DI101" s="13"/>
      <c r="DJ101" s="13"/>
      <c r="DL101"/>
      <c r="DM101"/>
      <c r="DN101"/>
      <c r="DO101"/>
      <c r="DP101" s="31"/>
    </row>
    <row r="102" spans="1:120">
      <c r="A102" s="13" t="s">
        <v>218</v>
      </c>
      <c r="B102" t="s">
        <v>176</v>
      </c>
      <c r="C102" t="s">
        <v>213</v>
      </c>
      <c r="D102" s="13" t="s">
        <v>320</v>
      </c>
      <c r="E102" s="13" t="s">
        <v>283</v>
      </c>
      <c r="F102" s="13">
        <v>0</v>
      </c>
      <c r="G102" s="13">
        <v>0</v>
      </c>
      <c r="H102" s="13">
        <v>0</v>
      </c>
      <c r="I102" s="13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13">
        <v>1</v>
      </c>
      <c r="P102" s="32">
        <v>0</v>
      </c>
      <c r="Q102" s="32">
        <v>0</v>
      </c>
      <c r="R102" s="32">
        <v>0</v>
      </c>
      <c r="S102" s="32">
        <v>0</v>
      </c>
      <c r="T102" s="32">
        <v>0</v>
      </c>
      <c r="U102" s="32">
        <v>0</v>
      </c>
      <c r="V102" s="32">
        <v>0</v>
      </c>
      <c r="W102" s="13">
        <v>1</v>
      </c>
      <c r="X102" s="13">
        <v>1</v>
      </c>
      <c r="Y102" s="32">
        <v>0</v>
      </c>
      <c r="Z102" s="32">
        <v>0</v>
      </c>
      <c r="AA102" s="32">
        <v>0</v>
      </c>
      <c r="AB102" s="32">
        <v>0</v>
      </c>
      <c r="AC102" s="32">
        <v>0</v>
      </c>
      <c r="AD102" s="13">
        <v>3</v>
      </c>
      <c r="AE102" s="13">
        <v>10</v>
      </c>
      <c r="AF102" s="32">
        <v>0</v>
      </c>
      <c r="AG102" s="32">
        <v>0</v>
      </c>
      <c r="AH102" s="32">
        <v>0</v>
      </c>
      <c r="AI102" s="32">
        <v>0</v>
      </c>
      <c r="AJ102" s="32">
        <v>0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13">
        <v>1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 s="32">
        <v>0</v>
      </c>
      <c r="BD102" s="32">
        <v>0</v>
      </c>
      <c r="BE102" s="32">
        <v>0</v>
      </c>
      <c r="BF102" s="32">
        <v>0</v>
      </c>
      <c r="BG102" s="32">
        <v>0</v>
      </c>
      <c r="BH102" s="32">
        <v>0</v>
      </c>
      <c r="BI102" s="32">
        <v>0</v>
      </c>
      <c r="BJ102" s="32">
        <v>0</v>
      </c>
      <c r="BK102" s="32">
        <v>0</v>
      </c>
      <c r="BL102" s="32">
        <v>0</v>
      </c>
      <c r="BM102" s="32">
        <v>0</v>
      </c>
      <c r="BN102" s="32">
        <v>0</v>
      </c>
      <c r="BO102">
        <f t="shared" si="46"/>
        <v>6</v>
      </c>
      <c r="BP102" s="13">
        <f t="shared" si="47"/>
        <v>17</v>
      </c>
      <c r="BQ102" s="13">
        <f>[1]!shannonweaver(K102:BL102)</f>
        <v>1.28487876782417</v>
      </c>
      <c r="BR102">
        <f t="shared" si="86"/>
        <v>2</v>
      </c>
      <c r="BS102">
        <f t="shared" si="87"/>
        <v>4</v>
      </c>
      <c r="BT102">
        <f t="shared" si="88"/>
        <v>0</v>
      </c>
      <c r="BU102">
        <f t="shared" si="48"/>
        <v>1</v>
      </c>
      <c r="BV102" s="13">
        <f t="shared" si="49"/>
        <v>2</v>
      </c>
      <c r="BW102" s="13">
        <f t="shared" si="50"/>
        <v>3</v>
      </c>
      <c r="BX102" s="13">
        <f t="shared" si="51"/>
        <v>10</v>
      </c>
      <c r="BY102" s="13">
        <f t="shared" si="52"/>
        <v>13</v>
      </c>
      <c r="BZ102" s="13">
        <f t="shared" si="53"/>
        <v>0</v>
      </c>
      <c r="CA102" s="13">
        <f t="shared" si="54"/>
        <v>15</v>
      </c>
      <c r="CB102" s="13">
        <f t="shared" si="55"/>
        <v>0</v>
      </c>
      <c r="CC102" s="13">
        <f t="shared" si="56"/>
        <v>0</v>
      </c>
      <c r="CD102" s="13">
        <f t="shared" si="57"/>
        <v>2.4494897427831779</v>
      </c>
      <c r="CE102" s="13">
        <f t="shared" si="58"/>
        <v>4.1231056256176606</v>
      </c>
      <c r="CF102" s="13">
        <f t="shared" si="59"/>
        <v>1.1335249303937562</v>
      </c>
      <c r="CG102" s="13">
        <f t="shared" si="60"/>
        <v>1.4142135623730951</v>
      </c>
      <c r="CH102" s="13">
        <f t="shared" si="61"/>
        <v>2</v>
      </c>
      <c r="CI102" s="13">
        <f t="shared" si="62"/>
        <v>0</v>
      </c>
      <c r="CJ102" s="13">
        <f t="shared" si="62"/>
        <v>1</v>
      </c>
      <c r="CK102" s="13">
        <f t="shared" si="63"/>
        <v>1.4142135623730951</v>
      </c>
      <c r="CL102" s="13">
        <f t="shared" si="64"/>
        <v>1.7320508075688772</v>
      </c>
      <c r="CM102" s="13">
        <f t="shared" si="65"/>
        <v>3.1622776601683795</v>
      </c>
      <c r="CN102" s="13">
        <f t="shared" si="66"/>
        <v>3.6055512754639891</v>
      </c>
      <c r="CO102" s="13">
        <f t="shared" si="67"/>
        <v>0</v>
      </c>
      <c r="CP102" s="13">
        <f t="shared" si="68"/>
        <v>3.872983346207417</v>
      </c>
      <c r="CQ102" s="13">
        <f t="shared" si="69"/>
        <v>0</v>
      </c>
      <c r="CR102" s="13">
        <f t="shared" si="70"/>
        <v>0</v>
      </c>
      <c r="CS102" s="13">
        <f t="shared" si="71"/>
        <v>1.9459101490553132</v>
      </c>
      <c r="CT102" s="13">
        <f t="shared" si="72"/>
        <v>2.8903717578961645</v>
      </c>
      <c r="CU102" s="13">
        <f t="shared" si="73"/>
        <v>0.82631296728184844</v>
      </c>
      <c r="CV102" s="13">
        <f t="shared" si="74"/>
        <v>1.0986122886681098</v>
      </c>
      <c r="CW102" s="13">
        <f t="shared" si="75"/>
        <v>1.6094379124341003</v>
      </c>
      <c r="CX102" s="13">
        <f t="shared" si="76"/>
        <v>0</v>
      </c>
      <c r="CY102" s="13">
        <f t="shared" si="77"/>
        <v>0.69314718055994529</v>
      </c>
      <c r="CZ102" s="13">
        <f t="shared" si="78"/>
        <v>1.0986122886681098</v>
      </c>
      <c r="DA102" s="13">
        <f t="shared" si="79"/>
        <v>1.3862943611198906</v>
      </c>
      <c r="DB102" s="13">
        <f t="shared" si="80"/>
        <v>2.3978952727983707</v>
      </c>
      <c r="DC102" s="13">
        <f t="shared" si="81"/>
        <v>2.6390573296152584</v>
      </c>
      <c r="DD102" s="13">
        <f t="shared" si="82"/>
        <v>0</v>
      </c>
      <c r="DE102" s="13">
        <f t="shared" si="83"/>
        <v>2.7725887222397811</v>
      </c>
      <c r="DF102" s="13">
        <f t="shared" si="84"/>
        <v>0</v>
      </c>
      <c r="DG102" s="13">
        <f t="shared" si="85"/>
        <v>0</v>
      </c>
      <c r="DH102" s="13"/>
      <c r="DI102" s="13"/>
      <c r="DJ102" s="13"/>
      <c r="DL102"/>
      <c r="DM102"/>
      <c r="DN102"/>
      <c r="DO102"/>
      <c r="DP102" s="31"/>
    </row>
    <row r="103" spans="1:120">
      <c r="A103" s="13" t="s">
        <v>219</v>
      </c>
      <c r="B103" t="s">
        <v>176</v>
      </c>
      <c r="C103" t="s">
        <v>213</v>
      </c>
      <c r="D103" s="13" t="s">
        <v>320</v>
      </c>
      <c r="E103" s="13" t="s">
        <v>283</v>
      </c>
      <c r="F103" s="13">
        <v>0</v>
      </c>
      <c r="G103" s="13">
        <v>0</v>
      </c>
      <c r="H103" s="13">
        <v>0</v>
      </c>
      <c r="I103" s="13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13">
        <v>1</v>
      </c>
      <c r="P103" s="13">
        <v>1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32">
        <v>0</v>
      </c>
      <c r="AB103" s="32">
        <v>0</v>
      </c>
      <c r="AC103" s="32">
        <v>0</v>
      </c>
      <c r="AD103" s="13">
        <v>3</v>
      </c>
      <c r="AE103" s="13">
        <v>12</v>
      </c>
      <c r="AF103" s="32">
        <v>0</v>
      </c>
      <c r="AG103" s="13">
        <v>1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 s="32">
        <v>0</v>
      </c>
      <c r="BD103" s="32">
        <v>0</v>
      </c>
      <c r="BE103" s="32">
        <v>0</v>
      </c>
      <c r="BF103" s="32">
        <v>0</v>
      </c>
      <c r="BG103" s="32">
        <v>0</v>
      </c>
      <c r="BH103" s="32">
        <v>0</v>
      </c>
      <c r="BI103" s="32">
        <v>0</v>
      </c>
      <c r="BJ103" s="32">
        <v>0</v>
      </c>
      <c r="BK103" s="13">
        <v>1</v>
      </c>
      <c r="BL103" s="32">
        <v>0</v>
      </c>
      <c r="BM103" s="32">
        <v>0</v>
      </c>
      <c r="BN103" s="32">
        <v>0</v>
      </c>
      <c r="BO103">
        <f t="shared" si="46"/>
        <v>6</v>
      </c>
      <c r="BP103" s="13">
        <f t="shared" si="47"/>
        <v>19</v>
      </c>
      <c r="BQ103" s="13">
        <f>[1]!shannonweaver(K103:BL103)</f>
        <v>1.2015591547737916</v>
      </c>
      <c r="BR103">
        <f t="shared" si="86"/>
        <v>2</v>
      </c>
      <c r="BS103">
        <f t="shared" si="87"/>
        <v>3</v>
      </c>
      <c r="BT103">
        <f t="shared" si="88"/>
        <v>0</v>
      </c>
      <c r="BU103">
        <f t="shared" si="48"/>
        <v>2</v>
      </c>
      <c r="BV103" s="13">
        <f t="shared" si="49"/>
        <v>2</v>
      </c>
      <c r="BW103" s="13">
        <f t="shared" si="50"/>
        <v>3</v>
      </c>
      <c r="BX103" s="13">
        <f t="shared" si="51"/>
        <v>12</v>
      </c>
      <c r="BY103" s="13">
        <f t="shared" si="52"/>
        <v>15</v>
      </c>
      <c r="BZ103" s="13">
        <f t="shared" si="53"/>
        <v>1</v>
      </c>
      <c r="CA103" s="13">
        <f t="shared" si="54"/>
        <v>16</v>
      </c>
      <c r="CB103" s="13">
        <f t="shared" si="55"/>
        <v>0</v>
      </c>
      <c r="CC103" s="13">
        <f t="shared" si="56"/>
        <v>1</v>
      </c>
      <c r="CD103" s="13">
        <f t="shared" si="57"/>
        <v>2.4494897427831779</v>
      </c>
      <c r="CE103" s="13">
        <f t="shared" si="58"/>
        <v>4.358898943540674</v>
      </c>
      <c r="CF103" s="13">
        <f t="shared" si="59"/>
        <v>1.0961565375318398</v>
      </c>
      <c r="CG103" s="13">
        <f t="shared" si="60"/>
        <v>1.4142135623730951</v>
      </c>
      <c r="CH103" s="13">
        <f t="shared" si="61"/>
        <v>1.7320508075688772</v>
      </c>
      <c r="CI103" s="13">
        <f t="shared" si="62"/>
        <v>0</v>
      </c>
      <c r="CJ103" s="13">
        <f t="shared" si="62"/>
        <v>1.4142135623730951</v>
      </c>
      <c r="CK103" s="13">
        <f t="shared" si="63"/>
        <v>1.4142135623730951</v>
      </c>
      <c r="CL103" s="13">
        <f t="shared" si="64"/>
        <v>1.7320508075688772</v>
      </c>
      <c r="CM103" s="13">
        <f t="shared" si="65"/>
        <v>3.4641016151377544</v>
      </c>
      <c r="CN103" s="13">
        <f t="shared" si="66"/>
        <v>3.872983346207417</v>
      </c>
      <c r="CO103" s="13">
        <f t="shared" si="67"/>
        <v>1</v>
      </c>
      <c r="CP103" s="13">
        <f t="shared" si="68"/>
        <v>4</v>
      </c>
      <c r="CQ103" s="13">
        <f t="shared" si="69"/>
        <v>0</v>
      </c>
      <c r="CR103" s="13">
        <f t="shared" si="70"/>
        <v>1</v>
      </c>
      <c r="CS103" s="13">
        <f t="shared" si="71"/>
        <v>1.9459101490553132</v>
      </c>
      <c r="CT103" s="13">
        <f t="shared" si="72"/>
        <v>2.9957322735539909</v>
      </c>
      <c r="CU103" s="13">
        <f t="shared" si="73"/>
        <v>0.78916581606561564</v>
      </c>
      <c r="CV103" s="13">
        <f t="shared" si="74"/>
        <v>1.0986122886681098</v>
      </c>
      <c r="CW103" s="13">
        <f t="shared" si="75"/>
        <v>1.3862943611198906</v>
      </c>
      <c r="CX103" s="13">
        <f t="shared" si="76"/>
        <v>0</v>
      </c>
      <c r="CY103" s="13">
        <f t="shared" si="77"/>
        <v>1.0986122886681098</v>
      </c>
      <c r="CZ103" s="13">
        <f t="shared" si="78"/>
        <v>1.0986122886681098</v>
      </c>
      <c r="DA103" s="13">
        <f t="shared" si="79"/>
        <v>1.3862943611198906</v>
      </c>
      <c r="DB103" s="13">
        <f t="shared" si="80"/>
        <v>2.5649493574615367</v>
      </c>
      <c r="DC103" s="13">
        <f t="shared" si="81"/>
        <v>2.7725887222397811</v>
      </c>
      <c r="DD103" s="13">
        <f t="shared" si="82"/>
        <v>0.69314718055994529</v>
      </c>
      <c r="DE103" s="13">
        <f t="shared" si="83"/>
        <v>2.8332133440562162</v>
      </c>
      <c r="DF103" s="13">
        <f t="shared" si="84"/>
        <v>0</v>
      </c>
      <c r="DG103" s="13">
        <f t="shared" si="85"/>
        <v>0.69314718055994529</v>
      </c>
      <c r="DH103" s="13"/>
      <c r="DI103" s="13"/>
      <c r="DJ103" s="13"/>
      <c r="DL103"/>
      <c r="DM103"/>
      <c r="DN103"/>
      <c r="DO103"/>
      <c r="DP103" s="31"/>
    </row>
    <row r="104" spans="1:120">
      <c r="A104" s="13" t="s">
        <v>221</v>
      </c>
      <c r="B104" t="s">
        <v>176</v>
      </c>
      <c r="C104" t="s">
        <v>220</v>
      </c>
      <c r="D104" s="13" t="s">
        <v>320</v>
      </c>
      <c r="E104" s="13" t="s">
        <v>283</v>
      </c>
      <c r="F104" s="13">
        <v>0</v>
      </c>
      <c r="G104" s="13">
        <v>0</v>
      </c>
      <c r="H104" s="13">
        <v>0</v>
      </c>
      <c r="I104" s="13">
        <v>0</v>
      </c>
      <c r="J104" s="32">
        <v>0</v>
      </c>
      <c r="K104" s="32">
        <v>0</v>
      </c>
      <c r="L104" s="32">
        <v>0</v>
      </c>
      <c r="M104" s="32">
        <v>0</v>
      </c>
      <c r="N104" s="32">
        <v>0</v>
      </c>
      <c r="O104" s="13">
        <v>2</v>
      </c>
      <c r="P104" s="13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32">
        <v>0</v>
      </c>
      <c r="Y104" s="32">
        <v>0</v>
      </c>
      <c r="Z104" s="32">
        <v>0</v>
      </c>
      <c r="AA104" s="13">
        <v>1</v>
      </c>
      <c r="AB104" s="13">
        <v>5</v>
      </c>
      <c r="AC104" s="32">
        <v>0</v>
      </c>
      <c r="AD104" s="13">
        <v>6</v>
      </c>
      <c r="AE104" s="13">
        <v>15</v>
      </c>
      <c r="AF104" s="32">
        <v>0</v>
      </c>
      <c r="AG104" s="13">
        <v>3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13">
        <v>1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 s="32">
        <v>0</v>
      </c>
      <c r="BD104" s="32">
        <v>0</v>
      </c>
      <c r="BE104" s="32">
        <v>0</v>
      </c>
      <c r="BF104" s="32">
        <v>0</v>
      </c>
      <c r="BG104" s="32">
        <v>0</v>
      </c>
      <c r="BH104" s="32">
        <v>0</v>
      </c>
      <c r="BI104" s="32">
        <v>0</v>
      </c>
      <c r="BJ104" s="32">
        <v>0</v>
      </c>
      <c r="BK104" s="32">
        <v>0</v>
      </c>
      <c r="BL104" s="32">
        <v>0</v>
      </c>
      <c r="BM104" s="32">
        <v>0</v>
      </c>
      <c r="BN104" s="32">
        <v>0</v>
      </c>
      <c r="BO104">
        <f t="shared" si="46"/>
        <v>7</v>
      </c>
      <c r="BP104" s="13">
        <f t="shared" si="47"/>
        <v>33</v>
      </c>
      <c r="BQ104" s="13">
        <f>[1]!shannonweaver(K104:BL104)</f>
        <v>1.5540642093090198</v>
      </c>
      <c r="BR104">
        <f t="shared" si="86"/>
        <v>1</v>
      </c>
      <c r="BS104">
        <f t="shared" si="87"/>
        <v>6</v>
      </c>
      <c r="BT104">
        <f t="shared" si="88"/>
        <v>0</v>
      </c>
      <c r="BU104">
        <f t="shared" si="48"/>
        <v>2</v>
      </c>
      <c r="BV104" s="13">
        <f t="shared" si="49"/>
        <v>2</v>
      </c>
      <c r="BW104" s="13">
        <f t="shared" si="50"/>
        <v>11</v>
      </c>
      <c r="BX104" s="13">
        <f t="shared" si="51"/>
        <v>15</v>
      </c>
      <c r="BY104" s="13">
        <f t="shared" si="52"/>
        <v>26</v>
      </c>
      <c r="BZ104" s="13">
        <f t="shared" si="53"/>
        <v>3</v>
      </c>
      <c r="CA104" s="13">
        <f t="shared" si="54"/>
        <v>31</v>
      </c>
      <c r="CB104" s="13">
        <f t="shared" si="55"/>
        <v>0</v>
      </c>
      <c r="CC104" s="13">
        <f t="shared" si="56"/>
        <v>0</v>
      </c>
      <c r="CD104" s="13">
        <f t="shared" si="57"/>
        <v>2.6457513110645907</v>
      </c>
      <c r="CE104" s="13">
        <f t="shared" si="58"/>
        <v>5.7445626465380286</v>
      </c>
      <c r="CF104" s="13">
        <f t="shared" si="59"/>
        <v>1.246621116983432</v>
      </c>
      <c r="CG104" s="13">
        <f t="shared" si="60"/>
        <v>1</v>
      </c>
      <c r="CH104" s="13">
        <f t="shared" si="61"/>
        <v>2.4494897427831779</v>
      </c>
      <c r="CI104" s="13">
        <f t="shared" si="62"/>
        <v>0</v>
      </c>
      <c r="CJ104" s="13">
        <f t="shared" si="62"/>
        <v>1.4142135623730951</v>
      </c>
      <c r="CK104" s="13">
        <f t="shared" si="63"/>
        <v>1.4142135623730951</v>
      </c>
      <c r="CL104" s="13">
        <f t="shared" si="64"/>
        <v>3.3166247903553998</v>
      </c>
      <c r="CM104" s="13">
        <f t="shared" si="65"/>
        <v>3.872983346207417</v>
      </c>
      <c r="CN104" s="13">
        <f t="shared" si="66"/>
        <v>5.0990195135927845</v>
      </c>
      <c r="CO104" s="13">
        <f t="shared" si="67"/>
        <v>1.7320508075688772</v>
      </c>
      <c r="CP104" s="13">
        <f t="shared" si="68"/>
        <v>5.5677643628300215</v>
      </c>
      <c r="CQ104" s="13">
        <f t="shared" si="69"/>
        <v>0</v>
      </c>
      <c r="CR104" s="13">
        <f t="shared" si="70"/>
        <v>0</v>
      </c>
      <c r="CS104" s="13">
        <f t="shared" si="71"/>
        <v>2.0794415416798357</v>
      </c>
      <c r="CT104" s="13">
        <f t="shared" si="72"/>
        <v>3.5263605246161616</v>
      </c>
      <c r="CU104" s="13">
        <f t="shared" si="73"/>
        <v>0.9376858979791417</v>
      </c>
      <c r="CV104" s="13">
        <f t="shared" si="74"/>
        <v>0.69314718055994529</v>
      </c>
      <c r="CW104" s="13">
        <f t="shared" si="75"/>
        <v>1.9459101490553132</v>
      </c>
      <c r="CX104" s="13">
        <f t="shared" si="76"/>
        <v>0</v>
      </c>
      <c r="CY104" s="13">
        <f t="shared" si="77"/>
        <v>1.0986122886681098</v>
      </c>
      <c r="CZ104" s="13">
        <f t="shared" si="78"/>
        <v>1.0986122886681098</v>
      </c>
      <c r="DA104" s="13">
        <f t="shared" si="79"/>
        <v>2.4849066497880004</v>
      </c>
      <c r="DB104" s="13">
        <f t="shared" si="80"/>
        <v>2.7725887222397811</v>
      </c>
      <c r="DC104" s="13">
        <f t="shared" si="81"/>
        <v>3.2958368660043291</v>
      </c>
      <c r="DD104" s="13">
        <f t="shared" si="82"/>
        <v>1.3862943611198906</v>
      </c>
      <c r="DE104" s="13">
        <f t="shared" si="83"/>
        <v>3.4657359027997265</v>
      </c>
      <c r="DF104" s="13">
        <f t="shared" si="84"/>
        <v>0</v>
      </c>
      <c r="DG104" s="13">
        <f t="shared" si="85"/>
        <v>0</v>
      </c>
      <c r="DH104" s="13"/>
      <c r="DI104" s="13"/>
      <c r="DJ104" s="13"/>
      <c r="DL104"/>
      <c r="DM104"/>
      <c r="DN104"/>
      <c r="DO104"/>
      <c r="DP104" s="31"/>
    </row>
    <row r="105" spans="1:120">
      <c r="A105" s="13" t="s">
        <v>19</v>
      </c>
      <c r="B105" t="s">
        <v>176</v>
      </c>
      <c r="C105" t="s">
        <v>220</v>
      </c>
      <c r="D105" s="13" t="s">
        <v>320</v>
      </c>
      <c r="E105" s="13" t="s">
        <v>283</v>
      </c>
      <c r="F105" s="13">
        <v>0</v>
      </c>
      <c r="G105" s="13">
        <v>0</v>
      </c>
      <c r="H105" s="13">
        <v>0</v>
      </c>
      <c r="I105" s="13">
        <v>0</v>
      </c>
      <c r="J105" s="32">
        <v>0</v>
      </c>
      <c r="K105" s="13">
        <v>1</v>
      </c>
      <c r="L105" s="32">
        <v>0</v>
      </c>
      <c r="M105" s="32">
        <v>0</v>
      </c>
      <c r="N105" s="32">
        <v>0</v>
      </c>
      <c r="O105" s="13">
        <v>2</v>
      </c>
      <c r="P105" s="13">
        <v>0</v>
      </c>
      <c r="Q105" s="32">
        <v>0</v>
      </c>
      <c r="R105" s="32">
        <v>0</v>
      </c>
      <c r="S105" s="32">
        <v>0</v>
      </c>
      <c r="T105" s="32">
        <v>0</v>
      </c>
      <c r="U105" s="32">
        <v>0</v>
      </c>
      <c r="V105" s="32">
        <v>0</v>
      </c>
      <c r="W105" s="13">
        <v>1</v>
      </c>
      <c r="X105" s="13">
        <v>1</v>
      </c>
      <c r="Y105" s="32">
        <v>0</v>
      </c>
      <c r="Z105" s="32">
        <v>0</v>
      </c>
      <c r="AA105" s="32">
        <v>0</v>
      </c>
      <c r="AB105" s="13">
        <v>1</v>
      </c>
      <c r="AC105" s="32">
        <v>0</v>
      </c>
      <c r="AD105" s="13">
        <v>6</v>
      </c>
      <c r="AE105" s="13">
        <v>5</v>
      </c>
      <c r="AF105" s="32">
        <v>0</v>
      </c>
      <c r="AG105" s="13">
        <v>1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13">
        <v>1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 s="32">
        <v>0</v>
      </c>
      <c r="BD105" s="32">
        <v>0</v>
      </c>
      <c r="BE105" s="32">
        <v>0</v>
      </c>
      <c r="BF105" s="32">
        <v>0</v>
      </c>
      <c r="BG105" s="32">
        <v>0</v>
      </c>
      <c r="BH105" s="32">
        <v>0</v>
      </c>
      <c r="BI105" s="32">
        <v>0</v>
      </c>
      <c r="BJ105" s="32">
        <v>0</v>
      </c>
      <c r="BK105" s="13">
        <v>1</v>
      </c>
      <c r="BL105" s="32">
        <v>0</v>
      </c>
      <c r="BM105" s="32">
        <v>0</v>
      </c>
      <c r="BN105" s="32">
        <v>0</v>
      </c>
      <c r="BO105">
        <f t="shared" si="46"/>
        <v>10</v>
      </c>
      <c r="BP105" s="13">
        <f t="shared" si="47"/>
        <v>20</v>
      </c>
      <c r="BQ105" s="13">
        <f>[1]!shannonweaver(K105:BL105)</f>
        <v>1.9865302366210549</v>
      </c>
      <c r="BR105">
        <f t="shared" si="86"/>
        <v>2</v>
      </c>
      <c r="BS105">
        <f t="shared" si="87"/>
        <v>6</v>
      </c>
      <c r="BT105">
        <f t="shared" si="88"/>
        <v>0</v>
      </c>
      <c r="BU105">
        <f t="shared" si="48"/>
        <v>2</v>
      </c>
      <c r="BV105" s="13">
        <f t="shared" si="49"/>
        <v>3</v>
      </c>
      <c r="BW105" s="13">
        <f t="shared" si="50"/>
        <v>7</v>
      </c>
      <c r="BX105" s="13">
        <f t="shared" si="51"/>
        <v>5</v>
      </c>
      <c r="BY105" s="13">
        <f t="shared" si="52"/>
        <v>12</v>
      </c>
      <c r="BZ105" s="13">
        <f t="shared" si="53"/>
        <v>1</v>
      </c>
      <c r="CA105" s="13">
        <f t="shared" si="54"/>
        <v>15</v>
      </c>
      <c r="CB105" s="13">
        <f t="shared" si="55"/>
        <v>0</v>
      </c>
      <c r="CC105" s="13">
        <f t="shared" si="56"/>
        <v>1</v>
      </c>
      <c r="CD105" s="13">
        <f t="shared" si="57"/>
        <v>3.1622776601683795</v>
      </c>
      <c r="CE105" s="13">
        <f t="shared" si="58"/>
        <v>4.4721359549995796</v>
      </c>
      <c r="CF105" s="13">
        <f t="shared" si="59"/>
        <v>1.4094432363955118</v>
      </c>
      <c r="CG105" s="13">
        <f t="shared" si="60"/>
        <v>1.4142135623730951</v>
      </c>
      <c r="CH105" s="13">
        <f t="shared" si="61"/>
        <v>2.4494897427831779</v>
      </c>
      <c r="CI105" s="13">
        <f t="shared" si="62"/>
        <v>0</v>
      </c>
      <c r="CJ105" s="13">
        <f t="shared" si="62"/>
        <v>1.4142135623730951</v>
      </c>
      <c r="CK105" s="13">
        <f t="shared" si="63"/>
        <v>1.7320508075688772</v>
      </c>
      <c r="CL105" s="13">
        <f t="shared" si="64"/>
        <v>2.6457513110645907</v>
      </c>
      <c r="CM105" s="13">
        <f t="shared" si="65"/>
        <v>2.2360679774997898</v>
      </c>
      <c r="CN105" s="13">
        <f t="shared" si="66"/>
        <v>3.4641016151377544</v>
      </c>
      <c r="CO105" s="13">
        <f t="shared" si="67"/>
        <v>1</v>
      </c>
      <c r="CP105" s="13">
        <f t="shared" si="68"/>
        <v>3.872983346207417</v>
      </c>
      <c r="CQ105" s="13">
        <f t="shared" si="69"/>
        <v>0</v>
      </c>
      <c r="CR105" s="13">
        <f t="shared" si="70"/>
        <v>1</v>
      </c>
      <c r="CS105" s="13">
        <f t="shared" si="71"/>
        <v>2.3978952727983707</v>
      </c>
      <c r="CT105" s="13">
        <f t="shared" si="72"/>
        <v>3.044522437723423</v>
      </c>
      <c r="CU105" s="13">
        <f t="shared" si="73"/>
        <v>1.0941122575726081</v>
      </c>
      <c r="CV105" s="13">
        <f t="shared" si="74"/>
        <v>1.0986122886681098</v>
      </c>
      <c r="CW105" s="13">
        <f t="shared" si="75"/>
        <v>1.9459101490553132</v>
      </c>
      <c r="CX105" s="13">
        <f t="shared" si="76"/>
        <v>0</v>
      </c>
      <c r="CY105" s="13">
        <f t="shared" si="77"/>
        <v>1.0986122886681098</v>
      </c>
      <c r="CZ105" s="13">
        <f t="shared" si="78"/>
        <v>1.3862943611198906</v>
      </c>
      <c r="DA105" s="13">
        <f t="shared" si="79"/>
        <v>2.0794415416798357</v>
      </c>
      <c r="DB105" s="13">
        <f t="shared" si="80"/>
        <v>1.791759469228055</v>
      </c>
      <c r="DC105" s="13">
        <f t="shared" si="81"/>
        <v>2.5649493574615367</v>
      </c>
      <c r="DD105" s="13">
        <f t="shared" si="82"/>
        <v>0.69314718055994529</v>
      </c>
      <c r="DE105" s="13">
        <f t="shared" si="83"/>
        <v>2.7725887222397811</v>
      </c>
      <c r="DF105" s="13">
        <f t="shared" si="84"/>
        <v>0</v>
      </c>
      <c r="DG105" s="13">
        <f t="shared" si="85"/>
        <v>0.69314718055994529</v>
      </c>
      <c r="DH105" s="13"/>
      <c r="DI105" s="13"/>
      <c r="DJ105" s="13"/>
      <c r="DL105"/>
      <c r="DM105"/>
      <c r="DN105"/>
      <c r="DO105"/>
      <c r="DP105" s="31"/>
    </row>
    <row r="106" spans="1:120">
      <c r="A106" s="13" t="s">
        <v>20</v>
      </c>
      <c r="B106" t="s">
        <v>176</v>
      </c>
      <c r="C106" t="s">
        <v>220</v>
      </c>
      <c r="D106" s="13" t="s">
        <v>320</v>
      </c>
      <c r="E106" s="13" t="s">
        <v>283</v>
      </c>
      <c r="F106" s="13">
        <v>0</v>
      </c>
      <c r="G106" s="13">
        <v>0</v>
      </c>
      <c r="H106" s="13">
        <v>0</v>
      </c>
      <c r="I106" s="13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32">
        <v>0</v>
      </c>
      <c r="AB106" s="32">
        <v>0</v>
      </c>
      <c r="AC106" s="32">
        <v>0</v>
      </c>
      <c r="AD106" s="13">
        <v>1</v>
      </c>
      <c r="AE106" s="13">
        <v>11</v>
      </c>
      <c r="AF106" s="32">
        <v>0</v>
      </c>
      <c r="AG106" s="13">
        <v>1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 s="32">
        <v>0</v>
      </c>
      <c r="BD106" s="32">
        <v>0</v>
      </c>
      <c r="BE106" s="32">
        <v>0</v>
      </c>
      <c r="BF106" s="32">
        <v>0</v>
      </c>
      <c r="BG106" s="32">
        <v>0</v>
      </c>
      <c r="BH106" s="32">
        <v>0</v>
      </c>
      <c r="BI106" s="32">
        <v>0</v>
      </c>
      <c r="BJ106" s="32">
        <v>0</v>
      </c>
      <c r="BK106" s="32">
        <v>0</v>
      </c>
      <c r="BL106" s="32">
        <v>0</v>
      </c>
      <c r="BM106" s="32">
        <v>0</v>
      </c>
      <c r="BN106" s="32">
        <v>0</v>
      </c>
      <c r="BO106">
        <f t="shared" si="46"/>
        <v>3</v>
      </c>
      <c r="BP106" s="13">
        <f t="shared" si="47"/>
        <v>13</v>
      </c>
      <c r="BQ106" s="13">
        <f>[1]!shannonweaver(K106:BL106)</f>
        <v>0.53596104970906944</v>
      </c>
      <c r="BR106">
        <f t="shared" si="86"/>
        <v>0</v>
      </c>
      <c r="BS106">
        <f t="shared" si="87"/>
        <v>3</v>
      </c>
      <c r="BT106">
        <f t="shared" si="88"/>
        <v>0</v>
      </c>
      <c r="BU106">
        <f t="shared" si="48"/>
        <v>0</v>
      </c>
      <c r="BV106" s="13">
        <f t="shared" si="49"/>
        <v>0</v>
      </c>
      <c r="BW106" s="13">
        <f t="shared" si="50"/>
        <v>1</v>
      </c>
      <c r="BX106" s="13">
        <f t="shared" si="51"/>
        <v>11</v>
      </c>
      <c r="BY106" s="13">
        <f t="shared" si="52"/>
        <v>12</v>
      </c>
      <c r="BZ106" s="13">
        <f t="shared" si="53"/>
        <v>1</v>
      </c>
      <c r="CA106" s="13">
        <f t="shared" si="54"/>
        <v>13</v>
      </c>
      <c r="CB106" s="13">
        <f t="shared" si="55"/>
        <v>0</v>
      </c>
      <c r="CC106" s="13">
        <f t="shared" si="56"/>
        <v>0</v>
      </c>
      <c r="CD106" s="13">
        <f t="shared" si="57"/>
        <v>1.7320508075688772</v>
      </c>
      <c r="CE106" s="13">
        <f t="shared" si="58"/>
        <v>3.6055512754639891</v>
      </c>
      <c r="CF106" s="13">
        <f t="shared" si="59"/>
        <v>0.73209360720407157</v>
      </c>
      <c r="CG106" s="13">
        <f t="shared" si="60"/>
        <v>0</v>
      </c>
      <c r="CH106" s="13">
        <f t="shared" si="61"/>
        <v>1.7320508075688772</v>
      </c>
      <c r="CI106" s="13">
        <f t="shared" si="62"/>
        <v>0</v>
      </c>
      <c r="CJ106" s="13">
        <f t="shared" si="62"/>
        <v>0</v>
      </c>
      <c r="CK106" s="13">
        <f t="shared" si="63"/>
        <v>0</v>
      </c>
      <c r="CL106" s="13">
        <f t="shared" si="64"/>
        <v>1</v>
      </c>
      <c r="CM106" s="13">
        <f t="shared" si="65"/>
        <v>3.3166247903553998</v>
      </c>
      <c r="CN106" s="13">
        <f t="shared" si="66"/>
        <v>3.4641016151377544</v>
      </c>
      <c r="CO106" s="13">
        <f t="shared" si="67"/>
        <v>1</v>
      </c>
      <c r="CP106" s="13">
        <f t="shared" si="68"/>
        <v>3.6055512754639891</v>
      </c>
      <c r="CQ106" s="13">
        <f t="shared" si="69"/>
        <v>0</v>
      </c>
      <c r="CR106" s="13">
        <f t="shared" si="70"/>
        <v>0</v>
      </c>
      <c r="CS106" s="13">
        <f t="shared" si="71"/>
        <v>1.3862943611198906</v>
      </c>
      <c r="CT106" s="13">
        <f t="shared" si="72"/>
        <v>2.6390573296152584</v>
      </c>
      <c r="CU106" s="13">
        <f t="shared" si="73"/>
        <v>0.42915627614162966</v>
      </c>
      <c r="CV106" s="13">
        <f t="shared" si="74"/>
        <v>0</v>
      </c>
      <c r="CW106" s="13">
        <f t="shared" si="75"/>
        <v>1.3862943611198906</v>
      </c>
      <c r="CX106" s="13">
        <f t="shared" si="76"/>
        <v>0</v>
      </c>
      <c r="CY106" s="13">
        <f t="shared" si="77"/>
        <v>0</v>
      </c>
      <c r="CZ106" s="13">
        <f t="shared" si="78"/>
        <v>0</v>
      </c>
      <c r="DA106" s="13">
        <f t="shared" si="79"/>
        <v>0.69314718055994529</v>
      </c>
      <c r="DB106" s="13">
        <f t="shared" si="80"/>
        <v>2.4849066497880004</v>
      </c>
      <c r="DC106" s="13">
        <f t="shared" si="81"/>
        <v>2.5649493574615367</v>
      </c>
      <c r="DD106" s="13">
        <f t="shared" si="82"/>
        <v>0.69314718055994529</v>
      </c>
      <c r="DE106" s="13">
        <f t="shared" si="83"/>
        <v>2.6390573296152584</v>
      </c>
      <c r="DF106" s="13">
        <f t="shared" si="84"/>
        <v>0</v>
      </c>
      <c r="DG106" s="13">
        <f t="shared" si="85"/>
        <v>0</v>
      </c>
      <c r="DH106" s="13"/>
      <c r="DI106" s="13"/>
      <c r="DJ106" s="13"/>
      <c r="DL106"/>
      <c r="DM106"/>
      <c r="DN106"/>
      <c r="DO106"/>
      <c r="DP106" s="31"/>
    </row>
    <row r="107" spans="1:120">
      <c r="A107" s="13" t="s">
        <v>68</v>
      </c>
      <c r="B107" t="s">
        <v>176</v>
      </c>
      <c r="C107" t="s">
        <v>220</v>
      </c>
      <c r="D107" s="13" t="s">
        <v>320</v>
      </c>
      <c r="E107" s="13" t="s">
        <v>283</v>
      </c>
      <c r="F107" s="13">
        <v>0</v>
      </c>
      <c r="G107" s="13">
        <v>0</v>
      </c>
      <c r="H107" s="13">
        <v>0</v>
      </c>
      <c r="I107" s="13">
        <v>0</v>
      </c>
      <c r="J107" s="32">
        <v>0</v>
      </c>
      <c r="K107" s="32">
        <v>0</v>
      </c>
      <c r="L107" s="32">
        <v>0</v>
      </c>
      <c r="M107" s="32">
        <v>0</v>
      </c>
      <c r="N107" s="32">
        <v>0</v>
      </c>
      <c r="O107" s="13">
        <v>6</v>
      </c>
      <c r="P107" s="32">
        <v>0</v>
      </c>
      <c r="Q107" s="32">
        <v>0</v>
      </c>
      <c r="R107" s="13">
        <v>1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32">
        <v>0</v>
      </c>
      <c r="Z107" s="32">
        <v>0</v>
      </c>
      <c r="AA107" s="32">
        <v>0</v>
      </c>
      <c r="AB107" s="13">
        <v>1</v>
      </c>
      <c r="AC107" s="32">
        <v>0</v>
      </c>
      <c r="AD107" s="13">
        <v>1</v>
      </c>
      <c r="AE107" s="13">
        <v>5</v>
      </c>
      <c r="AF107" s="32">
        <v>0</v>
      </c>
      <c r="AG107" s="13">
        <v>1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13">
        <v>2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 s="32">
        <v>0</v>
      </c>
      <c r="BD107" s="32">
        <v>0</v>
      </c>
      <c r="BE107" s="32">
        <v>0</v>
      </c>
      <c r="BF107" s="32">
        <v>0</v>
      </c>
      <c r="BG107" s="32">
        <v>0</v>
      </c>
      <c r="BH107" s="32">
        <v>0</v>
      </c>
      <c r="BI107" s="32">
        <v>0</v>
      </c>
      <c r="BJ107" s="32">
        <v>0</v>
      </c>
      <c r="BK107" s="32">
        <v>0</v>
      </c>
      <c r="BL107" s="32">
        <v>0</v>
      </c>
      <c r="BM107" s="32">
        <v>0</v>
      </c>
      <c r="BN107" s="32">
        <v>0</v>
      </c>
      <c r="BO107">
        <f t="shared" si="46"/>
        <v>7</v>
      </c>
      <c r="BP107" s="13">
        <f t="shared" si="47"/>
        <v>17</v>
      </c>
      <c r="BQ107" s="13">
        <f>[1]!shannonweaver(K107:BL107)</f>
        <v>1.6459168300174678</v>
      </c>
      <c r="BR107">
        <f t="shared" si="86"/>
        <v>2</v>
      </c>
      <c r="BS107">
        <f t="shared" si="87"/>
        <v>5</v>
      </c>
      <c r="BT107">
        <f t="shared" si="88"/>
        <v>0</v>
      </c>
      <c r="BU107">
        <f t="shared" si="48"/>
        <v>7</v>
      </c>
      <c r="BV107" s="13">
        <f t="shared" si="49"/>
        <v>7</v>
      </c>
      <c r="BW107" s="13">
        <f t="shared" si="50"/>
        <v>2</v>
      </c>
      <c r="BX107" s="13">
        <f t="shared" si="51"/>
        <v>5</v>
      </c>
      <c r="BY107" s="13">
        <f t="shared" si="52"/>
        <v>7</v>
      </c>
      <c r="BZ107" s="13">
        <f t="shared" si="53"/>
        <v>1</v>
      </c>
      <c r="CA107" s="13">
        <f t="shared" si="54"/>
        <v>10</v>
      </c>
      <c r="CB107" s="13">
        <f t="shared" si="55"/>
        <v>0</v>
      </c>
      <c r="CC107" s="13">
        <f t="shared" si="56"/>
        <v>0</v>
      </c>
      <c r="CD107" s="13">
        <f t="shared" si="57"/>
        <v>2.6457513110645907</v>
      </c>
      <c r="CE107" s="13">
        <f t="shared" si="58"/>
        <v>4.1231056256176606</v>
      </c>
      <c r="CF107" s="13">
        <f t="shared" si="59"/>
        <v>1.2829329016037696</v>
      </c>
      <c r="CG107" s="13">
        <f t="shared" si="60"/>
        <v>1.4142135623730951</v>
      </c>
      <c r="CH107" s="13">
        <f t="shared" si="61"/>
        <v>2.2360679774997898</v>
      </c>
      <c r="CI107" s="13">
        <f t="shared" si="62"/>
        <v>0</v>
      </c>
      <c r="CJ107" s="13">
        <f t="shared" si="62"/>
        <v>2.6457513110645907</v>
      </c>
      <c r="CK107" s="13">
        <f t="shared" si="63"/>
        <v>2.6457513110645907</v>
      </c>
      <c r="CL107" s="13">
        <f t="shared" si="64"/>
        <v>1.4142135623730951</v>
      </c>
      <c r="CM107" s="13">
        <f t="shared" si="65"/>
        <v>2.2360679774997898</v>
      </c>
      <c r="CN107" s="13">
        <f t="shared" si="66"/>
        <v>2.6457513110645907</v>
      </c>
      <c r="CO107" s="13">
        <f t="shared" si="67"/>
        <v>1</v>
      </c>
      <c r="CP107" s="13">
        <f t="shared" si="68"/>
        <v>3.1622776601683795</v>
      </c>
      <c r="CQ107" s="13">
        <f t="shared" si="69"/>
        <v>0</v>
      </c>
      <c r="CR107" s="13">
        <f t="shared" si="70"/>
        <v>0</v>
      </c>
      <c r="CS107" s="13">
        <f t="shared" si="71"/>
        <v>2.0794415416798357</v>
      </c>
      <c r="CT107" s="13">
        <f t="shared" si="72"/>
        <v>2.8903717578961645</v>
      </c>
      <c r="CU107" s="13">
        <f t="shared" si="73"/>
        <v>0.97301763285464093</v>
      </c>
      <c r="CV107" s="13">
        <f t="shared" si="74"/>
        <v>1.0986122886681098</v>
      </c>
      <c r="CW107" s="13">
        <f t="shared" si="75"/>
        <v>1.791759469228055</v>
      </c>
      <c r="CX107" s="13">
        <f t="shared" si="76"/>
        <v>0</v>
      </c>
      <c r="CY107" s="13">
        <f t="shared" si="77"/>
        <v>2.0794415416798357</v>
      </c>
      <c r="CZ107" s="13">
        <f t="shared" si="78"/>
        <v>2.0794415416798357</v>
      </c>
      <c r="DA107" s="13">
        <f t="shared" si="79"/>
        <v>1.0986122886681098</v>
      </c>
      <c r="DB107" s="13">
        <f t="shared" si="80"/>
        <v>1.791759469228055</v>
      </c>
      <c r="DC107" s="13">
        <f t="shared" si="81"/>
        <v>2.0794415416798357</v>
      </c>
      <c r="DD107" s="13">
        <f t="shared" si="82"/>
        <v>0.69314718055994529</v>
      </c>
      <c r="DE107" s="13">
        <f t="shared" si="83"/>
        <v>2.3978952727983707</v>
      </c>
      <c r="DF107" s="13">
        <f t="shared" si="84"/>
        <v>0</v>
      </c>
      <c r="DG107" s="13">
        <f t="shared" si="85"/>
        <v>0</v>
      </c>
      <c r="DH107" s="13"/>
      <c r="DI107" s="13"/>
      <c r="DJ107" s="13"/>
      <c r="DL107"/>
      <c r="DM107"/>
      <c r="DN107"/>
      <c r="DO107"/>
      <c r="DP107" s="31"/>
    </row>
    <row r="108" spans="1:120">
      <c r="A108" s="13" t="s">
        <v>69</v>
      </c>
      <c r="B108" t="s">
        <v>176</v>
      </c>
      <c r="C108" t="s">
        <v>220</v>
      </c>
      <c r="D108" s="13" t="s">
        <v>320</v>
      </c>
      <c r="E108" s="13" t="s">
        <v>283</v>
      </c>
      <c r="F108" s="13">
        <v>0</v>
      </c>
      <c r="G108" s="13">
        <v>0</v>
      </c>
      <c r="H108" s="13">
        <v>0</v>
      </c>
      <c r="I108" s="13">
        <v>0</v>
      </c>
      <c r="J108" s="32">
        <v>0</v>
      </c>
      <c r="K108" s="32">
        <v>0</v>
      </c>
      <c r="L108" s="32">
        <v>0</v>
      </c>
      <c r="M108" s="32">
        <v>0</v>
      </c>
      <c r="N108" s="32">
        <v>0</v>
      </c>
      <c r="O108" s="13">
        <v>2</v>
      </c>
      <c r="P108" s="32">
        <v>0</v>
      </c>
      <c r="Q108" s="32">
        <v>0</v>
      </c>
      <c r="R108" s="32">
        <v>0</v>
      </c>
      <c r="S108" s="32">
        <v>0</v>
      </c>
      <c r="T108" s="32">
        <v>0</v>
      </c>
      <c r="U108" s="32">
        <v>0</v>
      </c>
      <c r="V108" s="13">
        <v>1</v>
      </c>
      <c r="W108" s="32">
        <v>0</v>
      </c>
      <c r="X108" s="32">
        <v>0</v>
      </c>
      <c r="Y108" s="32">
        <v>0</v>
      </c>
      <c r="Z108" s="32">
        <v>0</v>
      </c>
      <c r="AA108" s="32">
        <v>0</v>
      </c>
      <c r="AB108" s="13">
        <v>4</v>
      </c>
      <c r="AC108" s="32">
        <v>0</v>
      </c>
      <c r="AD108" s="13">
        <v>2</v>
      </c>
      <c r="AE108" s="13">
        <v>14</v>
      </c>
      <c r="AF108" s="32">
        <v>0</v>
      </c>
      <c r="AG108" s="13">
        <v>2</v>
      </c>
      <c r="AH108" s="13">
        <v>1</v>
      </c>
      <c r="AI108" s="32">
        <v>0</v>
      </c>
      <c r="AJ108" s="32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 s="32">
        <v>0</v>
      </c>
      <c r="BD108" s="32">
        <v>0</v>
      </c>
      <c r="BE108" s="32">
        <v>0</v>
      </c>
      <c r="BF108" s="32">
        <v>0</v>
      </c>
      <c r="BG108" s="32">
        <v>0</v>
      </c>
      <c r="BH108" s="32">
        <v>0</v>
      </c>
      <c r="BI108" s="32">
        <v>0</v>
      </c>
      <c r="BJ108" s="32">
        <v>0</v>
      </c>
      <c r="BK108" s="32">
        <v>0</v>
      </c>
      <c r="BL108" s="32">
        <v>0</v>
      </c>
      <c r="BM108" s="32">
        <v>0</v>
      </c>
      <c r="BN108" s="32">
        <v>0</v>
      </c>
      <c r="BO108">
        <f t="shared" si="46"/>
        <v>7</v>
      </c>
      <c r="BP108" s="13">
        <f t="shared" si="47"/>
        <v>26</v>
      </c>
      <c r="BQ108" s="13">
        <f>[1]!shannonweaver(K108:BL108)</f>
        <v>1.4638325710040647</v>
      </c>
      <c r="BR108">
        <f t="shared" si="86"/>
        <v>2</v>
      </c>
      <c r="BS108">
        <f t="shared" si="87"/>
        <v>5</v>
      </c>
      <c r="BT108">
        <f t="shared" si="88"/>
        <v>0</v>
      </c>
      <c r="BU108">
        <f t="shared" si="48"/>
        <v>2</v>
      </c>
      <c r="BV108" s="13">
        <f t="shared" si="49"/>
        <v>3</v>
      </c>
      <c r="BW108" s="13">
        <f t="shared" si="50"/>
        <v>6</v>
      </c>
      <c r="BX108" s="13">
        <f t="shared" si="51"/>
        <v>14</v>
      </c>
      <c r="BY108" s="13">
        <f t="shared" si="52"/>
        <v>20</v>
      </c>
      <c r="BZ108" s="13">
        <f t="shared" si="53"/>
        <v>2</v>
      </c>
      <c r="CA108" s="13">
        <f t="shared" si="54"/>
        <v>23</v>
      </c>
      <c r="CB108" s="13">
        <f t="shared" si="55"/>
        <v>0</v>
      </c>
      <c r="CC108" s="13">
        <f t="shared" si="56"/>
        <v>0</v>
      </c>
      <c r="CD108" s="13">
        <f t="shared" si="57"/>
        <v>2.6457513110645907</v>
      </c>
      <c r="CE108" s="13">
        <f t="shared" si="58"/>
        <v>5.0990195135927845</v>
      </c>
      <c r="CF108" s="13">
        <f t="shared" si="59"/>
        <v>1.2098894871037043</v>
      </c>
      <c r="CG108" s="13">
        <f t="shared" si="60"/>
        <v>1.4142135623730951</v>
      </c>
      <c r="CH108" s="13">
        <f t="shared" si="61"/>
        <v>2.2360679774997898</v>
      </c>
      <c r="CI108" s="13">
        <f t="shared" si="62"/>
        <v>0</v>
      </c>
      <c r="CJ108" s="13">
        <f t="shared" si="62"/>
        <v>1.4142135623730951</v>
      </c>
      <c r="CK108" s="13">
        <f t="shared" si="63"/>
        <v>1.7320508075688772</v>
      </c>
      <c r="CL108" s="13">
        <f t="shared" si="64"/>
        <v>2.4494897427831779</v>
      </c>
      <c r="CM108" s="13">
        <f t="shared" si="65"/>
        <v>3.7416573867739413</v>
      </c>
      <c r="CN108" s="13">
        <f t="shared" si="66"/>
        <v>4.4721359549995796</v>
      </c>
      <c r="CO108" s="13">
        <f t="shared" si="67"/>
        <v>1.4142135623730951</v>
      </c>
      <c r="CP108" s="13">
        <f t="shared" si="68"/>
        <v>4.7958315233127191</v>
      </c>
      <c r="CQ108" s="13">
        <f t="shared" si="69"/>
        <v>0</v>
      </c>
      <c r="CR108" s="13">
        <f t="shared" si="70"/>
        <v>0</v>
      </c>
      <c r="CS108" s="13">
        <f t="shared" si="71"/>
        <v>2.0794415416798357</v>
      </c>
      <c r="CT108" s="13">
        <f t="shared" si="72"/>
        <v>3.2958368660043291</v>
      </c>
      <c r="CU108" s="13">
        <f t="shared" si="73"/>
        <v>0.90171809328304287</v>
      </c>
      <c r="CV108" s="13">
        <f t="shared" si="74"/>
        <v>1.0986122886681098</v>
      </c>
      <c r="CW108" s="13">
        <f t="shared" si="75"/>
        <v>1.791759469228055</v>
      </c>
      <c r="CX108" s="13">
        <f t="shared" si="76"/>
        <v>0</v>
      </c>
      <c r="CY108" s="13">
        <f t="shared" si="77"/>
        <v>1.0986122886681098</v>
      </c>
      <c r="CZ108" s="13">
        <f t="shared" si="78"/>
        <v>1.3862943611198906</v>
      </c>
      <c r="DA108" s="13">
        <f t="shared" si="79"/>
        <v>1.9459101490553132</v>
      </c>
      <c r="DB108" s="13">
        <f t="shared" si="80"/>
        <v>2.7080502011022101</v>
      </c>
      <c r="DC108" s="13">
        <f t="shared" si="81"/>
        <v>3.044522437723423</v>
      </c>
      <c r="DD108" s="13">
        <f t="shared" si="82"/>
        <v>1.0986122886681098</v>
      </c>
      <c r="DE108" s="13">
        <f t="shared" si="83"/>
        <v>3.1780538303479458</v>
      </c>
      <c r="DF108" s="13">
        <f t="shared" si="84"/>
        <v>0</v>
      </c>
      <c r="DG108" s="13">
        <f t="shared" si="85"/>
        <v>0</v>
      </c>
      <c r="DH108" s="13"/>
      <c r="DI108" s="13"/>
      <c r="DJ108" s="13"/>
      <c r="DL108"/>
      <c r="DM108"/>
      <c r="DN108"/>
      <c r="DO108"/>
      <c r="DP108" s="31"/>
    </row>
    <row r="109" spans="1:120">
      <c r="A109" s="13" t="s">
        <v>70</v>
      </c>
      <c r="B109" t="s">
        <v>176</v>
      </c>
      <c r="C109" t="s">
        <v>220</v>
      </c>
      <c r="D109" s="13" t="s">
        <v>320</v>
      </c>
      <c r="E109" s="13" t="s">
        <v>283</v>
      </c>
      <c r="F109" s="13">
        <v>0</v>
      </c>
      <c r="G109" s="13">
        <v>0</v>
      </c>
      <c r="H109" s="13">
        <v>0</v>
      </c>
      <c r="I109" s="13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13">
        <v>2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2">
        <v>0</v>
      </c>
      <c r="Y109" s="32">
        <v>0</v>
      </c>
      <c r="Z109" s="32">
        <v>0</v>
      </c>
      <c r="AA109" s="32">
        <v>0</v>
      </c>
      <c r="AB109" s="13">
        <v>5</v>
      </c>
      <c r="AC109" s="32">
        <v>0</v>
      </c>
      <c r="AD109" s="13">
        <v>5</v>
      </c>
      <c r="AE109" s="13">
        <v>14</v>
      </c>
      <c r="AF109" s="32">
        <v>0</v>
      </c>
      <c r="AG109" s="32">
        <v>0</v>
      </c>
      <c r="AH109" s="32">
        <v>0</v>
      </c>
      <c r="AI109" s="32">
        <v>0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 s="32">
        <v>0</v>
      </c>
      <c r="BD109" s="32">
        <v>0</v>
      </c>
      <c r="BE109" s="32">
        <v>0</v>
      </c>
      <c r="BF109" s="32">
        <v>0</v>
      </c>
      <c r="BG109" s="32">
        <v>0</v>
      </c>
      <c r="BH109" s="32">
        <v>0</v>
      </c>
      <c r="BI109" s="32">
        <v>0</v>
      </c>
      <c r="BJ109" s="32">
        <v>0</v>
      </c>
      <c r="BK109" s="32">
        <v>0</v>
      </c>
      <c r="BL109" s="32">
        <v>0</v>
      </c>
      <c r="BM109" s="32">
        <v>0</v>
      </c>
      <c r="BN109" s="32">
        <v>0</v>
      </c>
      <c r="BO109">
        <f t="shared" si="46"/>
        <v>4</v>
      </c>
      <c r="BP109" s="13">
        <f t="shared" si="47"/>
        <v>26</v>
      </c>
      <c r="BQ109" s="13">
        <f>[1]!shannonweaver(K109:BL109)</f>
        <v>1.1647320726340007</v>
      </c>
      <c r="BR109">
        <f t="shared" si="86"/>
        <v>1</v>
      </c>
      <c r="BS109">
        <f t="shared" si="87"/>
        <v>3</v>
      </c>
      <c r="BT109">
        <f t="shared" si="88"/>
        <v>0</v>
      </c>
      <c r="BU109">
        <f t="shared" si="48"/>
        <v>2</v>
      </c>
      <c r="BV109" s="13">
        <f t="shared" si="49"/>
        <v>2</v>
      </c>
      <c r="BW109" s="13">
        <f t="shared" si="50"/>
        <v>10</v>
      </c>
      <c r="BX109" s="13">
        <f t="shared" si="51"/>
        <v>14</v>
      </c>
      <c r="BY109" s="13">
        <f t="shared" si="52"/>
        <v>24</v>
      </c>
      <c r="BZ109" s="13">
        <f t="shared" si="53"/>
        <v>0</v>
      </c>
      <c r="CA109" s="13">
        <f t="shared" si="54"/>
        <v>24</v>
      </c>
      <c r="CB109" s="13">
        <f t="shared" si="55"/>
        <v>0</v>
      </c>
      <c r="CC109" s="13">
        <f t="shared" si="56"/>
        <v>0</v>
      </c>
      <c r="CD109" s="13">
        <f t="shared" si="57"/>
        <v>2</v>
      </c>
      <c r="CE109" s="13">
        <f t="shared" si="58"/>
        <v>5.0990195135927845</v>
      </c>
      <c r="CF109" s="13">
        <f t="shared" si="59"/>
        <v>1.0792275351537324</v>
      </c>
      <c r="CG109" s="13">
        <f t="shared" si="60"/>
        <v>1</v>
      </c>
      <c r="CH109" s="13">
        <f t="shared" si="61"/>
        <v>1.7320508075688772</v>
      </c>
      <c r="CI109" s="13">
        <f t="shared" si="62"/>
        <v>0</v>
      </c>
      <c r="CJ109" s="13">
        <f t="shared" si="62"/>
        <v>1.4142135623730951</v>
      </c>
      <c r="CK109" s="13">
        <f t="shared" si="63"/>
        <v>1.4142135623730951</v>
      </c>
      <c r="CL109" s="13">
        <f t="shared" si="64"/>
        <v>3.1622776601683795</v>
      </c>
      <c r="CM109" s="13">
        <f t="shared" si="65"/>
        <v>3.7416573867739413</v>
      </c>
      <c r="CN109" s="13">
        <f t="shared" si="66"/>
        <v>4.8989794855663558</v>
      </c>
      <c r="CO109" s="13">
        <f t="shared" si="67"/>
        <v>0</v>
      </c>
      <c r="CP109" s="13">
        <f t="shared" si="68"/>
        <v>4.8989794855663558</v>
      </c>
      <c r="CQ109" s="13">
        <f t="shared" si="69"/>
        <v>0</v>
      </c>
      <c r="CR109" s="13">
        <f t="shared" si="70"/>
        <v>0</v>
      </c>
      <c r="CS109" s="13">
        <f t="shared" si="71"/>
        <v>1.6094379124341003</v>
      </c>
      <c r="CT109" s="13">
        <f t="shared" si="72"/>
        <v>3.2958368660043291</v>
      </c>
      <c r="CU109" s="13">
        <f t="shared" si="73"/>
        <v>0.77229659981662135</v>
      </c>
      <c r="CV109" s="13">
        <f t="shared" si="74"/>
        <v>0.69314718055994529</v>
      </c>
      <c r="CW109" s="13">
        <f t="shared" si="75"/>
        <v>1.3862943611198906</v>
      </c>
      <c r="CX109" s="13">
        <f t="shared" si="76"/>
        <v>0</v>
      </c>
      <c r="CY109" s="13">
        <f t="shared" si="77"/>
        <v>1.0986122886681098</v>
      </c>
      <c r="CZ109" s="13">
        <f t="shared" si="78"/>
        <v>1.0986122886681098</v>
      </c>
      <c r="DA109" s="13">
        <f t="shared" si="79"/>
        <v>2.3978952727983707</v>
      </c>
      <c r="DB109" s="13">
        <f t="shared" si="80"/>
        <v>2.7080502011022101</v>
      </c>
      <c r="DC109" s="13">
        <f t="shared" si="81"/>
        <v>3.2188758248682006</v>
      </c>
      <c r="DD109" s="13">
        <f t="shared" si="82"/>
        <v>0</v>
      </c>
      <c r="DE109" s="13">
        <f t="shared" si="83"/>
        <v>3.2188758248682006</v>
      </c>
      <c r="DF109" s="13">
        <f t="shared" si="84"/>
        <v>0</v>
      </c>
      <c r="DG109" s="13">
        <f t="shared" si="85"/>
        <v>0</v>
      </c>
      <c r="DH109" s="13"/>
      <c r="DI109" s="13"/>
      <c r="DJ109" s="13"/>
      <c r="DL109"/>
      <c r="DM109"/>
      <c r="DN109"/>
      <c r="DO109"/>
      <c r="DP109" s="31"/>
    </row>
    <row r="110" spans="1:120">
      <c r="A110" s="23" t="s">
        <v>103</v>
      </c>
      <c r="B110" t="s">
        <v>176</v>
      </c>
      <c r="C110" t="s">
        <v>177</v>
      </c>
      <c r="D110" s="13" t="s">
        <v>319</v>
      </c>
      <c r="E110" s="13" t="s">
        <v>91</v>
      </c>
      <c r="F110" s="13">
        <v>0</v>
      </c>
      <c r="G110" s="13">
        <v>0</v>
      </c>
      <c r="H110" s="13">
        <v>0</v>
      </c>
      <c r="I110" s="13">
        <v>0</v>
      </c>
      <c r="J110" s="32">
        <v>0</v>
      </c>
      <c r="K110" s="32">
        <v>0</v>
      </c>
      <c r="L110" s="32">
        <v>0</v>
      </c>
      <c r="M110" s="13">
        <v>1</v>
      </c>
      <c r="N110" s="32">
        <v>0</v>
      </c>
      <c r="O110" s="13">
        <v>1</v>
      </c>
      <c r="P110" s="32">
        <v>0</v>
      </c>
      <c r="Q110" s="32">
        <v>0</v>
      </c>
      <c r="R110" s="32">
        <v>0</v>
      </c>
      <c r="S110" s="32">
        <v>0</v>
      </c>
      <c r="T110" s="32">
        <v>0</v>
      </c>
      <c r="U110" s="13">
        <v>1</v>
      </c>
      <c r="V110" s="13">
        <v>1</v>
      </c>
      <c r="W110" s="32">
        <v>0</v>
      </c>
      <c r="X110" s="32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32">
        <v>0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13">
        <v>1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 s="32">
        <v>0</v>
      </c>
      <c r="BD110" s="32">
        <v>0</v>
      </c>
      <c r="BE110" s="32">
        <v>0</v>
      </c>
      <c r="BF110" s="32">
        <v>0</v>
      </c>
      <c r="BG110" s="32">
        <v>0</v>
      </c>
      <c r="BH110" s="32">
        <v>0</v>
      </c>
      <c r="BI110" s="32">
        <v>0</v>
      </c>
      <c r="BJ110" s="32">
        <v>0</v>
      </c>
      <c r="BK110" s="32">
        <v>0</v>
      </c>
      <c r="BL110" s="32">
        <v>0</v>
      </c>
      <c r="BM110" s="32">
        <v>0</v>
      </c>
      <c r="BN110" s="32">
        <v>0</v>
      </c>
      <c r="BO110">
        <f t="shared" si="46"/>
        <v>5</v>
      </c>
      <c r="BP110" s="13">
        <f t="shared" si="47"/>
        <v>5</v>
      </c>
      <c r="BQ110" s="13">
        <f>[1]!shannonweaver(K110:BL110)</f>
        <v>1.6094379124341005</v>
      </c>
      <c r="BR110">
        <f t="shared" si="86"/>
        <v>3</v>
      </c>
      <c r="BS110">
        <f t="shared" si="87"/>
        <v>1</v>
      </c>
      <c r="BT110">
        <f t="shared" si="88"/>
        <v>0</v>
      </c>
      <c r="BU110">
        <f t="shared" si="48"/>
        <v>1</v>
      </c>
      <c r="BV110" s="13">
        <f t="shared" si="49"/>
        <v>3</v>
      </c>
      <c r="BW110" s="13">
        <f t="shared" si="50"/>
        <v>0</v>
      </c>
      <c r="BX110" s="13">
        <f t="shared" si="51"/>
        <v>0</v>
      </c>
      <c r="BY110" s="13">
        <f t="shared" si="52"/>
        <v>0</v>
      </c>
      <c r="BZ110" s="13">
        <f t="shared" si="53"/>
        <v>0</v>
      </c>
      <c r="CA110" s="13">
        <f t="shared" si="54"/>
        <v>1</v>
      </c>
      <c r="CB110" s="13">
        <f t="shared" si="55"/>
        <v>0</v>
      </c>
      <c r="CC110" s="13">
        <f t="shared" si="56"/>
        <v>0</v>
      </c>
      <c r="CD110" s="13">
        <f t="shared" si="57"/>
        <v>2.2360679774997898</v>
      </c>
      <c r="CE110" s="13">
        <f t="shared" si="58"/>
        <v>2.2360679774997898</v>
      </c>
      <c r="CF110" s="13">
        <f t="shared" si="59"/>
        <v>1.2686362411795198</v>
      </c>
      <c r="CG110" s="13">
        <f t="shared" si="60"/>
        <v>1.7320508075688772</v>
      </c>
      <c r="CH110" s="13">
        <f t="shared" si="61"/>
        <v>1</v>
      </c>
      <c r="CI110" s="13">
        <f t="shared" si="62"/>
        <v>0</v>
      </c>
      <c r="CJ110" s="13">
        <f t="shared" si="62"/>
        <v>1</v>
      </c>
      <c r="CK110" s="13">
        <f t="shared" si="63"/>
        <v>1.7320508075688772</v>
      </c>
      <c r="CL110" s="13">
        <f t="shared" si="64"/>
        <v>0</v>
      </c>
      <c r="CM110" s="13">
        <f t="shared" si="65"/>
        <v>0</v>
      </c>
      <c r="CN110" s="13">
        <f t="shared" si="66"/>
        <v>0</v>
      </c>
      <c r="CO110" s="13">
        <f t="shared" si="67"/>
        <v>0</v>
      </c>
      <c r="CP110" s="13">
        <f t="shared" si="68"/>
        <v>1</v>
      </c>
      <c r="CQ110" s="13">
        <f t="shared" si="69"/>
        <v>0</v>
      </c>
      <c r="CR110" s="13">
        <f t="shared" si="70"/>
        <v>0</v>
      </c>
      <c r="CS110" s="13">
        <f t="shared" si="71"/>
        <v>1.791759469228055</v>
      </c>
      <c r="CT110" s="13">
        <f t="shared" si="72"/>
        <v>1.791759469228055</v>
      </c>
      <c r="CU110" s="13">
        <f t="shared" si="73"/>
        <v>0.95913483892082396</v>
      </c>
      <c r="CV110" s="13">
        <f t="shared" si="74"/>
        <v>1.3862943611198906</v>
      </c>
      <c r="CW110" s="13">
        <f t="shared" si="75"/>
        <v>0.69314718055994529</v>
      </c>
      <c r="CX110" s="13">
        <f t="shared" si="76"/>
        <v>0</v>
      </c>
      <c r="CY110" s="13">
        <f t="shared" si="77"/>
        <v>0.69314718055994529</v>
      </c>
      <c r="CZ110" s="13">
        <f t="shared" si="78"/>
        <v>1.3862943611198906</v>
      </c>
      <c r="DA110" s="13">
        <f t="shared" si="79"/>
        <v>0</v>
      </c>
      <c r="DB110" s="13">
        <f t="shared" si="80"/>
        <v>0</v>
      </c>
      <c r="DC110" s="13">
        <f t="shared" si="81"/>
        <v>0</v>
      </c>
      <c r="DD110" s="13">
        <f t="shared" si="82"/>
        <v>0</v>
      </c>
      <c r="DE110" s="13">
        <f t="shared" si="83"/>
        <v>0.69314718055994529</v>
      </c>
      <c r="DF110" s="13">
        <f t="shared" si="84"/>
        <v>0</v>
      </c>
      <c r="DG110" s="13">
        <f t="shared" si="85"/>
        <v>0</v>
      </c>
      <c r="DH110" s="13"/>
      <c r="DI110" s="13"/>
      <c r="DJ110" s="13"/>
      <c r="DL110"/>
      <c r="DM110"/>
      <c r="DN110"/>
      <c r="DO110"/>
      <c r="DP110" s="31"/>
    </row>
    <row r="111" spans="1:120">
      <c r="A111" t="s">
        <v>104</v>
      </c>
      <c r="B111" t="s">
        <v>176</v>
      </c>
      <c r="C111" t="s">
        <v>177</v>
      </c>
      <c r="D111" s="13" t="s">
        <v>319</v>
      </c>
      <c r="E111" s="13" t="s">
        <v>91</v>
      </c>
      <c r="F111" s="13">
        <v>0</v>
      </c>
      <c r="G111" s="13">
        <v>0</v>
      </c>
      <c r="H111" s="13">
        <v>0</v>
      </c>
      <c r="I111" s="13">
        <v>0</v>
      </c>
      <c r="J111" s="32">
        <v>0</v>
      </c>
      <c r="K111" s="32">
        <v>0</v>
      </c>
      <c r="L111" s="32">
        <v>0</v>
      </c>
      <c r="M111" s="32">
        <v>0</v>
      </c>
      <c r="N111" s="32">
        <v>0</v>
      </c>
      <c r="O111" s="13">
        <v>1</v>
      </c>
      <c r="P111" s="32">
        <v>0</v>
      </c>
      <c r="Q111" s="32">
        <v>0</v>
      </c>
      <c r="R111" s="32">
        <v>0</v>
      </c>
      <c r="S111" s="32">
        <v>0</v>
      </c>
      <c r="T111" s="32">
        <v>0</v>
      </c>
      <c r="U111" s="32">
        <v>0</v>
      </c>
      <c r="V111" s="13">
        <v>1</v>
      </c>
      <c r="W111" s="32">
        <v>0</v>
      </c>
      <c r="X111" s="32">
        <v>0</v>
      </c>
      <c r="Y111" s="32">
        <v>0</v>
      </c>
      <c r="Z111" s="32">
        <v>0</v>
      </c>
      <c r="AA111" s="32">
        <v>0</v>
      </c>
      <c r="AB111" s="32">
        <v>0</v>
      </c>
      <c r="AC111" s="32">
        <v>0</v>
      </c>
      <c r="AD111" s="13">
        <v>1</v>
      </c>
      <c r="AE111" s="13">
        <v>3</v>
      </c>
      <c r="AF111" s="32">
        <v>0</v>
      </c>
      <c r="AG111" s="32">
        <v>0</v>
      </c>
      <c r="AH111" s="32">
        <v>0</v>
      </c>
      <c r="AI111" s="32">
        <v>0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 s="32">
        <v>0</v>
      </c>
      <c r="BD111" s="32">
        <v>0</v>
      </c>
      <c r="BE111" s="32">
        <v>0</v>
      </c>
      <c r="BF111" s="32">
        <v>0</v>
      </c>
      <c r="BG111" s="32">
        <v>0</v>
      </c>
      <c r="BH111" s="32">
        <v>0</v>
      </c>
      <c r="BI111" s="32">
        <v>0</v>
      </c>
      <c r="BJ111" s="32">
        <v>0</v>
      </c>
      <c r="BK111" s="32">
        <v>0</v>
      </c>
      <c r="BL111" s="32">
        <v>0</v>
      </c>
      <c r="BM111" s="32">
        <v>0</v>
      </c>
      <c r="BN111" s="32">
        <v>0</v>
      </c>
      <c r="BO111">
        <f t="shared" si="46"/>
        <v>4</v>
      </c>
      <c r="BP111" s="13">
        <f t="shared" si="47"/>
        <v>6</v>
      </c>
      <c r="BQ111" s="13">
        <f>[1]!shannonweaver(K111:BL111)</f>
        <v>1.2424533248940002</v>
      </c>
      <c r="BR111">
        <f t="shared" si="86"/>
        <v>2</v>
      </c>
      <c r="BS111">
        <f t="shared" si="87"/>
        <v>2</v>
      </c>
      <c r="BT111">
        <f t="shared" si="88"/>
        <v>0</v>
      </c>
      <c r="BU111">
        <f t="shared" si="48"/>
        <v>1</v>
      </c>
      <c r="BV111" s="13">
        <f t="shared" si="49"/>
        <v>2</v>
      </c>
      <c r="BW111" s="13">
        <f t="shared" si="50"/>
        <v>1</v>
      </c>
      <c r="BX111" s="13">
        <f t="shared" si="51"/>
        <v>3</v>
      </c>
      <c r="BY111" s="13">
        <f t="shared" si="52"/>
        <v>4</v>
      </c>
      <c r="BZ111" s="13">
        <f t="shared" si="53"/>
        <v>0</v>
      </c>
      <c r="CA111" s="13">
        <f t="shared" si="54"/>
        <v>4</v>
      </c>
      <c r="CB111" s="13">
        <f t="shared" si="55"/>
        <v>0</v>
      </c>
      <c r="CC111" s="13">
        <f t="shared" si="56"/>
        <v>0</v>
      </c>
      <c r="CD111" s="13">
        <f t="shared" si="57"/>
        <v>2</v>
      </c>
      <c r="CE111" s="13">
        <f t="shared" si="58"/>
        <v>2.4494897427831779</v>
      </c>
      <c r="CF111" s="13">
        <f t="shared" si="59"/>
        <v>1.1146539036373577</v>
      </c>
      <c r="CG111" s="13">
        <f t="shared" si="60"/>
        <v>1.4142135623730951</v>
      </c>
      <c r="CH111" s="13">
        <f t="shared" si="61"/>
        <v>1.4142135623730951</v>
      </c>
      <c r="CI111" s="13">
        <f t="shared" si="62"/>
        <v>0</v>
      </c>
      <c r="CJ111" s="13">
        <f t="shared" si="62"/>
        <v>1</v>
      </c>
      <c r="CK111" s="13">
        <f t="shared" si="63"/>
        <v>1.4142135623730951</v>
      </c>
      <c r="CL111" s="13">
        <f t="shared" si="64"/>
        <v>1</v>
      </c>
      <c r="CM111" s="13">
        <f t="shared" si="65"/>
        <v>1.7320508075688772</v>
      </c>
      <c r="CN111" s="13">
        <f t="shared" si="66"/>
        <v>2</v>
      </c>
      <c r="CO111" s="13">
        <f t="shared" si="67"/>
        <v>0</v>
      </c>
      <c r="CP111" s="13">
        <f t="shared" si="68"/>
        <v>2</v>
      </c>
      <c r="CQ111" s="13">
        <f t="shared" si="69"/>
        <v>0</v>
      </c>
      <c r="CR111" s="13">
        <f t="shared" si="70"/>
        <v>0</v>
      </c>
      <c r="CS111" s="13">
        <f t="shared" si="71"/>
        <v>1.6094379124341003</v>
      </c>
      <c r="CT111" s="13">
        <f t="shared" si="72"/>
        <v>1.9459101490553132</v>
      </c>
      <c r="CU111" s="13">
        <f t="shared" si="73"/>
        <v>0.80757050086307647</v>
      </c>
      <c r="CV111" s="13">
        <f t="shared" si="74"/>
        <v>1.0986122886681098</v>
      </c>
      <c r="CW111" s="13">
        <f t="shared" si="75"/>
        <v>1.0986122886681098</v>
      </c>
      <c r="CX111" s="13">
        <f t="shared" si="76"/>
        <v>0</v>
      </c>
      <c r="CY111" s="13">
        <f t="shared" si="77"/>
        <v>0.69314718055994529</v>
      </c>
      <c r="CZ111" s="13">
        <f t="shared" si="78"/>
        <v>1.0986122886681098</v>
      </c>
      <c r="DA111" s="13">
        <f t="shared" si="79"/>
        <v>0.69314718055994529</v>
      </c>
      <c r="DB111" s="13">
        <f t="shared" si="80"/>
        <v>1.3862943611198906</v>
      </c>
      <c r="DC111" s="13">
        <f t="shared" si="81"/>
        <v>1.6094379124341003</v>
      </c>
      <c r="DD111" s="13">
        <f t="shared" si="82"/>
        <v>0</v>
      </c>
      <c r="DE111" s="13">
        <f t="shared" si="83"/>
        <v>1.6094379124341003</v>
      </c>
      <c r="DF111" s="13">
        <f t="shared" si="84"/>
        <v>0</v>
      </c>
      <c r="DG111" s="13">
        <f t="shared" si="85"/>
        <v>0</v>
      </c>
      <c r="DH111" s="13"/>
      <c r="DI111" s="13"/>
      <c r="DJ111" s="13"/>
      <c r="DL111"/>
      <c r="DM111"/>
      <c r="DN111"/>
      <c r="DO111"/>
      <c r="DP111" s="31"/>
    </row>
    <row r="112" spans="1:120">
      <c r="A112" s="13" t="s">
        <v>105</v>
      </c>
      <c r="B112" t="s">
        <v>176</v>
      </c>
      <c r="C112" t="s">
        <v>177</v>
      </c>
      <c r="D112" s="13" t="s">
        <v>319</v>
      </c>
      <c r="E112" s="13" t="s">
        <v>91</v>
      </c>
      <c r="F112" s="13">
        <v>0</v>
      </c>
      <c r="G112" s="13">
        <v>0</v>
      </c>
      <c r="H112" s="13">
        <v>0</v>
      </c>
      <c r="I112" s="13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13">
        <v>3</v>
      </c>
      <c r="P112" s="32">
        <v>0</v>
      </c>
      <c r="Q112" s="32">
        <v>0</v>
      </c>
      <c r="R112" s="13">
        <v>1</v>
      </c>
      <c r="S112" s="32">
        <v>0</v>
      </c>
      <c r="T112" s="32">
        <v>0</v>
      </c>
      <c r="U112" s="32">
        <v>0</v>
      </c>
      <c r="V112" s="13">
        <v>4</v>
      </c>
      <c r="W112" s="32">
        <v>0</v>
      </c>
      <c r="X112" s="32">
        <v>0</v>
      </c>
      <c r="Y112" s="32">
        <v>0</v>
      </c>
      <c r="Z112" s="32">
        <v>0</v>
      </c>
      <c r="AA112" s="32">
        <v>0</v>
      </c>
      <c r="AB112" s="13">
        <v>1</v>
      </c>
      <c r="AC112" s="32">
        <v>0</v>
      </c>
      <c r="AD112" s="32">
        <v>0</v>
      </c>
      <c r="AE112" s="13">
        <v>3</v>
      </c>
      <c r="AF112" s="32">
        <v>0</v>
      </c>
      <c r="AG112" s="32">
        <v>0</v>
      </c>
      <c r="AH112" s="32">
        <v>0</v>
      </c>
      <c r="AI112" s="32">
        <v>0</v>
      </c>
      <c r="AJ112" s="32">
        <v>0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13">
        <v>1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 s="32">
        <v>0</v>
      </c>
      <c r="BD112" s="32">
        <v>0</v>
      </c>
      <c r="BE112" s="32">
        <v>0</v>
      </c>
      <c r="BF112" s="32">
        <v>0</v>
      </c>
      <c r="BG112" s="32">
        <v>0</v>
      </c>
      <c r="BH112" s="32">
        <v>0</v>
      </c>
      <c r="BI112" s="32">
        <v>0</v>
      </c>
      <c r="BJ112" s="32">
        <v>0</v>
      </c>
      <c r="BK112" s="32">
        <v>0</v>
      </c>
      <c r="BL112" s="32">
        <v>0</v>
      </c>
      <c r="BM112" s="32">
        <v>0</v>
      </c>
      <c r="BN112" s="32">
        <v>0</v>
      </c>
      <c r="BO112">
        <f t="shared" si="46"/>
        <v>6</v>
      </c>
      <c r="BP112" s="13">
        <f t="shared" si="47"/>
        <v>13</v>
      </c>
      <c r="BQ112" s="13">
        <f>[1]!shannonweaver(K112:BL112)</f>
        <v>1.6313454208085969</v>
      </c>
      <c r="BR112">
        <f t="shared" si="86"/>
        <v>3</v>
      </c>
      <c r="BS112">
        <f t="shared" si="87"/>
        <v>3</v>
      </c>
      <c r="BT112">
        <f t="shared" si="88"/>
        <v>0</v>
      </c>
      <c r="BU112">
        <f t="shared" si="48"/>
        <v>4</v>
      </c>
      <c r="BV112" s="13">
        <f t="shared" si="49"/>
        <v>8</v>
      </c>
      <c r="BW112" s="13">
        <f t="shared" si="50"/>
        <v>1</v>
      </c>
      <c r="BX112" s="13">
        <f t="shared" si="51"/>
        <v>3</v>
      </c>
      <c r="BY112" s="13">
        <f t="shared" si="52"/>
        <v>4</v>
      </c>
      <c r="BZ112" s="13">
        <f t="shared" si="53"/>
        <v>0</v>
      </c>
      <c r="CA112" s="13">
        <f t="shared" si="54"/>
        <v>5</v>
      </c>
      <c r="CB112" s="13">
        <f t="shared" si="55"/>
        <v>0</v>
      </c>
      <c r="CC112" s="13">
        <f t="shared" si="56"/>
        <v>0</v>
      </c>
      <c r="CD112" s="13">
        <f t="shared" si="57"/>
        <v>2.4494897427831779</v>
      </c>
      <c r="CE112" s="13">
        <f t="shared" si="58"/>
        <v>3.6055512754639891</v>
      </c>
      <c r="CF112" s="13">
        <f t="shared" si="59"/>
        <v>1.2772413322503295</v>
      </c>
      <c r="CG112" s="13">
        <f t="shared" si="60"/>
        <v>1.7320508075688772</v>
      </c>
      <c r="CH112" s="13">
        <f t="shared" si="61"/>
        <v>1.7320508075688772</v>
      </c>
      <c r="CI112" s="13">
        <f t="shared" si="62"/>
        <v>0</v>
      </c>
      <c r="CJ112" s="13">
        <f t="shared" si="62"/>
        <v>2</v>
      </c>
      <c r="CK112" s="13">
        <f t="shared" si="63"/>
        <v>2.8284271247461903</v>
      </c>
      <c r="CL112" s="13">
        <f t="shared" si="64"/>
        <v>1</v>
      </c>
      <c r="CM112" s="13">
        <f t="shared" si="65"/>
        <v>1.7320508075688772</v>
      </c>
      <c r="CN112" s="13">
        <f t="shared" si="66"/>
        <v>2</v>
      </c>
      <c r="CO112" s="13">
        <f t="shared" si="67"/>
        <v>0</v>
      </c>
      <c r="CP112" s="13">
        <f t="shared" si="68"/>
        <v>2.2360679774997898</v>
      </c>
      <c r="CQ112" s="13">
        <f t="shared" si="69"/>
        <v>0</v>
      </c>
      <c r="CR112" s="13">
        <f t="shared" si="70"/>
        <v>0</v>
      </c>
      <c r="CS112" s="13">
        <f t="shared" si="71"/>
        <v>1.9459101490553132</v>
      </c>
      <c r="CT112" s="13">
        <f t="shared" si="72"/>
        <v>2.6390573296152584</v>
      </c>
      <c r="CU112" s="13">
        <f t="shared" si="73"/>
        <v>0.96749528223133741</v>
      </c>
      <c r="CV112" s="13">
        <f t="shared" si="74"/>
        <v>1.3862943611198906</v>
      </c>
      <c r="CW112" s="13">
        <f t="shared" si="75"/>
        <v>1.3862943611198906</v>
      </c>
      <c r="CX112" s="13">
        <f t="shared" si="76"/>
        <v>0</v>
      </c>
      <c r="CY112" s="13">
        <f t="shared" si="77"/>
        <v>1.6094379124341003</v>
      </c>
      <c r="CZ112" s="13">
        <f t="shared" si="78"/>
        <v>2.1972245773362196</v>
      </c>
      <c r="DA112" s="13">
        <f t="shared" si="79"/>
        <v>0.69314718055994529</v>
      </c>
      <c r="DB112" s="13">
        <f t="shared" si="80"/>
        <v>1.3862943611198906</v>
      </c>
      <c r="DC112" s="13">
        <f t="shared" si="81"/>
        <v>1.6094379124341003</v>
      </c>
      <c r="DD112" s="13">
        <f t="shared" si="82"/>
        <v>0</v>
      </c>
      <c r="DE112" s="13">
        <f t="shared" si="83"/>
        <v>1.791759469228055</v>
      </c>
      <c r="DF112" s="13">
        <f t="shared" si="84"/>
        <v>0</v>
      </c>
      <c r="DG112" s="13">
        <f t="shared" si="85"/>
        <v>0</v>
      </c>
      <c r="DH112" s="13"/>
      <c r="DI112" s="13"/>
      <c r="DJ112" s="13"/>
      <c r="DL112"/>
      <c r="DM112"/>
      <c r="DN112"/>
      <c r="DO112"/>
      <c r="DP112" s="31"/>
    </row>
    <row r="113" spans="1:120">
      <c r="A113" s="13" t="s">
        <v>106</v>
      </c>
      <c r="B113" t="s">
        <v>176</v>
      </c>
      <c r="C113" t="s">
        <v>177</v>
      </c>
      <c r="D113" s="13" t="s">
        <v>319</v>
      </c>
      <c r="E113" s="13" t="s">
        <v>91</v>
      </c>
      <c r="F113" s="13">
        <v>0</v>
      </c>
      <c r="G113" s="13">
        <v>0</v>
      </c>
      <c r="H113" s="13">
        <v>0</v>
      </c>
      <c r="I113" s="13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13">
        <v>1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32">
        <v>0</v>
      </c>
      <c r="V113" s="32">
        <v>0</v>
      </c>
      <c r="W113" s="32">
        <v>0</v>
      </c>
      <c r="X113" s="13">
        <v>1</v>
      </c>
      <c r="Y113" s="32">
        <v>0</v>
      </c>
      <c r="Z113" s="32">
        <v>0</v>
      </c>
      <c r="AA113" s="32">
        <v>0</v>
      </c>
      <c r="AB113" s="32">
        <v>0</v>
      </c>
      <c r="AC113" s="32">
        <v>0</v>
      </c>
      <c r="AD113" s="32">
        <v>0</v>
      </c>
      <c r="AE113" s="13">
        <v>3</v>
      </c>
      <c r="AF113" s="32">
        <v>0</v>
      </c>
      <c r="AG113" s="32">
        <v>0</v>
      </c>
      <c r="AH113" s="13">
        <v>1</v>
      </c>
      <c r="AI113" s="32">
        <v>0</v>
      </c>
      <c r="AJ113" s="32">
        <v>0</v>
      </c>
      <c r="AK113" s="32">
        <v>0</v>
      </c>
      <c r="AL113" s="32">
        <v>0</v>
      </c>
      <c r="AM113" s="13">
        <v>1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 s="32">
        <v>0</v>
      </c>
      <c r="BD113" s="32">
        <v>0</v>
      </c>
      <c r="BE113" s="32">
        <v>0</v>
      </c>
      <c r="BF113" s="32">
        <v>0</v>
      </c>
      <c r="BG113" s="32">
        <v>0</v>
      </c>
      <c r="BH113" s="32">
        <v>0</v>
      </c>
      <c r="BI113" s="13">
        <v>1</v>
      </c>
      <c r="BJ113" s="32">
        <v>0</v>
      </c>
      <c r="BK113" s="13">
        <v>1</v>
      </c>
      <c r="BL113" s="32">
        <v>0</v>
      </c>
      <c r="BM113" s="32">
        <v>0</v>
      </c>
      <c r="BN113" s="32">
        <v>0</v>
      </c>
      <c r="BO113">
        <f t="shared" si="46"/>
        <v>7</v>
      </c>
      <c r="BP113" s="13">
        <f t="shared" si="47"/>
        <v>9</v>
      </c>
      <c r="BQ113" s="13">
        <f>[1]!shannonweaver(K113:BL113)</f>
        <v>1.8310204811135165</v>
      </c>
      <c r="BR113">
        <f t="shared" si="86"/>
        <v>1</v>
      </c>
      <c r="BS113">
        <f t="shared" si="87"/>
        <v>4</v>
      </c>
      <c r="BT113">
        <f t="shared" si="88"/>
        <v>0</v>
      </c>
      <c r="BU113">
        <f t="shared" si="48"/>
        <v>1</v>
      </c>
      <c r="BV113" s="13">
        <f t="shared" si="49"/>
        <v>1</v>
      </c>
      <c r="BW113" s="13">
        <f t="shared" si="50"/>
        <v>0</v>
      </c>
      <c r="BX113" s="13">
        <f t="shared" si="51"/>
        <v>3</v>
      </c>
      <c r="BY113" s="13">
        <f t="shared" si="52"/>
        <v>3</v>
      </c>
      <c r="BZ113" s="13">
        <f t="shared" si="53"/>
        <v>0</v>
      </c>
      <c r="CA113" s="13">
        <f t="shared" si="54"/>
        <v>6</v>
      </c>
      <c r="CB113" s="13">
        <f t="shared" si="55"/>
        <v>0</v>
      </c>
      <c r="CC113" s="13">
        <f t="shared" si="56"/>
        <v>1</v>
      </c>
      <c r="CD113" s="13">
        <f t="shared" si="57"/>
        <v>2.6457513110645907</v>
      </c>
      <c r="CE113" s="13">
        <f t="shared" si="58"/>
        <v>3</v>
      </c>
      <c r="CF113" s="13">
        <f t="shared" si="59"/>
        <v>1.3531520539516306</v>
      </c>
      <c r="CG113" s="13">
        <f t="shared" si="60"/>
        <v>1</v>
      </c>
      <c r="CH113" s="13">
        <f t="shared" si="61"/>
        <v>2</v>
      </c>
      <c r="CI113" s="13">
        <f t="shared" si="62"/>
        <v>0</v>
      </c>
      <c r="CJ113" s="13">
        <f t="shared" si="62"/>
        <v>1</v>
      </c>
      <c r="CK113" s="13">
        <f t="shared" si="63"/>
        <v>1</v>
      </c>
      <c r="CL113" s="13">
        <f t="shared" si="64"/>
        <v>0</v>
      </c>
      <c r="CM113" s="13">
        <f t="shared" si="65"/>
        <v>1.7320508075688772</v>
      </c>
      <c r="CN113" s="13">
        <f t="shared" si="66"/>
        <v>1.7320508075688772</v>
      </c>
      <c r="CO113" s="13">
        <f t="shared" si="67"/>
        <v>0</v>
      </c>
      <c r="CP113" s="13">
        <f t="shared" si="68"/>
        <v>2.4494897427831779</v>
      </c>
      <c r="CQ113" s="13">
        <f t="shared" si="69"/>
        <v>0</v>
      </c>
      <c r="CR113" s="13">
        <f t="shared" si="70"/>
        <v>1</v>
      </c>
      <c r="CS113" s="13">
        <f t="shared" si="71"/>
        <v>2.0794415416798357</v>
      </c>
      <c r="CT113" s="13">
        <f t="shared" si="72"/>
        <v>2.3025850929940459</v>
      </c>
      <c r="CU113" s="13">
        <f t="shared" si="73"/>
        <v>1.0406372406897875</v>
      </c>
      <c r="CV113" s="13">
        <f t="shared" si="74"/>
        <v>0.69314718055994529</v>
      </c>
      <c r="CW113" s="13">
        <f t="shared" si="75"/>
        <v>1.6094379124341003</v>
      </c>
      <c r="CX113" s="13">
        <f t="shared" si="76"/>
        <v>0</v>
      </c>
      <c r="CY113" s="13">
        <f t="shared" si="77"/>
        <v>0.69314718055994529</v>
      </c>
      <c r="CZ113" s="13">
        <f t="shared" si="78"/>
        <v>0.69314718055994529</v>
      </c>
      <c r="DA113" s="13">
        <f t="shared" si="79"/>
        <v>0</v>
      </c>
      <c r="DB113" s="13">
        <f t="shared" si="80"/>
        <v>1.3862943611198906</v>
      </c>
      <c r="DC113" s="13">
        <f t="shared" si="81"/>
        <v>1.3862943611198906</v>
      </c>
      <c r="DD113" s="13">
        <f t="shared" si="82"/>
        <v>0</v>
      </c>
      <c r="DE113" s="13">
        <f t="shared" si="83"/>
        <v>1.9459101490553132</v>
      </c>
      <c r="DF113" s="13">
        <f t="shared" si="84"/>
        <v>0</v>
      </c>
      <c r="DG113" s="13">
        <f t="shared" si="85"/>
        <v>0.69314718055994529</v>
      </c>
      <c r="DH113" s="13"/>
      <c r="DI113" s="13"/>
      <c r="DJ113" s="13"/>
      <c r="DL113"/>
      <c r="DM113"/>
      <c r="DN113"/>
      <c r="DO113"/>
      <c r="DP113" s="31"/>
    </row>
    <row r="114" spans="1:120">
      <c r="A114" s="13" t="s">
        <v>107</v>
      </c>
      <c r="B114" t="s">
        <v>176</v>
      </c>
      <c r="C114" t="s">
        <v>177</v>
      </c>
      <c r="D114" s="13" t="s">
        <v>319</v>
      </c>
      <c r="E114" s="13" t="s">
        <v>91</v>
      </c>
      <c r="F114" s="13">
        <v>0</v>
      </c>
      <c r="G114" s="13">
        <v>0</v>
      </c>
      <c r="H114" s="13">
        <v>0</v>
      </c>
      <c r="I114" s="13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13">
        <v>1</v>
      </c>
      <c r="P114" s="32">
        <v>0</v>
      </c>
      <c r="Q114" s="32">
        <v>0</v>
      </c>
      <c r="R114" s="32">
        <v>0</v>
      </c>
      <c r="S114" s="32">
        <v>0</v>
      </c>
      <c r="T114" s="32">
        <v>0</v>
      </c>
      <c r="U114" s="32">
        <v>0</v>
      </c>
      <c r="V114" s="13">
        <v>1</v>
      </c>
      <c r="W114" s="32">
        <v>0</v>
      </c>
      <c r="X114" s="13">
        <v>1</v>
      </c>
      <c r="Y114" s="32">
        <v>0</v>
      </c>
      <c r="Z114" s="32">
        <v>0</v>
      </c>
      <c r="AA114" s="32">
        <v>0</v>
      </c>
      <c r="AB114" s="13">
        <v>2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 s="32">
        <v>0</v>
      </c>
      <c r="BD114" s="32">
        <v>0</v>
      </c>
      <c r="BE114" s="32">
        <v>0</v>
      </c>
      <c r="BF114" s="32">
        <v>0</v>
      </c>
      <c r="BG114" s="32">
        <v>0</v>
      </c>
      <c r="BH114" s="32">
        <v>0</v>
      </c>
      <c r="BI114" s="13">
        <v>3</v>
      </c>
      <c r="BJ114" s="32">
        <v>0</v>
      </c>
      <c r="BK114" s="13">
        <v>1</v>
      </c>
      <c r="BL114" s="32">
        <v>0</v>
      </c>
      <c r="BM114" s="32">
        <v>0</v>
      </c>
      <c r="BN114" s="32">
        <v>0</v>
      </c>
      <c r="BO114">
        <f t="shared" si="46"/>
        <v>6</v>
      </c>
      <c r="BP114" s="13">
        <f t="shared" si="47"/>
        <v>9</v>
      </c>
      <c r="BQ114" s="13">
        <f>[1]!shannonweaver(K114:BL114)</f>
        <v>1.6769877743224173</v>
      </c>
      <c r="BR114">
        <f t="shared" si="86"/>
        <v>2</v>
      </c>
      <c r="BS114">
        <f t="shared" si="87"/>
        <v>2</v>
      </c>
      <c r="BT114">
        <f t="shared" si="88"/>
        <v>0</v>
      </c>
      <c r="BU114">
        <f t="shared" si="48"/>
        <v>1</v>
      </c>
      <c r="BV114" s="13">
        <f t="shared" si="49"/>
        <v>2</v>
      </c>
      <c r="BW114" s="13">
        <f t="shared" si="50"/>
        <v>2</v>
      </c>
      <c r="BX114" s="13">
        <f t="shared" si="51"/>
        <v>0</v>
      </c>
      <c r="BY114" s="13">
        <f t="shared" si="52"/>
        <v>2</v>
      </c>
      <c r="BZ114" s="13">
        <f t="shared" si="53"/>
        <v>0</v>
      </c>
      <c r="CA114" s="13">
        <f t="shared" si="54"/>
        <v>3</v>
      </c>
      <c r="CB114" s="13">
        <f t="shared" si="55"/>
        <v>0</v>
      </c>
      <c r="CC114" s="13">
        <f t="shared" si="56"/>
        <v>1</v>
      </c>
      <c r="CD114" s="13">
        <f t="shared" si="57"/>
        <v>2.4494897427831779</v>
      </c>
      <c r="CE114" s="13">
        <f t="shared" si="58"/>
        <v>3</v>
      </c>
      <c r="CF114" s="13">
        <f t="shared" si="59"/>
        <v>1.2949856270717515</v>
      </c>
      <c r="CG114" s="13">
        <f t="shared" si="60"/>
        <v>1.4142135623730951</v>
      </c>
      <c r="CH114" s="13">
        <f t="shared" si="61"/>
        <v>1.4142135623730951</v>
      </c>
      <c r="CI114" s="13">
        <f t="shared" si="62"/>
        <v>0</v>
      </c>
      <c r="CJ114" s="13">
        <f t="shared" si="62"/>
        <v>1</v>
      </c>
      <c r="CK114" s="13">
        <f t="shared" si="63"/>
        <v>1.4142135623730951</v>
      </c>
      <c r="CL114" s="13">
        <f t="shared" si="64"/>
        <v>1.4142135623730951</v>
      </c>
      <c r="CM114" s="13">
        <f t="shared" si="65"/>
        <v>0</v>
      </c>
      <c r="CN114" s="13">
        <f t="shared" si="66"/>
        <v>1.4142135623730951</v>
      </c>
      <c r="CO114" s="13">
        <f t="shared" si="67"/>
        <v>0</v>
      </c>
      <c r="CP114" s="13">
        <f t="shared" si="68"/>
        <v>1.7320508075688772</v>
      </c>
      <c r="CQ114" s="13">
        <f t="shared" si="69"/>
        <v>0</v>
      </c>
      <c r="CR114" s="13">
        <f t="shared" si="70"/>
        <v>1</v>
      </c>
      <c r="CS114" s="13">
        <f t="shared" si="71"/>
        <v>1.9459101490553132</v>
      </c>
      <c r="CT114" s="13">
        <f t="shared" si="72"/>
        <v>2.3025850929940459</v>
      </c>
      <c r="CU114" s="13">
        <f t="shared" si="73"/>
        <v>0.98469219759555582</v>
      </c>
      <c r="CV114" s="13">
        <f t="shared" si="74"/>
        <v>1.0986122886681098</v>
      </c>
      <c r="CW114" s="13">
        <f t="shared" si="75"/>
        <v>1.0986122886681098</v>
      </c>
      <c r="CX114" s="13">
        <f t="shared" si="76"/>
        <v>0</v>
      </c>
      <c r="CY114" s="13">
        <f t="shared" si="77"/>
        <v>0.69314718055994529</v>
      </c>
      <c r="CZ114" s="13">
        <f t="shared" si="78"/>
        <v>1.0986122886681098</v>
      </c>
      <c r="DA114" s="13">
        <f t="shared" si="79"/>
        <v>1.0986122886681098</v>
      </c>
      <c r="DB114" s="13">
        <f t="shared" si="80"/>
        <v>0</v>
      </c>
      <c r="DC114" s="13">
        <f t="shared" si="81"/>
        <v>1.0986122886681098</v>
      </c>
      <c r="DD114" s="13">
        <f t="shared" si="82"/>
        <v>0</v>
      </c>
      <c r="DE114" s="13">
        <f t="shared" si="83"/>
        <v>1.3862943611198906</v>
      </c>
      <c r="DF114" s="13">
        <f t="shared" si="84"/>
        <v>0</v>
      </c>
      <c r="DG114" s="13">
        <f t="shared" si="85"/>
        <v>0.69314718055994529</v>
      </c>
      <c r="DH114" s="13"/>
      <c r="DI114" s="13"/>
      <c r="DJ114" s="13"/>
      <c r="DL114"/>
      <c r="DM114"/>
      <c r="DN114"/>
      <c r="DO114"/>
      <c r="DP114" s="31"/>
    </row>
    <row r="115" spans="1:120">
      <c r="A115" s="13" t="s">
        <v>108</v>
      </c>
      <c r="B115" t="s">
        <v>176</v>
      </c>
      <c r="C115" t="s">
        <v>177</v>
      </c>
      <c r="D115" s="13" t="s">
        <v>319</v>
      </c>
      <c r="E115" s="13" t="s">
        <v>91</v>
      </c>
      <c r="F115" s="13">
        <v>0</v>
      </c>
      <c r="G115" s="13">
        <v>0</v>
      </c>
      <c r="H115" s="13">
        <v>0</v>
      </c>
      <c r="I115" s="13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32">
        <v>0</v>
      </c>
      <c r="Z115" s="32">
        <v>0</v>
      </c>
      <c r="AA115" s="32">
        <v>0</v>
      </c>
      <c r="AB115" s="13">
        <v>1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 s="32">
        <v>0</v>
      </c>
      <c r="BD115" s="32">
        <v>0</v>
      </c>
      <c r="BE115" s="32">
        <v>0</v>
      </c>
      <c r="BF115" s="32">
        <v>0</v>
      </c>
      <c r="BG115" s="32">
        <v>0</v>
      </c>
      <c r="BH115" s="32">
        <v>0</v>
      </c>
      <c r="BI115" s="32">
        <v>0</v>
      </c>
      <c r="BJ115" s="13">
        <v>1</v>
      </c>
      <c r="BK115" s="13">
        <v>0</v>
      </c>
      <c r="BL115" s="32">
        <v>0</v>
      </c>
      <c r="BM115" s="32">
        <v>0</v>
      </c>
      <c r="BN115" s="32">
        <v>0</v>
      </c>
      <c r="BO115">
        <f t="shared" si="46"/>
        <v>2</v>
      </c>
      <c r="BP115" s="13">
        <f t="shared" si="47"/>
        <v>2</v>
      </c>
      <c r="BQ115" s="13">
        <f>[1]!shannonweaver(K115:BL115)</f>
        <v>0.69314718055994529</v>
      </c>
      <c r="BR115">
        <f t="shared" si="86"/>
        <v>0</v>
      </c>
      <c r="BS115">
        <f t="shared" si="87"/>
        <v>1</v>
      </c>
      <c r="BT115">
        <f t="shared" si="88"/>
        <v>0</v>
      </c>
      <c r="BU115">
        <f t="shared" si="48"/>
        <v>0</v>
      </c>
      <c r="BV115" s="13">
        <f t="shared" si="49"/>
        <v>0</v>
      </c>
      <c r="BW115" s="13">
        <f t="shared" si="50"/>
        <v>1</v>
      </c>
      <c r="BX115" s="13">
        <f t="shared" si="51"/>
        <v>0</v>
      </c>
      <c r="BY115" s="13">
        <f t="shared" si="52"/>
        <v>1</v>
      </c>
      <c r="BZ115" s="13">
        <f t="shared" si="53"/>
        <v>0</v>
      </c>
      <c r="CA115" s="13">
        <f t="shared" si="54"/>
        <v>1</v>
      </c>
      <c r="CB115" s="13">
        <f t="shared" si="55"/>
        <v>0</v>
      </c>
      <c r="CC115" s="13">
        <f t="shared" si="56"/>
        <v>0</v>
      </c>
      <c r="CD115" s="13">
        <f t="shared" si="57"/>
        <v>1.4142135623730951</v>
      </c>
      <c r="CE115" s="13">
        <f t="shared" si="58"/>
        <v>1.4142135623730951</v>
      </c>
      <c r="CF115" s="13">
        <f t="shared" si="59"/>
        <v>0.83255461115769769</v>
      </c>
      <c r="CG115" s="13">
        <f t="shared" si="60"/>
        <v>0</v>
      </c>
      <c r="CH115" s="13">
        <f t="shared" si="61"/>
        <v>1</v>
      </c>
      <c r="CI115" s="13">
        <f t="shared" si="62"/>
        <v>0</v>
      </c>
      <c r="CJ115" s="13">
        <f t="shared" si="62"/>
        <v>0</v>
      </c>
      <c r="CK115" s="13">
        <f t="shared" si="63"/>
        <v>0</v>
      </c>
      <c r="CL115" s="13">
        <f t="shared" si="64"/>
        <v>1</v>
      </c>
      <c r="CM115" s="13">
        <f t="shared" si="65"/>
        <v>0</v>
      </c>
      <c r="CN115" s="13">
        <f t="shared" si="66"/>
        <v>1</v>
      </c>
      <c r="CO115" s="13">
        <f t="shared" si="67"/>
        <v>0</v>
      </c>
      <c r="CP115" s="13">
        <f t="shared" si="68"/>
        <v>1</v>
      </c>
      <c r="CQ115" s="13">
        <f t="shared" si="69"/>
        <v>0</v>
      </c>
      <c r="CR115" s="13">
        <f t="shared" si="70"/>
        <v>0</v>
      </c>
      <c r="CS115" s="13">
        <f t="shared" si="71"/>
        <v>1.0986122886681098</v>
      </c>
      <c r="CT115" s="13">
        <f t="shared" si="72"/>
        <v>1.0986122886681098</v>
      </c>
      <c r="CU115" s="13">
        <f t="shared" si="73"/>
        <v>0.52658903413904457</v>
      </c>
      <c r="CV115" s="13">
        <f t="shared" si="74"/>
        <v>0</v>
      </c>
      <c r="CW115" s="13">
        <f t="shared" si="75"/>
        <v>0.69314718055994529</v>
      </c>
      <c r="CX115" s="13">
        <f t="shared" si="76"/>
        <v>0</v>
      </c>
      <c r="CY115" s="13">
        <f t="shared" si="77"/>
        <v>0</v>
      </c>
      <c r="CZ115" s="13">
        <f t="shared" si="78"/>
        <v>0</v>
      </c>
      <c r="DA115" s="13">
        <f t="shared" si="79"/>
        <v>0.69314718055994529</v>
      </c>
      <c r="DB115" s="13">
        <f t="shared" si="80"/>
        <v>0</v>
      </c>
      <c r="DC115" s="13">
        <f t="shared" si="81"/>
        <v>0.69314718055994529</v>
      </c>
      <c r="DD115" s="13">
        <f t="shared" si="82"/>
        <v>0</v>
      </c>
      <c r="DE115" s="13">
        <f t="shared" si="83"/>
        <v>0.69314718055994529</v>
      </c>
      <c r="DF115" s="13">
        <f t="shared" si="84"/>
        <v>0</v>
      </c>
      <c r="DG115" s="13">
        <f t="shared" si="85"/>
        <v>0</v>
      </c>
      <c r="DH115" s="13"/>
      <c r="DI115" s="13"/>
      <c r="DJ115" s="13"/>
      <c r="DL115"/>
      <c r="DM115"/>
      <c r="DN115"/>
      <c r="DO115"/>
      <c r="DP115" s="31"/>
    </row>
    <row r="116" spans="1:120">
      <c r="A116" s="13" t="s">
        <v>109</v>
      </c>
      <c r="B116" t="s">
        <v>176</v>
      </c>
      <c r="C116" t="s">
        <v>204</v>
      </c>
      <c r="D116" s="13" t="s">
        <v>319</v>
      </c>
      <c r="E116" s="13" t="s">
        <v>91</v>
      </c>
      <c r="F116" s="13">
        <v>0</v>
      </c>
      <c r="G116" s="13">
        <v>0</v>
      </c>
      <c r="H116" s="13">
        <v>0</v>
      </c>
      <c r="I116" s="13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13">
        <v>3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32">
        <v>0</v>
      </c>
      <c r="Z116" s="32">
        <v>0</v>
      </c>
      <c r="AA116" s="32">
        <v>0</v>
      </c>
      <c r="AB116" s="13">
        <v>4</v>
      </c>
      <c r="AC116" s="32">
        <v>0</v>
      </c>
      <c r="AD116" s="13">
        <v>1</v>
      </c>
      <c r="AE116" s="13">
        <v>1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13">
        <v>1</v>
      </c>
      <c r="AZ116" s="32">
        <v>0</v>
      </c>
      <c r="BA116" s="32">
        <v>0</v>
      </c>
      <c r="BB116" s="32">
        <v>0</v>
      </c>
      <c r="BC116" s="32">
        <v>0</v>
      </c>
      <c r="BD116" s="32">
        <v>0</v>
      </c>
      <c r="BE116" s="32">
        <v>0</v>
      </c>
      <c r="BF116" s="32">
        <v>0</v>
      </c>
      <c r="BG116" s="32">
        <v>0</v>
      </c>
      <c r="BH116" s="32">
        <v>0</v>
      </c>
      <c r="BI116" s="32">
        <v>0</v>
      </c>
      <c r="BJ116" s="32">
        <v>0</v>
      </c>
      <c r="BK116" s="32">
        <v>0</v>
      </c>
      <c r="BL116" s="32">
        <v>0</v>
      </c>
      <c r="BM116" s="32">
        <v>0</v>
      </c>
      <c r="BN116" s="32">
        <v>0</v>
      </c>
      <c r="BO116">
        <f t="shared" si="46"/>
        <v>5</v>
      </c>
      <c r="BP116" s="13">
        <f t="shared" si="47"/>
        <v>10</v>
      </c>
      <c r="BQ116" s="13">
        <f>[1]!shannonweaver(K116:BL116)</f>
        <v>1.4184836619456564</v>
      </c>
      <c r="BR116">
        <f t="shared" si="86"/>
        <v>1</v>
      </c>
      <c r="BS116">
        <f t="shared" si="87"/>
        <v>3</v>
      </c>
      <c r="BT116">
        <f t="shared" si="88"/>
        <v>1</v>
      </c>
      <c r="BU116">
        <f t="shared" si="48"/>
        <v>3</v>
      </c>
      <c r="BV116" s="13">
        <f t="shared" si="49"/>
        <v>3</v>
      </c>
      <c r="BW116" s="13">
        <f t="shared" si="50"/>
        <v>5</v>
      </c>
      <c r="BX116" s="13">
        <f t="shared" si="51"/>
        <v>1</v>
      </c>
      <c r="BY116" s="13">
        <f t="shared" si="52"/>
        <v>6</v>
      </c>
      <c r="BZ116" s="13">
        <f t="shared" si="53"/>
        <v>0</v>
      </c>
      <c r="CA116" s="13">
        <f t="shared" si="54"/>
        <v>6</v>
      </c>
      <c r="CB116" s="13">
        <f t="shared" si="55"/>
        <v>1</v>
      </c>
      <c r="CC116" s="13">
        <f t="shared" si="56"/>
        <v>0</v>
      </c>
      <c r="CD116" s="13">
        <f t="shared" si="57"/>
        <v>2.2360679774997898</v>
      </c>
      <c r="CE116" s="13">
        <f t="shared" si="58"/>
        <v>3.1622776601683795</v>
      </c>
      <c r="CF116" s="13">
        <f t="shared" si="59"/>
        <v>1.1910011175249402</v>
      </c>
      <c r="CG116" s="13">
        <f t="shared" si="60"/>
        <v>1</v>
      </c>
      <c r="CH116" s="13">
        <f t="shared" si="61"/>
        <v>1.7320508075688772</v>
      </c>
      <c r="CI116" s="13">
        <f t="shared" si="62"/>
        <v>1</v>
      </c>
      <c r="CJ116" s="13">
        <f t="shared" si="62"/>
        <v>1.7320508075688772</v>
      </c>
      <c r="CK116" s="13">
        <f t="shared" si="63"/>
        <v>1.7320508075688772</v>
      </c>
      <c r="CL116" s="13">
        <f t="shared" si="64"/>
        <v>2.2360679774997898</v>
      </c>
      <c r="CM116" s="13">
        <f t="shared" si="65"/>
        <v>1</v>
      </c>
      <c r="CN116" s="13">
        <f t="shared" si="66"/>
        <v>2.4494897427831779</v>
      </c>
      <c r="CO116" s="13">
        <f t="shared" si="67"/>
        <v>0</v>
      </c>
      <c r="CP116" s="13">
        <f t="shared" si="68"/>
        <v>2.4494897427831779</v>
      </c>
      <c r="CQ116" s="13">
        <f t="shared" si="69"/>
        <v>1</v>
      </c>
      <c r="CR116" s="13">
        <f t="shared" si="70"/>
        <v>0</v>
      </c>
      <c r="CS116" s="13">
        <f t="shared" si="71"/>
        <v>1.791759469228055</v>
      </c>
      <c r="CT116" s="13">
        <f t="shared" si="72"/>
        <v>2.3978952727983707</v>
      </c>
      <c r="CU116" s="13">
        <f t="shared" si="73"/>
        <v>0.88314075780869528</v>
      </c>
      <c r="CV116" s="13">
        <f t="shared" si="74"/>
        <v>0.69314718055994529</v>
      </c>
      <c r="CW116" s="13">
        <f t="shared" si="75"/>
        <v>1.3862943611198906</v>
      </c>
      <c r="CX116" s="13">
        <f t="shared" si="76"/>
        <v>0.69314718055994529</v>
      </c>
      <c r="CY116" s="13">
        <f t="shared" si="77"/>
        <v>1.3862943611198906</v>
      </c>
      <c r="CZ116" s="13">
        <f t="shared" si="78"/>
        <v>1.3862943611198906</v>
      </c>
      <c r="DA116" s="13">
        <f t="shared" si="79"/>
        <v>1.791759469228055</v>
      </c>
      <c r="DB116" s="13">
        <f t="shared" si="80"/>
        <v>0.69314718055994529</v>
      </c>
      <c r="DC116" s="13">
        <f t="shared" si="81"/>
        <v>1.9459101490553132</v>
      </c>
      <c r="DD116" s="13">
        <f t="shared" si="82"/>
        <v>0</v>
      </c>
      <c r="DE116" s="13">
        <f t="shared" si="83"/>
        <v>1.9459101490553132</v>
      </c>
      <c r="DF116" s="13">
        <f t="shared" si="84"/>
        <v>0.69314718055994529</v>
      </c>
      <c r="DG116" s="13">
        <f t="shared" si="85"/>
        <v>0</v>
      </c>
      <c r="DH116" s="13"/>
      <c r="DI116" s="13"/>
      <c r="DJ116" s="13"/>
      <c r="DL116"/>
      <c r="DM116"/>
      <c r="DN116"/>
      <c r="DO116"/>
      <c r="DP116" s="31"/>
    </row>
    <row r="117" spans="1:120">
      <c r="A117" s="13" t="s">
        <v>110</v>
      </c>
      <c r="B117" t="s">
        <v>176</v>
      </c>
      <c r="C117" t="s">
        <v>204</v>
      </c>
      <c r="D117" s="13" t="s">
        <v>319</v>
      </c>
      <c r="E117" s="13" t="s">
        <v>91</v>
      </c>
      <c r="F117" s="13">
        <v>0</v>
      </c>
      <c r="G117" s="13">
        <v>0</v>
      </c>
      <c r="H117" s="13">
        <v>0</v>
      </c>
      <c r="I117" s="13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13">
        <v>1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32">
        <v>0</v>
      </c>
      <c r="Z117" s="32">
        <v>0</v>
      </c>
      <c r="AA117" s="32">
        <v>0</v>
      </c>
      <c r="AB117" s="13">
        <v>5</v>
      </c>
      <c r="AC117" s="32">
        <v>0</v>
      </c>
      <c r="AD117" s="13">
        <v>4</v>
      </c>
      <c r="AE117" s="13">
        <v>1</v>
      </c>
      <c r="AF117" s="32">
        <v>0</v>
      </c>
      <c r="AG117" s="13">
        <v>3</v>
      </c>
      <c r="AH117" s="13">
        <v>1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 s="32">
        <v>0</v>
      </c>
      <c r="BD117" s="32">
        <v>0</v>
      </c>
      <c r="BE117" s="32">
        <v>0</v>
      </c>
      <c r="BF117" s="32">
        <v>0</v>
      </c>
      <c r="BG117" s="32">
        <v>0</v>
      </c>
      <c r="BH117" s="32">
        <v>0</v>
      </c>
      <c r="BI117" s="32">
        <v>0</v>
      </c>
      <c r="BJ117" s="32">
        <v>0</v>
      </c>
      <c r="BK117" s="32">
        <v>0</v>
      </c>
      <c r="BL117" s="32">
        <v>0</v>
      </c>
      <c r="BM117" s="32">
        <v>0</v>
      </c>
      <c r="BN117" s="32">
        <v>0</v>
      </c>
      <c r="BO117">
        <f t="shared" si="46"/>
        <v>6</v>
      </c>
      <c r="BP117" s="13">
        <f t="shared" si="47"/>
        <v>15</v>
      </c>
      <c r="BQ117" s="13">
        <f>[1]!shannonweaver(K117:BL117)</f>
        <v>1.5821699429252505</v>
      </c>
      <c r="BR117">
        <f t="shared" si="86"/>
        <v>1</v>
      </c>
      <c r="BS117">
        <f t="shared" si="87"/>
        <v>5</v>
      </c>
      <c r="BT117">
        <f t="shared" si="88"/>
        <v>0</v>
      </c>
      <c r="BU117">
        <f t="shared" si="48"/>
        <v>1</v>
      </c>
      <c r="BV117" s="13">
        <f t="shared" si="49"/>
        <v>1</v>
      </c>
      <c r="BW117" s="13">
        <f t="shared" si="50"/>
        <v>9</v>
      </c>
      <c r="BX117" s="13">
        <f t="shared" si="51"/>
        <v>1</v>
      </c>
      <c r="BY117" s="13">
        <f t="shared" si="52"/>
        <v>10</v>
      </c>
      <c r="BZ117" s="13">
        <f t="shared" si="53"/>
        <v>3</v>
      </c>
      <c r="CA117" s="13">
        <f t="shared" si="54"/>
        <v>14</v>
      </c>
      <c r="CB117" s="13">
        <f t="shared" si="55"/>
        <v>0</v>
      </c>
      <c r="CC117" s="13">
        <f t="shared" si="56"/>
        <v>0</v>
      </c>
      <c r="CD117" s="13">
        <f t="shared" si="57"/>
        <v>2.4494897427831779</v>
      </c>
      <c r="CE117" s="13">
        <f t="shared" si="58"/>
        <v>3.872983346207417</v>
      </c>
      <c r="CF117" s="13">
        <f t="shared" si="59"/>
        <v>1.2578433697902336</v>
      </c>
      <c r="CG117" s="13">
        <f t="shared" si="60"/>
        <v>1</v>
      </c>
      <c r="CH117" s="13">
        <f t="shared" si="61"/>
        <v>2.2360679774997898</v>
      </c>
      <c r="CI117" s="13">
        <f t="shared" si="62"/>
        <v>0</v>
      </c>
      <c r="CJ117" s="13">
        <f t="shared" si="62"/>
        <v>1</v>
      </c>
      <c r="CK117" s="13">
        <f t="shared" si="63"/>
        <v>1</v>
      </c>
      <c r="CL117" s="13">
        <f t="shared" si="64"/>
        <v>3</v>
      </c>
      <c r="CM117" s="13">
        <f t="shared" si="65"/>
        <v>1</v>
      </c>
      <c r="CN117" s="13">
        <f t="shared" si="66"/>
        <v>3.1622776601683795</v>
      </c>
      <c r="CO117" s="13">
        <f t="shared" si="67"/>
        <v>1.7320508075688772</v>
      </c>
      <c r="CP117" s="13">
        <f t="shared" si="68"/>
        <v>3.7416573867739413</v>
      </c>
      <c r="CQ117" s="13">
        <f t="shared" si="69"/>
        <v>0</v>
      </c>
      <c r="CR117" s="13">
        <f t="shared" si="70"/>
        <v>0</v>
      </c>
      <c r="CS117" s="13">
        <f t="shared" si="71"/>
        <v>1.9459101490553132</v>
      </c>
      <c r="CT117" s="13">
        <f t="shared" si="72"/>
        <v>2.7725887222397811</v>
      </c>
      <c r="CU117" s="13">
        <f t="shared" si="73"/>
        <v>0.94863010858743135</v>
      </c>
      <c r="CV117" s="13">
        <f t="shared" si="74"/>
        <v>0.69314718055994529</v>
      </c>
      <c r="CW117" s="13">
        <f t="shared" si="75"/>
        <v>1.791759469228055</v>
      </c>
      <c r="CX117" s="13">
        <f t="shared" si="76"/>
        <v>0</v>
      </c>
      <c r="CY117" s="13">
        <f t="shared" si="77"/>
        <v>0.69314718055994529</v>
      </c>
      <c r="CZ117" s="13">
        <f t="shared" si="78"/>
        <v>0.69314718055994529</v>
      </c>
      <c r="DA117" s="13">
        <f t="shared" si="79"/>
        <v>2.3025850929940459</v>
      </c>
      <c r="DB117" s="13">
        <f t="shared" si="80"/>
        <v>0.69314718055994529</v>
      </c>
      <c r="DC117" s="13">
        <f t="shared" si="81"/>
        <v>2.3978952727983707</v>
      </c>
      <c r="DD117" s="13">
        <f t="shared" si="82"/>
        <v>1.3862943611198906</v>
      </c>
      <c r="DE117" s="13">
        <f t="shared" si="83"/>
        <v>2.7080502011022101</v>
      </c>
      <c r="DF117" s="13">
        <f t="shared" si="84"/>
        <v>0</v>
      </c>
      <c r="DG117" s="13">
        <f t="shared" si="85"/>
        <v>0</v>
      </c>
      <c r="DH117" s="13"/>
      <c r="DI117" s="13"/>
      <c r="DJ117" s="13"/>
      <c r="DL117"/>
      <c r="DM117"/>
      <c r="DN117"/>
      <c r="DO117"/>
      <c r="DP117" s="31"/>
    </row>
    <row r="118" spans="1:120">
      <c r="A118" s="13" t="s">
        <v>111</v>
      </c>
      <c r="B118" t="s">
        <v>176</v>
      </c>
      <c r="C118" t="s">
        <v>204</v>
      </c>
      <c r="D118" s="13" t="s">
        <v>319</v>
      </c>
      <c r="E118" s="13" t="s">
        <v>91</v>
      </c>
      <c r="F118" s="13">
        <v>0</v>
      </c>
      <c r="G118" s="13">
        <v>0</v>
      </c>
      <c r="H118" s="13">
        <v>0</v>
      </c>
      <c r="I118" s="13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13">
        <v>1</v>
      </c>
      <c r="P118" s="13">
        <v>1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32">
        <v>0</v>
      </c>
      <c r="Z118" s="32">
        <v>0</v>
      </c>
      <c r="AA118" s="32">
        <v>0</v>
      </c>
      <c r="AB118" s="13">
        <v>2</v>
      </c>
      <c r="AC118" s="32">
        <v>0</v>
      </c>
      <c r="AD118" s="13">
        <v>2</v>
      </c>
      <c r="AE118" s="13">
        <v>9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 s="32">
        <v>0</v>
      </c>
      <c r="BD118" s="32">
        <v>0</v>
      </c>
      <c r="BE118" s="32">
        <v>0</v>
      </c>
      <c r="BF118" s="32">
        <v>0</v>
      </c>
      <c r="BG118" s="32">
        <v>0</v>
      </c>
      <c r="BH118" s="32">
        <v>0</v>
      </c>
      <c r="BI118" s="13">
        <v>2</v>
      </c>
      <c r="BJ118" s="32">
        <v>0</v>
      </c>
      <c r="BK118" s="32">
        <v>0</v>
      </c>
      <c r="BL118" s="32">
        <v>0</v>
      </c>
      <c r="BM118" s="32">
        <v>0</v>
      </c>
      <c r="BN118" s="32">
        <v>0</v>
      </c>
      <c r="BO118">
        <f t="shared" si="46"/>
        <v>6</v>
      </c>
      <c r="BP118" s="13">
        <f t="shared" si="47"/>
        <v>17</v>
      </c>
      <c r="BQ118" s="13">
        <f>[1]!shannonweaver(K118:BL118)</f>
        <v>1.4253366217394134</v>
      </c>
      <c r="BR118">
        <f t="shared" si="86"/>
        <v>2</v>
      </c>
      <c r="BS118">
        <f t="shared" si="87"/>
        <v>3</v>
      </c>
      <c r="BT118">
        <f t="shared" si="88"/>
        <v>0</v>
      </c>
      <c r="BU118">
        <f t="shared" si="48"/>
        <v>2</v>
      </c>
      <c r="BV118" s="13">
        <f t="shared" si="49"/>
        <v>2</v>
      </c>
      <c r="BW118" s="13">
        <f t="shared" si="50"/>
        <v>4</v>
      </c>
      <c r="BX118" s="13">
        <f t="shared" si="51"/>
        <v>9</v>
      </c>
      <c r="BY118" s="13">
        <f t="shared" si="52"/>
        <v>13</v>
      </c>
      <c r="BZ118" s="13">
        <f t="shared" si="53"/>
        <v>0</v>
      </c>
      <c r="CA118" s="13">
        <f t="shared" si="54"/>
        <v>13</v>
      </c>
      <c r="CB118" s="13">
        <f t="shared" si="55"/>
        <v>0</v>
      </c>
      <c r="CC118" s="13">
        <f t="shared" si="56"/>
        <v>0</v>
      </c>
      <c r="CD118" s="13">
        <f t="shared" si="57"/>
        <v>2.4494897427831779</v>
      </c>
      <c r="CE118" s="13">
        <f t="shared" si="58"/>
        <v>4.1231056256176606</v>
      </c>
      <c r="CF118" s="13">
        <f t="shared" si="59"/>
        <v>1.1938746256368018</v>
      </c>
      <c r="CG118" s="13">
        <f t="shared" si="60"/>
        <v>1.4142135623730951</v>
      </c>
      <c r="CH118" s="13">
        <f t="shared" si="61"/>
        <v>1.7320508075688772</v>
      </c>
      <c r="CI118" s="13">
        <f t="shared" si="62"/>
        <v>0</v>
      </c>
      <c r="CJ118" s="13">
        <f t="shared" si="62"/>
        <v>1.4142135623730951</v>
      </c>
      <c r="CK118" s="13">
        <f t="shared" si="63"/>
        <v>1.4142135623730951</v>
      </c>
      <c r="CL118" s="13">
        <f t="shared" si="64"/>
        <v>2</v>
      </c>
      <c r="CM118" s="13">
        <f t="shared" si="65"/>
        <v>3</v>
      </c>
      <c r="CN118" s="13">
        <f t="shared" si="66"/>
        <v>3.6055512754639891</v>
      </c>
      <c r="CO118" s="13">
        <f t="shared" si="67"/>
        <v>0</v>
      </c>
      <c r="CP118" s="13">
        <f t="shared" si="68"/>
        <v>3.6055512754639891</v>
      </c>
      <c r="CQ118" s="13">
        <f t="shared" si="69"/>
        <v>0</v>
      </c>
      <c r="CR118" s="13">
        <f t="shared" si="70"/>
        <v>0</v>
      </c>
      <c r="CS118" s="13">
        <f t="shared" si="71"/>
        <v>1.9459101490553132</v>
      </c>
      <c r="CT118" s="13">
        <f t="shared" si="72"/>
        <v>2.8903717578961645</v>
      </c>
      <c r="CU118" s="13">
        <f t="shared" si="73"/>
        <v>0.88597032784421914</v>
      </c>
      <c r="CV118" s="13">
        <f t="shared" si="74"/>
        <v>1.0986122886681098</v>
      </c>
      <c r="CW118" s="13">
        <f t="shared" si="75"/>
        <v>1.3862943611198906</v>
      </c>
      <c r="CX118" s="13">
        <f t="shared" si="76"/>
        <v>0</v>
      </c>
      <c r="CY118" s="13">
        <f t="shared" si="77"/>
        <v>1.0986122886681098</v>
      </c>
      <c r="CZ118" s="13">
        <f t="shared" si="78"/>
        <v>1.0986122886681098</v>
      </c>
      <c r="DA118" s="13">
        <f t="shared" si="79"/>
        <v>1.6094379124341003</v>
      </c>
      <c r="DB118" s="13">
        <f t="shared" si="80"/>
        <v>2.3025850929940459</v>
      </c>
      <c r="DC118" s="13">
        <f t="shared" si="81"/>
        <v>2.6390573296152584</v>
      </c>
      <c r="DD118" s="13">
        <f t="shared" si="82"/>
        <v>0</v>
      </c>
      <c r="DE118" s="13">
        <f t="shared" si="83"/>
        <v>2.6390573296152584</v>
      </c>
      <c r="DF118" s="13">
        <f t="shared" si="84"/>
        <v>0</v>
      </c>
      <c r="DG118" s="13">
        <f t="shared" si="85"/>
        <v>0</v>
      </c>
      <c r="DH118" s="13"/>
      <c r="DI118" s="13"/>
      <c r="DJ118" s="13"/>
      <c r="DL118"/>
      <c r="DM118"/>
      <c r="DN118"/>
      <c r="DO118"/>
      <c r="DP118" s="31"/>
    </row>
    <row r="119" spans="1:120">
      <c r="A119" s="13" t="s">
        <v>112</v>
      </c>
      <c r="B119" t="s">
        <v>176</v>
      </c>
      <c r="C119" t="s">
        <v>204</v>
      </c>
      <c r="D119" s="13" t="s">
        <v>319</v>
      </c>
      <c r="E119" s="13" t="s">
        <v>91</v>
      </c>
      <c r="F119" s="13">
        <v>0</v>
      </c>
      <c r="G119" s="13">
        <v>0</v>
      </c>
      <c r="H119" s="13">
        <v>0</v>
      </c>
      <c r="I119" s="13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13">
        <v>3</v>
      </c>
      <c r="P119" s="13">
        <v>0</v>
      </c>
      <c r="Q119" s="32">
        <v>0</v>
      </c>
      <c r="R119" s="32">
        <v>0</v>
      </c>
      <c r="S119" s="32">
        <v>0</v>
      </c>
      <c r="T119" s="13">
        <v>1</v>
      </c>
      <c r="U119" s="32">
        <v>0</v>
      </c>
      <c r="V119" s="13">
        <v>1</v>
      </c>
      <c r="W119" s="32">
        <v>0</v>
      </c>
      <c r="X119" s="13">
        <v>1</v>
      </c>
      <c r="Y119" s="32">
        <v>0</v>
      </c>
      <c r="Z119" s="32">
        <v>0</v>
      </c>
      <c r="AA119" s="32">
        <v>0</v>
      </c>
      <c r="AB119" s="13">
        <v>4</v>
      </c>
      <c r="AC119" s="32">
        <v>0</v>
      </c>
      <c r="AD119" s="13">
        <v>11</v>
      </c>
      <c r="AE119" s="13">
        <v>5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 s="32">
        <v>0</v>
      </c>
      <c r="BD119" s="32">
        <v>0</v>
      </c>
      <c r="BE119" s="32">
        <v>0</v>
      </c>
      <c r="BF119" s="32">
        <v>0</v>
      </c>
      <c r="BG119" s="32">
        <v>0</v>
      </c>
      <c r="BH119" s="32">
        <v>0</v>
      </c>
      <c r="BI119" s="13">
        <v>1</v>
      </c>
      <c r="BJ119" s="32">
        <v>0</v>
      </c>
      <c r="BK119" s="32">
        <v>0</v>
      </c>
      <c r="BL119" s="32">
        <v>0</v>
      </c>
      <c r="BM119" s="32">
        <v>0</v>
      </c>
      <c r="BN119" s="32">
        <v>0</v>
      </c>
      <c r="BO119">
        <f t="shared" si="46"/>
        <v>8</v>
      </c>
      <c r="BP119" s="13">
        <f t="shared" si="47"/>
        <v>27</v>
      </c>
      <c r="BQ119" s="13">
        <f>[1]!shannonweaver(K119:BL119)</f>
        <v>1.6934275373585339</v>
      </c>
      <c r="BR119">
        <f t="shared" si="86"/>
        <v>3</v>
      </c>
      <c r="BS119">
        <f t="shared" si="87"/>
        <v>4</v>
      </c>
      <c r="BT119">
        <f t="shared" si="88"/>
        <v>0</v>
      </c>
      <c r="BU119">
        <f t="shared" si="48"/>
        <v>3</v>
      </c>
      <c r="BV119" s="13">
        <f t="shared" si="49"/>
        <v>5</v>
      </c>
      <c r="BW119" s="13">
        <f t="shared" si="50"/>
        <v>15</v>
      </c>
      <c r="BX119" s="13">
        <f t="shared" si="51"/>
        <v>5</v>
      </c>
      <c r="BY119" s="13">
        <f t="shared" si="52"/>
        <v>20</v>
      </c>
      <c r="BZ119" s="13">
        <f t="shared" si="53"/>
        <v>0</v>
      </c>
      <c r="CA119" s="13">
        <f t="shared" si="54"/>
        <v>21</v>
      </c>
      <c r="CB119" s="13">
        <f t="shared" si="55"/>
        <v>0</v>
      </c>
      <c r="CC119" s="13">
        <f t="shared" si="56"/>
        <v>0</v>
      </c>
      <c r="CD119" s="13">
        <f t="shared" si="57"/>
        <v>2.8284271247461903</v>
      </c>
      <c r="CE119" s="13">
        <f t="shared" si="58"/>
        <v>5.196152422706632</v>
      </c>
      <c r="CF119" s="13">
        <f t="shared" si="59"/>
        <v>1.3013176158642186</v>
      </c>
      <c r="CG119" s="13">
        <f t="shared" si="60"/>
        <v>1.7320508075688772</v>
      </c>
      <c r="CH119" s="13">
        <f t="shared" si="61"/>
        <v>2</v>
      </c>
      <c r="CI119" s="13">
        <f t="shared" si="62"/>
        <v>0</v>
      </c>
      <c r="CJ119" s="13">
        <f t="shared" si="62"/>
        <v>1.7320508075688772</v>
      </c>
      <c r="CK119" s="13">
        <f t="shared" si="63"/>
        <v>2.2360679774997898</v>
      </c>
      <c r="CL119" s="13">
        <f t="shared" si="64"/>
        <v>3.872983346207417</v>
      </c>
      <c r="CM119" s="13">
        <f t="shared" si="65"/>
        <v>2.2360679774997898</v>
      </c>
      <c r="CN119" s="13">
        <f t="shared" si="66"/>
        <v>4.4721359549995796</v>
      </c>
      <c r="CO119" s="13">
        <f t="shared" si="67"/>
        <v>0</v>
      </c>
      <c r="CP119" s="13">
        <f t="shared" si="68"/>
        <v>4.5825756949558398</v>
      </c>
      <c r="CQ119" s="13">
        <f t="shared" si="69"/>
        <v>0</v>
      </c>
      <c r="CR119" s="13">
        <f t="shared" si="70"/>
        <v>0</v>
      </c>
      <c r="CS119" s="13">
        <f t="shared" si="71"/>
        <v>2.1972245773362196</v>
      </c>
      <c r="CT119" s="13">
        <f t="shared" si="72"/>
        <v>3.3322045101752038</v>
      </c>
      <c r="CU119" s="13">
        <f t="shared" si="73"/>
        <v>0.99081455999525225</v>
      </c>
      <c r="CV119" s="13">
        <f t="shared" si="74"/>
        <v>1.3862943611198906</v>
      </c>
      <c r="CW119" s="13">
        <f t="shared" si="75"/>
        <v>1.6094379124341003</v>
      </c>
      <c r="CX119" s="13">
        <f t="shared" si="76"/>
        <v>0</v>
      </c>
      <c r="CY119" s="13">
        <f t="shared" si="77"/>
        <v>1.3862943611198906</v>
      </c>
      <c r="CZ119" s="13">
        <f t="shared" si="78"/>
        <v>1.791759469228055</v>
      </c>
      <c r="DA119" s="13">
        <f t="shared" si="79"/>
        <v>2.7725887222397811</v>
      </c>
      <c r="DB119" s="13">
        <f t="shared" si="80"/>
        <v>1.791759469228055</v>
      </c>
      <c r="DC119" s="13">
        <f t="shared" si="81"/>
        <v>3.044522437723423</v>
      </c>
      <c r="DD119" s="13">
        <f t="shared" si="82"/>
        <v>0</v>
      </c>
      <c r="DE119" s="13">
        <f t="shared" si="83"/>
        <v>3.0910424533583161</v>
      </c>
      <c r="DF119" s="13">
        <f t="shared" si="84"/>
        <v>0</v>
      </c>
      <c r="DG119" s="13">
        <f t="shared" si="85"/>
        <v>0</v>
      </c>
      <c r="DH119" s="13"/>
      <c r="DI119" s="13"/>
      <c r="DJ119" s="13"/>
      <c r="DL119"/>
      <c r="DM119"/>
      <c r="DN119"/>
      <c r="DO119"/>
      <c r="DP119" s="31"/>
    </row>
    <row r="120" spans="1:120">
      <c r="A120" s="13" t="s">
        <v>113</v>
      </c>
      <c r="B120" t="s">
        <v>176</v>
      </c>
      <c r="C120" t="s">
        <v>204</v>
      </c>
      <c r="D120" s="13" t="s">
        <v>319</v>
      </c>
      <c r="E120" s="13" t="s">
        <v>91</v>
      </c>
      <c r="F120" s="13">
        <v>0</v>
      </c>
      <c r="G120" s="13">
        <v>0</v>
      </c>
      <c r="H120" s="13">
        <v>0</v>
      </c>
      <c r="I120" s="13">
        <v>0</v>
      </c>
      <c r="J120" s="32">
        <v>0</v>
      </c>
      <c r="K120" s="32">
        <v>0</v>
      </c>
      <c r="L120" s="32">
        <v>0</v>
      </c>
      <c r="M120" s="32">
        <v>0</v>
      </c>
      <c r="N120" s="32">
        <v>0</v>
      </c>
      <c r="O120" s="13">
        <v>5</v>
      </c>
      <c r="P120" s="13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32">
        <v>0</v>
      </c>
      <c r="Y120" s="32">
        <v>0</v>
      </c>
      <c r="Z120" s="32">
        <v>0</v>
      </c>
      <c r="AA120" s="13">
        <v>1</v>
      </c>
      <c r="AB120" s="13">
        <v>0</v>
      </c>
      <c r="AC120" s="32">
        <v>0</v>
      </c>
      <c r="AD120" s="13">
        <v>4</v>
      </c>
      <c r="AE120" s="13">
        <v>1</v>
      </c>
      <c r="AF120" s="32">
        <v>0</v>
      </c>
      <c r="AG120" s="13">
        <v>3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13">
        <v>1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 s="32">
        <v>0</v>
      </c>
      <c r="BD120" s="32">
        <v>0</v>
      </c>
      <c r="BE120" s="32">
        <v>0</v>
      </c>
      <c r="BF120" s="32">
        <v>0</v>
      </c>
      <c r="BG120" s="32">
        <v>0</v>
      </c>
      <c r="BH120" s="32">
        <v>0</v>
      </c>
      <c r="BI120" s="13">
        <v>1</v>
      </c>
      <c r="BJ120" s="32">
        <v>0</v>
      </c>
      <c r="BK120" s="13">
        <v>1</v>
      </c>
      <c r="BL120" s="32">
        <v>0</v>
      </c>
      <c r="BM120" s="32">
        <v>0</v>
      </c>
      <c r="BN120" s="32">
        <v>0</v>
      </c>
      <c r="BO120">
        <f t="shared" si="46"/>
        <v>8</v>
      </c>
      <c r="BP120" s="13">
        <f t="shared" si="47"/>
        <v>17</v>
      </c>
      <c r="BQ120" s="13">
        <f>[1]!shannonweaver(K120:BL120)</f>
        <v>1.8397895868412522</v>
      </c>
      <c r="BR120">
        <f t="shared" si="86"/>
        <v>1</v>
      </c>
      <c r="BS120">
        <f t="shared" si="87"/>
        <v>5</v>
      </c>
      <c r="BT120">
        <f t="shared" si="88"/>
        <v>0</v>
      </c>
      <c r="BU120">
        <f t="shared" si="48"/>
        <v>5</v>
      </c>
      <c r="BV120" s="13">
        <f t="shared" si="49"/>
        <v>5</v>
      </c>
      <c r="BW120" s="13">
        <f t="shared" si="50"/>
        <v>4</v>
      </c>
      <c r="BX120" s="13">
        <f t="shared" si="51"/>
        <v>1</v>
      </c>
      <c r="BY120" s="13">
        <f t="shared" si="52"/>
        <v>5</v>
      </c>
      <c r="BZ120" s="13">
        <f t="shared" si="53"/>
        <v>3</v>
      </c>
      <c r="CA120" s="13">
        <f t="shared" si="54"/>
        <v>10</v>
      </c>
      <c r="CB120" s="13">
        <f t="shared" si="55"/>
        <v>0</v>
      </c>
      <c r="CC120" s="13">
        <f t="shared" si="56"/>
        <v>1</v>
      </c>
      <c r="CD120" s="13">
        <f t="shared" si="57"/>
        <v>2.8284271247461903</v>
      </c>
      <c r="CE120" s="13">
        <f t="shared" si="58"/>
        <v>4.1231056256176606</v>
      </c>
      <c r="CF120" s="13">
        <f t="shared" si="59"/>
        <v>1.3563884350882871</v>
      </c>
      <c r="CG120" s="13">
        <f t="shared" si="60"/>
        <v>1</v>
      </c>
      <c r="CH120" s="13">
        <f t="shared" si="61"/>
        <v>2.2360679774997898</v>
      </c>
      <c r="CI120" s="13">
        <f t="shared" si="62"/>
        <v>0</v>
      </c>
      <c r="CJ120" s="13">
        <f t="shared" si="62"/>
        <v>2.2360679774997898</v>
      </c>
      <c r="CK120" s="13">
        <f t="shared" si="63"/>
        <v>2.2360679774997898</v>
      </c>
      <c r="CL120" s="13">
        <f t="shared" si="64"/>
        <v>2</v>
      </c>
      <c r="CM120" s="13">
        <f t="shared" si="65"/>
        <v>1</v>
      </c>
      <c r="CN120" s="13">
        <f t="shared" si="66"/>
        <v>2.2360679774997898</v>
      </c>
      <c r="CO120" s="13">
        <f t="shared" si="67"/>
        <v>1.7320508075688772</v>
      </c>
      <c r="CP120" s="13">
        <f t="shared" si="68"/>
        <v>3.1622776601683795</v>
      </c>
      <c r="CQ120" s="13">
        <f t="shared" si="69"/>
        <v>0</v>
      </c>
      <c r="CR120" s="13">
        <f t="shared" si="70"/>
        <v>1</v>
      </c>
      <c r="CS120" s="13">
        <f t="shared" si="71"/>
        <v>2.1972245773362196</v>
      </c>
      <c r="CT120" s="13">
        <f t="shared" si="72"/>
        <v>2.8903717578961645</v>
      </c>
      <c r="CU120" s="13">
        <f t="shared" si="73"/>
        <v>1.0437299602879746</v>
      </c>
      <c r="CV120" s="13">
        <f t="shared" si="74"/>
        <v>0.69314718055994529</v>
      </c>
      <c r="CW120" s="13">
        <f t="shared" si="75"/>
        <v>1.791759469228055</v>
      </c>
      <c r="CX120" s="13">
        <f t="shared" si="76"/>
        <v>0</v>
      </c>
      <c r="CY120" s="13">
        <f t="shared" si="77"/>
        <v>1.791759469228055</v>
      </c>
      <c r="CZ120" s="13">
        <f t="shared" si="78"/>
        <v>1.791759469228055</v>
      </c>
      <c r="DA120" s="13">
        <f t="shared" si="79"/>
        <v>1.6094379124341003</v>
      </c>
      <c r="DB120" s="13">
        <f t="shared" si="80"/>
        <v>0.69314718055994529</v>
      </c>
      <c r="DC120" s="13">
        <f t="shared" si="81"/>
        <v>1.791759469228055</v>
      </c>
      <c r="DD120" s="13">
        <f t="shared" si="82"/>
        <v>1.3862943611198906</v>
      </c>
      <c r="DE120" s="13">
        <f t="shared" si="83"/>
        <v>2.3978952727983707</v>
      </c>
      <c r="DF120" s="13">
        <f t="shared" si="84"/>
        <v>0</v>
      </c>
      <c r="DG120" s="13">
        <f t="shared" si="85"/>
        <v>0.69314718055994529</v>
      </c>
      <c r="DH120" s="13"/>
      <c r="DI120" s="13"/>
      <c r="DJ120" s="13"/>
      <c r="DL120"/>
      <c r="DM120"/>
      <c r="DN120"/>
      <c r="DO120"/>
      <c r="DP120" s="31"/>
    </row>
    <row r="121" spans="1:120">
      <c r="A121" s="13" t="s">
        <v>114</v>
      </c>
      <c r="B121" t="s">
        <v>176</v>
      </c>
      <c r="C121" t="s">
        <v>204</v>
      </c>
      <c r="D121" s="13" t="s">
        <v>319</v>
      </c>
      <c r="E121" s="13" t="s">
        <v>91</v>
      </c>
      <c r="F121" s="13">
        <v>0</v>
      </c>
      <c r="G121" s="13">
        <v>0</v>
      </c>
      <c r="H121" s="13">
        <v>0</v>
      </c>
      <c r="I121" s="13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13">
        <v>3</v>
      </c>
      <c r="P121" s="13">
        <v>0</v>
      </c>
      <c r="Q121" s="32">
        <v>0</v>
      </c>
      <c r="R121" s="13">
        <v>1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32">
        <v>0</v>
      </c>
      <c r="AB121" s="32">
        <v>0</v>
      </c>
      <c r="AC121" s="32">
        <v>0</v>
      </c>
      <c r="AD121" s="13">
        <v>4</v>
      </c>
      <c r="AE121" s="13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 s="32">
        <v>0</v>
      </c>
      <c r="BD121" s="32">
        <v>0</v>
      </c>
      <c r="BE121" s="32">
        <v>0</v>
      </c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>
        <f t="shared" si="46"/>
        <v>3</v>
      </c>
      <c r="BP121" s="13">
        <f t="shared" si="47"/>
        <v>8</v>
      </c>
      <c r="BQ121" s="13">
        <f>[1]!shannonweaver(K121:BL121)</f>
        <v>0.97431475286934943</v>
      </c>
      <c r="BR121">
        <f t="shared" si="86"/>
        <v>2</v>
      </c>
      <c r="BS121">
        <f t="shared" si="87"/>
        <v>1</v>
      </c>
      <c r="BT121">
        <f t="shared" si="88"/>
        <v>0</v>
      </c>
      <c r="BU121">
        <f t="shared" si="48"/>
        <v>4</v>
      </c>
      <c r="BV121" s="13">
        <f t="shared" si="49"/>
        <v>4</v>
      </c>
      <c r="BW121" s="13">
        <f t="shared" si="50"/>
        <v>4</v>
      </c>
      <c r="BX121" s="13">
        <f t="shared" si="51"/>
        <v>0</v>
      </c>
      <c r="BY121" s="13">
        <f t="shared" si="52"/>
        <v>4</v>
      </c>
      <c r="BZ121" s="13">
        <f t="shared" si="53"/>
        <v>0</v>
      </c>
      <c r="CA121" s="13">
        <f t="shared" si="54"/>
        <v>4</v>
      </c>
      <c r="CB121" s="13">
        <f t="shared" si="55"/>
        <v>0</v>
      </c>
      <c r="CC121" s="13">
        <f t="shared" si="56"/>
        <v>0</v>
      </c>
      <c r="CD121" s="13">
        <f t="shared" si="57"/>
        <v>1.7320508075688772</v>
      </c>
      <c r="CE121" s="13">
        <f t="shared" si="58"/>
        <v>2.8284271247461903</v>
      </c>
      <c r="CF121" s="13">
        <f t="shared" si="59"/>
        <v>0.98707383354506439</v>
      </c>
      <c r="CG121" s="13">
        <f t="shared" si="60"/>
        <v>1.4142135623730951</v>
      </c>
      <c r="CH121" s="13">
        <f t="shared" si="61"/>
        <v>1</v>
      </c>
      <c r="CI121" s="13">
        <f t="shared" si="62"/>
        <v>0</v>
      </c>
      <c r="CJ121" s="13">
        <f t="shared" si="62"/>
        <v>2</v>
      </c>
      <c r="CK121" s="13">
        <f t="shared" si="63"/>
        <v>2</v>
      </c>
      <c r="CL121" s="13">
        <f t="shared" si="64"/>
        <v>2</v>
      </c>
      <c r="CM121" s="13">
        <f t="shared" si="65"/>
        <v>0</v>
      </c>
      <c r="CN121" s="13">
        <f t="shared" si="66"/>
        <v>2</v>
      </c>
      <c r="CO121" s="13">
        <f t="shared" si="67"/>
        <v>0</v>
      </c>
      <c r="CP121" s="13">
        <f t="shared" si="68"/>
        <v>2</v>
      </c>
      <c r="CQ121" s="13">
        <f t="shared" si="69"/>
        <v>0</v>
      </c>
      <c r="CR121" s="13">
        <f t="shared" si="70"/>
        <v>0</v>
      </c>
      <c r="CS121" s="13">
        <f t="shared" si="71"/>
        <v>1.3862943611198906</v>
      </c>
      <c r="CT121" s="13">
        <f t="shared" si="72"/>
        <v>2.1972245773362196</v>
      </c>
      <c r="CU121" s="13">
        <f t="shared" si="73"/>
        <v>0.68022137757585832</v>
      </c>
      <c r="CV121" s="13">
        <f t="shared" si="74"/>
        <v>1.0986122886681098</v>
      </c>
      <c r="CW121" s="13">
        <f t="shared" si="75"/>
        <v>0.69314718055994529</v>
      </c>
      <c r="CX121" s="13">
        <f t="shared" si="76"/>
        <v>0</v>
      </c>
      <c r="CY121" s="13">
        <f t="shared" si="77"/>
        <v>1.6094379124341003</v>
      </c>
      <c r="CZ121" s="13">
        <f t="shared" si="78"/>
        <v>1.6094379124341003</v>
      </c>
      <c r="DA121" s="13">
        <f t="shared" si="79"/>
        <v>1.6094379124341003</v>
      </c>
      <c r="DB121" s="13">
        <f t="shared" si="80"/>
        <v>0</v>
      </c>
      <c r="DC121" s="13">
        <f t="shared" si="81"/>
        <v>1.6094379124341003</v>
      </c>
      <c r="DD121" s="13">
        <f t="shared" si="82"/>
        <v>0</v>
      </c>
      <c r="DE121" s="13">
        <f t="shared" si="83"/>
        <v>1.6094379124341003</v>
      </c>
      <c r="DF121" s="13">
        <f t="shared" si="84"/>
        <v>0</v>
      </c>
      <c r="DG121" s="13">
        <f t="shared" si="85"/>
        <v>0</v>
      </c>
      <c r="DH121" s="13"/>
      <c r="DI121" s="13"/>
      <c r="DJ121" s="13"/>
      <c r="DL121"/>
      <c r="DM121"/>
      <c r="DN121"/>
      <c r="DO121"/>
      <c r="DP121" s="31"/>
    </row>
    <row r="122" spans="1:120">
      <c r="A122" s="13" t="s">
        <v>115</v>
      </c>
      <c r="B122" t="s">
        <v>176</v>
      </c>
      <c r="C122" t="s">
        <v>138</v>
      </c>
      <c r="D122" s="13" t="s">
        <v>319</v>
      </c>
      <c r="E122" s="13" t="s">
        <v>91</v>
      </c>
      <c r="F122" s="13">
        <v>0</v>
      </c>
      <c r="G122" s="13">
        <v>0</v>
      </c>
      <c r="H122" s="13">
        <v>0</v>
      </c>
      <c r="I122" s="13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13">
        <v>7</v>
      </c>
      <c r="P122" s="13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32">
        <v>0</v>
      </c>
      <c r="Z122" s="32">
        <v>0</v>
      </c>
      <c r="AA122" s="32">
        <v>0</v>
      </c>
      <c r="AB122" s="13">
        <v>1</v>
      </c>
      <c r="AC122" s="32">
        <v>0</v>
      </c>
      <c r="AD122" s="13">
        <v>8</v>
      </c>
      <c r="AE122" s="13">
        <v>13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 s="32">
        <v>0</v>
      </c>
      <c r="BD122" s="32">
        <v>0</v>
      </c>
      <c r="BE122" s="32">
        <v>0</v>
      </c>
      <c r="BF122" s="32">
        <v>0</v>
      </c>
      <c r="BG122" s="32">
        <v>0</v>
      </c>
      <c r="BH122" s="32">
        <v>0</v>
      </c>
      <c r="BI122" s="32">
        <v>0</v>
      </c>
      <c r="BJ122" s="32">
        <v>0</v>
      </c>
      <c r="BK122" s="32">
        <v>0</v>
      </c>
      <c r="BL122" s="32">
        <v>0</v>
      </c>
      <c r="BM122" s="32">
        <v>0</v>
      </c>
      <c r="BN122" s="32">
        <v>0</v>
      </c>
      <c r="BO122">
        <f t="shared" si="46"/>
        <v>4</v>
      </c>
      <c r="BP122" s="13">
        <f t="shared" si="47"/>
        <v>29</v>
      </c>
      <c r="BQ122" s="13">
        <f>[1]!shannonweaver(K122:BL122)</f>
        <v>1.1741494498545479</v>
      </c>
      <c r="BR122">
        <f t="shared" si="86"/>
        <v>1</v>
      </c>
      <c r="BS122">
        <f t="shared" si="87"/>
        <v>3</v>
      </c>
      <c r="BT122">
        <f t="shared" si="88"/>
        <v>0</v>
      </c>
      <c r="BU122">
        <f t="shared" si="48"/>
        <v>7</v>
      </c>
      <c r="BV122" s="13">
        <f t="shared" si="49"/>
        <v>7</v>
      </c>
      <c r="BW122" s="13">
        <f t="shared" si="50"/>
        <v>9</v>
      </c>
      <c r="BX122" s="13">
        <f t="shared" si="51"/>
        <v>13</v>
      </c>
      <c r="BY122" s="13">
        <f t="shared" si="52"/>
        <v>22</v>
      </c>
      <c r="BZ122" s="13">
        <f t="shared" si="53"/>
        <v>0</v>
      </c>
      <c r="CA122" s="13">
        <f t="shared" si="54"/>
        <v>22</v>
      </c>
      <c r="CB122" s="13">
        <f t="shared" si="55"/>
        <v>0</v>
      </c>
      <c r="CC122" s="13">
        <f t="shared" si="56"/>
        <v>0</v>
      </c>
      <c r="CD122" s="13">
        <f t="shared" si="57"/>
        <v>2</v>
      </c>
      <c r="CE122" s="13">
        <f t="shared" si="58"/>
        <v>5.3851648071345037</v>
      </c>
      <c r="CF122" s="13">
        <f t="shared" si="59"/>
        <v>1.0835817688825093</v>
      </c>
      <c r="CG122" s="13">
        <f t="shared" si="60"/>
        <v>1</v>
      </c>
      <c r="CH122" s="13">
        <f t="shared" si="61"/>
        <v>1.7320508075688772</v>
      </c>
      <c r="CI122" s="13">
        <f t="shared" si="62"/>
        <v>0</v>
      </c>
      <c r="CJ122" s="13">
        <f t="shared" si="62"/>
        <v>2.6457513110645907</v>
      </c>
      <c r="CK122" s="13">
        <f t="shared" si="63"/>
        <v>2.6457513110645907</v>
      </c>
      <c r="CL122" s="13">
        <f t="shared" si="64"/>
        <v>3</v>
      </c>
      <c r="CM122" s="13">
        <f t="shared" si="65"/>
        <v>3.6055512754639891</v>
      </c>
      <c r="CN122" s="13">
        <f t="shared" si="66"/>
        <v>4.6904157598234297</v>
      </c>
      <c r="CO122" s="13">
        <f t="shared" si="67"/>
        <v>0</v>
      </c>
      <c r="CP122" s="13">
        <f t="shared" si="68"/>
        <v>4.6904157598234297</v>
      </c>
      <c r="CQ122" s="13">
        <f t="shared" si="69"/>
        <v>0</v>
      </c>
      <c r="CR122" s="13">
        <f t="shared" si="70"/>
        <v>0</v>
      </c>
      <c r="CS122" s="13">
        <f t="shared" si="71"/>
        <v>1.6094379124341003</v>
      </c>
      <c r="CT122" s="13">
        <f t="shared" si="72"/>
        <v>3.4011973816621555</v>
      </c>
      <c r="CU122" s="13">
        <f t="shared" si="73"/>
        <v>0.77663753051956941</v>
      </c>
      <c r="CV122" s="13">
        <f t="shared" si="74"/>
        <v>0.69314718055994529</v>
      </c>
      <c r="CW122" s="13">
        <f t="shared" si="75"/>
        <v>1.3862943611198906</v>
      </c>
      <c r="CX122" s="13">
        <f t="shared" si="76"/>
        <v>0</v>
      </c>
      <c r="CY122" s="13">
        <f t="shared" si="77"/>
        <v>2.0794415416798357</v>
      </c>
      <c r="CZ122" s="13">
        <f t="shared" si="78"/>
        <v>2.0794415416798357</v>
      </c>
      <c r="DA122" s="13">
        <f t="shared" si="79"/>
        <v>2.3025850929940459</v>
      </c>
      <c r="DB122" s="13">
        <f t="shared" si="80"/>
        <v>2.6390573296152584</v>
      </c>
      <c r="DC122" s="13">
        <f t="shared" si="81"/>
        <v>3.1354942159291497</v>
      </c>
      <c r="DD122" s="13">
        <f t="shared" si="82"/>
        <v>0</v>
      </c>
      <c r="DE122" s="13">
        <f t="shared" si="83"/>
        <v>3.1354942159291497</v>
      </c>
      <c r="DF122" s="13">
        <f t="shared" si="84"/>
        <v>0</v>
      </c>
      <c r="DG122" s="13">
        <f t="shared" si="85"/>
        <v>0</v>
      </c>
      <c r="DH122" s="13"/>
      <c r="DI122" s="13"/>
      <c r="DJ122" s="13"/>
      <c r="DL122"/>
      <c r="DM122"/>
      <c r="DN122"/>
      <c r="DO122"/>
      <c r="DP122" s="31"/>
    </row>
    <row r="123" spans="1:120">
      <c r="A123" s="13" t="s">
        <v>116</v>
      </c>
      <c r="B123" t="s">
        <v>176</v>
      </c>
      <c r="C123" t="s">
        <v>138</v>
      </c>
      <c r="D123" s="13" t="s">
        <v>319</v>
      </c>
      <c r="E123" s="13" t="s">
        <v>91</v>
      </c>
      <c r="F123" s="13">
        <v>0</v>
      </c>
      <c r="G123" s="13">
        <v>0</v>
      </c>
      <c r="H123" s="13">
        <v>0</v>
      </c>
      <c r="I123" s="13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13">
        <v>5</v>
      </c>
      <c r="P123" s="13">
        <v>0</v>
      </c>
      <c r="Q123" s="32">
        <v>0</v>
      </c>
      <c r="R123" s="32">
        <v>0</v>
      </c>
      <c r="S123" s="32">
        <v>0</v>
      </c>
      <c r="T123" s="32">
        <v>0</v>
      </c>
      <c r="U123" s="13">
        <v>1</v>
      </c>
      <c r="V123" s="32">
        <v>0</v>
      </c>
      <c r="W123" s="32">
        <v>0</v>
      </c>
      <c r="X123" s="13">
        <v>1</v>
      </c>
      <c r="Y123" s="13">
        <v>3</v>
      </c>
      <c r="Z123" s="32">
        <v>0</v>
      </c>
      <c r="AA123" s="32">
        <v>0</v>
      </c>
      <c r="AB123" s="32">
        <v>0</v>
      </c>
      <c r="AC123" s="32">
        <v>0</v>
      </c>
      <c r="AD123" s="13">
        <v>1</v>
      </c>
      <c r="AE123" s="13">
        <v>0</v>
      </c>
      <c r="AF123" s="32">
        <v>0</v>
      </c>
      <c r="AG123" s="13">
        <v>11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 s="32">
        <v>0</v>
      </c>
      <c r="BD123" s="32">
        <v>0</v>
      </c>
      <c r="BE123" s="32">
        <v>0</v>
      </c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13">
        <v>1</v>
      </c>
      <c r="BL123" s="32">
        <v>0</v>
      </c>
      <c r="BM123" s="32">
        <v>0</v>
      </c>
      <c r="BN123" s="32">
        <v>0</v>
      </c>
      <c r="BO123">
        <f t="shared" si="46"/>
        <v>7</v>
      </c>
      <c r="BP123" s="13">
        <f t="shared" si="47"/>
        <v>23</v>
      </c>
      <c r="BQ123" s="13">
        <f>[1]!shannonweaver(K123:BL123)</f>
        <v>1.495499675539719</v>
      </c>
      <c r="BR123">
        <f t="shared" si="86"/>
        <v>2</v>
      </c>
      <c r="BS123">
        <f t="shared" si="87"/>
        <v>4</v>
      </c>
      <c r="BT123">
        <f t="shared" si="88"/>
        <v>0</v>
      </c>
      <c r="BU123">
        <f t="shared" si="48"/>
        <v>5</v>
      </c>
      <c r="BV123" s="13">
        <f t="shared" si="49"/>
        <v>6</v>
      </c>
      <c r="BW123" s="13">
        <f t="shared" si="50"/>
        <v>1</v>
      </c>
      <c r="BX123" s="13">
        <f t="shared" si="51"/>
        <v>0</v>
      </c>
      <c r="BY123" s="13">
        <f t="shared" si="52"/>
        <v>1</v>
      </c>
      <c r="BZ123" s="13">
        <f t="shared" si="53"/>
        <v>11</v>
      </c>
      <c r="CA123" s="13">
        <f t="shared" si="54"/>
        <v>16</v>
      </c>
      <c r="CB123" s="13">
        <f t="shared" si="55"/>
        <v>0</v>
      </c>
      <c r="CC123" s="13">
        <f t="shared" si="56"/>
        <v>1</v>
      </c>
      <c r="CD123" s="13">
        <f t="shared" si="57"/>
        <v>2.6457513110645907</v>
      </c>
      <c r="CE123" s="13">
        <f t="shared" si="58"/>
        <v>4.7958315233127191</v>
      </c>
      <c r="CF123" s="13">
        <f t="shared" si="59"/>
        <v>1.2229062415163801</v>
      </c>
      <c r="CG123" s="13">
        <f t="shared" si="60"/>
        <v>1.4142135623730951</v>
      </c>
      <c r="CH123" s="13">
        <f t="shared" si="61"/>
        <v>2</v>
      </c>
      <c r="CI123" s="13">
        <f t="shared" si="62"/>
        <v>0</v>
      </c>
      <c r="CJ123" s="13">
        <f t="shared" si="62"/>
        <v>2.2360679774997898</v>
      </c>
      <c r="CK123" s="13">
        <f t="shared" si="63"/>
        <v>2.4494897427831779</v>
      </c>
      <c r="CL123" s="13">
        <f t="shared" si="64"/>
        <v>1</v>
      </c>
      <c r="CM123" s="13">
        <f t="shared" si="65"/>
        <v>0</v>
      </c>
      <c r="CN123" s="13">
        <f t="shared" si="66"/>
        <v>1</v>
      </c>
      <c r="CO123" s="13">
        <f t="shared" si="67"/>
        <v>3.3166247903553998</v>
      </c>
      <c r="CP123" s="13">
        <f t="shared" si="68"/>
        <v>4</v>
      </c>
      <c r="CQ123" s="13">
        <f t="shared" si="69"/>
        <v>0</v>
      </c>
      <c r="CR123" s="13">
        <f t="shared" si="70"/>
        <v>1</v>
      </c>
      <c r="CS123" s="13">
        <f t="shared" si="71"/>
        <v>2.0794415416798357</v>
      </c>
      <c r="CT123" s="13">
        <f t="shared" si="72"/>
        <v>3.1780538303479458</v>
      </c>
      <c r="CU123" s="13">
        <f t="shared" si="73"/>
        <v>0.91448897990937339</v>
      </c>
      <c r="CV123" s="13">
        <f t="shared" si="74"/>
        <v>1.0986122886681098</v>
      </c>
      <c r="CW123" s="13">
        <f t="shared" si="75"/>
        <v>1.6094379124341003</v>
      </c>
      <c r="CX123" s="13">
        <f t="shared" si="76"/>
        <v>0</v>
      </c>
      <c r="CY123" s="13">
        <f t="shared" si="77"/>
        <v>1.791759469228055</v>
      </c>
      <c r="CZ123" s="13">
        <f t="shared" si="78"/>
        <v>1.9459101490553132</v>
      </c>
      <c r="DA123" s="13">
        <f t="shared" si="79"/>
        <v>0.69314718055994529</v>
      </c>
      <c r="DB123" s="13">
        <f t="shared" si="80"/>
        <v>0</v>
      </c>
      <c r="DC123" s="13">
        <f t="shared" si="81"/>
        <v>0.69314718055994529</v>
      </c>
      <c r="DD123" s="13">
        <f t="shared" si="82"/>
        <v>2.4849066497880004</v>
      </c>
      <c r="DE123" s="13">
        <f t="shared" si="83"/>
        <v>2.8332133440562162</v>
      </c>
      <c r="DF123" s="13">
        <f t="shared" si="84"/>
        <v>0</v>
      </c>
      <c r="DG123" s="13">
        <f t="shared" si="85"/>
        <v>0.69314718055994529</v>
      </c>
      <c r="DH123" s="13"/>
      <c r="DI123" s="13"/>
      <c r="DJ123" s="13"/>
      <c r="DL123"/>
      <c r="DM123"/>
      <c r="DN123"/>
      <c r="DO123"/>
      <c r="DP123" s="31"/>
    </row>
    <row r="124" spans="1:120">
      <c r="A124" s="23" t="s">
        <v>35</v>
      </c>
      <c r="B124" t="s">
        <v>176</v>
      </c>
      <c r="C124" t="s">
        <v>138</v>
      </c>
      <c r="D124" s="13" t="s">
        <v>319</v>
      </c>
      <c r="E124" s="13" t="s">
        <v>91</v>
      </c>
      <c r="F124" s="13">
        <v>0</v>
      </c>
      <c r="G124" s="13">
        <v>0</v>
      </c>
      <c r="H124" s="13">
        <v>0</v>
      </c>
      <c r="I124" s="13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13">
        <v>9</v>
      </c>
      <c r="P124" s="13">
        <v>0</v>
      </c>
      <c r="Q124" s="32">
        <v>0</v>
      </c>
      <c r="R124" s="32">
        <v>0</v>
      </c>
      <c r="S124" s="32">
        <v>0</v>
      </c>
      <c r="T124" s="32">
        <v>0</v>
      </c>
      <c r="U124" s="13">
        <v>1</v>
      </c>
      <c r="V124" s="32">
        <v>0</v>
      </c>
      <c r="W124" s="32">
        <v>0</v>
      </c>
      <c r="X124" s="13">
        <v>2</v>
      </c>
      <c r="Y124" s="13">
        <v>1</v>
      </c>
      <c r="Z124" s="32">
        <v>0</v>
      </c>
      <c r="AA124" s="13">
        <v>1</v>
      </c>
      <c r="AB124" s="13">
        <v>1</v>
      </c>
      <c r="AC124" s="32">
        <v>0</v>
      </c>
      <c r="AD124" s="13">
        <v>4</v>
      </c>
      <c r="AE124" s="13">
        <v>5</v>
      </c>
      <c r="AF124" s="32">
        <v>0</v>
      </c>
      <c r="AG124" s="13">
        <v>1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 s="32">
        <v>0</v>
      </c>
      <c r="BD124" s="32">
        <v>0</v>
      </c>
      <c r="BE124" s="32">
        <v>0</v>
      </c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>
        <f t="shared" si="46"/>
        <v>9</v>
      </c>
      <c r="BP124" s="13">
        <f t="shared" si="47"/>
        <v>25</v>
      </c>
      <c r="BQ124" s="13">
        <f>[1]!shannonweaver(K124:BL124)</f>
        <v>1.8287285223163636</v>
      </c>
      <c r="BR124">
        <f t="shared" si="86"/>
        <v>2</v>
      </c>
      <c r="BS124">
        <f t="shared" si="87"/>
        <v>7</v>
      </c>
      <c r="BT124">
        <f t="shared" si="88"/>
        <v>0</v>
      </c>
      <c r="BU124">
        <f t="shared" si="48"/>
        <v>9</v>
      </c>
      <c r="BV124" s="13">
        <f t="shared" si="49"/>
        <v>10</v>
      </c>
      <c r="BW124" s="13">
        <f t="shared" si="50"/>
        <v>5</v>
      </c>
      <c r="BX124" s="13">
        <f t="shared" si="51"/>
        <v>5</v>
      </c>
      <c r="BY124" s="13">
        <f t="shared" si="52"/>
        <v>10</v>
      </c>
      <c r="BZ124" s="13">
        <f t="shared" si="53"/>
        <v>1</v>
      </c>
      <c r="CA124" s="13">
        <f t="shared" si="54"/>
        <v>15</v>
      </c>
      <c r="CB124" s="13">
        <f t="shared" si="55"/>
        <v>0</v>
      </c>
      <c r="CC124" s="13">
        <f t="shared" si="56"/>
        <v>0</v>
      </c>
      <c r="CD124" s="13">
        <f t="shared" si="57"/>
        <v>3</v>
      </c>
      <c r="CE124" s="13">
        <f t="shared" si="58"/>
        <v>5</v>
      </c>
      <c r="CF124" s="13">
        <f t="shared" si="59"/>
        <v>1.3523048925136534</v>
      </c>
      <c r="CG124" s="13">
        <f t="shared" si="60"/>
        <v>1.4142135623730951</v>
      </c>
      <c r="CH124" s="13">
        <f t="shared" si="61"/>
        <v>2.6457513110645907</v>
      </c>
      <c r="CI124" s="13">
        <f t="shared" si="62"/>
        <v>0</v>
      </c>
      <c r="CJ124" s="13">
        <f t="shared" si="62"/>
        <v>3</v>
      </c>
      <c r="CK124" s="13">
        <f t="shared" si="63"/>
        <v>3.1622776601683795</v>
      </c>
      <c r="CL124" s="13">
        <f t="shared" si="64"/>
        <v>2.2360679774997898</v>
      </c>
      <c r="CM124" s="13">
        <f t="shared" si="65"/>
        <v>2.2360679774997898</v>
      </c>
      <c r="CN124" s="13">
        <f t="shared" si="66"/>
        <v>3.1622776601683795</v>
      </c>
      <c r="CO124" s="13">
        <f t="shared" si="67"/>
        <v>1</v>
      </c>
      <c r="CP124" s="13">
        <f t="shared" si="68"/>
        <v>3.872983346207417</v>
      </c>
      <c r="CQ124" s="13">
        <f t="shared" si="69"/>
        <v>0</v>
      </c>
      <c r="CR124" s="13">
        <f t="shared" si="70"/>
        <v>0</v>
      </c>
      <c r="CS124" s="13">
        <f t="shared" si="71"/>
        <v>2.3025850929940459</v>
      </c>
      <c r="CT124" s="13">
        <f t="shared" si="72"/>
        <v>3.2580965380214821</v>
      </c>
      <c r="CU124" s="13">
        <f t="shared" si="73"/>
        <v>1.0398273252956416</v>
      </c>
      <c r="CV124" s="13">
        <f t="shared" si="74"/>
        <v>1.0986122886681098</v>
      </c>
      <c r="CW124" s="13">
        <f t="shared" si="75"/>
        <v>2.0794415416798357</v>
      </c>
      <c r="CX124" s="13">
        <f t="shared" si="76"/>
        <v>0</v>
      </c>
      <c r="CY124" s="13">
        <f t="shared" si="77"/>
        <v>2.3025850929940459</v>
      </c>
      <c r="CZ124" s="13">
        <f t="shared" si="78"/>
        <v>2.3978952727983707</v>
      </c>
      <c r="DA124" s="13">
        <f t="shared" si="79"/>
        <v>1.791759469228055</v>
      </c>
      <c r="DB124" s="13">
        <f t="shared" si="80"/>
        <v>1.791759469228055</v>
      </c>
      <c r="DC124" s="13">
        <f t="shared" si="81"/>
        <v>2.3978952727983707</v>
      </c>
      <c r="DD124" s="13">
        <f t="shared" si="82"/>
        <v>0.69314718055994529</v>
      </c>
      <c r="DE124" s="13">
        <f t="shared" si="83"/>
        <v>2.7725887222397811</v>
      </c>
      <c r="DF124" s="13">
        <f t="shared" si="84"/>
        <v>0</v>
      </c>
      <c r="DG124" s="13">
        <f t="shared" si="85"/>
        <v>0</v>
      </c>
      <c r="DH124" s="13"/>
      <c r="DI124" s="13"/>
      <c r="DJ124" s="13"/>
      <c r="DL124"/>
      <c r="DM124"/>
      <c r="DN124"/>
      <c r="DO124"/>
      <c r="DP124" s="31"/>
    </row>
    <row r="125" spans="1:120">
      <c r="A125" s="13" t="s">
        <v>225</v>
      </c>
      <c r="B125" t="s">
        <v>176</v>
      </c>
      <c r="C125" t="s">
        <v>138</v>
      </c>
      <c r="D125" s="13" t="s">
        <v>319</v>
      </c>
      <c r="E125" s="13" t="s">
        <v>91</v>
      </c>
      <c r="F125" s="13">
        <v>0</v>
      </c>
      <c r="G125" s="13">
        <v>0</v>
      </c>
      <c r="H125" s="13">
        <v>0</v>
      </c>
      <c r="I125" s="13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13">
        <v>9</v>
      </c>
      <c r="P125" s="13">
        <v>1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13">
        <v>2</v>
      </c>
      <c r="W125" s="32">
        <v>0</v>
      </c>
      <c r="X125" s="13">
        <v>1</v>
      </c>
      <c r="Y125" s="13">
        <v>0</v>
      </c>
      <c r="Z125" s="32">
        <v>0</v>
      </c>
      <c r="AA125" s="32">
        <v>0</v>
      </c>
      <c r="AB125" s="32">
        <v>0</v>
      </c>
      <c r="AC125" s="32">
        <v>0</v>
      </c>
      <c r="AD125" s="13">
        <v>7</v>
      </c>
      <c r="AE125" s="13">
        <v>3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13">
        <v>1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 s="32">
        <v>0</v>
      </c>
      <c r="BD125" s="32">
        <v>0</v>
      </c>
      <c r="BE125" s="32">
        <v>0</v>
      </c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>
        <f t="shared" si="46"/>
        <v>7</v>
      </c>
      <c r="BP125" s="13">
        <f t="shared" si="47"/>
        <v>24</v>
      </c>
      <c r="BQ125" s="13">
        <f>[1]!shannonweaver(K125:BL125)</f>
        <v>1.5914486859088879</v>
      </c>
      <c r="BR125">
        <f t="shared" si="86"/>
        <v>3</v>
      </c>
      <c r="BS125">
        <f t="shared" si="87"/>
        <v>4</v>
      </c>
      <c r="BT125">
        <f t="shared" si="88"/>
        <v>0</v>
      </c>
      <c r="BU125">
        <f t="shared" si="48"/>
        <v>10</v>
      </c>
      <c r="BV125" s="13">
        <f t="shared" si="49"/>
        <v>12</v>
      </c>
      <c r="BW125" s="13">
        <f t="shared" si="50"/>
        <v>7</v>
      </c>
      <c r="BX125" s="13">
        <f t="shared" si="51"/>
        <v>3</v>
      </c>
      <c r="BY125" s="13">
        <f t="shared" si="52"/>
        <v>10</v>
      </c>
      <c r="BZ125" s="13">
        <f t="shared" si="53"/>
        <v>0</v>
      </c>
      <c r="CA125" s="13">
        <f t="shared" si="54"/>
        <v>12</v>
      </c>
      <c r="CB125" s="13">
        <f t="shared" si="55"/>
        <v>0</v>
      </c>
      <c r="CC125" s="13">
        <f t="shared" si="56"/>
        <v>0</v>
      </c>
      <c r="CD125" s="13">
        <f t="shared" si="57"/>
        <v>2.6457513110645907</v>
      </c>
      <c r="CE125" s="13">
        <f t="shared" si="58"/>
        <v>4.8989794855663558</v>
      </c>
      <c r="CF125" s="13">
        <f t="shared" si="59"/>
        <v>1.2615263318333423</v>
      </c>
      <c r="CG125" s="13">
        <f t="shared" si="60"/>
        <v>1.7320508075688772</v>
      </c>
      <c r="CH125" s="13">
        <f t="shared" si="61"/>
        <v>2</v>
      </c>
      <c r="CI125" s="13">
        <f t="shared" si="62"/>
        <v>0</v>
      </c>
      <c r="CJ125" s="13">
        <f t="shared" si="62"/>
        <v>3.1622776601683795</v>
      </c>
      <c r="CK125" s="13">
        <f t="shared" si="63"/>
        <v>3.4641016151377544</v>
      </c>
      <c r="CL125" s="13">
        <f t="shared" si="64"/>
        <v>2.6457513110645907</v>
      </c>
      <c r="CM125" s="13">
        <f t="shared" si="65"/>
        <v>1.7320508075688772</v>
      </c>
      <c r="CN125" s="13">
        <f t="shared" si="66"/>
        <v>3.1622776601683795</v>
      </c>
      <c r="CO125" s="13">
        <f t="shared" si="67"/>
        <v>0</v>
      </c>
      <c r="CP125" s="13">
        <f t="shared" si="68"/>
        <v>3.4641016151377544</v>
      </c>
      <c r="CQ125" s="13">
        <f t="shared" si="69"/>
        <v>0</v>
      </c>
      <c r="CR125" s="13">
        <f t="shared" si="70"/>
        <v>0</v>
      </c>
      <c r="CS125" s="13">
        <f t="shared" si="71"/>
        <v>2.0794415416798357</v>
      </c>
      <c r="CT125" s="13">
        <f t="shared" si="72"/>
        <v>3.2188758248682006</v>
      </c>
      <c r="CU125" s="13">
        <f t="shared" si="73"/>
        <v>0.95221705752890828</v>
      </c>
      <c r="CV125" s="13">
        <f t="shared" si="74"/>
        <v>1.3862943611198906</v>
      </c>
      <c r="CW125" s="13">
        <f t="shared" si="75"/>
        <v>1.6094379124341003</v>
      </c>
      <c r="CX125" s="13">
        <f t="shared" si="76"/>
        <v>0</v>
      </c>
      <c r="CY125" s="13">
        <f t="shared" si="77"/>
        <v>2.3978952727983707</v>
      </c>
      <c r="CZ125" s="13">
        <f t="shared" si="78"/>
        <v>2.5649493574615367</v>
      </c>
      <c r="DA125" s="13">
        <f t="shared" si="79"/>
        <v>2.0794415416798357</v>
      </c>
      <c r="DB125" s="13">
        <f t="shared" si="80"/>
        <v>1.3862943611198906</v>
      </c>
      <c r="DC125" s="13">
        <f t="shared" si="81"/>
        <v>2.3978952727983707</v>
      </c>
      <c r="DD125" s="13">
        <f t="shared" si="82"/>
        <v>0</v>
      </c>
      <c r="DE125" s="13">
        <f t="shared" si="83"/>
        <v>2.5649493574615367</v>
      </c>
      <c r="DF125" s="13">
        <f t="shared" si="84"/>
        <v>0</v>
      </c>
      <c r="DG125" s="13">
        <f t="shared" si="85"/>
        <v>0</v>
      </c>
      <c r="DH125" s="13"/>
      <c r="DI125" s="13"/>
      <c r="DJ125" s="13"/>
      <c r="DL125"/>
      <c r="DM125"/>
      <c r="DN125"/>
      <c r="DO125"/>
      <c r="DP125" s="31"/>
    </row>
    <row r="126" spans="1:120">
      <c r="A126" s="13" t="s">
        <v>226</v>
      </c>
      <c r="B126" t="s">
        <v>176</v>
      </c>
      <c r="C126" t="s">
        <v>138</v>
      </c>
      <c r="D126" s="13" t="s">
        <v>319</v>
      </c>
      <c r="E126" s="13" t="s">
        <v>91</v>
      </c>
      <c r="F126" s="13">
        <v>0</v>
      </c>
      <c r="G126" s="13">
        <v>0</v>
      </c>
      <c r="H126" s="13">
        <v>0</v>
      </c>
      <c r="I126" s="13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13">
        <v>8</v>
      </c>
      <c r="P126" s="13">
        <v>0</v>
      </c>
      <c r="Q126" s="32">
        <v>0</v>
      </c>
      <c r="R126" s="32">
        <v>0</v>
      </c>
      <c r="S126" s="32">
        <v>0</v>
      </c>
      <c r="T126" s="32">
        <v>0</v>
      </c>
      <c r="U126" s="13">
        <v>1</v>
      </c>
      <c r="V126" s="13">
        <v>3</v>
      </c>
      <c r="W126" s="32">
        <v>0</v>
      </c>
      <c r="X126" s="13">
        <v>1</v>
      </c>
      <c r="Y126" s="13">
        <v>0</v>
      </c>
      <c r="Z126" s="32">
        <v>0</v>
      </c>
      <c r="AA126" s="32">
        <v>0</v>
      </c>
      <c r="AB126" s="13">
        <v>2</v>
      </c>
      <c r="AC126" s="32">
        <v>0</v>
      </c>
      <c r="AD126" s="13">
        <v>7</v>
      </c>
      <c r="AE126" s="13">
        <v>7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32">
        <v>0</v>
      </c>
      <c r="BA126" s="32">
        <v>0</v>
      </c>
      <c r="BB126" s="32">
        <v>0</v>
      </c>
      <c r="BC126" s="32">
        <v>0</v>
      </c>
      <c r="BD126" s="32">
        <v>0</v>
      </c>
      <c r="BE126" s="32">
        <v>0</v>
      </c>
      <c r="BF126" s="13">
        <v>1</v>
      </c>
      <c r="BG126" s="32">
        <v>0</v>
      </c>
      <c r="BH126" s="32">
        <v>0</v>
      </c>
      <c r="BI126" s="13">
        <v>1</v>
      </c>
      <c r="BJ126" s="32">
        <v>0</v>
      </c>
      <c r="BK126" s="13">
        <v>1</v>
      </c>
      <c r="BL126" s="32">
        <v>0</v>
      </c>
      <c r="BM126" s="32">
        <v>0</v>
      </c>
      <c r="BN126" s="32">
        <v>0</v>
      </c>
      <c r="BO126">
        <f t="shared" si="46"/>
        <v>10</v>
      </c>
      <c r="BP126" s="13">
        <f t="shared" si="47"/>
        <v>32</v>
      </c>
      <c r="BQ126" s="13">
        <f>[1]!shannonweaver(K126:BL126)</f>
        <v>1.9482232263204364</v>
      </c>
      <c r="BR126">
        <f t="shared" si="86"/>
        <v>3</v>
      </c>
      <c r="BS126">
        <f t="shared" si="87"/>
        <v>4</v>
      </c>
      <c r="BT126">
        <f t="shared" si="88"/>
        <v>0</v>
      </c>
      <c r="BU126">
        <f t="shared" si="48"/>
        <v>8</v>
      </c>
      <c r="BV126" s="13">
        <f t="shared" si="49"/>
        <v>12</v>
      </c>
      <c r="BW126" s="13">
        <f t="shared" si="50"/>
        <v>9</v>
      </c>
      <c r="BX126" s="13">
        <f t="shared" si="51"/>
        <v>7</v>
      </c>
      <c r="BY126" s="13">
        <f t="shared" si="52"/>
        <v>16</v>
      </c>
      <c r="BZ126" s="13">
        <f t="shared" si="53"/>
        <v>0</v>
      </c>
      <c r="CA126" s="13">
        <f t="shared" si="54"/>
        <v>17</v>
      </c>
      <c r="CB126" s="13">
        <f t="shared" si="55"/>
        <v>0</v>
      </c>
      <c r="CC126" s="13">
        <f t="shared" si="56"/>
        <v>1</v>
      </c>
      <c r="CD126" s="13">
        <f t="shared" si="57"/>
        <v>3.1622776601683795</v>
      </c>
      <c r="CE126" s="13">
        <f t="shared" si="58"/>
        <v>5.6568542494923806</v>
      </c>
      <c r="CF126" s="13">
        <f t="shared" si="59"/>
        <v>1.3957876723629696</v>
      </c>
      <c r="CG126" s="13">
        <f t="shared" si="60"/>
        <v>1.7320508075688772</v>
      </c>
      <c r="CH126" s="13">
        <f t="shared" si="61"/>
        <v>2</v>
      </c>
      <c r="CI126" s="13">
        <f t="shared" si="62"/>
        <v>0</v>
      </c>
      <c r="CJ126" s="13">
        <f t="shared" si="62"/>
        <v>2.8284271247461903</v>
      </c>
      <c r="CK126" s="13">
        <f t="shared" si="63"/>
        <v>3.4641016151377544</v>
      </c>
      <c r="CL126" s="13">
        <f t="shared" si="64"/>
        <v>3</v>
      </c>
      <c r="CM126" s="13">
        <f t="shared" si="65"/>
        <v>2.6457513110645907</v>
      </c>
      <c r="CN126" s="13">
        <f t="shared" si="66"/>
        <v>4</v>
      </c>
      <c r="CO126" s="13">
        <f t="shared" si="67"/>
        <v>0</v>
      </c>
      <c r="CP126" s="13">
        <f t="shared" si="68"/>
        <v>4.1231056256176606</v>
      </c>
      <c r="CQ126" s="13">
        <f t="shared" si="69"/>
        <v>0</v>
      </c>
      <c r="CR126" s="13">
        <f t="shared" si="70"/>
        <v>1</v>
      </c>
      <c r="CS126" s="13">
        <f t="shared" si="71"/>
        <v>2.3978952727983707</v>
      </c>
      <c r="CT126" s="13">
        <f t="shared" si="72"/>
        <v>3.4965075614664802</v>
      </c>
      <c r="CU126" s="13">
        <f t="shared" si="73"/>
        <v>1.0812026927359681</v>
      </c>
      <c r="CV126" s="13">
        <f t="shared" si="74"/>
        <v>1.3862943611198906</v>
      </c>
      <c r="CW126" s="13">
        <f t="shared" si="75"/>
        <v>1.6094379124341003</v>
      </c>
      <c r="CX126" s="13">
        <f t="shared" si="76"/>
        <v>0</v>
      </c>
      <c r="CY126" s="13">
        <f t="shared" si="77"/>
        <v>2.1972245773362196</v>
      </c>
      <c r="CZ126" s="13">
        <f t="shared" si="78"/>
        <v>2.5649493574615367</v>
      </c>
      <c r="DA126" s="13">
        <f t="shared" si="79"/>
        <v>2.3025850929940459</v>
      </c>
      <c r="DB126" s="13">
        <f t="shared" si="80"/>
        <v>2.0794415416798357</v>
      </c>
      <c r="DC126" s="13">
        <f t="shared" si="81"/>
        <v>2.8332133440562162</v>
      </c>
      <c r="DD126" s="13">
        <f t="shared" si="82"/>
        <v>0</v>
      </c>
      <c r="DE126" s="13">
        <f t="shared" si="83"/>
        <v>2.8903717578961645</v>
      </c>
      <c r="DF126" s="13">
        <f t="shared" si="84"/>
        <v>0</v>
      </c>
      <c r="DG126" s="13">
        <f t="shared" si="85"/>
        <v>0.69314718055994529</v>
      </c>
      <c r="DH126" s="13"/>
      <c r="DI126" s="13"/>
      <c r="DJ126" s="13"/>
      <c r="DL126"/>
      <c r="DM126"/>
      <c r="DN126"/>
      <c r="DO126"/>
      <c r="DP126" s="31"/>
    </row>
    <row r="127" spans="1:120">
      <c r="A127" s="13" t="s">
        <v>227</v>
      </c>
      <c r="B127" t="s">
        <v>176</v>
      </c>
      <c r="C127" t="s">
        <v>138</v>
      </c>
      <c r="D127" s="13" t="s">
        <v>319</v>
      </c>
      <c r="E127" s="13" t="s">
        <v>91</v>
      </c>
      <c r="F127" s="13">
        <v>0</v>
      </c>
      <c r="G127" s="13">
        <v>0</v>
      </c>
      <c r="H127" s="13">
        <v>0</v>
      </c>
      <c r="I127" s="13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13">
        <v>10</v>
      </c>
      <c r="P127" s="13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13">
        <v>1</v>
      </c>
      <c r="W127" s="13">
        <v>1</v>
      </c>
      <c r="X127" s="13">
        <v>0</v>
      </c>
      <c r="Y127" s="13">
        <v>0</v>
      </c>
      <c r="Z127" s="32">
        <v>0</v>
      </c>
      <c r="AA127" s="32">
        <v>0</v>
      </c>
      <c r="AB127" s="13">
        <v>3</v>
      </c>
      <c r="AC127" s="32">
        <v>0</v>
      </c>
      <c r="AD127" s="13">
        <v>6</v>
      </c>
      <c r="AE127" s="13">
        <v>5</v>
      </c>
      <c r="AF127" s="32">
        <v>0</v>
      </c>
      <c r="AG127" s="13">
        <v>1</v>
      </c>
      <c r="AH127" s="13">
        <v>2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13">
        <v>1</v>
      </c>
      <c r="AZ127" s="32">
        <v>0</v>
      </c>
      <c r="BA127" s="32">
        <v>0</v>
      </c>
      <c r="BB127" s="32">
        <v>0</v>
      </c>
      <c r="BC127" s="32">
        <v>0</v>
      </c>
      <c r="BD127" s="32">
        <v>0</v>
      </c>
      <c r="BE127" s="32">
        <v>0</v>
      </c>
      <c r="BF127" s="32">
        <v>0</v>
      </c>
      <c r="BG127" s="32">
        <v>0</v>
      </c>
      <c r="BH127" s="32">
        <v>0</v>
      </c>
      <c r="BI127" s="13">
        <v>1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>
        <f t="shared" si="46"/>
        <v>10</v>
      </c>
      <c r="BP127" s="13">
        <f t="shared" si="47"/>
        <v>31</v>
      </c>
      <c r="BQ127" s="13">
        <f>[1]!shannonweaver(K127:BL127)</f>
        <v>1.9338024130463234</v>
      </c>
      <c r="BR127">
        <f t="shared" si="86"/>
        <v>3</v>
      </c>
      <c r="BS127">
        <f t="shared" si="87"/>
        <v>5</v>
      </c>
      <c r="BT127">
        <f t="shared" si="88"/>
        <v>1</v>
      </c>
      <c r="BU127">
        <f t="shared" si="48"/>
        <v>10</v>
      </c>
      <c r="BV127" s="13">
        <f t="shared" si="49"/>
        <v>12</v>
      </c>
      <c r="BW127" s="13">
        <f t="shared" si="50"/>
        <v>9</v>
      </c>
      <c r="BX127" s="13">
        <f t="shared" si="51"/>
        <v>5</v>
      </c>
      <c r="BY127" s="13">
        <f t="shared" si="52"/>
        <v>14</v>
      </c>
      <c r="BZ127" s="13">
        <f t="shared" si="53"/>
        <v>1</v>
      </c>
      <c r="CA127" s="13">
        <f t="shared" si="54"/>
        <v>17</v>
      </c>
      <c r="CB127" s="13">
        <f t="shared" si="55"/>
        <v>1</v>
      </c>
      <c r="CC127" s="13">
        <f t="shared" si="56"/>
        <v>0</v>
      </c>
      <c r="CD127" s="13">
        <f t="shared" si="57"/>
        <v>3.1622776601683795</v>
      </c>
      <c r="CE127" s="13">
        <f t="shared" si="58"/>
        <v>5.5677643628300215</v>
      </c>
      <c r="CF127" s="13">
        <f t="shared" si="59"/>
        <v>1.3906122439581508</v>
      </c>
      <c r="CG127" s="13">
        <f t="shared" si="60"/>
        <v>1.7320508075688772</v>
      </c>
      <c r="CH127" s="13">
        <f t="shared" si="61"/>
        <v>2.2360679774997898</v>
      </c>
      <c r="CI127" s="13">
        <f t="shared" si="62"/>
        <v>1</v>
      </c>
      <c r="CJ127" s="13">
        <f t="shared" si="62"/>
        <v>3.1622776601683795</v>
      </c>
      <c r="CK127" s="13">
        <f t="shared" si="63"/>
        <v>3.4641016151377544</v>
      </c>
      <c r="CL127" s="13">
        <f t="shared" si="64"/>
        <v>3</v>
      </c>
      <c r="CM127" s="13">
        <f t="shared" si="65"/>
        <v>2.2360679774997898</v>
      </c>
      <c r="CN127" s="13">
        <f t="shared" si="66"/>
        <v>3.7416573867739413</v>
      </c>
      <c r="CO127" s="13">
        <f t="shared" si="67"/>
        <v>1</v>
      </c>
      <c r="CP127" s="13">
        <f t="shared" si="68"/>
        <v>4.1231056256176606</v>
      </c>
      <c r="CQ127" s="13">
        <f t="shared" si="69"/>
        <v>1</v>
      </c>
      <c r="CR127" s="13">
        <f t="shared" si="70"/>
        <v>0</v>
      </c>
      <c r="CS127" s="13">
        <f t="shared" si="71"/>
        <v>2.3978952727983707</v>
      </c>
      <c r="CT127" s="13">
        <f t="shared" si="72"/>
        <v>3.4657359027997265</v>
      </c>
      <c r="CU127" s="13">
        <f t="shared" si="73"/>
        <v>1.0762993335697635</v>
      </c>
      <c r="CV127" s="13">
        <f t="shared" si="74"/>
        <v>1.3862943611198906</v>
      </c>
      <c r="CW127" s="13">
        <f t="shared" si="75"/>
        <v>1.791759469228055</v>
      </c>
      <c r="CX127" s="13">
        <f t="shared" si="76"/>
        <v>0.69314718055994529</v>
      </c>
      <c r="CY127" s="13">
        <f t="shared" si="77"/>
        <v>2.3978952727983707</v>
      </c>
      <c r="CZ127" s="13">
        <f t="shared" si="78"/>
        <v>2.5649493574615367</v>
      </c>
      <c r="DA127" s="13">
        <f t="shared" si="79"/>
        <v>2.3025850929940459</v>
      </c>
      <c r="DB127" s="13">
        <f t="shared" si="80"/>
        <v>1.791759469228055</v>
      </c>
      <c r="DC127" s="13">
        <f t="shared" si="81"/>
        <v>2.7080502011022101</v>
      </c>
      <c r="DD127" s="13">
        <f t="shared" si="82"/>
        <v>0.69314718055994529</v>
      </c>
      <c r="DE127" s="13">
        <f t="shared" si="83"/>
        <v>2.8903717578961645</v>
      </c>
      <c r="DF127" s="13">
        <f t="shared" si="84"/>
        <v>0.69314718055994529</v>
      </c>
      <c r="DG127" s="13">
        <f t="shared" si="85"/>
        <v>0</v>
      </c>
      <c r="DH127" s="13"/>
      <c r="DI127" s="13"/>
      <c r="DJ127" s="13"/>
      <c r="DL127"/>
      <c r="DM127"/>
      <c r="DN127"/>
      <c r="DO127"/>
      <c r="DP127" s="31"/>
    </row>
    <row r="128" spans="1:120">
      <c r="A128" t="s">
        <v>251</v>
      </c>
      <c r="B128" t="s">
        <v>176</v>
      </c>
      <c r="C128" t="s">
        <v>207</v>
      </c>
      <c r="D128" s="13" t="s">
        <v>320</v>
      </c>
      <c r="E128" s="13" t="s">
        <v>91</v>
      </c>
      <c r="F128" s="13">
        <v>0</v>
      </c>
      <c r="G128" s="13">
        <v>0</v>
      </c>
      <c r="H128" s="13">
        <v>0</v>
      </c>
      <c r="I128" s="13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13">
        <v>2</v>
      </c>
      <c r="P128" s="13">
        <v>0</v>
      </c>
      <c r="Q128" s="32">
        <v>0</v>
      </c>
      <c r="R128" s="32">
        <v>0</v>
      </c>
      <c r="S128" s="32">
        <v>0</v>
      </c>
      <c r="T128" s="32">
        <v>0</v>
      </c>
      <c r="U128" s="13">
        <v>1</v>
      </c>
      <c r="V128" s="13">
        <v>0</v>
      </c>
      <c r="W128" s="13">
        <v>0</v>
      </c>
      <c r="X128" s="13">
        <v>0</v>
      </c>
      <c r="Y128" s="13">
        <v>0</v>
      </c>
      <c r="Z128" s="32">
        <v>0</v>
      </c>
      <c r="AA128" s="32">
        <v>0</v>
      </c>
      <c r="AB128" s="13">
        <v>3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 s="13">
        <v>4</v>
      </c>
      <c r="BD128" s="32">
        <v>0</v>
      </c>
      <c r="BE128" s="32">
        <v>0</v>
      </c>
      <c r="BF128" s="32">
        <v>0</v>
      </c>
      <c r="BG128" s="32">
        <v>0</v>
      </c>
      <c r="BH128" s="32">
        <v>0</v>
      </c>
      <c r="BI128" s="32">
        <v>0</v>
      </c>
      <c r="BJ128" s="32">
        <v>0</v>
      </c>
      <c r="BK128" s="32">
        <v>0</v>
      </c>
      <c r="BL128" s="32">
        <v>0</v>
      </c>
      <c r="BM128" s="32">
        <v>0</v>
      </c>
      <c r="BN128" s="32">
        <v>0</v>
      </c>
      <c r="BO128">
        <f t="shared" si="46"/>
        <v>4</v>
      </c>
      <c r="BP128" s="13">
        <f t="shared" si="47"/>
        <v>10</v>
      </c>
      <c r="BQ128" s="13">
        <f>[1]!shannonweaver(K128:BL128)</f>
        <v>1.2798542258336676</v>
      </c>
      <c r="BR128">
        <f t="shared" si="86"/>
        <v>2</v>
      </c>
      <c r="BS128">
        <f t="shared" si="87"/>
        <v>1</v>
      </c>
      <c r="BT128">
        <f t="shared" si="88"/>
        <v>1</v>
      </c>
      <c r="BU128">
        <f t="shared" si="48"/>
        <v>2</v>
      </c>
      <c r="BV128" s="13">
        <f t="shared" si="49"/>
        <v>3</v>
      </c>
      <c r="BW128" s="13">
        <f t="shared" si="50"/>
        <v>3</v>
      </c>
      <c r="BX128" s="13">
        <f t="shared" si="51"/>
        <v>0</v>
      </c>
      <c r="BY128" s="13">
        <f t="shared" si="52"/>
        <v>3</v>
      </c>
      <c r="BZ128" s="13">
        <f t="shared" si="53"/>
        <v>0</v>
      </c>
      <c r="CA128" s="13">
        <f t="shared" si="54"/>
        <v>3</v>
      </c>
      <c r="CB128" s="13">
        <f t="shared" si="55"/>
        <v>4</v>
      </c>
      <c r="CC128" s="13">
        <f t="shared" si="56"/>
        <v>0</v>
      </c>
      <c r="CD128" s="13">
        <f t="shared" si="57"/>
        <v>2</v>
      </c>
      <c r="CE128" s="13">
        <f t="shared" si="58"/>
        <v>3.1622776601683795</v>
      </c>
      <c r="CF128" s="13">
        <f t="shared" si="59"/>
        <v>1.1313064243756719</v>
      </c>
      <c r="CG128" s="13">
        <f t="shared" si="60"/>
        <v>1.4142135623730951</v>
      </c>
      <c r="CH128" s="13">
        <f t="shared" si="61"/>
        <v>1</v>
      </c>
      <c r="CI128" s="13">
        <f t="shared" si="62"/>
        <v>1</v>
      </c>
      <c r="CJ128" s="13">
        <f t="shared" si="62"/>
        <v>1.4142135623730951</v>
      </c>
      <c r="CK128" s="13">
        <f t="shared" si="63"/>
        <v>1.7320508075688772</v>
      </c>
      <c r="CL128" s="13">
        <f t="shared" si="64"/>
        <v>1.7320508075688772</v>
      </c>
      <c r="CM128" s="13">
        <f t="shared" si="65"/>
        <v>0</v>
      </c>
      <c r="CN128" s="13">
        <f t="shared" si="66"/>
        <v>1.7320508075688772</v>
      </c>
      <c r="CO128" s="13">
        <f t="shared" si="67"/>
        <v>0</v>
      </c>
      <c r="CP128" s="13">
        <f t="shared" si="68"/>
        <v>1.7320508075688772</v>
      </c>
      <c r="CQ128" s="13">
        <f t="shared" si="69"/>
        <v>2</v>
      </c>
      <c r="CR128" s="13">
        <f t="shared" si="70"/>
        <v>0</v>
      </c>
      <c r="CS128" s="13">
        <f t="shared" si="71"/>
        <v>1.6094379124341003</v>
      </c>
      <c r="CT128" s="13">
        <f t="shared" si="72"/>
        <v>2.3978952727983707</v>
      </c>
      <c r="CU128" s="13">
        <f t="shared" si="73"/>
        <v>0.8241115048844887</v>
      </c>
      <c r="CV128" s="13">
        <f t="shared" si="74"/>
        <v>1.0986122886681098</v>
      </c>
      <c r="CW128" s="13">
        <f t="shared" si="75"/>
        <v>0.69314718055994529</v>
      </c>
      <c r="CX128" s="13">
        <f t="shared" si="76"/>
        <v>0.69314718055994529</v>
      </c>
      <c r="CY128" s="13">
        <f t="shared" si="77"/>
        <v>1.0986122886681098</v>
      </c>
      <c r="CZ128" s="13">
        <f t="shared" si="78"/>
        <v>1.3862943611198906</v>
      </c>
      <c r="DA128" s="13">
        <f t="shared" si="79"/>
        <v>1.3862943611198906</v>
      </c>
      <c r="DB128" s="13">
        <f t="shared" si="80"/>
        <v>0</v>
      </c>
      <c r="DC128" s="13">
        <f t="shared" si="81"/>
        <v>1.3862943611198906</v>
      </c>
      <c r="DD128" s="13">
        <f t="shared" si="82"/>
        <v>0</v>
      </c>
      <c r="DE128" s="13">
        <f t="shared" si="83"/>
        <v>1.3862943611198906</v>
      </c>
      <c r="DF128" s="13">
        <f t="shared" si="84"/>
        <v>1.6094379124341003</v>
      </c>
      <c r="DG128" s="13">
        <f t="shared" si="85"/>
        <v>0</v>
      </c>
      <c r="DH128" s="13"/>
      <c r="DI128" s="13"/>
      <c r="DJ128" s="13"/>
      <c r="DL128"/>
      <c r="DM128"/>
      <c r="DN128"/>
      <c r="DO128"/>
      <c r="DP128" s="31"/>
    </row>
    <row r="129" spans="1:120">
      <c r="A129" s="13" t="s">
        <v>252</v>
      </c>
      <c r="B129" t="s">
        <v>176</v>
      </c>
      <c r="C129" t="s">
        <v>207</v>
      </c>
      <c r="D129" s="13" t="s">
        <v>320</v>
      </c>
      <c r="E129" s="13" t="s">
        <v>91</v>
      </c>
      <c r="F129" s="13">
        <v>0</v>
      </c>
      <c r="G129" s="13">
        <v>0</v>
      </c>
      <c r="H129" s="13">
        <v>0</v>
      </c>
      <c r="I129" s="13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13">
        <v>3</v>
      </c>
      <c r="P129" s="13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2">
        <v>0</v>
      </c>
      <c r="X129" s="13">
        <v>1</v>
      </c>
      <c r="Y129" s="13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13">
        <v>1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 s="32">
        <v>0</v>
      </c>
      <c r="BD129" s="32">
        <v>0</v>
      </c>
      <c r="BE129" s="32">
        <v>0</v>
      </c>
      <c r="BF129" s="32">
        <v>0</v>
      </c>
      <c r="BG129" s="32">
        <v>0</v>
      </c>
      <c r="BH129" s="32">
        <v>0</v>
      </c>
      <c r="BI129" s="32">
        <v>0</v>
      </c>
      <c r="BJ129" s="13">
        <v>2</v>
      </c>
      <c r="BK129" s="32">
        <v>0</v>
      </c>
      <c r="BL129" s="32">
        <v>0</v>
      </c>
      <c r="BM129" s="32">
        <v>0</v>
      </c>
      <c r="BN129" s="32">
        <v>0</v>
      </c>
      <c r="BO129">
        <f t="shared" si="46"/>
        <v>4</v>
      </c>
      <c r="BP129" s="13">
        <f t="shared" si="47"/>
        <v>7</v>
      </c>
      <c r="BQ129" s="13">
        <f>[1]!shannonweaver(K129:BL129)</f>
        <v>1.277034259466139</v>
      </c>
      <c r="BR129">
        <f t="shared" si="86"/>
        <v>1</v>
      </c>
      <c r="BS129">
        <f t="shared" si="87"/>
        <v>1</v>
      </c>
      <c r="BT129">
        <f t="shared" si="88"/>
        <v>1</v>
      </c>
      <c r="BU129">
        <f t="shared" si="48"/>
        <v>3</v>
      </c>
      <c r="BV129" s="13">
        <f t="shared" si="49"/>
        <v>3</v>
      </c>
      <c r="BW129" s="13">
        <f t="shared" si="50"/>
        <v>0</v>
      </c>
      <c r="BX129" s="13">
        <f t="shared" si="51"/>
        <v>0</v>
      </c>
      <c r="BY129" s="13">
        <f t="shared" si="52"/>
        <v>0</v>
      </c>
      <c r="BZ129" s="13">
        <f t="shared" si="53"/>
        <v>0</v>
      </c>
      <c r="CA129" s="13">
        <f t="shared" si="54"/>
        <v>1</v>
      </c>
      <c r="CB129" s="13">
        <f t="shared" si="55"/>
        <v>1</v>
      </c>
      <c r="CC129" s="13">
        <f t="shared" si="56"/>
        <v>0</v>
      </c>
      <c r="CD129" s="13">
        <f t="shared" si="57"/>
        <v>2</v>
      </c>
      <c r="CE129" s="13">
        <f t="shared" si="58"/>
        <v>2.6457513110645907</v>
      </c>
      <c r="CF129" s="13">
        <f t="shared" si="59"/>
        <v>1.1300594052819255</v>
      </c>
      <c r="CG129" s="13">
        <f t="shared" si="60"/>
        <v>1</v>
      </c>
      <c r="CH129" s="13">
        <f t="shared" si="61"/>
        <v>1</v>
      </c>
      <c r="CI129" s="13">
        <f t="shared" si="62"/>
        <v>1</v>
      </c>
      <c r="CJ129" s="13">
        <f t="shared" si="62"/>
        <v>1.7320508075688772</v>
      </c>
      <c r="CK129" s="13">
        <f t="shared" si="63"/>
        <v>1.7320508075688772</v>
      </c>
      <c r="CL129" s="13">
        <f t="shared" si="64"/>
        <v>0</v>
      </c>
      <c r="CM129" s="13">
        <f t="shared" si="65"/>
        <v>0</v>
      </c>
      <c r="CN129" s="13">
        <f t="shared" si="66"/>
        <v>0</v>
      </c>
      <c r="CO129" s="13">
        <f t="shared" si="67"/>
        <v>0</v>
      </c>
      <c r="CP129" s="13">
        <f t="shared" si="68"/>
        <v>1</v>
      </c>
      <c r="CQ129" s="13">
        <f t="shared" si="69"/>
        <v>1</v>
      </c>
      <c r="CR129" s="13">
        <f t="shared" si="70"/>
        <v>0</v>
      </c>
      <c r="CS129" s="13">
        <f t="shared" si="71"/>
        <v>1.6094379124341003</v>
      </c>
      <c r="CT129" s="13">
        <f t="shared" si="72"/>
        <v>2.0794415416798357</v>
      </c>
      <c r="CU129" s="13">
        <f t="shared" si="73"/>
        <v>0.82287383284726334</v>
      </c>
      <c r="CV129" s="13">
        <f t="shared" si="74"/>
        <v>0.69314718055994529</v>
      </c>
      <c r="CW129" s="13">
        <f t="shared" si="75"/>
        <v>0.69314718055994529</v>
      </c>
      <c r="CX129" s="13">
        <f t="shared" si="76"/>
        <v>0.69314718055994529</v>
      </c>
      <c r="CY129" s="13">
        <f t="shared" si="77"/>
        <v>1.3862943611198906</v>
      </c>
      <c r="CZ129" s="13">
        <f t="shared" si="78"/>
        <v>1.3862943611198906</v>
      </c>
      <c r="DA129" s="13">
        <f t="shared" si="79"/>
        <v>0</v>
      </c>
      <c r="DB129" s="13">
        <f t="shared" si="80"/>
        <v>0</v>
      </c>
      <c r="DC129" s="13">
        <f t="shared" si="81"/>
        <v>0</v>
      </c>
      <c r="DD129" s="13">
        <f t="shared" si="82"/>
        <v>0</v>
      </c>
      <c r="DE129" s="13">
        <f t="shared" si="83"/>
        <v>0.69314718055994529</v>
      </c>
      <c r="DF129" s="13">
        <f t="shared" si="84"/>
        <v>0.69314718055994529</v>
      </c>
      <c r="DG129" s="13">
        <f t="shared" si="85"/>
        <v>0</v>
      </c>
      <c r="DH129" s="13"/>
      <c r="DI129" s="13"/>
      <c r="DJ129" s="13"/>
      <c r="DL129"/>
      <c r="DM129"/>
      <c r="DN129"/>
      <c r="DO129"/>
      <c r="DP129" s="31"/>
    </row>
    <row r="130" spans="1:120">
      <c r="A130" s="13" t="s">
        <v>253</v>
      </c>
      <c r="B130" t="s">
        <v>176</v>
      </c>
      <c r="C130" t="s">
        <v>207</v>
      </c>
      <c r="D130" s="13" t="s">
        <v>320</v>
      </c>
      <c r="E130" s="13" t="s">
        <v>91</v>
      </c>
      <c r="F130" s="13">
        <v>0</v>
      </c>
      <c r="G130" s="13">
        <v>0</v>
      </c>
      <c r="H130" s="13">
        <v>0</v>
      </c>
      <c r="I130" s="13">
        <v>0</v>
      </c>
      <c r="J130" s="32">
        <v>0</v>
      </c>
      <c r="K130" s="32">
        <v>0</v>
      </c>
      <c r="L130" s="32">
        <v>0</v>
      </c>
      <c r="M130" s="32">
        <v>0</v>
      </c>
      <c r="N130" s="32">
        <v>0</v>
      </c>
      <c r="O130" s="13">
        <v>1</v>
      </c>
      <c r="P130" s="13">
        <v>0</v>
      </c>
      <c r="Q130" s="32">
        <v>0</v>
      </c>
      <c r="R130" s="13">
        <v>1</v>
      </c>
      <c r="S130" s="32">
        <v>0</v>
      </c>
      <c r="T130" s="32">
        <v>0</v>
      </c>
      <c r="U130" s="13">
        <v>1</v>
      </c>
      <c r="V130" s="32">
        <v>0</v>
      </c>
      <c r="W130" s="32">
        <v>0</v>
      </c>
      <c r="X130" s="13">
        <v>1</v>
      </c>
      <c r="Y130" s="13">
        <v>0</v>
      </c>
      <c r="Z130" s="32">
        <v>0</v>
      </c>
      <c r="AA130" s="32">
        <v>0</v>
      </c>
      <c r="AB130" s="13">
        <v>6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32">
        <v>0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13">
        <v>1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 s="32">
        <v>0</v>
      </c>
      <c r="BD130" s="32">
        <v>0</v>
      </c>
      <c r="BE130" s="32">
        <v>0</v>
      </c>
      <c r="BF130" s="32">
        <v>0</v>
      </c>
      <c r="BG130" s="32">
        <v>0</v>
      </c>
      <c r="BH130" s="32">
        <v>0</v>
      </c>
      <c r="BI130" s="13">
        <v>1</v>
      </c>
      <c r="BJ130" s="13">
        <v>1</v>
      </c>
      <c r="BK130" s="13">
        <v>1</v>
      </c>
      <c r="BL130" s="32">
        <v>0</v>
      </c>
      <c r="BM130" s="32">
        <v>0</v>
      </c>
      <c r="BN130" s="32">
        <v>0</v>
      </c>
      <c r="BO130">
        <f t="shared" si="46"/>
        <v>9</v>
      </c>
      <c r="BP130" s="13">
        <f t="shared" si="47"/>
        <v>14</v>
      </c>
      <c r="BQ130" s="13">
        <f>[1]!shannonweaver(K130:BL130)</f>
        <v>1.8711604142318066</v>
      </c>
      <c r="BR130">
        <f t="shared" si="86"/>
        <v>3</v>
      </c>
      <c r="BS130">
        <f t="shared" si="87"/>
        <v>3</v>
      </c>
      <c r="BT130">
        <f t="shared" si="88"/>
        <v>0</v>
      </c>
      <c r="BU130">
        <f t="shared" si="48"/>
        <v>2</v>
      </c>
      <c r="BV130" s="13">
        <f t="shared" si="49"/>
        <v>3</v>
      </c>
      <c r="BW130" s="13">
        <f t="shared" si="50"/>
        <v>6</v>
      </c>
      <c r="BX130" s="13">
        <f t="shared" si="51"/>
        <v>0</v>
      </c>
      <c r="BY130" s="13">
        <f t="shared" si="52"/>
        <v>6</v>
      </c>
      <c r="BZ130" s="13">
        <f t="shared" si="53"/>
        <v>0</v>
      </c>
      <c r="CA130" s="13">
        <f t="shared" si="54"/>
        <v>8</v>
      </c>
      <c r="CB130" s="13">
        <f t="shared" si="55"/>
        <v>0</v>
      </c>
      <c r="CC130" s="13">
        <f t="shared" si="56"/>
        <v>1</v>
      </c>
      <c r="CD130" s="13">
        <f t="shared" si="57"/>
        <v>3</v>
      </c>
      <c r="CE130" s="13">
        <f t="shared" si="58"/>
        <v>3.7416573867739413</v>
      </c>
      <c r="CF130" s="13">
        <f t="shared" si="59"/>
        <v>1.3679036567798941</v>
      </c>
      <c r="CG130" s="13">
        <f t="shared" si="60"/>
        <v>1.7320508075688772</v>
      </c>
      <c r="CH130" s="13">
        <f t="shared" si="61"/>
        <v>1.7320508075688772</v>
      </c>
      <c r="CI130" s="13">
        <f t="shared" si="62"/>
        <v>0</v>
      </c>
      <c r="CJ130" s="13">
        <f t="shared" si="62"/>
        <v>1.4142135623730951</v>
      </c>
      <c r="CK130" s="13">
        <f t="shared" si="63"/>
        <v>1.7320508075688772</v>
      </c>
      <c r="CL130" s="13">
        <f t="shared" si="64"/>
        <v>2.4494897427831779</v>
      </c>
      <c r="CM130" s="13">
        <f t="shared" si="65"/>
        <v>0</v>
      </c>
      <c r="CN130" s="13">
        <f t="shared" si="66"/>
        <v>2.4494897427831779</v>
      </c>
      <c r="CO130" s="13">
        <f t="shared" si="67"/>
        <v>0</v>
      </c>
      <c r="CP130" s="13">
        <f t="shared" si="68"/>
        <v>2.8284271247461903</v>
      </c>
      <c r="CQ130" s="13">
        <f t="shared" si="69"/>
        <v>0</v>
      </c>
      <c r="CR130" s="13">
        <f t="shared" si="70"/>
        <v>1</v>
      </c>
      <c r="CS130" s="13">
        <f t="shared" si="71"/>
        <v>2.3025850929940459</v>
      </c>
      <c r="CT130" s="13">
        <f t="shared" si="72"/>
        <v>2.7080502011022101</v>
      </c>
      <c r="CU130" s="13">
        <f t="shared" si="73"/>
        <v>1.0547162735703035</v>
      </c>
      <c r="CV130" s="13">
        <f t="shared" si="74"/>
        <v>1.3862943611198906</v>
      </c>
      <c r="CW130" s="13">
        <f t="shared" si="75"/>
        <v>1.3862943611198906</v>
      </c>
      <c r="CX130" s="13">
        <f t="shared" si="76"/>
        <v>0</v>
      </c>
      <c r="CY130" s="13">
        <f t="shared" si="77"/>
        <v>1.0986122886681098</v>
      </c>
      <c r="CZ130" s="13">
        <f t="shared" si="78"/>
        <v>1.3862943611198906</v>
      </c>
      <c r="DA130" s="13">
        <f t="shared" si="79"/>
        <v>1.9459101490553132</v>
      </c>
      <c r="DB130" s="13">
        <f t="shared" si="80"/>
        <v>0</v>
      </c>
      <c r="DC130" s="13">
        <f t="shared" si="81"/>
        <v>1.9459101490553132</v>
      </c>
      <c r="DD130" s="13">
        <f t="shared" si="82"/>
        <v>0</v>
      </c>
      <c r="DE130" s="13">
        <f t="shared" si="83"/>
        <v>2.1972245773362196</v>
      </c>
      <c r="DF130" s="13">
        <f t="shared" si="84"/>
        <v>0</v>
      </c>
      <c r="DG130" s="13">
        <f t="shared" si="85"/>
        <v>0.69314718055994529</v>
      </c>
      <c r="DH130" s="13"/>
      <c r="DI130" s="13"/>
      <c r="DJ130" s="13"/>
      <c r="DL130"/>
      <c r="DM130"/>
      <c r="DN130"/>
      <c r="DO130"/>
      <c r="DP130" s="31"/>
    </row>
    <row r="131" spans="1:120">
      <c r="A131" s="13" t="s">
        <v>55</v>
      </c>
      <c r="B131" t="s">
        <v>176</v>
      </c>
      <c r="C131" t="s">
        <v>207</v>
      </c>
      <c r="D131" s="13" t="s">
        <v>320</v>
      </c>
      <c r="E131" s="13" t="s">
        <v>91</v>
      </c>
      <c r="F131" s="13">
        <v>0</v>
      </c>
      <c r="G131" s="13">
        <v>0</v>
      </c>
      <c r="H131" s="13">
        <v>0</v>
      </c>
      <c r="I131" s="13">
        <v>0</v>
      </c>
      <c r="J131" s="32">
        <v>0</v>
      </c>
      <c r="K131" s="13">
        <v>1</v>
      </c>
      <c r="L131" s="32">
        <v>0</v>
      </c>
      <c r="M131" s="32">
        <v>0</v>
      </c>
      <c r="N131" s="32">
        <v>0</v>
      </c>
      <c r="O131" s="13">
        <v>1</v>
      </c>
      <c r="P131" s="13">
        <v>0</v>
      </c>
      <c r="Q131" s="32">
        <v>0</v>
      </c>
      <c r="R131" s="32">
        <v>0</v>
      </c>
      <c r="S131" s="32">
        <v>0</v>
      </c>
      <c r="T131" s="32">
        <v>0</v>
      </c>
      <c r="U131" s="32">
        <v>0</v>
      </c>
      <c r="V131" s="13">
        <v>1</v>
      </c>
      <c r="W131" s="13">
        <v>1</v>
      </c>
      <c r="X131" s="13">
        <v>0</v>
      </c>
      <c r="Y131" s="13">
        <v>0</v>
      </c>
      <c r="Z131" s="32">
        <v>0</v>
      </c>
      <c r="AA131" s="32">
        <v>0</v>
      </c>
      <c r="AB131" s="13">
        <v>2</v>
      </c>
      <c r="AC131" s="32">
        <v>0</v>
      </c>
      <c r="AD131" s="13">
        <v>1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 s="13">
        <v>1</v>
      </c>
      <c r="BD131" s="32">
        <v>0</v>
      </c>
      <c r="BE131" s="32">
        <v>0</v>
      </c>
      <c r="BF131" s="32">
        <v>0</v>
      </c>
      <c r="BG131" s="32">
        <v>0</v>
      </c>
      <c r="BH131" s="32">
        <v>0</v>
      </c>
      <c r="BI131" s="13">
        <v>1</v>
      </c>
      <c r="BJ131" s="13">
        <v>1</v>
      </c>
      <c r="BK131" s="13">
        <v>1</v>
      </c>
      <c r="BL131" s="32">
        <v>0</v>
      </c>
      <c r="BM131" s="32">
        <v>0</v>
      </c>
      <c r="BN131" s="32">
        <v>0</v>
      </c>
      <c r="BO131">
        <f t="shared" ref="BO131:BO145" si="89">COUNTIF(K131:BL131, "&gt;0")</f>
        <v>10</v>
      </c>
      <c r="BP131" s="13">
        <f t="shared" ref="BP131:BP145" si="90">SUM(K131:BL131)</f>
        <v>11</v>
      </c>
      <c r="BQ131" s="13">
        <f>[1]!shannonweaver(K131:BL131)</f>
        <v>2.2718685126965625</v>
      </c>
      <c r="BR131">
        <f t="shared" si="86"/>
        <v>3</v>
      </c>
      <c r="BS131">
        <f t="shared" si="87"/>
        <v>2</v>
      </c>
      <c r="BT131">
        <f t="shared" si="88"/>
        <v>1</v>
      </c>
      <c r="BU131">
        <f t="shared" ref="BU131:BU194" si="91">SUM(O131:S131)</f>
        <v>1</v>
      </c>
      <c r="BV131" s="13">
        <f t="shared" ref="BV131:BV194" si="92">SUM(N131:W131)</f>
        <v>3</v>
      </c>
      <c r="BW131" s="13">
        <f t="shared" ref="BW131:BW194" si="93">SUM(AB131:AD131)</f>
        <v>3</v>
      </c>
      <c r="BX131" s="13">
        <f t="shared" ref="BX131:BX194" si="94">AE131</f>
        <v>0</v>
      </c>
      <c r="BY131" s="13">
        <f t="shared" ref="BY131:BY194" si="95">SUM(AB131:AE131)</f>
        <v>3</v>
      </c>
      <c r="BZ131" s="13">
        <f t="shared" ref="BZ131:BZ194" si="96">AG131</f>
        <v>0</v>
      </c>
      <c r="CA131" s="13">
        <f t="shared" ref="CA131:CA194" si="97">SUM(X131:AQ131)</f>
        <v>3</v>
      </c>
      <c r="CB131" s="13">
        <f t="shared" ref="CB131:CB194" si="98">SUM(AR131:BD131)</f>
        <v>1</v>
      </c>
      <c r="CC131" s="13">
        <f t="shared" ref="CC131:CC194" si="99">SUM(BK131:BL131)</f>
        <v>1</v>
      </c>
      <c r="CD131" s="13">
        <f t="shared" ref="CD131:CD194" si="100">BO131^0.5</f>
        <v>3.1622776601683795</v>
      </c>
      <c r="CE131" s="13">
        <f t="shared" ref="CE131:CE194" si="101">BP131^0.5</f>
        <v>3.3166247903553998</v>
      </c>
      <c r="CF131" s="13">
        <f t="shared" ref="CF131:CF194" si="102">BQ131^0.5</f>
        <v>1.5072718774980718</v>
      </c>
      <c r="CG131" s="13">
        <f t="shared" ref="CG131:CG194" si="103">BR131^0.5</f>
        <v>1.7320508075688772</v>
      </c>
      <c r="CH131" s="13">
        <f t="shared" ref="CH131:CH194" si="104">BS131^0.5</f>
        <v>1.4142135623730951</v>
      </c>
      <c r="CI131" s="13">
        <f t="shared" ref="CI131:CJ194" si="105">BT131^0.5</f>
        <v>1</v>
      </c>
      <c r="CJ131" s="13">
        <f t="shared" si="105"/>
        <v>1</v>
      </c>
      <c r="CK131" s="13">
        <f t="shared" ref="CK131:CK194" si="106">BV131^0.5</f>
        <v>1.7320508075688772</v>
      </c>
      <c r="CL131" s="13">
        <f t="shared" ref="CL131:CL194" si="107">BW131^0.5</f>
        <v>1.7320508075688772</v>
      </c>
      <c r="CM131" s="13">
        <f t="shared" ref="CM131:CM194" si="108">BX131^0.5</f>
        <v>0</v>
      </c>
      <c r="CN131" s="13">
        <f t="shared" ref="CN131:CN194" si="109">BY131^0.5</f>
        <v>1.7320508075688772</v>
      </c>
      <c r="CO131" s="13">
        <f t="shared" ref="CO131:CO194" si="110">BZ131^0.5</f>
        <v>0</v>
      </c>
      <c r="CP131" s="13">
        <f t="shared" ref="CP131:CP194" si="111">CA131^0.5</f>
        <v>1.7320508075688772</v>
      </c>
      <c r="CQ131" s="13">
        <f t="shared" ref="CQ131:CQ194" si="112">CB131^0.5</f>
        <v>1</v>
      </c>
      <c r="CR131" s="13">
        <f t="shared" ref="CR131:CR194" si="113">CC131^0.5</f>
        <v>1</v>
      </c>
      <c r="CS131" s="13">
        <f t="shared" ref="CS131:CS194" si="114">LN(BO131+1)</f>
        <v>2.3978952727983707</v>
      </c>
      <c r="CT131" s="13">
        <f t="shared" ref="CT131:CT194" si="115">LN(BP131+1)</f>
        <v>2.4849066497880004</v>
      </c>
      <c r="CU131" s="13">
        <f t="shared" ref="CU131:CU194" si="116">LN(BQ131+1)</f>
        <v>1.1853612323268525</v>
      </c>
      <c r="CV131" s="13">
        <f t="shared" ref="CV131:CV194" si="117">LN(BR131+1)</f>
        <v>1.3862943611198906</v>
      </c>
      <c r="CW131" s="13">
        <f t="shared" ref="CW131:CW194" si="118">LN(BS131+1)</f>
        <v>1.0986122886681098</v>
      </c>
      <c r="CX131" s="13">
        <f t="shared" ref="CX131:CX194" si="119">LN(BT131+1)</f>
        <v>0.69314718055994529</v>
      </c>
      <c r="CY131" s="13">
        <f t="shared" ref="CY131:CY194" si="120">LN(BU131+1)</f>
        <v>0.69314718055994529</v>
      </c>
      <c r="CZ131" s="13">
        <f t="shared" ref="CZ131:CZ194" si="121">LN(BV131+1)</f>
        <v>1.3862943611198906</v>
      </c>
      <c r="DA131" s="13">
        <f t="shared" ref="DA131:DA194" si="122">LN(BW131+1)</f>
        <v>1.3862943611198906</v>
      </c>
      <c r="DB131" s="13">
        <f t="shared" ref="DB131:DB194" si="123">LN(BX131+1)</f>
        <v>0</v>
      </c>
      <c r="DC131" s="13">
        <f t="shared" ref="DC131:DC194" si="124">LN(BY131+1)</f>
        <v>1.3862943611198906</v>
      </c>
      <c r="DD131" s="13">
        <f t="shared" ref="DD131:DD194" si="125">LN(BZ131+1)</f>
        <v>0</v>
      </c>
      <c r="DE131" s="13">
        <f t="shared" ref="DE131:DE194" si="126">LN(CA131+1)</f>
        <v>1.3862943611198906</v>
      </c>
      <c r="DF131" s="13">
        <f t="shared" ref="DF131:DF194" si="127">LN(CB131+1)</f>
        <v>0.69314718055994529</v>
      </c>
      <c r="DG131" s="13">
        <f t="shared" ref="DG131:DG194" si="128">LN(CC131+1)</f>
        <v>0.69314718055994529</v>
      </c>
      <c r="DH131" s="13"/>
      <c r="DI131" s="13"/>
      <c r="DJ131" s="13"/>
      <c r="DL131"/>
      <c r="DM131"/>
      <c r="DN131"/>
      <c r="DO131"/>
      <c r="DP131" s="31"/>
    </row>
    <row r="132" spans="1:120">
      <c r="A132" s="13" t="s">
        <v>56</v>
      </c>
      <c r="B132" t="s">
        <v>176</v>
      </c>
      <c r="C132" t="s">
        <v>207</v>
      </c>
      <c r="D132" s="13" t="s">
        <v>320</v>
      </c>
      <c r="E132" s="13" t="s">
        <v>91</v>
      </c>
      <c r="F132" s="13">
        <v>0</v>
      </c>
      <c r="G132" s="13">
        <v>0</v>
      </c>
      <c r="H132" s="13">
        <v>0</v>
      </c>
      <c r="I132" s="13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13">
        <v>1</v>
      </c>
      <c r="P132" s="13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32">
        <v>0</v>
      </c>
      <c r="Y132" s="32">
        <v>0</v>
      </c>
      <c r="Z132" s="32">
        <v>0</v>
      </c>
      <c r="AA132" s="13">
        <v>1</v>
      </c>
      <c r="AB132" s="13">
        <v>2</v>
      </c>
      <c r="AC132" s="32">
        <v>0</v>
      </c>
      <c r="AD132" s="13">
        <v>2</v>
      </c>
      <c r="AE132" s="13">
        <v>1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 s="13">
        <v>1</v>
      </c>
      <c r="BD132" s="32">
        <v>0</v>
      </c>
      <c r="BE132" s="32">
        <v>0</v>
      </c>
      <c r="BF132" s="32">
        <v>0</v>
      </c>
      <c r="BG132" s="32">
        <v>0</v>
      </c>
      <c r="BH132" s="32">
        <v>0</v>
      </c>
      <c r="BI132" s="32">
        <v>0</v>
      </c>
      <c r="BJ132" s="32">
        <v>0</v>
      </c>
      <c r="BK132" s="32">
        <v>0</v>
      </c>
      <c r="BL132" s="32">
        <v>0</v>
      </c>
      <c r="BM132" s="32">
        <v>0</v>
      </c>
      <c r="BN132" s="32">
        <v>0</v>
      </c>
      <c r="BO132">
        <f t="shared" si="89"/>
        <v>6</v>
      </c>
      <c r="BP132" s="13">
        <f t="shared" si="90"/>
        <v>8</v>
      </c>
      <c r="BQ132" s="13">
        <f>[1]!shannonweaver(K132:BL132)</f>
        <v>1.7328679513998633</v>
      </c>
      <c r="BR132">
        <f t="shared" si="86"/>
        <v>1</v>
      </c>
      <c r="BS132">
        <f t="shared" si="87"/>
        <v>4</v>
      </c>
      <c r="BT132">
        <f t="shared" si="88"/>
        <v>1</v>
      </c>
      <c r="BU132">
        <f t="shared" si="91"/>
        <v>1</v>
      </c>
      <c r="BV132" s="13">
        <f t="shared" si="92"/>
        <v>1</v>
      </c>
      <c r="BW132" s="13">
        <f t="shared" si="93"/>
        <v>4</v>
      </c>
      <c r="BX132" s="13">
        <f t="shared" si="94"/>
        <v>1</v>
      </c>
      <c r="BY132" s="13">
        <f t="shared" si="95"/>
        <v>5</v>
      </c>
      <c r="BZ132" s="13">
        <f t="shared" si="96"/>
        <v>0</v>
      </c>
      <c r="CA132" s="13">
        <f t="shared" si="97"/>
        <v>6</v>
      </c>
      <c r="CB132" s="13">
        <f t="shared" si="98"/>
        <v>1</v>
      </c>
      <c r="CC132" s="13">
        <f t="shared" si="99"/>
        <v>0</v>
      </c>
      <c r="CD132" s="13">
        <f t="shared" si="100"/>
        <v>2.4494897427831779</v>
      </c>
      <c r="CE132" s="13">
        <f t="shared" si="101"/>
        <v>2.8284271247461903</v>
      </c>
      <c r="CF132" s="13">
        <f t="shared" si="102"/>
        <v>1.3163844238670797</v>
      </c>
      <c r="CG132" s="13">
        <f t="shared" si="103"/>
        <v>1</v>
      </c>
      <c r="CH132" s="13">
        <f t="shared" si="104"/>
        <v>2</v>
      </c>
      <c r="CI132" s="13">
        <f t="shared" si="105"/>
        <v>1</v>
      </c>
      <c r="CJ132" s="13">
        <f t="shared" si="105"/>
        <v>1</v>
      </c>
      <c r="CK132" s="13">
        <f t="shared" si="106"/>
        <v>1</v>
      </c>
      <c r="CL132" s="13">
        <f t="shared" si="107"/>
        <v>2</v>
      </c>
      <c r="CM132" s="13">
        <f t="shared" si="108"/>
        <v>1</v>
      </c>
      <c r="CN132" s="13">
        <f t="shared" si="109"/>
        <v>2.2360679774997898</v>
      </c>
      <c r="CO132" s="13">
        <f t="shared" si="110"/>
        <v>0</v>
      </c>
      <c r="CP132" s="13">
        <f t="shared" si="111"/>
        <v>2.4494897427831779</v>
      </c>
      <c r="CQ132" s="13">
        <f t="shared" si="112"/>
        <v>1</v>
      </c>
      <c r="CR132" s="13">
        <f t="shared" si="113"/>
        <v>0</v>
      </c>
      <c r="CS132" s="13">
        <f t="shared" si="114"/>
        <v>1.9459101490553132</v>
      </c>
      <c r="CT132" s="13">
        <f t="shared" si="115"/>
        <v>2.1972245773362196</v>
      </c>
      <c r="CU132" s="13">
        <f t="shared" si="116"/>
        <v>1.0053515894229552</v>
      </c>
      <c r="CV132" s="13">
        <f t="shared" si="117"/>
        <v>0.69314718055994529</v>
      </c>
      <c r="CW132" s="13">
        <f t="shared" si="118"/>
        <v>1.6094379124341003</v>
      </c>
      <c r="CX132" s="13">
        <f t="shared" si="119"/>
        <v>0.69314718055994529</v>
      </c>
      <c r="CY132" s="13">
        <f t="shared" si="120"/>
        <v>0.69314718055994529</v>
      </c>
      <c r="CZ132" s="13">
        <f t="shared" si="121"/>
        <v>0.69314718055994529</v>
      </c>
      <c r="DA132" s="13">
        <f t="shared" si="122"/>
        <v>1.6094379124341003</v>
      </c>
      <c r="DB132" s="13">
        <f t="shared" si="123"/>
        <v>0.69314718055994529</v>
      </c>
      <c r="DC132" s="13">
        <f t="shared" si="124"/>
        <v>1.791759469228055</v>
      </c>
      <c r="DD132" s="13">
        <f t="shared" si="125"/>
        <v>0</v>
      </c>
      <c r="DE132" s="13">
        <f t="shared" si="126"/>
        <v>1.9459101490553132</v>
      </c>
      <c r="DF132" s="13">
        <f t="shared" si="127"/>
        <v>0.69314718055994529</v>
      </c>
      <c r="DG132" s="13">
        <f t="shared" si="128"/>
        <v>0</v>
      </c>
      <c r="DH132" s="13"/>
      <c r="DI132" s="13"/>
      <c r="DJ132" s="13"/>
      <c r="DL132"/>
      <c r="DM132"/>
      <c r="DN132"/>
      <c r="DO132"/>
      <c r="DP132" s="31"/>
    </row>
    <row r="133" spans="1:120">
      <c r="A133" s="13" t="s">
        <v>57</v>
      </c>
      <c r="B133" t="s">
        <v>176</v>
      </c>
      <c r="C133" t="s">
        <v>207</v>
      </c>
      <c r="D133" s="13" t="s">
        <v>320</v>
      </c>
      <c r="E133" s="13" t="s">
        <v>91</v>
      </c>
      <c r="F133" s="13">
        <v>0</v>
      </c>
      <c r="G133" s="13">
        <v>0</v>
      </c>
      <c r="H133" s="13">
        <v>0</v>
      </c>
      <c r="I133" s="13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13">
        <v>1</v>
      </c>
      <c r="U133" s="32">
        <v>0</v>
      </c>
      <c r="V133" s="32">
        <v>0</v>
      </c>
      <c r="W133" s="13">
        <v>2</v>
      </c>
      <c r="X133" s="32">
        <v>0</v>
      </c>
      <c r="Y133" s="32">
        <v>0</v>
      </c>
      <c r="Z133" s="32">
        <v>0</v>
      </c>
      <c r="AA133" s="32">
        <v>0</v>
      </c>
      <c r="AB133" s="13">
        <v>4</v>
      </c>
      <c r="AC133" s="32">
        <v>0</v>
      </c>
      <c r="AD133" s="13">
        <v>1</v>
      </c>
      <c r="AE133" s="13">
        <v>4</v>
      </c>
      <c r="AF133" s="32">
        <v>0</v>
      </c>
      <c r="AG133" s="32">
        <v>0</v>
      </c>
      <c r="AH133" s="13">
        <v>2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 s="13">
        <v>1</v>
      </c>
      <c r="BD133" s="32">
        <v>0</v>
      </c>
      <c r="BE133" s="32">
        <v>0</v>
      </c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>
        <f t="shared" si="89"/>
        <v>7</v>
      </c>
      <c r="BP133" s="13">
        <f t="shared" si="90"/>
        <v>15</v>
      </c>
      <c r="BQ133" s="13">
        <f>[1]!shannonweaver(K133:BL133)</f>
        <v>1.7838539603556165</v>
      </c>
      <c r="BR133">
        <f t="shared" si="86"/>
        <v>2</v>
      </c>
      <c r="BS133">
        <f t="shared" si="87"/>
        <v>4</v>
      </c>
      <c r="BT133">
        <f t="shared" si="88"/>
        <v>1</v>
      </c>
      <c r="BU133">
        <f t="shared" si="91"/>
        <v>0</v>
      </c>
      <c r="BV133" s="13">
        <f t="shared" si="92"/>
        <v>3</v>
      </c>
      <c r="BW133" s="13">
        <f t="shared" si="93"/>
        <v>5</v>
      </c>
      <c r="BX133" s="13">
        <f t="shared" si="94"/>
        <v>4</v>
      </c>
      <c r="BY133" s="13">
        <f t="shared" si="95"/>
        <v>9</v>
      </c>
      <c r="BZ133" s="13">
        <f t="shared" si="96"/>
        <v>0</v>
      </c>
      <c r="CA133" s="13">
        <f t="shared" si="97"/>
        <v>11</v>
      </c>
      <c r="CB133" s="13">
        <f t="shared" si="98"/>
        <v>1</v>
      </c>
      <c r="CC133" s="13">
        <f t="shared" si="99"/>
        <v>0</v>
      </c>
      <c r="CD133" s="13">
        <f t="shared" si="100"/>
        <v>2.6457513110645907</v>
      </c>
      <c r="CE133" s="13">
        <f t="shared" si="101"/>
        <v>3.872983346207417</v>
      </c>
      <c r="CF133" s="13">
        <f t="shared" si="102"/>
        <v>1.3356099581672849</v>
      </c>
      <c r="CG133" s="13">
        <f t="shared" si="103"/>
        <v>1.4142135623730951</v>
      </c>
      <c r="CH133" s="13">
        <f t="shared" si="104"/>
        <v>2</v>
      </c>
      <c r="CI133" s="13">
        <f t="shared" si="105"/>
        <v>1</v>
      </c>
      <c r="CJ133" s="13">
        <f t="shared" si="105"/>
        <v>0</v>
      </c>
      <c r="CK133" s="13">
        <f t="shared" si="106"/>
        <v>1.7320508075688772</v>
      </c>
      <c r="CL133" s="13">
        <f t="shared" si="107"/>
        <v>2.2360679774997898</v>
      </c>
      <c r="CM133" s="13">
        <f t="shared" si="108"/>
        <v>2</v>
      </c>
      <c r="CN133" s="13">
        <f t="shared" si="109"/>
        <v>3</v>
      </c>
      <c r="CO133" s="13">
        <f t="shared" si="110"/>
        <v>0</v>
      </c>
      <c r="CP133" s="13">
        <f t="shared" si="111"/>
        <v>3.3166247903553998</v>
      </c>
      <c r="CQ133" s="13">
        <f t="shared" si="112"/>
        <v>1</v>
      </c>
      <c r="CR133" s="13">
        <f t="shared" si="113"/>
        <v>0</v>
      </c>
      <c r="CS133" s="13">
        <f t="shared" si="114"/>
        <v>2.0794415416798357</v>
      </c>
      <c r="CT133" s="13">
        <f t="shared" si="115"/>
        <v>2.7725887222397811</v>
      </c>
      <c r="CU133" s="13">
        <f t="shared" si="116"/>
        <v>1.0238362843274529</v>
      </c>
      <c r="CV133" s="13">
        <f t="shared" si="117"/>
        <v>1.0986122886681098</v>
      </c>
      <c r="CW133" s="13">
        <f t="shared" si="118"/>
        <v>1.6094379124341003</v>
      </c>
      <c r="CX133" s="13">
        <f t="shared" si="119"/>
        <v>0.69314718055994529</v>
      </c>
      <c r="CY133" s="13">
        <f t="shared" si="120"/>
        <v>0</v>
      </c>
      <c r="CZ133" s="13">
        <f t="shared" si="121"/>
        <v>1.3862943611198906</v>
      </c>
      <c r="DA133" s="13">
        <f t="shared" si="122"/>
        <v>1.791759469228055</v>
      </c>
      <c r="DB133" s="13">
        <f t="shared" si="123"/>
        <v>1.6094379124341003</v>
      </c>
      <c r="DC133" s="13">
        <f t="shared" si="124"/>
        <v>2.3025850929940459</v>
      </c>
      <c r="DD133" s="13">
        <f t="shared" si="125"/>
        <v>0</v>
      </c>
      <c r="DE133" s="13">
        <f t="shared" si="126"/>
        <v>2.4849066497880004</v>
      </c>
      <c r="DF133" s="13">
        <f t="shared" si="127"/>
        <v>0.69314718055994529</v>
      </c>
      <c r="DG133" s="13">
        <f t="shared" si="128"/>
        <v>0</v>
      </c>
      <c r="DH133" s="13"/>
      <c r="DI133" s="13"/>
      <c r="DJ133" s="13"/>
      <c r="DL133"/>
      <c r="DM133"/>
      <c r="DN133"/>
      <c r="DO133"/>
      <c r="DP133" s="31"/>
    </row>
    <row r="134" spans="1:120">
      <c r="A134" s="13" t="s">
        <v>58</v>
      </c>
      <c r="B134" t="s">
        <v>176</v>
      </c>
      <c r="C134" t="s">
        <v>213</v>
      </c>
      <c r="D134" s="13" t="s">
        <v>320</v>
      </c>
      <c r="E134" s="13" t="s">
        <v>91</v>
      </c>
      <c r="F134" s="13">
        <v>0</v>
      </c>
      <c r="G134" s="13">
        <v>0</v>
      </c>
      <c r="H134" s="13">
        <v>0</v>
      </c>
      <c r="I134" s="13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13">
        <v>3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32">
        <v>0</v>
      </c>
      <c r="Z134" s="32">
        <v>0</v>
      </c>
      <c r="AA134" s="32">
        <v>0</v>
      </c>
      <c r="AB134" s="13">
        <v>5</v>
      </c>
      <c r="AC134" s="32">
        <v>0</v>
      </c>
      <c r="AD134" s="13">
        <v>13</v>
      </c>
      <c r="AE134" s="13">
        <v>6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13">
        <v>1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 s="32">
        <v>0</v>
      </c>
      <c r="BD134" s="32">
        <v>0</v>
      </c>
      <c r="BE134" s="32">
        <v>0</v>
      </c>
      <c r="BF134" s="32">
        <v>0</v>
      </c>
      <c r="BG134" s="32">
        <v>0</v>
      </c>
      <c r="BH134" s="32">
        <v>0</v>
      </c>
      <c r="BI134" s="13">
        <v>1</v>
      </c>
      <c r="BJ134" s="32">
        <v>0</v>
      </c>
      <c r="BK134" s="32">
        <v>0</v>
      </c>
      <c r="BL134" s="32">
        <v>0</v>
      </c>
      <c r="BM134" s="32">
        <v>0</v>
      </c>
      <c r="BN134" s="32">
        <v>0</v>
      </c>
      <c r="BO134">
        <f t="shared" si="89"/>
        <v>6</v>
      </c>
      <c r="BP134" s="13">
        <f t="shared" si="90"/>
        <v>29</v>
      </c>
      <c r="BQ134" s="13">
        <f>[1]!shannonweaver(K134:BL134)</f>
        <v>1.4556432475539522</v>
      </c>
      <c r="BR134">
        <f t="shared" si="86"/>
        <v>1</v>
      </c>
      <c r="BS134">
        <f t="shared" si="87"/>
        <v>4</v>
      </c>
      <c r="BT134">
        <f t="shared" si="88"/>
        <v>0</v>
      </c>
      <c r="BU134">
        <f t="shared" si="91"/>
        <v>3</v>
      </c>
      <c r="BV134" s="13">
        <f t="shared" si="92"/>
        <v>3</v>
      </c>
      <c r="BW134" s="13">
        <f t="shared" si="93"/>
        <v>18</v>
      </c>
      <c r="BX134" s="13">
        <f t="shared" si="94"/>
        <v>6</v>
      </c>
      <c r="BY134" s="13">
        <f t="shared" si="95"/>
        <v>24</v>
      </c>
      <c r="BZ134" s="13">
        <f t="shared" si="96"/>
        <v>0</v>
      </c>
      <c r="CA134" s="13">
        <f t="shared" si="97"/>
        <v>25</v>
      </c>
      <c r="CB134" s="13">
        <f t="shared" si="98"/>
        <v>0</v>
      </c>
      <c r="CC134" s="13">
        <f t="shared" si="99"/>
        <v>0</v>
      </c>
      <c r="CD134" s="13">
        <f t="shared" si="100"/>
        <v>2.4494897427831779</v>
      </c>
      <c r="CE134" s="13">
        <f t="shared" si="101"/>
        <v>5.3851648071345037</v>
      </c>
      <c r="CF134" s="13">
        <f t="shared" si="102"/>
        <v>1.206500413408115</v>
      </c>
      <c r="CG134" s="13">
        <f t="shared" si="103"/>
        <v>1</v>
      </c>
      <c r="CH134" s="13">
        <f t="shared" si="104"/>
        <v>2</v>
      </c>
      <c r="CI134" s="13">
        <f t="shared" si="105"/>
        <v>0</v>
      </c>
      <c r="CJ134" s="13">
        <f t="shared" si="105"/>
        <v>1.7320508075688772</v>
      </c>
      <c r="CK134" s="13">
        <f t="shared" si="106"/>
        <v>1.7320508075688772</v>
      </c>
      <c r="CL134" s="13">
        <f t="shared" si="107"/>
        <v>4.2426406871192848</v>
      </c>
      <c r="CM134" s="13">
        <f t="shared" si="108"/>
        <v>2.4494897427831779</v>
      </c>
      <c r="CN134" s="13">
        <f t="shared" si="109"/>
        <v>4.8989794855663558</v>
      </c>
      <c r="CO134" s="13">
        <f t="shared" si="110"/>
        <v>0</v>
      </c>
      <c r="CP134" s="13">
        <f t="shared" si="111"/>
        <v>5</v>
      </c>
      <c r="CQ134" s="13">
        <f t="shared" si="112"/>
        <v>0</v>
      </c>
      <c r="CR134" s="13">
        <f t="shared" si="113"/>
        <v>0</v>
      </c>
      <c r="CS134" s="13">
        <f t="shared" si="114"/>
        <v>1.9459101490553132</v>
      </c>
      <c r="CT134" s="13">
        <f t="shared" si="115"/>
        <v>3.4011973816621555</v>
      </c>
      <c r="CU134" s="13">
        <f t="shared" si="116"/>
        <v>0.89838874222339637</v>
      </c>
      <c r="CV134" s="13">
        <f t="shared" si="117"/>
        <v>0.69314718055994529</v>
      </c>
      <c r="CW134" s="13">
        <f t="shared" si="118"/>
        <v>1.6094379124341003</v>
      </c>
      <c r="CX134" s="13">
        <f t="shared" si="119"/>
        <v>0</v>
      </c>
      <c r="CY134" s="13">
        <f t="shared" si="120"/>
        <v>1.3862943611198906</v>
      </c>
      <c r="CZ134" s="13">
        <f t="shared" si="121"/>
        <v>1.3862943611198906</v>
      </c>
      <c r="DA134" s="13">
        <f t="shared" si="122"/>
        <v>2.9444389791664403</v>
      </c>
      <c r="DB134" s="13">
        <f t="shared" si="123"/>
        <v>1.9459101490553132</v>
      </c>
      <c r="DC134" s="13">
        <f t="shared" si="124"/>
        <v>3.2188758248682006</v>
      </c>
      <c r="DD134" s="13">
        <f t="shared" si="125"/>
        <v>0</v>
      </c>
      <c r="DE134" s="13">
        <f t="shared" si="126"/>
        <v>3.2580965380214821</v>
      </c>
      <c r="DF134" s="13">
        <f t="shared" si="127"/>
        <v>0</v>
      </c>
      <c r="DG134" s="13">
        <f t="shared" si="128"/>
        <v>0</v>
      </c>
      <c r="DH134" s="13"/>
      <c r="DI134" s="13"/>
      <c r="DJ134" s="13"/>
      <c r="DL134"/>
      <c r="DM134"/>
      <c r="DN134"/>
      <c r="DO134"/>
      <c r="DP134" s="31"/>
    </row>
    <row r="135" spans="1:120">
      <c r="A135" s="13" t="s">
        <v>60</v>
      </c>
      <c r="B135" t="s">
        <v>176</v>
      </c>
      <c r="C135" t="s">
        <v>213</v>
      </c>
      <c r="D135" s="13" t="s">
        <v>320</v>
      </c>
      <c r="E135" s="13" t="s">
        <v>91</v>
      </c>
      <c r="F135" s="13">
        <v>0</v>
      </c>
      <c r="G135" s="13">
        <v>0</v>
      </c>
      <c r="H135" s="13">
        <v>0</v>
      </c>
      <c r="I135" s="13">
        <v>0</v>
      </c>
      <c r="J135" s="32">
        <v>0</v>
      </c>
      <c r="K135" s="32">
        <v>0</v>
      </c>
      <c r="L135" s="32">
        <v>0</v>
      </c>
      <c r="M135" s="32">
        <v>0</v>
      </c>
      <c r="N135" s="32">
        <v>0</v>
      </c>
      <c r="O135" s="13">
        <v>4</v>
      </c>
      <c r="P135" s="32">
        <v>0</v>
      </c>
      <c r="Q135" s="32">
        <v>0</v>
      </c>
      <c r="R135" s="32">
        <v>0</v>
      </c>
      <c r="S135" s="32">
        <v>0</v>
      </c>
      <c r="T135" s="32">
        <v>0</v>
      </c>
      <c r="U135" s="32">
        <v>0</v>
      </c>
      <c r="V135" s="13">
        <v>1</v>
      </c>
      <c r="W135" s="32">
        <v>0</v>
      </c>
      <c r="X135" s="13">
        <v>1</v>
      </c>
      <c r="Y135" s="32">
        <v>0</v>
      </c>
      <c r="Z135" s="32">
        <v>0</v>
      </c>
      <c r="AA135" s="32">
        <v>0</v>
      </c>
      <c r="AB135" s="13">
        <v>4</v>
      </c>
      <c r="AC135" s="32">
        <v>0</v>
      </c>
      <c r="AD135" s="13">
        <v>3</v>
      </c>
      <c r="AE135" s="13">
        <v>0</v>
      </c>
      <c r="AF135" s="32">
        <v>0</v>
      </c>
      <c r="AG135" s="13">
        <v>1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 s="32">
        <v>0</v>
      </c>
      <c r="BD135" s="32">
        <v>0</v>
      </c>
      <c r="BE135" s="32">
        <v>0</v>
      </c>
      <c r="BF135" s="32">
        <v>0</v>
      </c>
      <c r="BG135" s="32">
        <v>0</v>
      </c>
      <c r="BH135" s="32">
        <v>0</v>
      </c>
      <c r="BI135" s="32">
        <v>0</v>
      </c>
      <c r="BJ135" s="32">
        <v>0</v>
      </c>
      <c r="BK135" s="32">
        <v>0</v>
      </c>
      <c r="BL135" s="32">
        <v>0</v>
      </c>
      <c r="BM135" s="32">
        <v>0</v>
      </c>
      <c r="BN135" s="32">
        <v>0</v>
      </c>
      <c r="BO135">
        <f t="shared" si="89"/>
        <v>6</v>
      </c>
      <c r="BP135" s="13">
        <f t="shared" si="90"/>
        <v>14</v>
      </c>
      <c r="BQ135" s="13">
        <f>[1]!shannonweaver(K135:BL135)</f>
        <v>1.6114722042607263</v>
      </c>
      <c r="BR135">
        <f t="shared" si="86"/>
        <v>2</v>
      </c>
      <c r="BS135">
        <f t="shared" si="87"/>
        <v>4</v>
      </c>
      <c r="BT135">
        <f t="shared" si="88"/>
        <v>0</v>
      </c>
      <c r="BU135">
        <f t="shared" si="91"/>
        <v>4</v>
      </c>
      <c r="BV135" s="13">
        <f t="shared" si="92"/>
        <v>5</v>
      </c>
      <c r="BW135" s="13">
        <f t="shared" si="93"/>
        <v>7</v>
      </c>
      <c r="BX135" s="13">
        <f t="shared" si="94"/>
        <v>0</v>
      </c>
      <c r="BY135" s="13">
        <f t="shared" si="95"/>
        <v>7</v>
      </c>
      <c r="BZ135" s="13">
        <f t="shared" si="96"/>
        <v>1</v>
      </c>
      <c r="CA135" s="13">
        <f t="shared" si="97"/>
        <v>9</v>
      </c>
      <c r="CB135" s="13">
        <f t="shared" si="98"/>
        <v>0</v>
      </c>
      <c r="CC135" s="13">
        <f t="shared" si="99"/>
        <v>0</v>
      </c>
      <c r="CD135" s="13">
        <f t="shared" si="100"/>
        <v>2.4494897427831779</v>
      </c>
      <c r="CE135" s="13">
        <f t="shared" si="101"/>
        <v>3.7416573867739413</v>
      </c>
      <c r="CF135" s="13">
        <f t="shared" si="102"/>
        <v>1.2694377512350601</v>
      </c>
      <c r="CG135" s="13">
        <f t="shared" si="103"/>
        <v>1.4142135623730951</v>
      </c>
      <c r="CH135" s="13">
        <f t="shared" si="104"/>
        <v>2</v>
      </c>
      <c r="CI135" s="13">
        <f t="shared" si="105"/>
        <v>0</v>
      </c>
      <c r="CJ135" s="13">
        <f t="shared" si="105"/>
        <v>2</v>
      </c>
      <c r="CK135" s="13">
        <f t="shared" si="106"/>
        <v>2.2360679774997898</v>
      </c>
      <c r="CL135" s="13">
        <f t="shared" si="107"/>
        <v>2.6457513110645907</v>
      </c>
      <c r="CM135" s="13">
        <f t="shared" si="108"/>
        <v>0</v>
      </c>
      <c r="CN135" s="13">
        <f t="shared" si="109"/>
        <v>2.6457513110645907</v>
      </c>
      <c r="CO135" s="13">
        <f t="shared" si="110"/>
        <v>1</v>
      </c>
      <c r="CP135" s="13">
        <f t="shared" si="111"/>
        <v>3</v>
      </c>
      <c r="CQ135" s="13">
        <f t="shared" si="112"/>
        <v>0</v>
      </c>
      <c r="CR135" s="13">
        <f t="shared" si="113"/>
        <v>0</v>
      </c>
      <c r="CS135" s="13">
        <f t="shared" si="114"/>
        <v>1.9459101490553132</v>
      </c>
      <c r="CT135" s="13">
        <f t="shared" si="115"/>
        <v>2.7080502011022101</v>
      </c>
      <c r="CU135" s="13">
        <f t="shared" si="116"/>
        <v>0.95991412524604569</v>
      </c>
      <c r="CV135" s="13">
        <f t="shared" si="117"/>
        <v>1.0986122886681098</v>
      </c>
      <c r="CW135" s="13">
        <f t="shared" si="118"/>
        <v>1.6094379124341003</v>
      </c>
      <c r="CX135" s="13">
        <f t="shared" si="119"/>
        <v>0</v>
      </c>
      <c r="CY135" s="13">
        <f t="shared" si="120"/>
        <v>1.6094379124341003</v>
      </c>
      <c r="CZ135" s="13">
        <f t="shared" si="121"/>
        <v>1.791759469228055</v>
      </c>
      <c r="DA135" s="13">
        <f t="shared" si="122"/>
        <v>2.0794415416798357</v>
      </c>
      <c r="DB135" s="13">
        <f t="shared" si="123"/>
        <v>0</v>
      </c>
      <c r="DC135" s="13">
        <f t="shared" si="124"/>
        <v>2.0794415416798357</v>
      </c>
      <c r="DD135" s="13">
        <f t="shared" si="125"/>
        <v>0.69314718055994529</v>
      </c>
      <c r="DE135" s="13">
        <f t="shared" si="126"/>
        <v>2.3025850929940459</v>
      </c>
      <c r="DF135" s="13">
        <f t="shared" si="127"/>
        <v>0</v>
      </c>
      <c r="DG135" s="13">
        <f t="shared" si="128"/>
        <v>0</v>
      </c>
      <c r="DH135" s="13"/>
      <c r="DI135" s="13"/>
      <c r="DJ135" s="13"/>
      <c r="DL135"/>
      <c r="DM135"/>
      <c r="DN135"/>
      <c r="DO135"/>
      <c r="DP135" s="31"/>
    </row>
    <row r="136" spans="1:120">
      <c r="A136" s="13" t="s">
        <v>79</v>
      </c>
      <c r="B136" t="s">
        <v>176</v>
      </c>
      <c r="C136" t="s">
        <v>213</v>
      </c>
      <c r="D136" s="13" t="s">
        <v>320</v>
      </c>
      <c r="E136" s="13" t="s">
        <v>91</v>
      </c>
      <c r="F136" s="13">
        <v>0</v>
      </c>
      <c r="G136" s="13">
        <v>0</v>
      </c>
      <c r="H136" s="13">
        <v>0</v>
      </c>
      <c r="I136" s="13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13">
        <v>1</v>
      </c>
      <c r="P136" s="32">
        <v>0</v>
      </c>
      <c r="Q136" s="32">
        <v>0</v>
      </c>
      <c r="R136" s="32">
        <v>0</v>
      </c>
      <c r="S136" s="32">
        <v>0</v>
      </c>
      <c r="T136" s="32">
        <v>0</v>
      </c>
      <c r="U136" s="32">
        <v>0</v>
      </c>
      <c r="V136" s="32">
        <v>0</v>
      </c>
      <c r="W136" s="13">
        <v>1</v>
      </c>
      <c r="X136" s="13">
        <v>0</v>
      </c>
      <c r="Y136" s="32">
        <v>0</v>
      </c>
      <c r="Z136" s="32">
        <v>0</v>
      </c>
      <c r="AA136" s="32">
        <v>0</v>
      </c>
      <c r="AB136" s="13">
        <v>1</v>
      </c>
      <c r="AC136" s="32">
        <v>0</v>
      </c>
      <c r="AD136" s="13">
        <v>6</v>
      </c>
      <c r="AE136" s="13">
        <v>3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13">
        <v>1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 s="32">
        <v>0</v>
      </c>
      <c r="BD136" s="32">
        <v>0</v>
      </c>
      <c r="BE136" s="32">
        <v>0</v>
      </c>
      <c r="BF136" s="32">
        <v>0</v>
      </c>
      <c r="BG136" s="32">
        <v>0</v>
      </c>
      <c r="BH136" s="32">
        <v>0</v>
      </c>
      <c r="BI136" s="32">
        <v>0</v>
      </c>
      <c r="BJ136" s="32">
        <v>0</v>
      </c>
      <c r="BK136" s="13">
        <v>1</v>
      </c>
      <c r="BL136" s="32">
        <v>0</v>
      </c>
      <c r="BM136" s="32">
        <v>0</v>
      </c>
      <c r="BN136" s="32">
        <v>0</v>
      </c>
      <c r="BO136">
        <f t="shared" si="89"/>
        <v>7</v>
      </c>
      <c r="BP136" s="13">
        <f t="shared" si="90"/>
        <v>14</v>
      </c>
      <c r="BQ136" s="13">
        <f>[1]!shannonweaver(K136:BL136)</f>
        <v>1.6357434952314973</v>
      </c>
      <c r="BR136">
        <f t="shared" ref="BR136:BR199" si="129">COUNTIF(N136:W136, "&gt;0")</f>
        <v>2</v>
      </c>
      <c r="BS136">
        <f t="shared" ref="BS136:BS199" si="130">COUNTIF(X136:AQ136, "&gt;0")</f>
        <v>4</v>
      </c>
      <c r="BT136">
        <f t="shared" ref="BT136:BT199" si="131">COUNTIF(AR136:BD136, "&gt;0")</f>
        <v>0</v>
      </c>
      <c r="BU136">
        <f t="shared" si="91"/>
        <v>1</v>
      </c>
      <c r="BV136" s="13">
        <f t="shared" si="92"/>
        <v>2</v>
      </c>
      <c r="BW136" s="13">
        <f t="shared" si="93"/>
        <v>7</v>
      </c>
      <c r="BX136" s="13">
        <f t="shared" si="94"/>
        <v>3</v>
      </c>
      <c r="BY136" s="13">
        <f t="shared" si="95"/>
        <v>10</v>
      </c>
      <c r="BZ136" s="13">
        <f t="shared" si="96"/>
        <v>0</v>
      </c>
      <c r="CA136" s="13">
        <f t="shared" si="97"/>
        <v>11</v>
      </c>
      <c r="CB136" s="13">
        <f t="shared" si="98"/>
        <v>0</v>
      </c>
      <c r="CC136" s="13">
        <f t="shared" si="99"/>
        <v>1</v>
      </c>
      <c r="CD136" s="13">
        <f t="shared" si="100"/>
        <v>2.6457513110645907</v>
      </c>
      <c r="CE136" s="13">
        <f t="shared" si="101"/>
        <v>3.7416573867739413</v>
      </c>
      <c r="CF136" s="13">
        <f t="shared" si="102"/>
        <v>1.2789618818524253</v>
      </c>
      <c r="CG136" s="13">
        <f t="shared" si="103"/>
        <v>1.4142135623730951</v>
      </c>
      <c r="CH136" s="13">
        <f t="shared" si="104"/>
        <v>2</v>
      </c>
      <c r="CI136" s="13">
        <f t="shared" si="105"/>
        <v>0</v>
      </c>
      <c r="CJ136" s="13">
        <f t="shared" si="105"/>
        <v>1</v>
      </c>
      <c r="CK136" s="13">
        <f t="shared" si="106"/>
        <v>1.4142135623730951</v>
      </c>
      <c r="CL136" s="13">
        <f t="shared" si="107"/>
        <v>2.6457513110645907</v>
      </c>
      <c r="CM136" s="13">
        <f t="shared" si="108"/>
        <v>1.7320508075688772</v>
      </c>
      <c r="CN136" s="13">
        <f t="shared" si="109"/>
        <v>3.1622776601683795</v>
      </c>
      <c r="CO136" s="13">
        <f t="shared" si="110"/>
        <v>0</v>
      </c>
      <c r="CP136" s="13">
        <f t="shared" si="111"/>
        <v>3.3166247903553998</v>
      </c>
      <c r="CQ136" s="13">
        <f t="shared" si="112"/>
        <v>0</v>
      </c>
      <c r="CR136" s="13">
        <f t="shared" si="113"/>
        <v>1</v>
      </c>
      <c r="CS136" s="13">
        <f t="shared" si="114"/>
        <v>2.0794415416798357</v>
      </c>
      <c r="CT136" s="13">
        <f t="shared" si="115"/>
        <v>2.7080502011022101</v>
      </c>
      <c r="CU136" s="13">
        <f t="shared" si="116"/>
        <v>0.9691653035714678</v>
      </c>
      <c r="CV136" s="13">
        <f t="shared" si="117"/>
        <v>1.0986122886681098</v>
      </c>
      <c r="CW136" s="13">
        <f t="shared" si="118"/>
        <v>1.6094379124341003</v>
      </c>
      <c r="CX136" s="13">
        <f t="shared" si="119"/>
        <v>0</v>
      </c>
      <c r="CY136" s="13">
        <f t="shared" si="120"/>
        <v>0.69314718055994529</v>
      </c>
      <c r="CZ136" s="13">
        <f t="shared" si="121"/>
        <v>1.0986122886681098</v>
      </c>
      <c r="DA136" s="13">
        <f t="shared" si="122"/>
        <v>2.0794415416798357</v>
      </c>
      <c r="DB136" s="13">
        <f t="shared" si="123"/>
        <v>1.3862943611198906</v>
      </c>
      <c r="DC136" s="13">
        <f t="shared" si="124"/>
        <v>2.3978952727983707</v>
      </c>
      <c r="DD136" s="13">
        <f t="shared" si="125"/>
        <v>0</v>
      </c>
      <c r="DE136" s="13">
        <f t="shared" si="126"/>
        <v>2.4849066497880004</v>
      </c>
      <c r="DF136" s="13">
        <f t="shared" si="127"/>
        <v>0</v>
      </c>
      <c r="DG136" s="13">
        <f t="shared" si="128"/>
        <v>0.69314718055994529</v>
      </c>
      <c r="DH136" s="13"/>
      <c r="DI136" s="13"/>
      <c r="DJ136" s="13"/>
      <c r="DL136"/>
      <c r="DM136"/>
      <c r="DN136"/>
      <c r="DO136"/>
      <c r="DP136" s="31"/>
    </row>
    <row r="137" spans="1:120">
      <c r="A137" s="13" t="s">
        <v>80</v>
      </c>
      <c r="B137" t="s">
        <v>176</v>
      </c>
      <c r="C137" t="s">
        <v>213</v>
      </c>
      <c r="D137" s="13" t="s">
        <v>320</v>
      </c>
      <c r="E137" s="13" t="s">
        <v>91</v>
      </c>
      <c r="F137" s="13">
        <v>0</v>
      </c>
      <c r="G137" s="13">
        <v>0</v>
      </c>
      <c r="H137" s="13">
        <v>0</v>
      </c>
      <c r="I137" s="13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32">
        <v>0</v>
      </c>
      <c r="T137" s="32">
        <v>0</v>
      </c>
      <c r="U137" s="32">
        <v>0</v>
      </c>
      <c r="V137" s="13">
        <v>1</v>
      </c>
      <c r="W137" s="13">
        <v>0</v>
      </c>
      <c r="X137" s="13">
        <v>0</v>
      </c>
      <c r="Y137" s="32">
        <v>0</v>
      </c>
      <c r="Z137" s="32">
        <v>0</v>
      </c>
      <c r="AA137" s="32">
        <v>0</v>
      </c>
      <c r="AB137" s="13">
        <v>4</v>
      </c>
      <c r="AC137" s="32">
        <v>0</v>
      </c>
      <c r="AD137" s="13">
        <v>9</v>
      </c>
      <c r="AE137" s="13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 s="32">
        <v>0</v>
      </c>
      <c r="BD137" s="32">
        <v>0</v>
      </c>
      <c r="BE137" s="32">
        <v>0</v>
      </c>
      <c r="BF137" s="32">
        <v>0</v>
      </c>
      <c r="BG137" s="32">
        <v>0</v>
      </c>
      <c r="BH137" s="32">
        <v>0</v>
      </c>
      <c r="BI137" s="32">
        <v>0</v>
      </c>
      <c r="BJ137" s="32">
        <v>0</v>
      </c>
      <c r="BK137" s="32">
        <v>0</v>
      </c>
      <c r="BL137" s="32">
        <v>0</v>
      </c>
      <c r="BM137" s="32">
        <v>0</v>
      </c>
      <c r="BN137" s="32">
        <v>0</v>
      </c>
      <c r="BO137">
        <f t="shared" si="89"/>
        <v>3</v>
      </c>
      <c r="BP137" s="13">
        <f t="shared" si="90"/>
        <v>14</v>
      </c>
      <c r="BQ137" s="13">
        <f>[1]!shannonweaver(K137:BL137)</f>
        <v>0.8304717124362917</v>
      </c>
      <c r="BR137">
        <f t="shared" si="129"/>
        <v>1</v>
      </c>
      <c r="BS137">
        <f t="shared" si="130"/>
        <v>2</v>
      </c>
      <c r="BT137">
        <f t="shared" si="131"/>
        <v>0</v>
      </c>
      <c r="BU137">
        <f t="shared" si="91"/>
        <v>0</v>
      </c>
      <c r="BV137" s="13">
        <f t="shared" si="92"/>
        <v>1</v>
      </c>
      <c r="BW137" s="13">
        <f t="shared" si="93"/>
        <v>13</v>
      </c>
      <c r="BX137" s="13">
        <f t="shared" si="94"/>
        <v>0</v>
      </c>
      <c r="BY137" s="13">
        <f t="shared" si="95"/>
        <v>13</v>
      </c>
      <c r="BZ137" s="13">
        <f t="shared" si="96"/>
        <v>0</v>
      </c>
      <c r="CA137" s="13">
        <f t="shared" si="97"/>
        <v>13</v>
      </c>
      <c r="CB137" s="13">
        <f t="shared" si="98"/>
        <v>0</v>
      </c>
      <c r="CC137" s="13">
        <f t="shared" si="99"/>
        <v>0</v>
      </c>
      <c r="CD137" s="13">
        <f t="shared" si="100"/>
        <v>1.7320508075688772</v>
      </c>
      <c r="CE137" s="13">
        <f t="shared" si="101"/>
        <v>3.7416573867739413</v>
      </c>
      <c r="CF137" s="13">
        <f t="shared" si="102"/>
        <v>0.91130220697433395</v>
      </c>
      <c r="CG137" s="13">
        <f t="shared" si="103"/>
        <v>1</v>
      </c>
      <c r="CH137" s="13">
        <f t="shared" si="104"/>
        <v>1.4142135623730951</v>
      </c>
      <c r="CI137" s="13">
        <f t="shared" si="105"/>
        <v>0</v>
      </c>
      <c r="CJ137" s="13">
        <f t="shared" si="105"/>
        <v>0</v>
      </c>
      <c r="CK137" s="13">
        <f t="shared" si="106"/>
        <v>1</v>
      </c>
      <c r="CL137" s="13">
        <f t="shared" si="107"/>
        <v>3.6055512754639891</v>
      </c>
      <c r="CM137" s="13">
        <f t="shared" si="108"/>
        <v>0</v>
      </c>
      <c r="CN137" s="13">
        <f t="shared" si="109"/>
        <v>3.6055512754639891</v>
      </c>
      <c r="CO137" s="13">
        <f t="shared" si="110"/>
        <v>0</v>
      </c>
      <c r="CP137" s="13">
        <f t="shared" si="111"/>
        <v>3.6055512754639891</v>
      </c>
      <c r="CQ137" s="13">
        <f t="shared" si="112"/>
        <v>0</v>
      </c>
      <c r="CR137" s="13">
        <f t="shared" si="113"/>
        <v>0</v>
      </c>
      <c r="CS137" s="13">
        <f t="shared" si="114"/>
        <v>1.3862943611198906</v>
      </c>
      <c r="CT137" s="13">
        <f t="shared" si="115"/>
        <v>2.7080502011022101</v>
      </c>
      <c r="CU137" s="13">
        <f t="shared" si="116"/>
        <v>0.60457369999591892</v>
      </c>
      <c r="CV137" s="13">
        <f t="shared" si="117"/>
        <v>0.69314718055994529</v>
      </c>
      <c r="CW137" s="13">
        <f t="shared" si="118"/>
        <v>1.0986122886681098</v>
      </c>
      <c r="CX137" s="13">
        <f t="shared" si="119"/>
        <v>0</v>
      </c>
      <c r="CY137" s="13">
        <f t="shared" si="120"/>
        <v>0</v>
      </c>
      <c r="CZ137" s="13">
        <f t="shared" si="121"/>
        <v>0.69314718055994529</v>
      </c>
      <c r="DA137" s="13">
        <f t="shared" si="122"/>
        <v>2.6390573296152584</v>
      </c>
      <c r="DB137" s="13">
        <f t="shared" si="123"/>
        <v>0</v>
      </c>
      <c r="DC137" s="13">
        <f t="shared" si="124"/>
        <v>2.6390573296152584</v>
      </c>
      <c r="DD137" s="13">
        <f t="shared" si="125"/>
        <v>0</v>
      </c>
      <c r="DE137" s="13">
        <f t="shared" si="126"/>
        <v>2.6390573296152584</v>
      </c>
      <c r="DF137" s="13">
        <f t="shared" si="127"/>
        <v>0</v>
      </c>
      <c r="DG137" s="13">
        <f t="shared" si="128"/>
        <v>0</v>
      </c>
      <c r="DH137" s="13"/>
      <c r="DI137" s="13"/>
      <c r="DJ137" s="13"/>
      <c r="DL137"/>
      <c r="DM137"/>
      <c r="DN137"/>
      <c r="DO137"/>
      <c r="DP137" s="31"/>
    </row>
    <row r="138" spans="1:120">
      <c r="A138" s="14" t="s">
        <v>16</v>
      </c>
      <c r="B138" t="s">
        <v>176</v>
      </c>
      <c r="C138" t="s">
        <v>213</v>
      </c>
      <c r="D138" s="13" t="s">
        <v>320</v>
      </c>
      <c r="E138" s="13" t="s">
        <v>91</v>
      </c>
      <c r="F138" s="13">
        <v>0</v>
      </c>
      <c r="G138" s="13">
        <v>0</v>
      </c>
      <c r="H138" s="13">
        <v>0</v>
      </c>
      <c r="I138" s="13">
        <v>0</v>
      </c>
      <c r="J138" s="32">
        <v>0</v>
      </c>
      <c r="K138" s="32">
        <v>0</v>
      </c>
      <c r="L138" s="32">
        <v>0</v>
      </c>
      <c r="M138" s="32">
        <v>0</v>
      </c>
      <c r="N138" s="32">
        <v>0</v>
      </c>
      <c r="O138" s="13">
        <v>3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32">
        <v>0</v>
      </c>
      <c r="Z138" s="32">
        <v>0</v>
      </c>
      <c r="AA138" s="32">
        <v>0</v>
      </c>
      <c r="AB138" s="13">
        <v>7</v>
      </c>
      <c r="AC138" s="32">
        <v>0</v>
      </c>
      <c r="AD138" s="32">
        <v>0</v>
      </c>
      <c r="AE138" s="13">
        <v>11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 s="32">
        <v>0</v>
      </c>
      <c r="BD138" s="32">
        <v>0</v>
      </c>
      <c r="BE138" s="32">
        <v>0</v>
      </c>
      <c r="BF138" s="32">
        <v>0</v>
      </c>
      <c r="BG138" s="32">
        <v>0</v>
      </c>
      <c r="BH138" s="32">
        <v>0</v>
      </c>
      <c r="BI138" s="32">
        <v>0</v>
      </c>
      <c r="BJ138" s="13">
        <v>1</v>
      </c>
      <c r="BK138" s="32">
        <v>0</v>
      </c>
      <c r="BL138" s="32">
        <v>0</v>
      </c>
      <c r="BM138" s="32">
        <v>0</v>
      </c>
      <c r="BN138" s="32">
        <v>0</v>
      </c>
      <c r="BO138">
        <f t="shared" si="89"/>
        <v>4</v>
      </c>
      <c r="BP138" s="13">
        <f t="shared" si="90"/>
        <v>22</v>
      </c>
      <c r="BQ138" s="13">
        <f>[1]!shannonweaver(K138:BL138)</f>
        <v>1.123130821077698</v>
      </c>
      <c r="BR138">
        <f t="shared" si="129"/>
        <v>1</v>
      </c>
      <c r="BS138">
        <f t="shared" si="130"/>
        <v>2</v>
      </c>
      <c r="BT138">
        <f t="shared" si="131"/>
        <v>0</v>
      </c>
      <c r="BU138">
        <f t="shared" si="91"/>
        <v>3</v>
      </c>
      <c r="BV138" s="13">
        <f t="shared" si="92"/>
        <v>3</v>
      </c>
      <c r="BW138" s="13">
        <f t="shared" si="93"/>
        <v>7</v>
      </c>
      <c r="BX138" s="13">
        <f t="shared" si="94"/>
        <v>11</v>
      </c>
      <c r="BY138" s="13">
        <f t="shared" si="95"/>
        <v>18</v>
      </c>
      <c r="BZ138" s="13">
        <f t="shared" si="96"/>
        <v>0</v>
      </c>
      <c r="CA138" s="13">
        <f t="shared" si="97"/>
        <v>18</v>
      </c>
      <c r="CB138" s="13">
        <f t="shared" si="98"/>
        <v>0</v>
      </c>
      <c r="CC138" s="13">
        <f t="shared" si="99"/>
        <v>0</v>
      </c>
      <c r="CD138" s="13">
        <f t="shared" si="100"/>
        <v>2</v>
      </c>
      <c r="CE138" s="13">
        <f t="shared" si="101"/>
        <v>4.6904157598234297</v>
      </c>
      <c r="CF138" s="13">
        <f t="shared" si="102"/>
        <v>1.0597786660797139</v>
      </c>
      <c r="CG138" s="13">
        <f t="shared" si="103"/>
        <v>1</v>
      </c>
      <c r="CH138" s="13">
        <f t="shared" si="104"/>
        <v>1.4142135623730951</v>
      </c>
      <c r="CI138" s="13">
        <f t="shared" si="105"/>
        <v>0</v>
      </c>
      <c r="CJ138" s="13">
        <f t="shared" si="105"/>
        <v>1.7320508075688772</v>
      </c>
      <c r="CK138" s="13">
        <f t="shared" si="106"/>
        <v>1.7320508075688772</v>
      </c>
      <c r="CL138" s="13">
        <f t="shared" si="107"/>
        <v>2.6457513110645907</v>
      </c>
      <c r="CM138" s="13">
        <f t="shared" si="108"/>
        <v>3.3166247903553998</v>
      </c>
      <c r="CN138" s="13">
        <f t="shared" si="109"/>
        <v>4.2426406871192848</v>
      </c>
      <c r="CO138" s="13">
        <f t="shared" si="110"/>
        <v>0</v>
      </c>
      <c r="CP138" s="13">
        <f t="shared" si="111"/>
        <v>4.2426406871192848</v>
      </c>
      <c r="CQ138" s="13">
        <f t="shared" si="112"/>
        <v>0</v>
      </c>
      <c r="CR138" s="13">
        <f t="shared" si="113"/>
        <v>0</v>
      </c>
      <c r="CS138" s="13">
        <f t="shared" si="114"/>
        <v>1.6094379124341003</v>
      </c>
      <c r="CT138" s="13">
        <f t="shared" si="115"/>
        <v>3.1354942159291497</v>
      </c>
      <c r="CU138" s="13">
        <f t="shared" si="116"/>
        <v>0.75289180167882519</v>
      </c>
      <c r="CV138" s="13">
        <f t="shared" si="117"/>
        <v>0.69314718055994529</v>
      </c>
      <c r="CW138" s="13">
        <f t="shared" si="118"/>
        <v>1.0986122886681098</v>
      </c>
      <c r="CX138" s="13">
        <f t="shared" si="119"/>
        <v>0</v>
      </c>
      <c r="CY138" s="13">
        <f t="shared" si="120"/>
        <v>1.3862943611198906</v>
      </c>
      <c r="CZ138" s="13">
        <f t="shared" si="121"/>
        <v>1.3862943611198906</v>
      </c>
      <c r="DA138" s="13">
        <f t="shared" si="122"/>
        <v>2.0794415416798357</v>
      </c>
      <c r="DB138" s="13">
        <f t="shared" si="123"/>
        <v>2.4849066497880004</v>
      </c>
      <c r="DC138" s="13">
        <f t="shared" si="124"/>
        <v>2.9444389791664403</v>
      </c>
      <c r="DD138" s="13">
        <f t="shared" si="125"/>
        <v>0</v>
      </c>
      <c r="DE138" s="13">
        <f t="shared" si="126"/>
        <v>2.9444389791664403</v>
      </c>
      <c r="DF138" s="13">
        <f t="shared" si="127"/>
        <v>0</v>
      </c>
      <c r="DG138" s="13">
        <f t="shared" si="128"/>
        <v>0</v>
      </c>
      <c r="DH138" s="13"/>
      <c r="DI138" s="13"/>
      <c r="DJ138" s="13"/>
      <c r="DL138"/>
      <c r="DM138"/>
      <c r="DN138"/>
      <c r="DO138"/>
      <c r="DP138" s="31"/>
    </row>
    <row r="139" spans="1:120">
      <c r="A139" s="13" t="s">
        <v>81</v>
      </c>
      <c r="B139" t="s">
        <v>176</v>
      </c>
      <c r="C139" t="s">
        <v>213</v>
      </c>
      <c r="D139" s="13" t="s">
        <v>320</v>
      </c>
      <c r="E139" s="13" t="s">
        <v>91</v>
      </c>
      <c r="F139" s="13">
        <v>0</v>
      </c>
      <c r="G139" s="13">
        <v>0</v>
      </c>
      <c r="H139" s="13">
        <v>0</v>
      </c>
      <c r="I139" s="13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13">
        <v>1</v>
      </c>
      <c r="P139" s="32">
        <v>0</v>
      </c>
      <c r="Q139" s="32">
        <v>0</v>
      </c>
      <c r="R139" s="32">
        <v>0</v>
      </c>
      <c r="S139" s="32">
        <v>0</v>
      </c>
      <c r="T139" s="32">
        <v>0</v>
      </c>
      <c r="U139" s="32">
        <v>0</v>
      </c>
      <c r="V139" s="13">
        <v>1</v>
      </c>
      <c r="W139" s="32">
        <v>0</v>
      </c>
      <c r="X139" s="32">
        <v>0</v>
      </c>
      <c r="Y139" s="32">
        <v>0</v>
      </c>
      <c r="Z139" s="32">
        <v>0</v>
      </c>
      <c r="AA139" s="32">
        <v>0</v>
      </c>
      <c r="AB139" s="13">
        <v>7</v>
      </c>
      <c r="AC139" s="32">
        <v>0</v>
      </c>
      <c r="AD139" s="13">
        <v>8</v>
      </c>
      <c r="AE139" s="13">
        <v>5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 s="32">
        <v>0</v>
      </c>
      <c r="BD139" s="32">
        <v>0</v>
      </c>
      <c r="BE139" s="32">
        <v>0</v>
      </c>
      <c r="BF139" s="32">
        <v>0</v>
      </c>
      <c r="BG139" s="32">
        <v>0</v>
      </c>
      <c r="BH139" s="32">
        <v>0</v>
      </c>
      <c r="BI139" s="13">
        <v>1</v>
      </c>
      <c r="BJ139" s="13">
        <v>0</v>
      </c>
      <c r="BK139" s="32">
        <v>0</v>
      </c>
      <c r="BL139" s="32">
        <v>0</v>
      </c>
      <c r="BM139" s="32">
        <v>0</v>
      </c>
      <c r="BN139" s="32">
        <v>0</v>
      </c>
      <c r="BO139">
        <f t="shared" si="89"/>
        <v>6</v>
      </c>
      <c r="BP139" s="13">
        <f t="shared" si="90"/>
        <v>23</v>
      </c>
      <c r="BQ139" s="13">
        <f>[1]!shannonweaver(K139:BL139)</f>
        <v>1.4700988707553939</v>
      </c>
      <c r="BR139">
        <f t="shared" si="129"/>
        <v>2</v>
      </c>
      <c r="BS139">
        <f t="shared" si="130"/>
        <v>3</v>
      </c>
      <c r="BT139">
        <f t="shared" si="131"/>
        <v>0</v>
      </c>
      <c r="BU139">
        <f t="shared" si="91"/>
        <v>1</v>
      </c>
      <c r="BV139" s="13">
        <f t="shared" si="92"/>
        <v>2</v>
      </c>
      <c r="BW139" s="13">
        <f t="shared" si="93"/>
        <v>15</v>
      </c>
      <c r="BX139" s="13">
        <f t="shared" si="94"/>
        <v>5</v>
      </c>
      <c r="BY139" s="13">
        <f t="shared" si="95"/>
        <v>20</v>
      </c>
      <c r="BZ139" s="13">
        <f t="shared" si="96"/>
        <v>0</v>
      </c>
      <c r="CA139" s="13">
        <f t="shared" si="97"/>
        <v>20</v>
      </c>
      <c r="CB139" s="13">
        <f t="shared" si="98"/>
        <v>0</v>
      </c>
      <c r="CC139" s="13">
        <f t="shared" si="99"/>
        <v>0</v>
      </c>
      <c r="CD139" s="13">
        <f t="shared" si="100"/>
        <v>2.4494897427831779</v>
      </c>
      <c r="CE139" s="13">
        <f t="shared" si="101"/>
        <v>4.7958315233127191</v>
      </c>
      <c r="CF139" s="13">
        <f t="shared" si="102"/>
        <v>1.2124763382249544</v>
      </c>
      <c r="CG139" s="13">
        <f t="shared" si="103"/>
        <v>1.4142135623730951</v>
      </c>
      <c r="CH139" s="13">
        <f t="shared" si="104"/>
        <v>1.7320508075688772</v>
      </c>
      <c r="CI139" s="13">
        <f t="shared" si="105"/>
        <v>0</v>
      </c>
      <c r="CJ139" s="13">
        <f t="shared" si="105"/>
        <v>1</v>
      </c>
      <c r="CK139" s="13">
        <f t="shared" si="106"/>
        <v>1.4142135623730951</v>
      </c>
      <c r="CL139" s="13">
        <f t="shared" si="107"/>
        <v>3.872983346207417</v>
      </c>
      <c r="CM139" s="13">
        <f t="shared" si="108"/>
        <v>2.2360679774997898</v>
      </c>
      <c r="CN139" s="13">
        <f t="shared" si="109"/>
        <v>4.4721359549995796</v>
      </c>
      <c r="CO139" s="13">
        <f t="shared" si="110"/>
        <v>0</v>
      </c>
      <c r="CP139" s="13">
        <f t="shared" si="111"/>
        <v>4.4721359549995796</v>
      </c>
      <c r="CQ139" s="13">
        <f t="shared" si="112"/>
        <v>0</v>
      </c>
      <c r="CR139" s="13">
        <f t="shared" si="113"/>
        <v>0</v>
      </c>
      <c r="CS139" s="13">
        <f t="shared" si="114"/>
        <v>1.9459101490553132</v>
      </c>
      <c r="CT139" s="13">
        <f t="shared" si="115"/>
        <v>3.1780538303479458</v>
      </c>
      <c r="CU139" s="13">
        <f t="shared" si="116"/>
        <v>0.90425817848466949</v>
      </c>
      <c r="CV139" s="13">
        <f t="shared" si="117"/>
        <v>1.0986122886681098</v>
      </c>
      <c r="CW139" s="13">
        <f t="shared" si="118"/>
        <v>1.3862943611198906</v>
      </c>
      <c r="CX139" s="13">
        <f t="shared" si="119"/>
        <v>0</v>
      </c>
      <c r="CY139" s="13">
        <f t="shared" si="120"/>
        <v>0.69314718055994529</v>
      </c>
      <c r="CZ139" s="13">
        <f t="shared" si="121"/>
        <v>1.0986122886681098</v>
      </c>
      <c r="DA139" s="13">
        <f t="shared" si="122"/>
        <v>2.7725887222397811</v>
      </c>
      <c r="DB139" s="13">
        <f t="shared" si="123"/>
        <v>1.791759469228055</v>
      </c>
      <c r="DC139" s="13">
        <f t="shared" si="124"/>
        <v>3.044522437723423</v>
      </c>
      <c r="DD139" s="13">
        <f t="shared" si="125"/>
        <v>0</v>
      </c>
      <c r="DE139" s="13">
        <f t="shared" si="126"/>
        <v>3.044522437723423</v>
      </c>
      <c r="DF139" s="13">
        <f t="shared" si="127"/>
        <v>0</v>
      </c>
      <c r="DG139" s="13">
        <f t="shared" si="128"/>
        <v>0</v>
      </c>
      <c r="DH139" s="13"/>
      <c r="DI139" s="13"/>
      <c r="DJ139" s="13"/>
      <c r="DL139"/>
      <c r="DM139"/>
      <c r="DN139"/>
      <c r="DO139"/>
      <c r="DP139" s="31"/>
    </row>
    <row r="140" spans="1:120">
      <c r="A140" s="13" t="s">
        <v>240</v>
      </c>
      <c r="B140" t="s">
        <v>176</v>
      </c>
      <c r="C140" t="s">
        <v>220</v>
      </c>
      <c r="D140" s="13" t="s">
        <v>320</v>
      </c>
      <c r="E140" s="13" t="s">
        <v>91</v>
      </c>
      <c r="F140" s="13">
        <v>0</v>
      </c>
      <c r="G140" s="13">
        <v>0</v>
      </c>
      <c r="H140" s="13">
        <v>0</v>
      </c>
      <c r="I140" s="13">
        <v>0</v>
      </c>
      <c r="J140" s="32">
        <v>0</v>
      </c>
      <c r="K140" s="32">
        <v>0</v>
      </c>
      <c r="L140" s="32">
        <v>0</v>
      </c>
      <c r="M140" s="32">
        <v>0</v>
      </c>
      <c r="N140" s="32">
        <v>0</v>
      </c>
      <c r="O140" s="13">
        <v>2</v>
      </c>
      <c r="P140" s="32">
        <v>0</v>
      </c>
      <c r="Q140" s="32">
        <v>0</v>
      </c>
      <c r="R140" s="13">
        <v>1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32">
        <v>0</v>
      </c>
      <c r="Z140" s="32">
        <v>0</v>
      </c>
      <c r="AA140" s="32">
        <v>0</v>
      </c>
      <c r="AB140" s="13">
        <v>4</v>
      </c>
      <c r="AC140" s="32">
        <v>0</v>
      </c>
      <c r="AD140" s="13">
        <v>3</v>
      </c>
      <c r="AE140" s="13">
        <v>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13">
        <v>1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 s="32">
        <v>0</v>
      </c>
      <c r="BD140" s="32">
        <v>0</v>
      </c>
      <c r="BE140" s="32">
        <v>0</v>
      </c>
      <c r="BF140" s="32">
        <v>0</v>
      </c>
      <c r="BG140" s="32">
        <v>0</v>
      </c>
      <c r="BH140" s="32">
        <v>0</v>
      </c>
      <c r="BI140" s="32">
        <v>0</v>
      </c>
      <c r="BJ140" s="32">
        <v>0</v>
      </c>
      <c r="BK140" s="32">
        <v>0</v>
      </c>
      <c r="BL140" s="32">
        <v>0</v>
      </c>
      <c r="BM140" s="32">
        <v>0</v>
      </c>
      <c r="BN140" s="32">
        <v>0</v>
      </c>
      <c r="BO140">
        <f t="shared" si="89"/>
        <v>6</v>
      </c>
      <c r="BP140" s="13">
        <f t="shared" si="90"/>
        <v>14</v>
      </c>
      <c r="BQ140" s="13">
        <f>[1]!shannonweaver(K140:BL140)</f>
        <v>1.6731183626432509</v>
      </c>
      <c r="BR140">
        <f t="shared" si="129"/>
        <v>2</v>
      </c>
      <c r="BS140">
        <f t="shared" si="130"/>
        <v>4</v>
      </c>
      <c r="BT140">
        <f t="shared" si="131"/>
        <v>0</v>
      </c>
      <c r="BU140">
        <f t="shared" si="91"/>
        <v>3</v>
      </c>
      <c r="BV140" s="13">
        <f t="shared" si="92"/>
        <v>3</v>
      </c>
      <c r="BW140" s="13">
        <f t="shared" si="93"/>
        <v>7</v>
      </c>
      <c r="BX140" s="13">
        <f t="shared" si="94"/>
        <v>3</v>
      </c>
      <c r="BY140" s="13">
        <f t="shared" si="95"/>
        <v>10</v>
      </c>
      <c r="BZ140" s="13">
        <f t="shared" si="96"/>
        <v>0</v>
      </c>
      <c r="CA140" s="13">
        <f t="shared" si="97"/>
        <v>11</v>
      </c>
      <c r="CB140" s="13">
        <f t="shared" si="98"/>
        <v>0</v>
      </c>
      <c r="CC140" s="13">
        <f t="shared" si="99"/>
        <v>0</v>
      </c>
      <c r="CD140" s="13">
        <f t="shared" si="100"/>
        <v>2.4494897427831779</v>
      </c>
      <c r="CE140" s="13">
        <f t="shared" si="101"/>
        <v>3.7416573867739413</v>
      </c>
      <c r="CF140" s="13">
        <f t="shared" si="102"/>
        <v>1.2934907663540745</v>
      </c>
      <c r="CG140" s="13">
        <f t="shared" si="103"/>
        <v>1.4142135623730951</v>
      </c>
      <c r="CH140" s="13">
        <f t="shared" si="104"/>
        <v>2</v>
      </c>
      <c r="CI140" s="13">
        <f t="shared" si="105"/>
        <v>0</v>
      </c>
      <c r="CJ140" s="13">
        <f t="shared" si="105"/>
        <v>1.7320508075688772</v>
      </c>
      <c r="CK140" s="13">
        <f t="shared" si="106"/>
        <v>1.7320508075688772</v>
      </c>
      <c r="CL140" s="13">
        <f t="shared" si="107"/>
        <v>2.6457513110645907</v>
      </c>
      <c r="CM140" s="13">
        <f t="shared" si="108"/>
        <v>1.7320508075688772</v>
      </c>
      <c r="CN140" s="13">
        <f t="shared" si="109"/>
        <v>3.1622776601683795</v>
      </c>
      <c r="CO140" s="13">
        <f t="shared" si="110"/>
        <v>0</v>
      </c>
      <c r="CP140" s="13">
        <f t="shared" si="111"/>
        <v>3.3166247903553998</v>
      </c>
      <c r="CQ140" s="13">
        <f t="shared" si="112"/>
        <v>0</v>
      </c>
      <c r="CR140" s="13">
        <f t="shared" si="113"/>
        <v>0</v>
      </c>
      <c r="CS140" s="13">
        <f t="shared" si="114"/>
        <v>1.9459101490553132</v>
      </c>
      <c r="CT140" s="13">
        <f t="shared" si="115"/>
        <v>2.7080502011022101</v>
      </c>
      <c r="CU140" s="13">
        <f t="shared" si="116"/>
        <v>0.98324571700067676</v>
      </c>
      <c r="CV140" s="13">
        <f t="shared" si="117"/>
        <v>1.0986122886681098</v>
      </c>
      <c r="CW140" s="13">
        <f t="shared" si="118"/>
        <v>1.6094379124341003</v>
      </c>
      <c r="CX140" s="13">
        <f t="shared" si="119"/>
        <v>0</v>
      </c>
      <c r="CY140" s="13">
        <f t="shared" si="120"/>
        <v>1.3862943611198906</v>
      </c>
      <c r="CZ140" s="13">
        <f t="shared" si="121"/>
        <v>1.3862943611198906</v>
      </c>
      <c r="DA140" s="13">
        <f t="shared" si="122"/>
        <v>2.0794415416798357</v>
      </c>
      <c r="DB140" s="13">
        <f t="shared" si="123"/>
        <v>1.3862943611198906</v>
      </c>
      <c r="DC140" s="13">
        <f t="shared" si="124"/>
        <v>2.3978952727983707</v>
      </c>
      <c r="DD140" s="13">
        <f t="shared" si="125"/>
        <v>0</v>
      </c>
      <c r="DE140" s="13">
        <f t="shared" si="126"/>
        <v>2.4849066497880004</v>
      </c>
      <c r="DF140" s="13">
        <f t="shared" si="127"/>
        <v>0</v>
      </c>
      <c r="DG140" s="13">
        <f t="shared" si="128"/>
        <v>0</v>
      </c>
      <c r="DH140" s="13"/>
      <c r="DI140" s="13"/>
      <c r="DJ140" s="13"/>
      <c r="DL140"/>
      <c r="DM140"/>
      <c r="DN140"/>
      <c r="DO140"/>
      <c r="DP140" s="31"/>
    </row>
    <row r="141" spans="1:120">
      <c r="A141" s="13" t="s">
        <v>241</v>
      </c>
      <c r="B141" t="s">
        <v>176</v>
      </c>
      <c r="C141" t="s">
        <v>220</v>
      </c>
      <c r="D141" s="13" t="s">
        <v>320</v>
      </c>
      <c r="E141" s="13" t="s">
        <v>91</v>
      </c>
      <c r="F141" s="13">
        <v>0</v>
      </c>
      <c r="G141" s="13">
        <v>0</v>
      </c>
      <c r="H141" s="13">
        <v>0</v>
      </c>
      <c r="I141" s="13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13">
        <v>3</v>
      </c>
      <c r="P141" s="32">
        <v>0</v>
      </c>
      <c r="Q141" s="32">
        <v>0</v>
      </c>
      <c r="R141" s="32">
        <v>0</v>
      </c>
      <c r="S141" s="32">
        <v>0</v>
      </c>
      <c r="T141" s="32">
        <v>0</v>
      </c>
      <c r="U141" s="32">
        <v>0</v>
      </c>
      <c r="V141" s="32">
        <v>0</v>
      </c>
      <c r="W141" s="13">
        <v>1</v>
      </c>
      <c r="X141" s="32">
        <v>0</v>
      </c>
      <c r="Y141" s="32">
        <v>0</v>
      </c>
      <c r="Z141" s="32">
        <v>0</v>
      </c>
      <c r="AA141" s="13">
        <v>2</v>
      </c>
      <c r="AB141" s="13">
        <v>1</v>
      </c>
      <c r="AC141" s="32">
        <v>0</v>
      </c>
      <c r="AD141" s="13">
        <v>2</v>
      </c>
      <c r="AE141" s="13">
        <v>5</v>
      </c>
      <c r="AF141" s="32">
        <v>0</v>
      </c>
      <c r="AG141" s="13">
        <v>4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2">
        <v>0</v>
      </c>
      <c r="AZ141" s="32">
        <v>0</v>
      </c>
      <c r="BA141" s="32">
        <v>0</v>
      </c>
      <c r="BB141" s="32">
        <v>0</v>
      </c>
      <c r="BC141" s="32">
        <v>0</v>
      </c>
      <c r="BD141" s="32">
        <v>0</v>
      </c>
      <c r="BE141" s="32">
        <v>0</v>
      </c>
      <c r="BF141" s="32">
        <v>0</v>
      </c>
      <c r="BG141" s="13">
        <v>1</v>
      </c>
      <c r="BH141" s="32">
        <v>0</v>
      </c>
      <c r="BI141" s="13">
        <v>2</v>
      </c>
      <c r="BJ141" s="13">
        <v>2</v>
      </c>
      <c r="BK141" s="32">
        <v>0</v>
      </c>
      <c r="BL141" s="32">
        <v>0</v>
      </c>
      <c r="BM141" s="32">
        <v>0</v>
      </c>
      <c r="BN141" s="32">
        <v>0</v>
      </c>
      <c r="BO141">
        <f t="shared" si="89"/>
        <v>10</v>
      </c>
      <c r="BP141" s="13">
        <f t="shared" si="90"/>
        <v>23</v>
      </c>
      <c r="BQ141" s="13">
        <f>[1]!shannonweaver(K141:BL141)</f>
        <v>2.1601298108363691</v>
      </c>
      <c r="BR141">
        <f t="shared" si="129"/>
        <v>2</v>
      </c>
      <c r="BS141">
        <f t="shared" si="130"/>
        <v>5</v>
      </c>
      <c r="BT141">
        <f t="shared" si="131"/>
        <v>0</v>
      </c>
      <c r="BU141">
        <f t="shared" si="91"/>
        <v>3</v>
      </c>
      <c r="BV141" s="13">
        <f t="shared" si="92"/>
        <v>4</v>
      </c>
      <c r="BW141" s="13">
        <f t="shared" si="93"/>
        <v>3</v>
      </c>
      <c r="BX141" s="13">
        <f t="shared" si="94"/>
        <v>5</v>
      </c>
      <c r="BY141" s="13">
        <f t="shared" si="95"/>
        <v>8</v>
      </c>
      <c r="BZ141" s="13">
        <f t="shared" si="96"/>
        <v>4</v>
      </c>
      <c r="CA141" s="13">
        <f t="shared" si="97"/>
        <v>14</v>
      </c>
      <c r="CB141" s="13">
        <f t="shared" si="98"/>
        <v>0</v>
      </c>
      <c r="CC141" s="13">
        <f t="shared" si="99"/>
        <v>0</v>
      </c>
      <c r="CD141" s="13">
        <f t="shared" si="100"/>
        <v>3.1622776601683795</v>
      </c>
      <c r="CE141" s="13">
        <f t="shared" si="101"/>
        <v>4.7958315233127191</v>
      </c>
      <c r="CF141" s="13">
        <f t="shared" si="102"/>
        <v>1.4697380075497704</v>
      </c>
      <c r="CG141" s="13">
        <f t="shared" si="103"/>
        <v>1.4142135623730951</v>
      </c>
      <c r="CH141" s="13">
        <f t="shared" si="104"/>
        <v>2.2360679774997898</v>
      </c>
      <c r="CI141" s="13">
        <f t="shared" si="105"/>
        <v>0</v>
      </c>
      <c r="CJ141" s="13">
        <f t="shared" si="105"/>
        <v>1.7320508075688772</v>
      </c>
      <c r="CK141" s="13">
        <f t="shared" si="106"/>
        <v>2</v>
      </c>
      <c r="CL141" s="13">
        <f t="shared" si="107"/>
        <v>1.7320508075688772</v>
      </c>
      <c r="CM141" s="13">
        <f t="shared" si="108"/>
        <v>2.2360679774997898</v>
      </c>
      <c r="CN141" s="13">
        <f t="shared" si="109"/>
        <v>2.8284271247461903</v>
      </c>
      <c r="CO141" s="13">
        <f t="shared" si="110"/>
        <v>2</v>
      </c>
      <c r="CP141" s="13">
        <f t="shared" si="111"/>
        <v>3.7416573867739413</v>
      </c>
      <c r="CQ141" s="13">
        <f t="shared" si="112"/>
        <v>0</v>
      </c>
      <c r="CR141" s="13">
        <f t="shared" si="113"/>
        <v>0</v>
      </c>
      <c r="CS141" s="13">
        <f t="shared" si="114"/>
        <v>2.3978952727983707</v>
      </c>
      <c r="CT141" s="13">
        <f t="shared" si="115"/>
        <v>3.1780538303479458</v>
      </c>
      <c r="CU141" s="13">
        <f t="shared" si="116"/>
        <v>1.1506131061336839</v>
      </c>
      <c r="CV141" s="13">
        <f t="shared" si="117"/>
        <v>1.0986122886681098</v>
      </c>
      <c r="CW141" s="13">
        <f t="shared" si="118"/>
        <v>1.791759469228055</v>
      </c>
      <c r="CX141" s="13">
        <f t="shared" si="119"/>
        <v>0</v>
      </c>
      <c r="CY141" s="13">
        <f t="shared" si="120"/>
        <v>1.3862943611198906</v>
      </c>
      <c r="CZ141" s="13">
        <f t="shared" si="121"/>
        <v>1.6094379124341003</v>
      </c>
      <c r="DA141" s="13">
        <f t="shared" si="122"/>
        <v>1.3862943611198906</v>
      </c>
      <c r="DB141" s="13">
        <f t="shared" si="123"/>
        <v>1.791759469228055</v>
      </c>
      <c r="DC141" s="13">
        <f t="shared" si="124"/>
        <v>2.1972245773362196</v>
      </c>
      <c r="DD141" s="13">
        <f t="shared" si="125"/>
        <v>1.6094379124341003</v>
      </c>
      <c r="DE141" s="13">
        <f t="shared" si="126"/>
        <v>2.7080502011022101</v>
      </c>
      <c r="DF141" s="13">
        <f t="shared" si="127"/>
        <v>0</v>
      </c>
      <c r="DG141" s="13">
        <f t="shared" si="128"/>
        <v>0</v>
      </c>
      <c r="DH141" s="13"/>
      <c r="DI141" s="13"/>
      <c r="DJ141" s="13"/>
      <c r="DL141"/>
      <c r="DM141"/>
      <c r="DN141"/>
      <c r="DO141"/>
      <c r="DP141" s="31"/>
    </row>
    <row r="142" spans="1:120">
      <c r="A142" s="13" t="s">
        <v>243</v>
      </c>
      <c r="B142" t="s">
        <v>176</v>
      </c>
      <c r="C142" t="s">
        <v>220</v>
      </c>
      <c r="D142" s="13" t="s">
        <v>320</v>
      </c>
      <c r="E142" s="13" t="s">
        <v>91</v>
      </c>
      <c r="F142" s="13">
        <v>0</v>
      </c>
      <c r="G142" s="13">
        <v>0</v>
      </c>
      <c r="H142" s="13">
        <v>0</v>
      </c>
      <c r="I142" s="13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13">
        <v>1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13">
        <v>1</v>
      </c>
      <c r="W142" s="13">
        <v>0</v>
      </c>
      <c r="X142" s="32">
        <v>0</v>
      </c>
      <c r="Y142" s="13">
        <v>1</v>
      </c>
      <c r="Z142" s="32">
        <v>0</v>
      </c>
      <c r="AA142" s="32">
        <v>0</v>
      </c>
      <c r="AB142" s="13">
        <v>8</v>
      </c>
      <c r="AC142" s="32">
        <v>0</v>
      </c>
      <c r="AD142" s="13">
        <v>6</v>
      </c>
      <c r="AE142" s="13">
        <v>13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13">
        <v>1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 s="32">
        <v>0</v>
      </c>
      <c r="BD142" s="32">
        <v>0</v>
      </c>
      <c r="BE142" s="32">
        <v>0</v>
      </c>
      <c r="BF142" s="32">
        <v>0</v>
      </c>
      <c r="BG142" s="32">
        <v>0</v>
      </c>
      <c r="BH142" s="32">
        <v>0</v>
      </c>
      <c r="BI142" s="32">
        <v>0</v>
      </c>
      <c r="BJ142" s="32">
        <v>0</v>
      </c>
      <c r="BK142" s="13">
        <v>1</v>
      </c>
      <c r="BL142" s="32">
        <v>0</v>
      </c>
      <c r="BM142" s="32">
        <v>0</v>
      </c>
      <c r="BN142" s="32">
        <v>0</v>
      </c>
      <c r="BO142">
        <f t="shared" si="89"/>
        <v>8</v>
      </c>
      <c r="BP142" s="13">
        <f t="shared" si="90"/>
        <v>32</v>
      </c>
      <c r="BQ142" s="13">
        <f>[1]!shannonweaver(K142:BL142)</f>
        <v>1.5679099404307582</v>
      </c>
      <c r="BR142">
        <f t="shared" si="129"/>
        <v>2</v>
      </c>
      <c r="BS142">
        <f t="shared" si="130"/>
        <v>5</v>
      </c>
      <c r="BT142">
        <f t="shared" si="131"/>
        <v>0</v>
      </c>
      <c r="BU142">
        <f t="shared" si="91"/>
        <v>1</v>
      </c>
      <c r="BV142" s="13">
        <f t="shared" si="92"/>
        <v>2</v>
      </c>
      <c r="BW142" s="13">
        <f t="shared" si="93"/>
        <v>14</v>
      </c>
      <c r="BX142" s="13">
        <f t="shared" si="94"/>
        <v>13</v>
      </c>
      <c r="BY142" s="13">
        <f t="shared" si="95"/>
        <v>27</v>
      </c>
      <c r="BZ142" s="13">
        <f t="shared" si="96"/>
        <v>0</v>
      </c>
      <c r="CA142" s="13">
        <f t="shared" si="97"/>
        <v>29</v>
      </c>
      <c r="CB142" s="13">
        <f t="shared" si="98"/>
        <v>0</v>
      </c>
      <c r="CC142" s="13">
        <f t="shared" si="99"/>
        <v>1</v>
      </c>
      <c r="CD142" s="13">
        <f t="shared" si="100"/>
        <v>2.8284271247461903</v>
      </c>
      <c r="CE142" s="13">
        <f t="shared" si="101"/>
        <v>5.6568542494923806</v>
      </c>
      <c r="CF142" s="13">
        <f t="shared" si="102"/>
        <v>1.2521621062908581</v>
      </c>
      <c r="CG142" s="13">
        <f t="shared" si="103"/>
        <v>1.4142135623730951</v>
      </c>
      <c r="CH142" s="13">
        <f t="shared" si="104"/>
        <v>2.2360679774997898</v>
      </c>
      <c r="CI142" s="13">
        <f t="shared" si="105"/>
        <v>0</v>
      </c>
      <c r="CJ142" s="13">
        <f t="shared" si="105"/>
        <v>1</v>
      </c>
      <c r="CK142" s="13">
        <f t="shared" si="106"/>
        <v>1.4142135623730951</v>
      </c>
      <c r="CL142" s="13">
        <f t="shared" si="107"/>
        <v>3.7416573867739413</v>
      </c>
      <c r="CM142" s="13">
        <f t="shared" si="108"/>
        <v>3.6055512754639891</v>
      </c>
      <c r="CN142" s="13">
        <f t="shared" si="109"/>
        <v>5.196152422706632</v>
      </c>
      <c r="CO142" s="13">
        <f t="shared" si="110"/>
        <v>0</v>
      </c>
      <c r="CP142" s="13">
        <f t="shared" si="111"/>
        <v>5.3851648071345037</v>
      </c>
      <c r="CQ142" s="13">
        <f t="shared" si="112"/>
        <v>0</v>
      </c>
      <c r="CR142" s="13">
        <f t="shared" si="113"/>
        <v>1</v>
      </c>
      <c r="CS142" s="13">
        <f t="shared" si="114"/>
        <v>2.1972245773362196</v>
      </c>
      <c r="CT142" s="13">
        <f t="shared" si="115"/>
        <v>3.4965075614664802</v>
      </c>
      <c r="CU142" s="13">
        <f t="shared" si="116"/>
        <v>0.94309231528703341</v>
      </c>
      <c r="CV142" s="13">
        <f t="shared" si="117"/>
        <v>1.0986122886681098</v>
      </c>
      <c r="CW142" s="13">
        <f t="shared" si="118"/>
        <v>1.791759469228055</v>
      </c>
      <c r="CX142" s="13">
        <f t="shared" si="119"/>
        <v>0</v>
      </c>
      <c r="CY142" s="13">
        <f t="shared" si="120"/>
        <v>0.69314718055994529</v>
      </c>
      <c r="CZ142" s="13">
        <f t="shared" si="121"/>
        <v>1.0986122886681098</v>
      </c>
      <c r="DA142" s="13">
        <f t="shared" si="122"/>
        <v>2.7080502011022101</v>
      </c>
      <c r="DB142" s="13">
        <f t="shared" si="123"/>
        <v>2.6390573296152584</v>
      </c>
      <c r="DC142" s="13">
        <f t="shared" si="124"/>
        <v>3.3322045101752038</v>
      </c>
      <c r="DD142" s="13">
        <f t="shared" si="125"/>
        <v>0</v>
      </c>
      <c r="DE142" s="13">
        <f t="shared" si="126"/>
        <v>3.4011973816621555</v>
      </c>
      <c r="DF142" s="13">
        <f t="shared" si="127"/>
        <v>0</v>
      </c>
      <c r="DG142" s="13">
        <f t="shared" si="128"/>
        <v>0.69314718055994529</v>
      </c>
      <c r="DH142" s="13"/>
      <c r="DI142" s="13"/>
      <c r="DJ142" s="13"/>
      <c r="DL142"/>
      <c r="DM142"/>
      <c r="DN142"/>
      <c r="DO142"/>
      <c r="DP142" s="31"/>
    </row>
    <row r="143" spans="1:120">
      <c r="A143" s="13" t="s">
        <v>244</v>
      </c>
      <c r="B143" t="s">
        <v>176</v>
      </c>
      <c r="C143" t="s">
        <v>220</v>
      </c>
      <c r="D143" s="13" t="s">
        <v>320</v>
      </c>
      <c r="E143" s="13" t="s">
        <v>91</v>
      </c>
      <c r="F143" s="13">
        <v>0</v>
      </c>
      <c r="G143" s="13">
        <v>0</v>
      </c>
      <c r="H143" s="13">
        <v>0</v>
      </c>
      <c r="I143" s="13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13">
        <v>1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32">
        <v>0</v>
      </c>
      <c r="Z143" s="32">
        <v>0</v>
      </c>
      <c r="AA143" s="32">
        <v>0</v>
      </c>
      <c r="AB143" s="13">
        <v>2</v>
      </c>
      <c r="AC143" s="32">
        <v>0</v>
      </c>
      <c r="AD143" s="13">
        <v>2</v>
      </c>
      <c r="AE143" s="13">
        <v>14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 s="32">
        <v>0</v>
      </c>
      <c r="BD143" s="32">
        <v>0</v>
      </c>
      <c r="BE143" s="32">
        <v>0</v>
      </c>
      <c r="BF143" s="32">
        <v>0</v>
      </c>
      <c r="BG143" s="32">
        <v>0</v>
      </c>
      <c r="BH143" s="32">
        <v>0</v>
      </c>
      <c r="BI143" s="32">
        <v>0</v>
      </c>
      <c r="BJ143" s="32">
        <v>0</v>
      </c>
      <c r="BK143" s="32">
        <v>0</v>
      </c>
      <c r="BL143" s="32">
        <v>0</v>
      </c>
      <c r="BM143" s="32">
        <v>0</v>
      </c>
      <c r="BN143" s="32">
        <v>0</v>
      </c>
      <c r="BO143">
        <f t="shared" si="89"/>
        <v>4</v>
      </c>
      <c r="BP143" s="13">
        <f t="shared" si="90"/>
        <v>19</v>
      </c>
      <c r="BQ143" s="13">
        <f>[1]!shannonweaver(K143:BL143)</f>
        <v>0.85394469827941943</v>
      </c>
      <c r="BR143">
        <f t="shared" si="129"/>
        <v>1</v>
      </c>
      <c r="BS143">
        <f t="shared" si="130"/>
        <v>3</v>
      </c>
      <c r="BT143">
        <f t="shared" si="131"/>
        <v>0</v>
      </c>
      <c r="BU143">
        <f t="shared" si="91"/>
        <v>1</v>
      </c>
      <c r="BV143" s="13">
        <f t="shared" si="92"/>
        <v>1</v>
      </c>
      <c r="BW143" s="13">
        <f t="shared" si="93"/>
        <v>4</v>
      </c>
      <c r="BX143" s="13">
        <f t="shared" si="94"/>
        <v>14</v>
      </c>
      <c r="BY143" s="13">
        <f t="shared" si="95"/>
        <v>18</v>
      </c>
      <c r="BZ143" s="13">
        <f t="shared" si="96"/>
        <v>0</v>
      </c>
      <c r="CA143" s="13">
        <f t="shared" si="97"/>
        <v>18</v>
      </c>
      <c r="CB143" s="13">
        <f t="shared" si="98"/>
        <v>0</v>
      </c>
      <c r="CC143" s="13">
        <f t="shared" si="99"/>
        <v>0</v>
      </c>
      <c r="CD143" s="13">
        <f t="shared" si="100"/>
        <v>2</v>
      </c>
      <c r="CE143" s="13">
        <f t="shared" si="101"/>
        <v>4.358898943540674</v>
      </c>
      <c r="CF143" s="13">
        <f t="shared" si="102"/>
        <v>0.92409128243881811</v>
      </c>
      <c r="CG143" s="13">
        <f t="shared" si="103"/>
        <v>1</v>
      </c>
      <c r="CH143" s="13">
        <f t="shared" si="104"/>
        <v>1.7320508075688772</v>
      </c>
      <c r="CI143" s="13">
        <f t="shared" si="105"/>
        <v>0</v>
      </c>
      <c r="CJ143" s="13">
        <f t="shared" si="105"/>
        <v>1</v>
      </c>
      <c r="CK143" s="13">
        <f t="shared" si="106"/>
        <v>1</v>
      </c>
      <c r="CL143" s="13">
        <f t="shared" si="107"/>
        <v>2</v>
      </c>
      <c r="CM143" s="13">
        <f t="shared" si="108"/>
        <v>3.7416573867739413</v>
      </c>
      <c r="CN143" s="13">
        <f t="shared" si="109"/>
        <v>4.2426406871192848</v>
      </c>
      <c r="CO143" s="13">
        <f t="shared" si="110"/>
        <v>0</v>
      </c>
      <c r="CP143" s="13">
        <f t="shared" si="111"/>
        <v>4.2426406871192848</v>
      </c>
      <c r="CQ143" s="13">
        <f t="shared" si="112"/>
        <v>0</v>
      </c>
      <c r="CR143" s="13">
        <f t="shared" si="113"/>
        <v>0</v>
      </c>
      <c r="CS143" s="13">
        <f t="shared" si="114"/>
        <v>1.6094379124341003</v>
      </c>
      <c r="CT143" s="13">
        <f t="shared" si="115"/>
        <v>2.9957322735539909</v>
      </c>
      <c r="CU143" s="13">
        <f t="shared" si="116"/>
        <v>0.61731563837053727</v>
      </c>
      <c r="CV143" s="13">
        <f t="shared" si="117"/>
        <v>0.69314718055994529</v>
      </c>
      <c r="CW143" s="13">
        <f t="shared" si="118"/>
        <v>1.3862943611198906</v>
      </c>
      <c r="CX143" s="13">
        <f t="shared" si="119"/>
        <v>0</v>
      </c>
      <c r="CY143" s="13">
        <f t="shared" si="120"/>
        <v>0.69314718055994529</v>
      </c>
      <c r="CZ143" s="13">
        <f t="shared" si="121"/>
        <v>0.69314718055994529</v>
      </c>
      <c r="DA143" s="13">
        <f t="shared" si="122"/>
        <v>1.6094379124341003</v>
      </c>
      <c r="DB143" s="13">
        <f t="shared" si="123"/>
        <v>2.7080502011022101</v>
      </c>
      <c r="DC143" s="13">
        <f t="shared" si="124"/>
        <v>2.9444389791664403</v>
      </c>
      <c r="DD143" s="13">
        <f t="shared" si="125"/>
        <v>0</v>
      </c>
      <c r="DE143" s="13">
        <f t="shared" si="126"/>
        <v>2.9444389791664403</v>
      </c>
      <c r="DF143" s="13">
        <f t="shared" si="127"/>
        <v>0</v>
      </c>
      <c r="DG143" s="13">
        <f t="shared" si="128"/>
        <v>0</v>
      </c>
      <c r="DH143" s="13"/>
      <c r="DI143" s="13"/>
      <c r="DJ143" s="13"/>
      <c r="DL143"/>
      <c r="DM143"/>
      <c r="DN143"/>
      <c r="DO143"/>
      <c r="DP143" s="31"/>
    </row>
    <row r="144" spans="1:120">
      <c r="A144" s="13" t="s">
        <v>245</v>
      </c>
      <c r="B144" t="s">
        <v>176</v>
      </c>
      <c r="C144" t="s">
        <v>220</v>
      </c>
      <c r="D144" s="13" t="s">
        <v>320</v>
      </c>
      <c r="E144" s="13" t="s">
        <v>91</v>
      </c>
      <c r="F144" s="13">
        <v>0</v>
      </c>
      <c r="G144" s="13">
        <v>0</v>
      </c>
      <c r="H144" s="13">
        <v>0</v>
      </c>
      <c r="I144" s="13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13">
        <v>1</v>
      </c>
      <c r="P144" s="32">
        <v>0</v>
      </c>
      <c r="Q144" s="32">
        <v>0</v>
      </c>
      <c r="R144" s="13">
        <v>1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32">
        <v>0</v>
      </c>
      <c r="Z144" s="32">
        <v>0</v>
      </c>
      <c r="AA144" s="32">
        <v>0</v>
      </c>
      <c r="AB144" s="13">
        <v>8</v>
      </c>
      <c r="AC144" s="32">
        <v>0</v>
      </c>
      <c r="AD144" s="13">
        <v>2</v>
      </c>
      <c r="AE144" s="13">
        <v>4</v>
      </c>
      <c r="AF144" s="32">
        <v>0</v>
      </c>
      <c r="AG144" s="32">
        <v>0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13">
        <v>1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v>0</v>
      </c>
      <c r="AY144" s="32">
        <v>0</v>
      </c>
      <c r="AZ144" s="32">
        <v>0</v>
      </c>
      <c r="BA144" s="32">
        <v>0</v>
      </c>
      <c r="BB144" s="32">
        <v>0</v>
      </c>
      <c r="BC144" s="32">
        <v>0</v>
      </c>
      <c r="BD144" s="32">
        <v>0</v>
      </c>
      <c r="BE144" s="32">
        <v>0</v>
      </c>
      <c r="BF144" s="32">
        <v>0</v>
      </c>
      <c r="BG144" s="32">
        <v>0</v>
      </c>
      <c r="BH144" s="13">
        <v>1</v>
      </c>
      <c r="BI144" s="32">
        <v>0</v>
      </c>
      <c r="BJ144" s="32">
        <v>0</v>
      </c>
      <c r="BK144" s="32">
        <v>0</v>
      </c>
      <c r="BL144" s="32">
        <v>0</v>
      </c>
      <c r="BM144" s="32">
        <v>0</v>
      </c>
      <c r="BN144" s="32">
        <v>0</v>
      </c>
      <c r="BO144">
        <f t="shared" si="89"/>
        <v>7</v>
      </c>
      <c r="BP144" s="13">
        <f t="shared" si="90"/>
        <v>18</v>
      </c>
      <c r="BQ144" s="13">
        <f>[1]!shannonweaver(K144:BL144)</f>
        <v>1.5810937501718234</v>
      </c>
      <c r="BR144">
        <f t="shared" si="129"/>
        <v>2</v>
      </c>
      <c r="BS144">
        <f t="shared" si="130"/>
        <v>4</v>
      </c>
      <c r="BT144">
        <f t="shared" si="131"/>
        <v>0</v>
      </c>
      <c r="BU144">
        <f t="shared" si="91"/>
        <v>2</v>
      </c>
      <c r="BV144" s="13">
        <f t="shared" si="92"/>
        <v>2</v>
      </c>
      <c r="BW144" s="13">
        <f t="shared" si="93"/>
        <v>10</v>
      </c>
      <c r="BX144" s="13">
        <f t="shared" si="94"/>
        <v>4</v>
      </c>
      <c r="BY144" s="13">
        <f t="shared" si="95"/>
        <v>14</v>
      </c>
      <c r="BZ144" s="13">
        <f t="shared" si="96"/>
        <v>0</v>
      </c>
      <c r="CA144" s="13">
        <f t="shared" si="97"/>
        <v>15</v>
      </c>
      <c r="CB144" s="13">
        <f t="shared" si="98"/>
        <v>0</v>
      </c>
      <c r="CC144" s="13">
        <f t="shared" si="99"/>
        <v>0</v>
      </c>
      <c r="CD144" s="13">
        <f t="shared" si="100"/>
        <v>2.6457513110645907</v>
      </c>
      <c r="CE144" s="13">
        <f t="shared" si="101"/>
        <v>4.2426406871192848</v>
      </c>
      <c r="CF144" s="13">
        <f t="shared" si="102"/>
        <v>1.2574155041877857</v>
      </c>
      <c r="CG144" s="13">
        <f t="shared" si="103"/>
        <v>1.4142135623730951</v>
      </c>
      <c r="CH144" s="13">
        <f t="shared" si="104"/>
        <v>2</v>
      </c>
      <c r="CI144" s="13">
        <f t="shared" si="105"/>
        <v>0</v>
      </c>
      <c r="CJ144" s="13">
        <f t="shared" si="105"/>
        <v>1.4142135623730951</v>
      </c>
      <c r="CK144" s="13">
        <f t="shared" si="106"/>
        <v>1.4142135623730951</v>
      </c>
      <c r="CL144" s="13">
        <f t="shared" si="107"/>
        <v>3.1622776601683795</v>
      </c>
      <c r="CM144" s="13">
        <f t="shared" si="108"/>
        <v>2</v>
      </c>
      <c r="CN144" s="13">
        <f t="shared" si="109"/>
        <v>3.7416573867739413</v>
      </c>
      <c r="CO144" s="13">
        <f t="shared" si="110"/>
        <v>0</v>
      </c>
      <c r="CP144" s="13">
        <f t="shared" si="111"/>
        <v>3.872983346207417</v>
      </c>
      <c r="CQ144" s="13">
        <f t="shared" si="112"/>
        <v>0</v>
      </c>
      <c r="CR144" s="13">
        <f t="shared" si="113"/>
        <v>0</v>
      </c>
      <c r="CS144" s="13">
        <f t="shared" si="114"/>
        <v>2.0794415416798357</v>
      </c>
      <c r="CT144" s="13">
        <f t="shared" si="115"/>
        <v>2.9444389791664403</v>
      </c>
      <c r="CU144" s="13">
        <f t="shared" si="116"/>
        <v>0.9482132432739474</v>
      </c>
      <c r="CV144" s="13">
        <f t="shared" si="117"/>
        <v>1.0986122886681098</v>
      </c>
      <c r="CW144" s="13">
        <f t="shared" si="118"/>
        <v>1.6094379124341003</v>
      </c>
      <c r="CX144" s="13">
        <f t="shared" si="119"/>
        <v>0</v>
      </c>
      <c r="CY144" s="13">
        <f t="shared" si="120"/>
        <v>1.0986122886681098</v>
      </c>
      <c r="CZ144" s="13">
        <f t="shared" si="121"/>
        <v>1.0986122886681098</v>
      </c>
      <c r="DA144" s="13">
        <f t="shared" si="122"/>
        <v>2.3978952727983707</v>
      </c>
      <c r="DB144" s="13">
        <f t="shared" si="123"/>
        <v>1.6094379124341003</v>
      </c>
      <c r="DC144" s="13">
        <f t="shared" si="124"/>
        <v>2.7080502011022101</v>
      </c>
      <c r="DD144" s="13">
        <f t="shared" si="125"/>
        <v>0</v>
      </c>
      <c r="DE144" s="13">
        <f t="shared" si="126"/>
        <v>2.7725887222397811</v>
      </c>
      <c r="DF144" s="13">
        <f t="shared" si="127"/>
        <v>0</v>
      </c>
      <c r="DG144" s="13">
        <f t="shared" si="128"/>
        <v>0</v>
      </c>
      <c r="DH144" s="13"/>
      <c r="DI144" s="13"/>
      <c r="DJ144" s="13"/>
      <c r="DL144"/>
      <c r="DM144"/>
      <c r="DN144"/>
      <c r="DO144"/>
      <c r="DP144" s="31"/>
    </row>
    <row r="145" spans="1:120">
      <c r="A145" s="13" t="s">
        <v>247</v>
      </c>
      <c r="B145" t="s">
        <v>176</v>
      </c>
      <c r="C145" t="s">
        <v>220</v>
      </c>
      <c r="D145" s="13" t="s">
        <v>320</v>
      </c>
      <c r="E145" s="13" t="s">
        <v>91</v>
      </c>
      <c r="F145" s="13">
        <v>0</v>
      </c>
      <c r="G145" s="13">
        <v>0</v>
      </c>
      <c r="H145" s="13">
        <v>0</v>
      </c>
      <c r="I145" s="13">
        <v>0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13">
        <v>1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32">
        <v>0</v>
      </c>
      <c r="Z145" s="32">
        <v>0</v>
      </c>
      <c r="AA145" s="32">
        <v>0</v>
      </c>
      <c r="AB145" s="13">
        <v>4</v>
      </c>
      <c r="AC145" s="32">
        <v>0</v>
      </c>
      <c r="AD145" s="13">
        <v>1</v>
      </c>
      <c r="AE145" s="13">
        <v>3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 s="32">
        <v>0</v>
      </c>
      <c r="BD145" s="32">
        <v>0</v>
      </c>
      <c r="BE145" s="32">
        <v>0</v>
      </c>
      <c r="BF145" s="32">
        <v>0</v>
      </c>
      <c r="BG145" s="32">
        <v>0</v>
      </c>
      <c r="BH145" s="32">
        <v>0</v>
      </c>
      <c r="BI145" s="32">
        <v>0</v>
      </c>
      <c r="BJ145" s="32">
        <v>0</v>
      </c>
      <c r="BK145" s="32">
        <v>0</v>
      </c>
      <c r="BL145" s="32">
        <v>0</v>
      </c>
      <c r="BM145" s="32">
        <v>0</v>
      </c>
      <c r="BN145" s="32">
        <v>0</v>
      </c>
      <c r="BO145">
        <f t="shared" si="89"/>
        <v>4</v>
      </c>
      <c r="BP145" s="13">
        <f t="shared" si="90"/>
        <v>9</v>
      </c>
      <c r="BQ145" s="13">
        <f>[1]!shannonweaver(K145:BL145)</f>
        <v>1.2148896539491205</v>
      </c>
      <c r="BR145">
        <f t="shared" si="129"/>
        <v>1</v>
      </c>
      <c r="BS145">
        <f t="shared" si="130"/>
        <v>3</v>
      </c>
      <c r="BT145">
        <f t="shared" si="131"/>
        <v>0</v>
      </c>
      <c r="BU145">
        <f t="shared" si="91"/>
        <v>1</v>
      </c>
      <c r="BV145" s="13">
        <f t="shared" si="92"/>
        <v>1</v>
      </c>
      <c r="BW145" s="13">
        <f t="shared" si="93"/>
        <v>5</v>
      </c>
      <c r="BX145" s="13">
        <f t="shared" si="94"/>
        <v>3</v>
      </c>
      <c r="BY145" s="13">
        <f t="shared" si="95"/>
        <v>8</v>
      </c>
      <c r="BZ145" s="13">
        <f t="shared" si="96"/>
        <v>0</v>
      </c>
      <c r="CA145" s="13">
        <f t="shared" si="97"/>
        <v>8</v>
      </c>
      <c r="CB145" s="13">
        <f t="shared" si="98"/>
        <v>0</v>
      </c>
      <c r="CC145" s="13">
        <f t="shared" si="99"/>
        <v>0</v>
      </c>
      <c r="CD145" s="13">
        <f t="shared" si="100"/>
        <v>2</v>
      </c>
      <c r="CE145" s="13">
        <f t="shared" si="101"/>
        <v>3</v>
      </c>
      <c r="CF145" s="13">
        <f t="shared" si="102"/>
        <v>1.1022203291307597</v>
      </c>
      <c r="CG145" s="13">
        <f t="shared" si="103"/>
        <v>1</v>
      </c>
      <c r="CH145" s="13">
        <f t="shared" si="104"/>
        <v>1.7320508075688772</v>
      </c>
      <c r="CI145" s="13">
        <f t="shared" si="105"/>
        <v>0</v>
      </c>
      <c r="CJ145" s="13">
        <f t="shared" si="105"/>
        <v>1</v>
      </c>
      <c r="CK145" s="13">
        <f t="shared" si="106"/>
        <v>1</v>
      </c>
      <c r="CL145" s="13">
        <f t="shared" si="107"/>
        <v>2.2360679774997898</v>
      </c>
      <c r="CM145" s="13">
        <f t="shared" si="108"/>
        <v>1.7320508075688772</v>
      </c>
      <c r="CN145" s="13">
        <f t="shared" si="109"/>
        <v>2.8284271247461903</v>
      </c>
      <c r="CO145" s="13">
        <f t="shared" si="110"/>
        <v>0</v>
      </c>
      <c r="CP145" s="13">
        <f t="shared" si="111"/>
        <v>2.8284271247461903</v>
      </c>
      <c r="CQ145" s="13">
        <f t="shared" si="112"/>
        <v>0</v>
      </c>
      <c r="CR145" s="13">
        <f t="shared" si="113"/>
        <v>0</v>
      </c>
      <c r="CS145" s="13">
        <f t="shared" si="114"/>
        <v>1.6094379124341003</v>
      </c>
      <c r="CT145" s="13">
        <f t="shared" si="115"/>
        <v>2.3025850929940459</v>
      </c>
      <c r="CU145" s="13">
        <f t="shared" si="116"/>
        <v>0.79520258462596571</v>
      </c>
      <c r="CV145" s="13">
        <f t="shared" si="117"/>
        <v>0.69314718055994529</v>
      </c>
      <c r="CW145" s="13">
        <f t="shared" si="118"/>
        <v>1.3862943611198906</v>
      </c>
      <c r="CX145" s="13">
        <f t="shared" si="119"/>
        <v>0</v>
      </c>
      <c r="CY145" s="13">
        <f t="shared" si="120"/>
        <v>0.69314718055994529</v>
      </c>
      <c r="CZ145" s="13">
        <f t="shared" si="121"/>
        <v>0.69314718055994529</v>
      </c>
      <c r="DA145" s="13">
        <f t="shared" si="122"/>
        <v>1.791759469228055</v>
      </c>
      <c r="DB145" s="13">
        <f t="shared" si="123"/>
        <v>1.3862943611198906</v>
      </c>
      <c r="DC145" s="13">
        <f t="shared" si="124"/>
        <v>2.1972245773362196</v>
      </c>
      <c r="DD145" s="13">
        <f t="shared" si="125"/>
        <v>0</v>
      </c>
      <c r="DE145" s="13">
        <f t="shared" si="126"/>
        <v>2.1972245773362196</v>
      </c>
      <c r="DF145" s="13">
        <f t="shared" si="127"/>
        <v>0</v>
      </c>
      <c r="DG145" s="13">
        <f t="shared" si="128"/>
        <v>0</v>
      </c>
      <c r="DH145" s="13"/>
      <c r="DI145" s="13"/>
      <c r="DJ145" s="13"/>
      <c r="DL145"/>
      <c r="DM145"/>
      <c r="DN145"/>
      <c r="DO145"/>
      <c r="DP145" s="31"/>
    </row>
    <row r="146" spans="1:120">
      <c r="A146" t="s">
        <v>182</v>
      </c>
      <c r="B146" t="s">
        <v>183</v>
      </c>
      <c r="C146" t="s">
        <v>184</v>
      </c>
      <c r="D146" s="13" t="s">
        <v>319</v>
      </c>
      <c r="E146" s="13" t="s">
        <v>283</v>
      </c>
      <c r="F146" s="13">
        <v>0</v>
      </c>
      <c r="G146" s="13">
        <v>0</v>
      </c>
      <c r="H146" s="13">
        <v>0</v>
      </c>
      <c r="I146" s="13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32">
        <v>0</v>
      </c>
      <c r="T146" s="32">
        <v>0</v>
      </c>
      <c r="U146" s="32">
        <v>0</v>
      </c>
      <c r="V146" s="13">
        <v>1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32">
        <v>0</v>
      </c>
      <c r="AC146" s="32">
        <v>0</v>
      </c>
      <c r="AD146" s="32">
        <v>0</v>
      </c>
      <c r="AE146" s="13">
        <v>2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13">
        <v>3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 s="32">
        <v>0</v>
      </c>
      <c r="BD146" s="32">
        <v>0</v>
      </c>
      <c r="BE146" s="32">
        <v>0</v>
      </c>
      <c r="BF146" s="32">
        <v>0</v>
      </c>
      <c r="BG146" s="32">
        <v>0</v>
      </c>
      <c r="BH146" s="32">
        <v>0</v>
      </c>
      <c r="BI146" s="32">
        <v>0</v>
      </c>
      <c r="BJ146" s="32">
        <v>0</v>
      </c>
      <c r="BK146" s="32">
        <v>0</v>
      </c>
      <c r="BL146" s="32">
        <v>0</v>
      </c>
      <c r="BM146" s="32">
        <v>0</v>
      </c>
      <c r="BN146" s="32">
        <v>0</v>
      </c>
      <c r="BO146">
        <f t="shared" ref="BO146:BO209" si="132">COUNTIF(K146:BL146, "&gt;0")</f>
        <v>3</v>
      </c>
      <c r="BP146" s="13">
        <f t="shared" ref="BP146:BP209" si="133">SUM(K146:BL146)</f>
        <v>6</v>
      </c>
      <c r="BQ146" s="13">
        <f>[1]!shannonweaver(K146:BL146)</f>
        <v>1.0114042647073518</v>
      </c>
      <c r="BR146">
        <f t="shared" si="129"/>
        <v>1</v>
      </c>
      <c r="BS146">
        <f t="shared" si="130"/>
        <v>2</v>
      </c>
      <c r="BT146">
        <f t="shared" si="131"/>
        <v>0</v>
      </c>
      <c r="BU146">
        <f t="shared" si="91"/>
        <v>0</v>
      </c>
      <c r="BV146" s="13">
        <f t="shared" si="92"/>
        <v>1</v>
      </c>
      <c r="BW146" s="13">
        <f t="shared" si="93"/>
        <v>0</v>
      </c>
      <c r="BX146" s="13">
        <f t="shared" si="94"/>
        <v>2</v>
      </c>
      <c r="BY146" s="13">
        <f t="shared" si="95"/>
        <v>2</v>
      </c>
      <c r="BZ146" s="13">
        <f t="shared" si="96"/>
        <v>0</v>
      </c>
      <c r="CA146" s="13">
        <f t="shared" si="97"/>
        <v>5</v>
      </c>
      <c r="CB146" s="13">
        <f t="shared" si="98"/>
        <v>0</v>
      </c>
      <c r="CC146" s="13">
        <f t="shared" si="99"/>
        <v>0</v>
      </c>
      <c r="CD146" s="13">
        <f t="shared" si="100"/>
        <v>1.7320508075688772</v>
      </c>
      <c r="CE146" s="13">
        <f t="shared" si="101"/>
        <v>2.4494897427831779</v>
      </c>
      <c r="CF146" s="13">
        <f t="shared" si="102"/>
        <v>1.0056859672419376</v>
      </c>
      <c r="CG146" s="13">
        <f t="shared" si="103"/>
        <v>1</v>
      </c>
      <c r="CH146" s="13">
        <f t="shared" si="104"/>
        <v>1.4142135623730951</v>
      </c>
      <c r="CI146" s="13">
        <f t="shared" si="105"/>
        <v>0</v>
      </c>
      <c r="CJ146" s="13">
        <f t="shared" si="105"/>
        <v>0</v>
      </c>
      <c r="CK146" s="13">
        <f t="shared" si="106"/>
        <v>1</v>
      </c>
      <c r="CL146" s="13">
        <f t="shared" si="107"/>
        <v>0</v>
      </c>
      <c r="CM146" s="13">
        <f t="shared" si="108"/>
        <v>1.4142135623730951</v>
      </c>
      <c r="CN146" s="13">
        <f t="shared" si="109"/>
        <v>1.4142135623730951</v>
      </c>
      <c r="CO146" s="13">
        <f t="shared" si="110"/>
        <v>0</v>
      </c>
      <c r="CP146" s="13">
        <f t="shared" si="111"/>
        <v>2.2360679774997898</v>
      </c>
      <c r="CQ146" s="13">
        <f t="shared" si="112"/>
        <v>0</v>
      </c>
      <c r="CR146" s="13">
        <f t="shared" si="113"/>
        <v>0</v>
      </c>
      <c r="CS146" s="13">
        <f t="shared" si="114"/>
        <v>1.3862943611198906</v>
      </c>
      <c r="CT146" s="13">
        <f t="shared" si="115"/>
        <v>1.9459101490553132</v>
      </c>
      <c r="CU146" s="13">
        <f t="shared" si="116"/>
        <v>0.69883311729414266</v>
      </c>
      <c r="CV146" s="13">
        <f t="shared" si="117"/>
        <v>0.69314718055994529</v>
      </c>
      <c r="CW146" s="13">
        <f t="shared" si="118"/>
        <v>1.0986122886681098</v>
      </c>
      <c r="CX146" s="13">
        <f t="shared" si="119"/>
        <v>0</v>
      </c>
      <c r="CY146" s="13">
        <f t="shared" si="120"/>
        <v>0</v>
      </c>
      <c r="CZ146" s="13">
        <f t="shared" si="121"/>
        <v>0.69314718055994529</v>
      </c>
      <c r="DA146" s="13">
        <f t="shared" si="122"/>
        <v>0</v>
      </c>
      <c r="DB146" s="13">
        <f t="shared" si="123"/>
        <v>1.0986122886681098</v>
      </c>
      <c r="DC146" s="13">
        <f t="shared" si="124"/>
        <v>1.0986122886681098</v>
      </c>
      <c r="DD146" s="13">
        <f t="shared" si="125"/>
        <v>0</v>
      </c>
      <c r="DE146" s="13">
        <f t="shared" si="126"/>
        <v>1.791759469228055</v>
      </c>
      <c r="DF146" s="13">
        <f t="shared" si="127"/>
        <v>0</v>
      </c>
      <c r="DG146" s="13">
        <f t="shared" si="128"/>
        <v>0</v>
      </c>
      <c r="DH146" s="13"/>
      <c r="DI146" s="13"/>
      <c r="DJ146" s="13"/>
      <c r="DL146"/>
      <c r="DM146"/>
      <c r="DN146"/>
      <c r="DO146"/>
      <c r="DP146" s="31"/>
    </row>
    <row r="147" spans="1:120">
      <c r="A147" t="s">
        <v>185</v>
      </c>
      <c r="B147" t="s">
        <v>183</v>
      </c>
      <c r="C147" t="s">
        <v>184</v>
      </c>
      <c r="D147" s="13" t="s">
        <v>319</v>
      </c>
      <c r="E147" s="13" t="s">
        <v>283</v>
      </c>
      <c r="F147" s="13">
        <v>0</v>
      </c>
      <c r="G147" s="13">
        <v>0</v>
      </c>
      <c r="H147" s="13">
        <v>0</v>
      </c>
      <c r="I147" s="13">
        <v>0</v>
      </c>
      <c r="J147" s="32">
        <v>0</v>
      </c>
      <c r="K147" s="32">
        <v>0</v>
      </c>
      <c r="L147" s="32">
        <v>0</v>
      </c>
      <c r="M147" s="13">
        <v>1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32">
        <v>0</v>
      </c>
      <c r="Z147" s="32">
        <v>0</v>
      </c>
      <c r="AA147" s="32">
        <v>0</v>
      </c>
      <c r="AB147" s="13">
        <v>2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 s="32">
        <v>0</v>
      </c>
      <c r="BD147" s="32">
        <v>0</v>
      </c>
      <c r="BE147" s="32">
        <v>0</v>
      </c>
      <c r="BF147" s="32">
        <v>0</v>
      </c>
      <c r="BG147" s="32">
        <v>0</v>
      </c>
      <c r="BH147" s="32">
        <v>0</v>
      </c>
      <c r="BI147" s="13">
        <v>1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>
        <f t="shared" si="132"/>
        <v>3</v>
      </c>
      <c r="BP147" s="13">
        <f t="shared" si="133"/>
        <v>4</v>
      </c>
      <c r="BQ147" s="13">
        <f>[1]!shannonweaver(K147:BL147)</f>
        <v>1.0397207708399179</v>
      </c>
      <c r="BR147">
        <f t="shared" si="129"/>
        <v>0</v>
      </c>
      <c r="BS147">
        <f t="shared" si="130"/>
        <v>1</v>
      </c>
      <c r="BT147">
        <f t="shared" si="131"/>
        <v>0</v>
      </c>
      <c r="BU147">
        <f t="shared" si="91"/>
        <v>0</v>
      </c>
      <c r="BV147" s="13">
        <f t="shared" si="92"/>
        <v>0</v>
      </c>
      <c r="BW147" s="13">
        <f t="shared" si="93"/>
        <v>2</v>
      </c>
      <c r="BX147" s="13">
        <f t="shared" si="94"/>
        <v>0</v>
      </c>
      <c r="BY147" s="13">
        <f t="shared" si="95"/>
        <v>2</v>
      </c>
      <c r="BZ147" s="13">
        <f t="shared" si="96"/>
        <v>0</v>
      </c>
      <c r="CA147" s="13">
        <f t="shared" si="97"/>
        <v>2</v>
      </c>
      <c r="CB147" s="13">
        <f t="shared" si="98"/>
        <v>0</v>
      </c>
      <c r="CC147" s="13">
        <f t="shared" si="99"/>
        <v>0</v>
      </c>
      <c r="CD147" s="13">
        <f t="shared" si="100"/>
        <v>1.7320508075688772</v>
      </c>
      <c r="CE147" s="13">
        <f t="shared" si="101"/>
        <v>2</v>
      </c>
      <c r="CF147" s="13">
        <f t="shared" si="102"/>
        <v>1.0196669901688089</v>
      </c>
      <c r="CG147" s="13">
        <f t="shared" si="103"/>
        <v>0</v>
      </c>
      <c r="CH147" s="13">
        <f t="shared" si="104"/>
        <v>1</v>
      </c>
      <c r="CI147" s="13">
        <f t="shared" si="105"/>
        <v>0</v>
      </c>
      <c r="CJ147" s="13">
        <f t="shared" si="105"/>
        <v>0</v>
      </c>
      <c r="CK147" s="13">
        <f t="shared" si="106"/>
        <v>0</v>
      </c>
      <c r="CL147" s="13">
        <f t="shared" si="107"/>
        <v>1.4142135623730951</v>
      </c>
      <c r="CM147" s="13">
        <f t="shared" si="108"/>
        <v>0</v>
      </c>
      <c r="CN147" s="13">
        <f t="shared" si="109"/>
        <v>1.4142135623730951</v>
      </c>
      <c r="CO147" s="13">
        <f t="shared" si="110"/>
        <v>0</v>
      </c>
      <c r="CP147" s="13">
        <f t="shared" si="111"/>
        <v>1.4142135623730951</v>
      </c>
      <c r="CQ147" s="13">
        <f t="shared" si="112"/>
        <v>0</v>
      </c>
      <c r="CR147" s="13">
        <f t="shared" si="113"/>
        <v>0</v>
      </c>
      <c r="CS147" s="13">
        <f t="shared" si="114"/>
        <v>1.3862943611198906</v>
      </c>
      <c r="CT147" s="13">
        <f t="shared" si="115"/>
        <v>1.6094379124341003</v>
      </c>
      <c r="CU147" s="13">
        <f t="shared" si="116"/>
        <v>0.7128129214483524</v>
      </c>
      <c r="CV147" s="13">
        <f t="shared" si="117"/>
        <v>0</v>
      </c>
      <c r="CW147" s="13">
        <f t="shared" si="118"/>
        <v>0.69314718055994529</v>
      </c>
      <c r="CX147" s="13">
        <f t="shared" si="119"/>
        <v>0</v>
      </c>
      <c r="CY147" s="13">
        <f t="shared" si="120"/>
        <v>0</v>
      </c>
      <c r="CZ147" s="13">
        <f t="shared" si="121"/>
        <v>0</v>
      </c>
      <c r="DA147" s="13">
        <f t="shared" si="122"/>
        <v>1.0986122886681098</v>
      </c>
      <c r="DB147" s="13">
        <f t="shared" si="123"/>
        <v>0</v>
      </c>
      <c r="DC147" s="13">
        <f t="shared" si="124"/>
        <v>1.0986122886681098</v>
      </c>
      <c r="DD147" s="13">
        <f t="shared" si="125"/>
        <v>0</v>
      </c>
      <c r="DE147" s="13">
        <f t="shared" si="126"/>
        <v>1.0986122886681098</v>
      </c>
      <c r="DF147" s="13">
        <f t="shared" si="127"/>
        <v>0</v>
      </c>
      <c r="DG147" s="13">
        <f t="shared" si="128"/>
        <v>0</v>
      </c>
      <c r="DH147" s="13"/>
      <c r="DI147" s="13"/>
      <c r="DJ147" s="13"/>
      <c r="DL147"/>
      <c r="DM147"/>
      <c r="DN147"/>
      <c r="DO147"/>
      <c r="DP147" s="31"/>
    </row>
    <row r="148" spans="1:120">
      <c r="A148" t="s">
        <v>186</v>
      </c>
      <c r="B148" t="s">
        <v>183</v>
      </c>
      <c r="C148" t="s">
        <v>184</v>
      </c>
      <c r="D148" s="13" t="s">
        <v>319</v>
      </c>
      <c r="E148" s="13" t="s">
        <v>283</v>
      </c>
      <c r="F148" s="13">
        <v>0</v>
      </c>
      <c r="G148" s="13">
        <v>0</v>
      </c>
      <c r="H148" s="13">
        <v>0</v>
      </c>
      <c r="I148" s="13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13">
        <v>1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 s="32">
        <v>0</v>
      </c>
      <c r="BD148" s="32">
        <v>0</v>
      </c>
      <c r="BE148" s="32">
        <v>0</v>
      </c>
      <c r="BF148" s="32">
        <v>0</v>
      </c>
      <c r="BG148" s="32">
        <v>0</v>
      </c>
      <c r="BH148" s="32">
        <v>0</v>
      </c>
      <c r="BI148" s="13">
        <v>1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>
        <f t="shared" si="132"/>
        <v>2</v>
      </c>
      <c r="BP148" s="13">
        <f t="shared" si="133"/>
        <v>2</v>
      </c>
      <c r="BQ148" s="13">
        <f>[1]!shannonweaver(K148:BL148)</f>
        <v>0.69314718055994529</v>
      </c>
      <c r="BR148">
        <f t="shared" si="129"/>
        <v>0</v>
      </c>
      <c r="BS148">
        <f t="shared" si="130"/>
        <v>1</v>
      </c>
      <c r="BT148">
        <f t="shared" si="131"/>
        <v>0</v>
      </c>
      <c r="BU148">
        <f t="shared" si="91"/>
        <v>0</v>
      </c>
      <c r="BV148" s="13">
        <f t="shared" si="92"/>
        <v>0</v>
      </c>
      <c r="BW148" s="13">
        <f t="shared" si="93"/>
        <v>0</v>
      </c>
      <c r="BX148" s="13">
        <f t="shared" si="94"/>
        <v>0</v>
      </c>
      <c r="BY148" s="13">
        <f t="shared" si="95"/>
        <v>0</v>
      </c>
      <c r="BZ148" s="13">
        <f t="shared" si="96"/>
        <v>1</v>
      </c>
      <c r="CA148" s="13">
        <f t="shared" si="97"/>
        <v>1</v>
      </c>
      <c r="CB148" s="13">
        <f t="shared" si="98"/>
        <v>0</v>
      </c>
      <c r="CC148" s="13">
        <f t="shared" si="99"/>
        <v>0</v>
      </c>
      <c r="CD148" s="13">
        <f t="shared" si="100"/>
        <v>1.4142135623730951</v>
      </c>
      <c r="CE148" s="13">
        <f t="shared" si="101"/>
        <v>1.4142135623730951</v>
      </c>
      <c r="CF148" s="13">
        <f t="shared" si="102"/>
        <v>0.83255461115769769</v>
      </c>
      <c r="CG148" s="13">
        <f t="shared" si="103"/>
        <v>0</v>
      </c>
      <c r="CH148" s="13">
        <f t="shared" si="104"/>
        <v>1</v>
      </c>
      <c r="CI148" s="13">
        <f t="shared" si="105"/>
        <v>0</v>
      </c>
      <c r="CJ148" s="13">
        <f t="shared" si="105"/>
        <v>0</v>
      </c>
      <c r="CK148" s="13">
        <f t="shared" si="106"/>
        <v>0</v>
      </c>
      <c r="CL148" s="13">
        <f t="shared" si="107"/>
        <v>0</v>
      </c>
      <c r="CM148" s="13">
        <f t="shared" si="108"/>
        <v>0</v>
      </c>
      <c r="CN148" s="13">
        <f t="shared" si="109"/>
        <v>0</v>
      </c>
      <c r="CO148" s="13">
        <f t="shared" si="110"/>
        <v>1</v>
      </c>
      <c r="CP148" s="13">
        <f t="shared" si="111"/>
        <v>1</v>
      </c>
      <c r="CQ148" s="13">
        <f t="shared" si="112"/>
        <v>0</v>
      </c>
      <c r="CR148" s="13">
        <f t="shared" si="113"/>
        <v>0</v>
      </c>
      <c r="CS148" s="13">
        <f t="shared" si="114"/>
        <v>1.0986122886681098</v>
      </c>
      <c r="CT148" s="13">
        <f t="shared" si="115"/>
        <v>1.0986122886681098</v>
      </c>
      <c r="CU148" s="13">
        <f t="shared" si="116"/>
        <v>0.52658903413904457</v>
      </c>
      <c r="CV148" s="13">
        <f t="shared" si="117"/>
        <v>0</v>
      </c>
      <c r="CW148" s="13">
        <f t="shared" si="118"/>
        <v>0.69314718055994529</v>
      </c>
      <c r="CX148" s="13">
        <f t="shared" si="119"/>
        <v>0</v>
      </c>
      <c r="CY148" s="13">
        <f t="shared" si="120"/>
        <v>0</v>
      </c>
      <c r="CZ148" s="13">
        <f t="shared" si="121"/>
        <v>0</v>
      </c>
      <c r="DA148" s="13">
        <f t="shared" si="122"/>
        <v>0</v>
      </c>
      <c r="DB148" s="13">
        <f t="shared" si="123"/>
        <v>0</v>
      </c>
      <c r="DC148" s="13">
        <f t="shared" si="124"/>
        <v>0</v>
      </c>
      <c r="DD148" s="13">
        <f t="shared" si="125"/>
        <v>0.69314718055994529</v>
      </c>
      <c r="DE148" s="13">
        <f t="shared" si="126"/>
        <v>0.69314718055994529</v>
      </c>
      <c r="DF148" s="13">
        <f t="shared" si="127"/>
        <v>0</v>
      </c>
      <c r="DG148" s="13">
        <f t="shared" si="128"/>
        <v>0</v>
      </c>
      <c r="DH148" s="13"/>
      <c r="DI148" s="13"/>
      <c r="DJ148" s="13"/>
      <c r="DL148"/>
      <c r="DM148"/>
      <c r="DN148"/>
      <c r="DO148"/>
      <c r="DP148" s="31"/>
    </row>
    <row r="149" spans="1:120">
      <c r="A149" t="s">
        <v>187</v>
      </c>
      <c r="B149" t="s">
        <v>183</v>
      </c>
      <c r="C149" t="s">
        <v>184</v>
      </c>
      <c r="D149" s="13" t="s">
        <v>319</v>
      </c>
      <c r="E149" s="13" t="s">
        <v>283</v>
      </c>
      <c r="F149" s="13">
        <v>0</v>
      </c>
      <c r="G149" s="13">
        <v>0</v>
      </c>
      <c r="H149" s="13">
        <v>0</v>
      </c>
      <c r="I149" s="13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32">
        <v>0</v>
      </c>
      <c r="Z149" s="32">
        <v>0</v>
      </c>
      <c r="AA149" s="32">
        <v>0</v>
      </c>
      <c r="AB149" s="13">
        <v>2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13">
        <v>1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 s="32">
        <v>0</v>
      </c>
      <c r="BD149" s="32">
        <v>0</v>
      </c>
      <c r="BE149" s="32">
        <v>0</v>
      </c>
      <c r="BF149" s="32">
        <v>0</v>
      </c>
      <c r="BG149" s="32">
        <v>0</v>
      </c>
      <c r="BH149" s="32">
        <v>0</v>
      </c>
      <c r="BI149" s="13">
        <v>1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>
        <f t="shared" si="132"/>
        <v>3</v>
      </c>
      <c r="BP149" s="13">
        <f t="shared" si="133"/>
        <v>4</v>
      </c>
      <c r="BQ149" s="13">
        <f>[1]!shannonweaver(K149:BL149)</f>
        <v>1.0397207708399179</v>
      </c>
      <c r="BR149">
        <f t="shared" si="129"/>
        <v>0</v>
      </c>
      <c r="BS149">
        <f t="shared" si="130"/>
        <v>2</v>
      </c>
      <c r="BT149">
        <f t="shared" si="131"/>
        <v>0</v>
      </c>
      <c r="BU149">
        <f t="shared" si="91"/>
        <v>0</v>
      </c>
      <c r="BV149" s="13">
        <f t="shared" si="92"/>
        <v>0</v>
      </c>
      <c r="BW149" s="13">
        <f t="shared" si="93"/>
        <v>2</v>
      </c>
      <c r="BX149" s="13">
        <f t="shared" si="94"/>
        <v>0</v>
      </c>
      <c r="BY149" s="13">
        <f t="shared" si="95"/>
        <v>2</v>
      </c>
      <c r="BZ149" s="13">
        <f t="shared" si="96"/>
        <v>0</v>
      </c>
      <c r="CA149" s="13">
        <f t="shared" si="97"/>
        <v>3</v>
      </c>
      <c r="CB149" s="13">
        <f t="shared" si="98"/>
        <v>0</v>
      </c>
      <c r="CC149" s="13">
        <f t="shared" si="99"/>
        <v>0</v>
      </c>
      <c r="CD149" s="13">
        <f t="shared" si="100"/>
        <v>1.7320508075688772</v>
      </c>
      <c r="CE149" s="13">
        <f t="shared" si="101"/>
        <v>2</v>
      </c>
      <c r="CF149" s="13">
        <f t="shared" si="102"/>
        <v>1.0196669901688089</v>
      </c>
      <c r="CG149" s="13">
        <f t="shared" si="103"/>
        <v>0</v>
      </c>
      <c r="CH149" s="13">
        <f t="shared" si="104"/>
        <v>1.4142135623730951</v>
      </c>
      <c r="CI149" s="13">
        <f t="shared" si="105"/>
        <v>0</v>
      </c>
      <c r="CJ149" s="13">
        <f t="shared" si="105"/>
        <v>0</v>
      </c>
      <c r="CK149" s="13">
        <f t="shared" si="106"/>
        <v>0</v>
      </c>
      <c r="CL149" s="13">
        <f t="shared" si="107"/>
        <v>1.4142135623730951</v>
      </c>
      <c r="CM149" s="13">
        <f t="shared" si="108"/>
        <v>0</v>
      </c>
      <c r="CN149" s="13">
        <f t="shared" si="109"/>
        <v>1.4142135623730951</v>
      </c>
      <c r="CO149" s="13">
        <f t="shared" si="110"/>
        <v>0</v>
      </c>
      <c r="CP149" s="13">
        <f t="shared" si="111"/>
        <v>1.7320508075688772</v>
      </c>
      <c r="CQ149" s="13">
        <f t="shared" si="112"/>
        <v>0</v>
      </c>
      <c r="CR149" s="13">
        <f t="shared" si="113"/>
        <v>0</v>
      </c>
      <c r="CS149" s="13">
        <f t="shared" si="114"/>
        <v>1.3862943611198906</v>
      </c>
      <c r="CT149" s="13">
        <f t="shared" si="115"/>
        <v>1.6094379124341003</v>
      </c>
      <c r="CU149" s="13">
        <f t="shared" si="116"/>
        <v>0.7128129214483524</v>
      </c>
      <c r="CV149" s="13">
        <f t="shared" si="117"/>
        <v>0</v>
      </c>
      <c r="CW149" s="13">
        <f t="shared" si="118"/>
        <v>1.0986122886681098</v>
      </c>
      <c r="CX149" s="13">
        <f t="shared" si="119"/>
        <v>0</v>
      </c>
      <c r="CY149" s="13">
        <f t="shared" si="120"/>
        <v>0</v>
      </c>
      <c r="CZ149" s="13">
        <f t="shared" si="121"/>
        <v>0</v>
      </c>
      <c r="DA149" s="13">
        <f t="shared" si="122"/>
        <v>1.0986122886681098</v>
      </c>
      <c r="DB149" s="13">
        <f t="shared" si="123"/>
        <v>0</v>
      </c>
      <c r="DC149" s="13">
        <f t="shared" si="124"/>
        <v>1.0986122886681098</v>
      </c>
      <c r="DD149" s="13">
        <f t="shared" si="125"/>
        <v>0</v>
      </c>
      <c r="DE149" s="13">
        <f t="shared" si="126"/>
        <v>1.3862943611198906</v>
      </c>
      <c r="DF149" s="13">
        <f t="shared" si="127"/>
        <v>0</v>
      </c>
      <c r="DG149" s="13">
        <f t="shared" si="128"/>
        <v>0</v>
      </c>
      <c r="DH149" s="13"/>
      <c r="DI149" s="13"/>
      <c r="DJ149" s="13"/>
      <c r="DL149"/>
      <c r="DM149"/>
      <c r="DN149"/>
      <c r="DO149"/>
      <c r="DP149" s="31"/>
    </row>
    <row r="150" spans="1:120">
      <c r="A150" t="s">
        <v>188</v>
      </c>
      <c r="B150" t="s">
        <v>183</v>
      </c>
      <c r="C150" t="s">
        <v>184</v>
      </c>
      <c r="D150" s="13" t="s">
        <v>319</v>
      </c>
      <c r="E150" s="13" t="s">
        <v>283</v>
      </c>
      <c r="F150" s="13">
        <v>0</v>
      </c>
      <c r="G150" s="13">
        <v>0</v>
      </c>
      <c r="H150" s="13">
        <v>0</v>
      </c>
      <c r="I150" s="13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32">
        <v>0</v>
      </c>
      <c r="Z150" s="32">
        <v>0</v>
      </c>
      <c r="AA150" s="32">
        <v>0</v>
      </c>
      <c r="AB150" s="13">
        <v>1</v>
      </c>
      <c r="AC150" s="32">
        <v>0</v>
      </c>
      <c r="AD150" s="32">
        <v>0</v>
      </c>
      <c r="AE150" s="32">
        <v>0</v>
      </c>
      <c r="AF150" s="32">
        <v>0</v>
      </c>
      <c r="AG150" s="13">
        <v>1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 s="32">
        <v>0</v>
      </c>
      <c r="BD150" s="32">
        <v>0</v>
      </c>
      <c r="BE150" s="32">
        <v>0</v>
      </c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>
        <f t="shared" si="132"/>
        <v>2</v>
      </c>
      <c r="BP150" s="13">
        <f t="shared" si="133"/>
        <v>2</v>
      </c>
      <c r="BQ150" s="13">
        <f>[1]!shannonweaver(K150:BL150)</f>
        <v>0.69314718055994529</v>
      </c>
      <c r="BR150">
        <f t="shared" si="129"/>
        <v>0</v>
      </c>
      <c r="BS150">
        <f t="shared" si="130"/>
        <v>2</v>
      </c>
      <c r="BT150">
        <f t="shared" si="131"/>
        <v>0</v>
      </c>
      <c r="BU150">
        <f t="shared" si="91"/>
        <v>0</v>
      </c>
      <c r="BV150" s="13">
        <f t="shared" si="92"/>
        <v>0</v>
      </c>
      <c r="BW150" s="13">
        <f t="shared" si="93"/>
        <v>1</v>
      </c>
      <c r="BX150" s="13">
        <f t="shared" si="94"/>
        <v>0</v>
      </c>
      <c r="BY150" s="13">
        <f t="shared" si="95"/>
        <v>1</v>
      </c>
      <c r="BZ150" s="13">
        <f t="shared" si="96"/>
        <v>1</v>
      </c>
      <c r="CA150" s="13">
        <f t="shared" si="97"/>
        <v>2</v>
      </c>
      <c r="CB150" s="13">
        <f t="shared" si="98"/>
        <v>0</v>
      </c>
      <c r="CC150" s="13">
        <f t="shared" si="99"/>
        <v>0</v>
      </c>
      <c r="CD150" s="13">
        <f t="shared" si="100"/>
        <v>1.4142135623730951</v>
      </c>
      <c r="CE150" s="13">
        <f t="shared" si="101"/>
        <v>1.4142135623730951</v>
      </c>
      <c r="CF150" s="13">
        <f t="shared" si="102"/>
        <v>0.83255461115769769</v>
      </c>
      <c r="CG150" s="13">
        <f t="shared" si="103"/>
        <v>0</v>
      </c>
      <c r="CH150" s="13">
        <f t="shared" si="104"/>
        <v>1.4142135623730951</v>
      </c>
      <c r="CI150" s="13">
        <f t="shared" si="105"/>
        <v>0</v>
      </c>
      <c r="CJ150" s="13">
        <f t="shared" si="105"/>
        <v>0</v>
      </c>
      <c r="CK150" s="13">
        <f t="shared" si="106"/>
        <v>0</v>
      </c>
      <c r="CL150" s="13">
        <f t="shared" si="107"/>
        <v>1</v>
      </c>
      <c r="CM150" s="13">
        <f t="shared" si="108"/>
        <v>0</v>
      </c>
      <c r="CN150" s="13">
        <f t="shared" si="109"/>
        <v>1</v>
      </c>
      <c r="CO150" s="13">
        <f t="shared" si="110"/>
        <v>1</v>
      </c>
      <c r="CP150" s="13">
        <f t="shared" si="111"/>
        <v>1.4142135623730951</v>
      </c>
      <c r="CQ150" s="13">
        <f t="shared" si="112"/>
        <v>0</v>
      </c>
      <c r="CR150" s="13">
        <f t="shared" si="113"/>
        <v>0</v>
      </c>
      <c r="CS150" s="13">
        <f t="shared" si="114"/>
        <v>1.0986122886681098</v>
      </c>
      <c r="CT150" s="13">
        <f t="shared" si="115"/>
        <v>1.0986122886681098</v>
      </c>
      <c r="CU150" s="13">
        <f t="shared" si="116"/>
        <v>0.52658903413904457</v>
      </c>
      <c r="CV150" s="13">
        <f t="shared" si="117"/>
        <v>0</v>
      </c>
      <c r="CW150" s="13">
        <f t="shared" si="118"/>
        <v>1.0986122886681098</v>
      </c>
      <c r="CX150" s="13">
        <f t="shared" si="119"/>
        <v>0</v>
      </c>
      <c r="CY150" s="13">
        <f t="shared" si="120"/>
        <v>0</v>
      </c>
      <c r="CZ150" s="13">
        <f t="shared" si="121"/>
        <v>0</v>
      </c>
      <c r="DA150" s="13">
        <f t="shared" si="122"/>
        <v>0.69314718055994529</v>
      </c>
      <c r="DB150" s="13">
        <f t="shared" si="123"/>
        <v>0</v>
      </c>
      <c r="DC150" s="13">
        <f t="shared" si="124"/>
        <v>0.69314718055994529</v>
      </c>
      <c r="DD150" s="13">
        <f t="shared" si="125"/>
        <v>0.69314718055994529</v>
      </c>
      <c r="DE150" s="13">
        <f t="shared" si="126"/>
        <v>1.0986122886681098</v>
      </c>
      <c r="DF150" s="13">
        <f t="shared" si="127"/>
        <v>0</v>
      </c>
      <c r="DG150" s="13">
        <f t="shared" si="128"/>
        <v>0</v>
      </c>
      <c r="DH150" s="13"/>
      <c r="DI150" s="13"/>
      <c r="DJ150" s="13"/>
      <c r="DL150"/>
      <c r="DM150"/>
      <c r="DN150"/>
      <c r="DO150"/>
      <c r="DP150" s="31"/>
    </row>
    <row r="151" spans="1:120">
      <c r="A151" t="s">
        <v>189</v>
      </c>
      <c r="B151" t="s">
        <v>183</v>
      </c>
      <c r="C151" t="s">
        <v>184</v>
      </c>
      <c r="D151" s="13" t="s">
        <v>319</v>
      </c>
      <c r="E151" s="13" t="s">
        <v>283</v>
      </c>
      <c r="F151" s="13">
        <v>0</v>
      </c>
      <c r="G151" s="13">
        <v>0</v>
      </c>
      <c r="H151" s="13">
        <v>0</v>
      </c>
      <c r="I151" s="13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32">
        <v>0</v>
      </c>
      <c r="Z151" s="32">
        <v>0</v>
      </c>
      <c r="AA151" s="32">
        <v>0</v>
      </c>
      <c r="AB151" s="13">
        <v>4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 s="13">
        <v>1</v>
      </c>
      <c r="BD151" s="32">
        <v>0</v>
      </c>
      <c r="BE151" s="32">
        <v>0</v>
      </c>
      <c r="BF151" s="32">
        <v>0</v>
      </c>
      <c r="BG151" s="32">
        <v>0</v>
      </c>
      <c r="BH151" s="32">
        <v>0</v>
      </c>
      <c r="BI151" s="13">
        <v>1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>
        <f t="shared" si="132"/>
        <v>3</v>
      </c>
      <c r="BP151" s="13">
        <f t="shared" si="133"/>
        <v>6</v>
      </c>
      <c r="BQ151" s="13">
        <f>[1]!shannonweaver(K151:BL151)</f>
        <v>0.86756322848146117</v>
      </c>
      <c r="BR151">
        <f t="shared" si="129"/>
        <v>0</v>
      </c>
      <c r="BS151">
        <f t="shared" si="130"/>
        <v>1</v>
      </c>
      <c r="BT151">
        <f t="shared" si="131"/>
        <v>1</v>
      </c>
      <c r="BU151">
        <f t="shared" si="91"/>
        <v>0</v>
      </c>
      <c r="BV151" s="13">
        <f t="shared" si="92"/>
        <v>0</v>
      </c>
      <c r="BW151" s="13">
        <f t="shared" si="93"/>
        <v>4</v>
      </c>
      <c r="BX151" s="13">
        <f t="shared" si="94"/>
        <v>0</v>
      </c>
      <c r="BY151" s="13">
        <f t="shared" si="95"/>
        <v>4</v>
      </c>
      <c r="BZ151" s="13">
        <f t="shared" si="96"/>
        <v>0</v>
      </c>
      <c r="CA151" s="13">
        <f t="shared" si="97"/>
        <v>4</v>
      </c>
      <c r="CB151" s="13">
        <f t="shared" si="98"/>
        <v>1</v>
      </c>
      <c r="CC151" s="13">
        <f t="shared" si="99"/>
        <v>0</v>
      </c>
      <c r="CD151" s="13">
        <f t="shared" si="100"/>
        <v>1.7320508075688772</v>
      </c>
      <c r="CE151" s="13">
        <f t="shared" si="101"/>
        <v>2.4494897427831779</v>
      </c>
      <c r="CF151" s="13">
        <f t="shared" si="102"/>
        <v>0.93143074271867421</v>
      </c>
      <c r="CG151" s="13">
        <f t="shared" si="103"/>
        <v>0</v>
      </c>
      <c r="CH151" s="13">
        <f t="shared" si="104"/>
        <v>1</v>
      </c>
      <c r="CI151" s="13">
        <f t="shared" si="105"/>
        <v>1</v>
      </c>
      <c r="CJ151" s="13">
        <f t="shared" si="105"/>
        <v>0</v>
      </c>
      <c r="CK151" s="13">
        <f t="shared" si="106"/>
        <v>0</v>
      </c>
      <c r="CL151" s="13">
        <f t="shared" si="107"/>
        <v>2</v>
      </c>
      <c r="CM151" s="13">
        <f t="shared" si="108"/>
        <v>0</v>
      </c>
      <c r="CN151" s="13">
        <f t="shared" si="109"/>
        <v>2</v>
      </c>
      <c r="CO151" s="13">
        <f t="shared" si="110"/>
        <v>0</v>
      </c>
      <c r="CP151" s="13">
        <f t="shared" si="111"/>
        <v>2</v>
      </c>
      <c r="CQ151" s="13">
        <f t="shared" si="112"/>
        <v>1</v>
      </c>
      <c r="CR151" s="13">
        <f t="shared" si="113"/>
        <v>0</v>
      </c>
      <c r="CS151" s="13">
        <f t="shared" si="114"/>
        <v>1.3862943611198906</v>
      </c>
      <c r="CT151" s="13">
        <f t="shared" si="115"/>
        <v>1.9459101490553132</v>
      </c>
      <c r="CU151" s="13">
        <f t="shared" si="116"/>
        <v>0.62463449473761334</v>
      </c>
      <c r="CV151" s="13">
        <f t="shared" si="117"/>
        <v>0</v>
      </c>
      <c r="CW151" s="13">
        <f t="shared" si="118"/>
        <v>0.69314718055994529</v>
      </c>
      <c r="CX151" s="13">
        <f t="shared" si="119"/>
        <v>0.69314718055994529</v>
      </c>
      <c r="CY151" s="13">
        <f t="shared" si="120"/>
        <v>0</v>
      </c>
      <c r="CZ151" s="13">
        <f t="shared" si="121"/>
        <v>0</v>
      </c>
      <c r="DA151" s="13">
        <f t="shared" si="122"/>
        <v>1.6094379124341003</v>
      </c>
      <c r="DB151" s="13">
        <f t="shared" si="123"/>
        <v>0</v>
      </c>
      <c r="DC151" s="13">
        <f t="shared" si="124"/>
        <v>1.6094379124341003</v>
      </c>
      <c r="DD151" s="13">
        <f t="shared" si="125"/>
        <v>0</v>
      </c>
      <c r="DE151" s="13">
        <f t="shared" si="126"/>
        <v>1.6094379124341003</v>
      </c>
      <c r="DF151" s="13">
        <f t="shared" si="127"/>
        <v>0.69314718055994529</v>
      </c>
      <c r="DG151" s="13">
        <f t="shared" si="128"/>
        <v>0</v>
      </c>
      <c r="DH151" s="13"/>
      <c r="DI151" s="13"/>
      <c r="DJ151" s="13"/>
      <c r="DL151"/>
      <c r="DM151"/>
      <c r="DN151"/>
      <c r="DO151"/>
      <c r="DP151" s="31"/>
    </row>
    <row r="152" spans="1:120">
      <c r="A152" t="s">
        <v>190</v>
      </c>
      <c r="B152" t="s">
        <v>183</v>
      </c>
      <c r="C152" t="s">
        <v>191</v>
      </c>
      <c r="D152" s="13" t="s">
        <v>319</v>
      </c>
      <c r="E152" s="13" t="s">
        <v>283</v>
      </c>
      <c r="F152" s="13">
        <v>0</v>
      </c>
      <c r="G152" s="13">
        <v>0</v>
      </c>
      <c r="H152" s="13">
        <v>0</v>
      </c>
      <c r="I152" s="13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 s="32">
        <v>0</v>
      </c>
      <c r="BD152" s="32">
        <v>0</v>
      </c>
      <c r="BE152" s="32">
        <v>0</v>
      </c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13">
        <v>1</v>
      </c>
      <c r="BN152" s="32">
        <v>0</v>
      </c>
      <c r="BO152">
        <f t="shared" si="132"/>
        <v>0</v>
      </c>
      <c r="BP152" s="13">
        <f t="shared" si="133"/>
        <v>0</v>
      </c>
      <c r="BQ152" s="13">
        <v>0</v>
      </c>
      <c r="BR152">
        <f t="shared" si="129"/>
        <v>0</v>
      </c>
      <c r="BS152">
        <f t="shared" si="130"/>
        <v>0</v>
      </c>
      <c r="BT152">
        <f t="shared" si="131"/>
        <v>0</v>
      </c>
      <c r="BU152">
        <f t="shared" si="91"/>
        <v>0</v>
      </c>
      <c r="BV152" s="13">
        <f t="shared" si="92"/>
        <v>0</v>
      </c>
      <c r="BW152" s="13">
        <f t="shared" si="93"/>
        <v>0</v>
      </c>
      <c r="BX152" s="13">
        <f t="shared" si="94"/>
        <v>0</v>
      </c>
      <c r="BY152" s="13">
        <f t="shared" si="95"/>
        <v>0</v>
      </c>
      <c r="BZ152" s="13">
        <f t="shared" si="96"/>
        <v>0</v>
      </c>
      <c r="CA152" s="13">
        <f t="shared" si="97"/>
        <v>0</v>
      </c>
      <c r="CB152" s="13">
        <f t="shared" si="98"/>
        <v>0</v>
      </c>
      <c r="CC152" s="13">
        <f t="shared" si="99"/>
        <v>0</v>
      </c>
      <c r="CD152" s="13">
        <f t="shared" si="100"/>
        <v>0</v>
      </c>
      <c r="CE152" s="13">
        <f t="shared" si="101"/>
        <v>0</v>
      </c>
      <c r="CF152" s="13">
        <f t="shared" si="102"/>
        <v>0</v>
      </c>
      <c r="CG152" s="13">
        <f t="shared" si="103"/>
        <v>0</v>
      </c>
      <c r="CH152" s="13">
        <f t="shared" si="104"/>
        <v>0</v>
      </c>
      <c r="CI152" s="13">
        <f t="shared" si="105"/>
        <v>0</v>
      </c>
      <c r="CJ152" s="13">
        <f t="shared" si="105"/>
        <v>0</v>
      </c>
      <c r="CK152" s="13">
        <f t="shared" si="106"/>
        <v>0</v>
      </c>
      <c r="CL152" s="13">
        <f t="shared" si="107"/>
        <v>0</v>
      </c>
      <c r="CM152" s="13">
        <f t="shared" si="108"/>
        <v>0</v>
      </c>
      <c r="CN152" s="13">
        <f t="shared" si="109"/>
        <v>0</v>
      </c>
      <c r="CO152" s="13">
        <f t="shared" si="110"/>
        <v>0</v>
      </c>
      <c r="CP152" s="13">
        <f t="shared" si="111"/>
        <v>0</v>
      </c>
      <c r="CQ152" s="13">
        <f t="shared" si="112"/>
        <v>0</v>
      </c>
      <c r="CR152" s="13">
        <f t="shared" si="113"/>
        <v>0</v>
      </c>
      <c r="CS152" s="13">
        <f t="shared" si="114"/>
        <v>0</v>
      </c>
      <c r="CT152" s="13">
        <f t="shared" si="115"/>
        <v>0</v>
      </c>
      <c r="CU152" s="13">
        <f t="shared" si="116"/>
        <v>0</v>
      </c>
      <c r="CV152" s="13">
        <f t="shared" si="117"/>
        <v>0</v>
      </c>
      <c r="CW152" s="13">
        <f t="shared" si="118"/>
        <v>0</v>
      </c>
      <c r="CX152" s="13">
        <f t="shared" si="119"/>
        <v>0</v>
      </c>
      <c r="CY152" s="13">
        <f t="shared" si="120"/>
        <v>0</v>
      </c>
      <c r="CZ152" s="13">
        <f t="shared" si="121"/>
        <v>0</v>
      </c>
      <c r="DA152" s="13">
        <f t="shared" si="122"/>
        <v>0</v>
      </c>
      <c r="DB152" s="13">
        <f t="shared" si="123"/>
        <v>0</v>
      </c>
      <c r="DC152" s="13">
        <f t="shared" si="124"/>
        <v>0</v>
      </c>
      <c r="DD152" s="13">
        <f t="shared" si="125"/>
        <v>0</v>
      </c>
      <c r="DE152" s="13">
        <f t="shared" si="126"/>
        <v>0</v>
      </c>
      <c r="DF152" s="13">
        <f t="shared" si="127"/>
        <v>0</v>
      </c>
      <c r="DG152" s="13">
        <f t="shared" si="128"/>
        <v>0</v>
      </c>
      <c r="DH152" s="13"/>
      <c r="DI152" s="13"/>
      <c r="DJ152" s="13"/>
      <c r="DL152"/>
      <c r="DM152"/>
      <c r="DN152"/>
      <c r="DO152"/>
      <c r="DP152" s="31"/>
    </row>
    <row r="153" spans="1:120">
      <c r="A153" t="s">
        <v>192</v>
      </c>
      <c r="B153" t="s">
        <v>183</v>
      </c>
      <c r="C153" t="s">
        <v>191</v>
      </c>
      <c r="D153" s="13" t="s">
        <v>319</v>
      </c>
      <c r="E153" s="13" t="s">
        <v>283</v>
      </c>
      <c r="F153" s="13">
        <v>0</v>
      </c>
      <c r="G153" s="13">
        <v>0</v>
      </c>
      <c r="H153" s="13">
        <v>0</v>
      </c>
      <c r="I153" s="13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 s="32">
        <v>0</v>
      </c>
      <c r="BD153" s="32">
        <v>0</v>
      </c>
      <c r="BE153" s="32">
        <v>0</v>
      </c>
      <c r="BF153" s="32">
        <v>0</v>
      </c>
      <c r="BG153" s="32">
        <v>0</v>
      </c>
      <c r="BH153" s="32">
        <v>0</v>
      </c>
      <c r="BI153" s="13">
        <v>1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>
        <f t="shared" si="132"/>
        <v>1</v>
      </c>
      <c r="BP153" s="13">
        <f t="shared" si="133"/>
        <v>1</v>
      </c>
      <c r="BQ153" s="13">
        <f>[1]!shannonweaver(K153:BL153)</f>
        <v>0</v>
      </c>
      <c r="BR153">
        <f t="shared" si="129"/>
        <v>0</v>
      </c>
      <c r="BS153">
        <f t="shared" si="130"/>
        <v>0</v>
      </c>
      <c r="BT153">
        <f t="shared" si="131"/>
        <v>0</v>
      </c>
      <c r="BU153">
        <f t="shared" si="91"/>
        <v>0</v>
      </c>
      <c r="BV153" s="13">
        <f t="shared" si="92"/>
        <v>0</v>
      </c>
      <c r="BW153" s="13">
        <f t="shared" si="93"/>
        <v>0</v>
      </c>
      <c r="BX153" s="13">
        <f t="shared" si="94"/>
        <v>0</v>
      </c>
      <c r="BY153" s="13">
        <f t="shared" si="95"/>
        <v>0</v>
      </c>
      <c r="BZ153" s="13">
        <f t="shared" si="96"/>
        <v>0</v>
      </c>
      <c r="CA153" s="13">
        <f t="shared" si="97"/>
        <v>0</v>
      </c>
      <c r="CB153" s="13">
        <f t="shared" si="98"/>
        <v>0</v>
      </c>
      <c r="CC153" s="13">
        <f t="shared" si="99"/>
        <v>0</v>
      </c>
      <c r="CD153" s="13">
        <f t="shared" si="100"/>
        <v>1</v>
      </c>
      <c r="CE153" s="13">
        <f t="shared" si="101"/>
        <v>1</v>
      </c>
      <c r="CF153" s="13">
        <f t="shared" si="102"/>
        <v>0</v>
      </c>
      <c r="CG153" s="13">
        <f t="shared" si="103"/>
        <v>0</v>
      </c>
      <c r="CH153" s="13">
        <f t="shared" si="104"/>
        <v>0</v>
      </c>
      <c r="CI153" s="13">
        <f t="shared" si="105"/>
        <v>0</v>
      </c>
      <c r="CJ153" s="13">
        <f t="shared" si="105"/>
        <v>0</v>
      </c>
      <c r="CK153" s="13">
        <f t="shared" si="106"/>
        <v>0</v>
      </c>
      <c r="CL153" s="13">
        <f t="shared" si="107"/>
        <v>0</v>
      </c>
      <c r="CM153" s="13">
        <f t="shared" si="108"/>
        <v>0</v>
      </c>
      <c r="CN153" s="13">
        <f t="shared" si="109"/>
        <v>0</v>
      </c>
      <c r="CO153" s="13">
        <f t="shared" si="110"/>
        <v>0</v>
      </c>
      <c r="CP153" s="13">
        <f t="shared" si="111"/>
        <v>0</v>
      </c>
      <c r="CQ153" s="13">
        <f t="shared" si="112"/>
        <v>0</v>
      </c>
      <c r="CR153" s="13">
        <f t="shared" si="113"/>
        <v>0</v>
      </c>
      <c r="CS153" s="13">
        <f t="shared" si="114"/>
        <v>0.69314718055994529</v>
      </c>
      <c r="CT153" s="13">
        <f t="shared" si="115"/>
        <v>0.69314718055994529</v>
      </c>
      <c r="CU153" s="13">
        <f t="shared" si="116"/>
        <v>0</v>
      </c>
      <c r="CV153" s="13">
        <f t="shared" si="117"/>
        <v>0</v>
      </c>
      <c r="CW153" s="13">
        <f t="shared" si="118"/>
        <v>0</v>
      </c>
      <c r="CX153" s="13">
        <f t="shared" si="119"/>
        <v>0</v>
      </c>
      <c r="CY153" s="13">
        <f t="shared" si="120"/>
        <v>0</v>
      </c>
      <c r="CZ153" s="13">
        <f t="shared" si="121"/>
        <v>0</v>
      </c>
      <c r="DA153" s="13">
        <f t="shared" si="122"/>
        <v>0</v>
      </c>
      <c r="DB153" s="13">
        <f t="shared" si="123"/>
        <v>0</v>
      </c>
      <c r="DC153" s="13">
        <f t="shared" si="124"/>
        <v>0</v>
      </c>
      <c r="DD153" s="13">
        <f t="shared" si="125"/>
        <v>0</v>
      </c>
      <c r="DE153" s="13">
        <f t="shared" si="126"/>
        <v>0</v>
      </c>
      <c r="DF153" s="13">
        <f t="shared" si="127"/>
        <v>0</v>
      </c>
      <c r="DG153" s="13">
        <f t="shared" si="128"/>
        <v>0</v>
      </c>
      <c r="DH153" s="13"/>
      <c r="DI153" s="13"/>
      <c r="DJ153" s="13"/>
      <c r="DL153"/>
      <c r="DM153"/>
      <c r="DN153"/>
      <c r="DO153"/>
      <c r="DP153" s="31"/>
    </row>
    <row r="154" spans="1:120">
      <c r="A154" t="s">
        <v>193</v>
      </c>
      <c r="B154" t="s">
        <v>183</v>
      </c>
      <c r="C154" t="s">
        <v>191</v>
      </c>
      <c r="D154" s="13" t="s">
        <v>319</v>
      </c>
      <c r="E154" s="13" t="s">
        <v>283</v>
      </c>
      <c r="F154" s="13">
        <v>0</v>
      </c>
      <c r="G154" s="13">
        <v>0</v>
      </c>
      <c r="H154" s="13">
        <v>0</v>
      </c>
      <c r="I154" s="13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13">
        <v>1</v>
      </c>
      <c r="BB154" s="32">
        <v>0</v>
      </c>
      <c r="BC154" s="32">
        <v>0</v>
      </c>
      <c r="BD154" s="32">
        <v>0</v>
      </c>
      <c r="BE154" s="32">
        <v>0</v>
      </c>
      <c r="BF154" s="32">
        <v>0</v>
      </c>
      <c r="BG154" s="32">
        <v>0</v>
      </c>
      <c r="BH154" s="32">
        <v>0</v>
      </c>
      <c r="BI154" s="13">
        <v>1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>
        <f t="shared" si="132"/>
        <v>2</v>
      </c>
      <c r="BP154" s="13">
        <f t="shared" si="133"/>
        <v>2</v>
      </c>
      <c r="BQ154" s="13">
        <f>[1]!shannonweaver(K154:BL154)</f>
        <v>0.69314718055994529</v>
      </c>
      <c r="BR154">
        <f t="shared" si="129"/>
        <v>0</v>
      </c>
      <c r="BS154">
        <f t="shared" si="130"/>
        <v>0</v>
      </c>
      <c r="BT154">
        <f t="shared" si="131"/>
        <v>1</v>
      </c>
      <c r="BU154">
        <f t="shared" si="91"/>
        <v>0</v>
      </c>
      <c r="BV154" s="13">
        <f t="shared" si="92"/>
        <v>0</v>
      </c>
      <c r="BW154" s="13">
        <f t="shared" si="93"/>
        <v>0</v>
      </c>
      <c r="BX154" s="13">
        <f t="shared" si="94"/>
        <v>0</v>
      </c>
      <c r="BY154" s="13">
        <f t="shared" si="95"/>
        <v>0</v>
      </c>
      <c r="BZ154" s="13">
        <f t="shared" si="96"/>
        <v>0</v>
      </c>
      <c r="CA154" s="13">
        <f t="shared" si="97"/>
        <v>0</v>
      </c>
      <c r="CB154" s="13">
        <f t="shared" si="98"/>
        <v>1</v>
      </c>
      <c r="CC154" s="13">
        <f t="shared" si="99"/>
        <v>0</v>
      </c>
      <c r="CD154" s="13">
        <f t="shared" si="100"/>
        <v>1.4142135623730951</v>
      </c>
      <c r="CE154" s="13">
        <f t="shared" si="101"/>
        <v>1.4142135623730951</v>
      </c>
      <c r="CF154" s="13">
        <f t="shared" si="102"/>
        <v>0.83255461115769769</v>
      </c>
      <c r="CG154" s="13">
        <f t="shared" si="103"/>
        <v>0</v>
      </c>
      <c r="CH154" s="13">
        <f t="shared" si="104"/>
        <v>0</v>
      </c>
      <c r="CI154" s="13">
        <f t="shared" si="105"/>
        <v>1</v>
      </c>
      <c r="CJ154" s="13">
        <f t="shared" si="105"/>
        <v>0</v>
      </c>
      <c r="CK154" s="13">
        <f t="shared" si="106"/>
        <v>0</v>
      </c>
      <c r="CL154" s="13">
        <f t="shared" si="107"/>
        <v>0</v>
      </c>
      <c r="CM154" s="13">
        <f t="shared" si="108"/>
        <v>0</v>
      </c>
      <c r="CN154" s="13">
        <f t="shared" si="109"/>
        <v>0</v>
      </c>
      <c r="CO154" s="13">
        <f t="shared" si="110"/>
        <v>0</v>
      </c>
      <c r="CP154" s="13">
        <f t="shared" si="111"/>
        <v>0</v>
      </c>
      <c r="CQ154" s="13">
        <f t="shared" si="112"/>
        <v>1</v>
      </c>
      <c r="CR154" s="13">
        <f t="shared" si="113"/>
        <v>0</v>
      </c>
      <c r="CS154" s="13">
        <f t="shared" si="114"/>
        <v>1.0986122886681098</v>
      </c>
      <c r="CT154" s="13">
        <f t="shared" si="115"/>
        <v>1.0986122886681098</v>
      </c>
      <c r="CU154" s="13">
        <f t="shared" si="116"/>
        <v>0.52658903413904457</v>
      </c>
      <c r="CV154" s="13">
        <f t="shared" si="117"/>
        <v>0</v>
      </c>
      <c r="CW154" s="13">
        <f t="shared" si="118"/>
        <v>0</v>
      </c>
      <c r="CX154" s="13">
        <f t="shared" si="119"/>
        <v>0.69314718055994529</v>
      </c>
      <c r="CY154" s="13">
        <f t="shared" si="120"/>
        <v>0</v>
      </c>
      <c r="CZ154" s="13">
        <f t="shared" si="121"/>
        <v>0</v>
      </c>
      <c r="DA154" s="13">
        <f t="shared" si="122"/>
        <v>0</v>
      </c>
      <c r="DB154" s="13">
        <f t="shared" si="123"/>
        <v>0</v>
      </c>
      <c r="DC154" s="13">
        <f t="shared" si="124"/>
        <v>0</v>
      </c>
      <c r="DD154" s="13">
        <f t="shared" si="125"/>
        <v>0</v>
      </c>
      <c r="DE154" s="13">
        <f t="shared" si="126"/>
        <v>0</v>
      </c>
      <c r="DF154" s="13">
        <f t="shared" si="127"/>
        <v>0.69314718055994529</v>
      </c>
      <c r="DG154" s="13">
        <f t="shared" si="128"/>
        <v>0</v>
      </c>
      <c r="DH154" s="13"/>
      <c r="DI154" s="13"/>
      <c r="DJ154" s="13"/>
      <c r="DL154"/>
      <c r="DM154"/>
      <c r="DN154"/>
      <c r="DO154"/>
      <c r="DP154" s="31"/>
    </row>
    <row r="155" spans="1:120">
      <c r="A155" t="s">
        <v>12</v>
      </c>
      <c r="B155" t="s">
        <v>183</v>
      </c>
      <c r="C155" t="s">
        <v>191</v>
      </c>
      <c r="D155" s="13" t="s">
        <v>319</v>
      </c>
      <c r="E155" s="13" t="s">
        <v>283</v>
      </c>
      <c r="F155" s="13">
        <v>0</v>
      </c>
      <c r="G155" s="13">
        <v>0</v>
      </c>
      <c r="H155" s="13">
        <v>0</v>
      </c>
      <c r="I155" s="13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13">
        <v>1</v>
      </c>
      <c r="X155" s="32">
        <v>0</v>
      </c>
      <c r="Y155" s="13">
        <v>1</v>
      </c>
      <c r="Z155" s="32">
        <v>0</v>
      </c>
      <c r="AA155" s="32">
        <v>0</v>
      </c>
      <c r="AB155" s="32">
        <v>0</v>
      </c>
      <c r="AC155" s="32">
        <v>0</v>
      </c>
      <c r="AD155" s="32">
        <v>0</v>
      </c>
      <c r="AE155" s="13">
        <v>1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 s="32">
        <v>0</v>
      </c>
      <c r="BD155" s="32">
        <v>0</v>
      </c>
      <c r="BE155" s="32">
        <v>0</v>
      </c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>
        <f t="shared" si="132"/>
        <v>3</v>
      </c>
      <c r="BP155" s="13">
        <f t="shared" si="133"/>
        <v>3</v>
      </c>
      <c r="BQ155" s="13">
        <f>[1]!shannonweaver(K155:BL155)</f>
        <v>1.0986122886681096</v>
      </c>
      <c r="BR155">
        <f t="shared" si="129"/>
        <v>1</v>
      </c>
      <c r="BS155">
        <f t="shared" si="130"/>
        <v>2</v>
      </c>
      <c r="BT155">
        <f t="shared" si="131"/>
        <v>0</v>
      </c>
      <c r="BU155">
        <f t="shared" si="91"/>
        <v>0</v>
      </c>
      <c r="BV155" s="13">
        <f t="shared" si="92"/>
        <v>1</v>
      </c>
      <c r="BW155" s="13">
        <f t="shared" si="93"/>
        <v>0</v>
      </c>
      <c r="BX155" s="13">
        <f t="shared" si="94"/>
        <v>1</v>
      </c>
      <c r="BY155" s="13">
        <f t="shared" si="95"/>
        <v>1</v>
      </c>
      <c r="BZ155" s="13">
        <f t="shared" si="96"/>
        <v>0</v>
      </c>
      <c r="CA155" s="13">
        <f t="shared" si="97"/>
        <v>2</v>
      </c>
      <c r="CB155" s="13">
        <f t="shared" si="98"/>
        <v>0</v>
      </c>
      <c r="CC155" s="13">
        <f t="shared" si="99"/>
        <v>0</v>
      </c>
      <c r="CD155" s="13">
        <f t="shared" si="100"/>
        <v>1.7320508075688772</v>
      </c>
      <c r="CE155" s="13">
        <f t="shared" si="101"/>
        <v>1.7320508075688772</v>
      </c>
      <c r="CF155" s="13">
        <f t="shared" si="102"/>
        <v>1.0481470739682048</v>
      </c>
      <c r="CG155" s="13">
        <f t="shared" si="103"/>
        <v>1</v>
      </c>
      <c r="CH155" s="13">
        <f t="shared" si="104"/>
        <v>1.4142135623730951</v>
      </c>
      <c r="CI155" s="13">
        <f t="shared" si="105"/>
        <v>0</v>
      </c>
      <c r="CJ155" s="13">
        <f t="shared" si="105"/>
        <v>0</v>
      </c>
      <c r="CK155" s="13">
        <f t="shared" si="106"/>
        <v>1</v>
      </c>
      <c r="CL155" s="13">
        <f t="shared" si="107"/>
        <v>0</v>
      </c>
      <c r="CM155" s="13">
        <f t="shared" si="108"/>
        <v>1</v>
      </c>
      <c r="CN155" s="13">
        <f t="shared" si="109"/>
        <v>1</v>
      </c>
      <c r="CO155" s="13">
        <f t="shared" si="110"/>
        <v>0</v>
      </c>
      <c r="CP155" s="13">
        <f t="shared" si="111"/>
        <v>1.4142135623730951</v>
      </c>
      <c r="CQ155" s="13">
        <f t="shared" si="112"/>
        <v>0</v>
      </c>
      <c r="CR155" s="13">
        <f t="shared" si="113"/>
        <v>0</v>
      </c>
      <c r="CS155" s="13">
        <f t="shared" si="114"/>
        <v>1.3862943611198906</v>
      </c>
      <c r="CT155" s="13">
        <f t="shared" si="115"/>
        <v>1.3862943611198906</v>
      </c>
      <c r="CU155" s="13">
        <f t="shared" si="116"/>
        <v>0.74127631137501515</v>
      </c>
      <c r="CV155" s="13">
        <f t="shared" si="117"/>
        <v>0.69314718055994529</v>
      </c>
      <c r="CW155" s="13">
        <f t="shared" si="118"/>
        <v>1.0986122886681098</v>
      </c>
      <c r="CX155" s="13">
        <f t="shared" si="119"/>
        <v>0</v>
      </c>
      <c r="CY155" s="13">
        <f t="shared" si="120"/>
        <v>0</v>
      </c>
      <c r="CZ155" s="13">
        <f t="shared" si="121"/>
        <v>0.69314718055994529</v>
      </c>
      <c r="DA155" s="13">
        <f t="shared" si="122"/>
        <v>0</v>
      </c>
      <c r="DB155" s="13">
        <f t="shared" si="123"/>
        <v>0.69314718055994529</v>
      </c>
      <c r="DC155" s="13">
        <f t="shared" si="124"/>
        <v>0.69314718055994529</v>
      </c>
      <c r="DD155" s="13">
        <f t="shared" si="125"/>
        <v>0</v>
      </c>
      <c r="DE155" s="13">
        <f t="shared" si="126"/>
        <v>1.0986122886681098</v>
      </c>
      <c r="DF155" s="13">
        <f t="shared" si="127"/>
        <v>0</v>
      </c>
      <c r="DG155" s="13">
        <f t="shared" si="128"/>
        <v>0</v>
      </c>
      <c r="DH155" s="13"/>
      <c r="DI155" s="13"/>
      <c r="DJ155" s="13"/>
      <c r="DL155"/>
      <c r="DM155"/>
      <c r="DN155"/>
      <c r="DO155"/>
      <c r="DP155" s="31"/>
    </row>
    <row r="156" spans="1:120">
      <c r="A156" t="s">
        <v>13</v>
      </c>
      <c r="B156" t="s">
        <v>183</v>
      </c>
      <c r="C156" t="s">
        <v>191</v>
      </c>
      <c r="D156" s="13" t="s">
        <v>319</v>
      </c>
      <c r="E156" s="13" t="s">
        <v>283</v>
      </c>
      <c r="F156" s="13">
        <v>0</v>
      </c>
      <c r="G156" s="13">
        <v>0</v>
      </c>
      <c r="H156" s="13">
        <v>0</v>
      </c>
      <c r="I156" s="13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13">
        <v>1</v>
      </c>
      <c r="U156" s="32">
        <v>0</v>
      </c>
      <c r="V156" s="32">
        <v>0</v>
      </c>
      <c r="W156" s="32">
        <v>0</v>
      </c>
      <c r="X156" s="32">
        <v>0</v>
      </c>
      <c r="Y156" s="32">
        <v>0</v>
      </c>
      <c r="Z156" s="32">
        <v>0</v>
      </c>
      <c r="AA156" s="32">
        <v>0</v>
      </c>
      <c r="AB156" s="13">
        <v>3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 s="32">
        <v>0</v>
      </c>
      <c r="BD156" s="32">
        <v>0</v>
      </c>
      <c r="BE156" s="32">
        <v>0</v>
      </c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>
        <f t="shared" si="132"/>
        <v>2</v>
      </c>
      <c r="BP156" s="13">
        <f t="shared" si="133"/>
        <v>4</v>
      </c>
      <c r="BQ156" s="13">
        <f>[1]!shannonweaver(K156:BL156)</f>
        <v>0.56233514461880829</v>
      </c>
      <c r="BR156">
        <f t="shared" si="129"/>
        <v>1</v>
      </c>
      <c r="BS156">
        <f t="shared" si="130"/>
        <v>1</v>
      </c>
      <c r="BT156">
        <f t="shared" si="131"/>
        <v>0</v>
      </c>
      <c r="BU156">
        <f t="shared" si="91"/>
        <v>0</v>
      </c>
      <c r="BV156" s="13">
        <f t="shared" si="92"/>
        <v>1</v>
      </c>
      <c r="BW156" s="13">
        <f t="shared" si="93"/>
        <v>3</v>
      </c>
      <c r="BX156" s="13">
        <f t="shared" si="94"/>
        <v>0</v>
      </c>
      <c r="BY156" s="13">
        <f t="shared" si="95"/>
        <v>3</v>
      </c>
      <c r="BZ156" s="13">
        <f t="shared" si="96"/>
        <v>0</v>
      </c>
      <c r="CA156" s="13">
        <f t="shared" si="97"/>
        <v>3</v>
      </c>
      <c r="CB156" s="13">
        <f t="shared" si="98"/>
        <v>0</v>
      </c>
      <c r="CC156" s="13">
        <f t="shared" si="99"/>
        <v>0</v>
      </c>
      <c r="CD156" s="13">
        <f t="shared" si="100"/>
        <v>1.4142135623730951</v>
      </c>
      <c r="CE156" s="13">
        <f t="shared" si="101"/>
        <v>2</v>
      </c>
      <c r="CF156" s="13">
        <f t="shared" si="102"/>
        <v>0.74989008835882631</v>
      </c>
      <c r="CG156" s="13">
        <f t="shared" si="103"/>
        <v>1</v>
      </c>
      <c r="CH156" s="13">
        <f t="shared" si="104"/>
        <v>1</v>
      </c>
      <c r="CI156" s="13">
        <f t="shared" si="105"/>
        <v>0</v>
      </c>
      <c r="CJ156" s="13">
        <f t="shared" si="105"/>
        <v>0</v>
      </c>
      <c r="CK156" s="13">
        <f t="shared" si="106"/>
        <v>1</v>
      </c>
      <c r="CL156" s="13">
        <f t="shared" si="107"/>
        <v>1.7320508075688772</v>
      </c>
      <c r="CM156" s="13">
        <f t="shared" si="108"/>
        <v>0</v>
      </c>
      <c r="CN156" s="13">
        <f t="shared" si="109"/>
        <v>1.7320508075688772</v>
      </c>
      <c r="CO156" s="13">
        <f t="shared" si="110"/>
        <v>0</v>
      </c>
      <c r="CP156" s="13">
        <f t="shared" si="111"/>
        <v>1.7320508075688772</v>
      </c>
      <c r="CQ156" s="13">
        <f t="shared" si="112"/>
        <v>0</v>
      </c>
      <c r="CR156" s="13">
        <f t="shared" si="113"/>
        <v>0</v>
      </c>
      <c r="CS156" s="13">
        <f t="shared" si="114"/>
        <v>1.0986122886681098</v>
      </c>
      <c r="CT156" s="13">
        <f t="shared" si="115"/>
        <v>1.6094379124341003</v>
      </c>
      <c r="CU156" s="13">
        <f t="shared" si="116"/>
        <v>0.44618158961815491</v>
      </c>
      <c r="CV156" s="13">
        <f t="shared" si="117"/>
        <v>0.69314718055994529</v>
      </c>
      <c r="CW156" s="13">
        <f t="shared" si="118"/>
        <v>0.69314718055994529</v>
      </c>
      <c r="CX156" s="13">
        <f t="shared" si="119"/>
        <v>0</v>
      </c>
      <c r="CY156" s="13">
        <f t="shared" si="120"/>
        <v>0</v>
      </c>
      <c r="CZ156" s="13">
        <f t="shared" si="121"/>
        <v>0.69314718055994529</v>
      </c>
      <c r="DA156" s="13">
        <f t="shared" si="122"/>
        <v>1.3862943611198906</v>
      </c>
      <c r="DB156" s="13">
        <f t="shared" si="123"/>
        <v>0</v>
      </c>
      <c r="DC156" s="13">
        <f t="shared" si="124"/>
        <v>1.3862943611198906</v>
      </c>
      <c r="DD156" s="13">
        <f t="shared" si="125"/>
        <v>0</v>
      </c>
      <c r="DE156" s="13">
        <f t="shared" si="126"/>
        <v>1.3862943611198906</v>
      </c>
      <c r="DF156" s="13">
        <f t="shared" si="127"/>
        <v>0</v>
      </c>
      <c r="DG156" s="13">
        <f t="shared" si="128"/>
        <v>0</v>
      </c>
      <c r="DH156" s="13"/>
      <c r="DI156" s="13"/>
      <c r="DJ156" s="13"/>
      <c r="DL156"/>
      <c r="DM156"/>
      <c r="DN156"/>
      <c r="DO156"/>
      <c r="DP156" s="31"/>
    </row>
    <row r="157" spans="1:120">
      <c r="A157" t="s">
        <v>14</v>
      </c>
      <c r="B157" t="s">
        <v>183</v>
      </c>
      <c r="C157" t="s">
        <v>191</v>
      </c>
      <c r="D157" s="13" t="s">
        <v>319</v>
      </c>
      <c r="E157" s="13" t="s">
        <v>283</v>
      </c>
      <c r="F157" s="13">
        <v>0</v>
      </c>
      <c r="G157" s="13">
        <v>0</v>
      </c>
      <c r="H157" s="13">
        <v>0</v>
      </c>
      <c r="I157" s="13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13">
        <v>1</v>
      </c>
      <c r="R157" s="32">
        <v>0</v>
      </c>
      <c r="S157" s="32">
        <v>0</v>
      </c>
      <c r="T157" s="32">
        <v>0</v>
      </c>
      <c r="U157" s="32">
        <v>0</v>
      </c>
      <c r="V157" s="13">
        <v>1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>
        <v>0</v>
      </c>
      <c r="AS157" s="32">
        <v>0</v>
      </c>
      <c r="AT157" s="32">
        <v>0</v>
      </c>
      <c r="AU157" s="32">
        <v>0</v>
      </c>
      <c r="AV157" s="13">
        <v>1</v>
      </c>
      <c r="AW157" s="32">
        <v>0</v>
      </c>
      <c r="AX157" s="32">
        <v>0</v>
      </c>
      <c r="AY157" s="13">
        <v>1</v>
      </c>
      <c r="AZ157" s="32">
        <v>0</v>
      </c>
      <c r="BA157" s="32">
        <v>0</v>
      </c>
      <c r="BB157" s="32">
        <v>0</v>
      </c>
      <c r="BC157" s="32">
        <v>0</v>
      </c>
      <c r="BD157" s="32">
        <v>0</v>
      </c>
      <c r="BE157" s="32">
        <v>0</v>
      </c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>
        <f t="shared" si="132"/>
        <v>4</v>
      </c>
      <c r="BP157" s="13">
        <f t="shared" si="133"/>
        <v>4</v>
      </c>
      <c r="BQ157" s="13">
        <f>[1]!shannonweaver(K157:BL157)</f>
        <v>1.3862943611198906</v>
      </c>
      <c r="BR157">
        <f t="shared" si="129"/>
        <v>2</v>
      </c>
      <c r="BS157">
        <f t="shared" si="130"/>
        <v>0</v>
      </c>
      <c r="BT157">
        <f t="shared" si="131"/>
        <v>2</v>
      </c>
      <c r="BU157">
        <f t="shared" si="91"/>
        <v>1</v>
      </c>
      <c r="BV157" s="13">
        <f t="shared" si="92"/>
        <v>2</v>
      </c>
      <c r="BW157" s="13">
        <f t="shared" si="93"/>
        <v>0</v>
      </c>
      <c r="BX157" s="13">
        <f t="shared" si="94"/>
        <v>0</v>
      </c>
      <c r="BY157" s="13">
        <f t="shared" si="95"/>
        <v>0</v>
      </c>
      <c r="BZ157" s="13">
        <f t="shared" si="96"/>
        <v>0</v>
      </c>
      <c r="CA157" s="13">
        <f t="shared" si="97"/>
        <v>0</v>
      </c>
      <c r="CB157" s="13">
        <f t="shared" si="98"/>
        <v>2</v>
      </c>
      <c r="CC157" s="13">
        <f t="shared" si="99"/>
        <v>0</v>
      </c>
      <c r="CD157" s="13">
        <f t="shared" si="100"/>
        <v>2</v>
      </c>
      <c r="CE157" s="13">
        <f t="shared" si="101"/>
        <v>2</v>
      </c>
      <c r="CF157" s="13">
        <f t="shared" si="102"/>
        <v>1.1774100225154747</v>
      </c>
      <c r="CG157" s="13">
        <f t="shared" si="103"/>
        <v>1.4142135623730951</v>
      </c>
      <c r="CH157" s="13">
        <f t="shared" si="104"/>
        <v>0</v>
      </c>
      <c r="CI157" s="13">
        <f t="shared" si="105"/>
        <v>1.4142135623730951</v>
      </c>
      <c r="CJ157" s="13">
        <f t="shared" si="105"/>
        <v>1</v>
      </c>
      <c r="CK157" s="13">
        <f t="shared" si="106"/>
        <v>1.4142135623730951</v>
      </c>
      <c r="CL157" s="13">
        <f t="shared" si="107"/>
        <v>0</v>
      </c>
      <c r="CM157" s="13">
        <f t="shared" si="108"/>
        <v>0</v>
      </c>
      <c r="CN157" s="13">
        <f t="shared" si="109"/>
        <v>0</v>
      </c>
      <c r="CO157" s="13">
        <f t="shared" si="110"/>
        <v>0</v>
      </c>
      <c r="CP157" s="13">
        <f t="shared" si="111"/>
        <v>0</v>
      </c>
      <c r="CQ157" s="13">
        <f t="shared" si="112"/>
        <v>1.4142135623730951</v>
      </c>
      <c r="CR157" s="13">
        <f t="shared" si="113"/>
        <v>0</v>
      </c>
      <c r="CS157" s="13">
        <f t="shared" si="114"/>
        <v>1.6094379124341003</v>
      </c>
      <c r="CT157" s="13">
        <f t="shared" si="115"/>
        <v>1.6094379124341003</v>
      </c>
      <c r="CU157" s="13">
        <f t="shared" si="116"/>
        <v>0.86974168619194392</v>
      </c>
      <c r="CV157" s="13">
        <f t="shared" si="117"/>
        <v>1.0986122886681098</v>
      </c>
      <c r="CW157" s="13">
        <f t="shared" si="118"/>
        <v>0</v>
      </c>
      <c r="CX157" s="13">
        <f t="shared" si="119"/>
        <v>1.0986122886681098</v>
      </c>
      <c r="CY157" s="13">
        <f t="shared" si="120"/>
        <v>0.69314718055994529</v>
      </c>
      <c r="CZ157" s="13">
        <f t="shared" si="121"/>
        <v>1.0986122886681098</v>
      </c>
      <c r="DA157" s="13">
        <f t="shared" si="122"/>
        <v>0</v>
      </c>
      <c r="DB157" s="13">
        <f t="shared" si="123"/>
        <v>0</v>
      </c>
      <c r="DC157" s="13">
        <f t="shared" si="124"/>
        <v>0</v>
      </c>
      <c r="DD157" s="13">
        <f t="shared" si="125"/>
        <v>0</v>
      </c>
      <c r="DE157" s="13">
        <f t="shared" si="126"/>
        <v>0</v>
      </c>
      <c r="DF157" s="13">
        <f t="shared" si="127"/>
        <v>1.0986122886681098</v>
      </c>
      <c r="DG157" s="13">
        <f t="shared" si="128"/>
        <v>0</v>
      </c>
      <c r="DH157" s="13"/>
      <c r="DI157" s="13"/>
      <c r="DJ157" s="13"/>
      <c r="DL157"/>
      <c r="DM157"/>
      <c r="DN157"/>
      <c r="DO157"/>
      <c r="DP157" s="31"/>
    </row>
    <row r="158" spans="1:120">
      <c r="A158" t="s">
        <v>15</v>
      </c>
      <c r="B158" t="s">
        <v>183</v>
      </c>
      <c r="C158" t="s">
        <v>255</v>
      </c>
      <c r="D158" s="13" t="s">
        <v>319</v>
      </c>
      <c r="E158" s="13" t="s">
        <v>283</v>
      </c>
      <c r="F158" s="13">
        <v>0</v>
      </c>
      <c r="G158" s="13">
        <v>0</v>
      </c>
      <c r="H158" s="13">
        <v>0</v>
      </c>
      <c r="I158" s="13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13">
        <v>1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32">
        <v>0</v>
      </c>
      <c r="AC158" s="32">
        <v>0</v>
      </c>
      <c r="AD158" s="32">
        <v>0</v>
      </c>
      <c r="AE158" s="13">
        <v>1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 s="32">
        <v>0</v>
      </c>
      <c r="BD158" s="13">
        <v>1</v>
      </c>
      <c r="BE158" s="32">
        <v>0</v>
      </c>
      <c r="BF158" s="32">
        <v>0</v>
      </c>
      <c r="BG158" s="32">
        <v>0</v>
      </c>
      <c r="BH158" s="32">
        <v>0</v>
      </c>
      <c r="BI158" s="13">
        <v>1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>
        <f t="shared" si="132"/>
        <v>4</v>
      </c>
      <c r="BP158" s="13">
        <f t="shared" si="133"/>
        <v>4</v>
      </c>
      <c r="BQ158" s="13">
        <f>[1]!shannonweaver(K158:BL158)</f>
        <v>1.3862943611198906</v>
      </c>
      <c r="BR158">
        <f t="shared" si="129"/>
        <v>1</v>
      </c>
      <c r="BS158">
        <f t="shared" si="130"/>
        <v>1</v>
      </c>
      <c r="BT158">
        <f t="shared" si="131"/>
        <v>1</v>
      </c>
      <c r="BU158">
        <f t="shared" si="91"/>
        <v>1</v>
      </c>
      <c r="BV158" s="13">
        <f t="shared" si="92"/>
        <v>1</v>
      </c>
      <c r="BW158" s="13">
        <f t="shared" si="93"/>
        <v>0</v>
      </c>
      <c r="BX158" s="13">
        <f t="shared" si="94"/>
        <v>1</v>
      </c>
      <c r="BY158" s="13">
        <f t="shared" si="95"/>
        <v>1</v>
      </c>
      <c r="BZ158" s="13">
        <f t="shared" si="96"/>
        <v>0</v>
      </c>
      <c r="CA158" s="13">
        <f t="shared" si="97"/>
        <v>1</v>
      </c>
      <c r="CB158" s="13">
        <f t="shared" si="98"/>
        <v>1</v>
      </c>
      <c r="CC158" s="13">
        <f t="shared" si="99"/>
        <v>0</v>
      </c>
      <c r="CD158" s="13">
        <f t="shared" si="100"/>
        <v>2</v>
      </c>
      <c r="CE158" s="13">
        <f t="shared" si="101"/>
        <v>2</v>
      </c>
      <c r="CF158" s="13">
        <f t="shared" si="102"/>
        <v>1.1774100225154747</v>
      </c>
      <c r="CG158" s="13">
        <f t="shared" si="103"/>
        <v>1</v>
      </c>
      <c r="CH158" s="13">
        <f t="shared" si="104"/>
        <v>1</v>
      </c>
      <c r="CI158" s="13">
        <f t="shared" si="105"/>
        <v>1</v>
      </c>
      <c r="CJ158" s="13">
        <f t="shared" si="105"/>
        <v>1</v>
      </c>
      <c r="CK158" s="13">
        <f t="shared" si="106"/>
        <v>1</v>
      </c>
      <c r="CL158" s="13">
        <f t="shared" si="107"/>
        <v>0</v>
      </c>
      <c r="CM158" s="13">
        <f t="shared" si="108"/>
        <v>1</v>
      </c>
      <c r="CN158" s="13">
        <f t="shared" si="109"/>
        <v>1</v>
      </c>
      <c r="CO158" s="13">
        <f t="shared" si="110"/>
        <v>0</v>
      </c>
      <c r="CP158" s="13">
        <f t="shared" si="111"/>
        <v>1</v>
      </c>
      <c r="CQ158" s="13">
        <f t="shared" si="112"/>
        <v>1</v>
      </c>
      <c r="CR158" s="13">
        <f t="shared" si="113"/>
        <v>0</v>
      </c>
      <c r="CS158" s="13">
        <f t="shared" si="114"/>
        <v>1.6094379124341003</v>
      </c>
      <c r="CT158" s="13">
        <f t="shared" si="115"/>
        <v>1.6094379124341003</v>
      </c>
      <c r="CU158" s="13">
        <f t="shared" si="116"/>
        <v>0.86974168619194392</v>
      </c>
      <c r="CV158" s="13">
        <f t="shared" si="117"/>
        <v>0.69314718055994529</v>
      </c>
      <c r="CW158" s="13">
        <f t="shared" si="118"/>
        <v>0.69314718055994529</v>
      </c>
      <c r="CX158" s="13">
        <f t="shared" si="119"/>
        <v>0.69314718055994529</v>
      </c>
      <c r="CY158" s="13">
        <f t="shared" si="120"/>
        <v>0.69314718055994529</v>
      </c>
      <c r="CZ158" s="13">
        <f t="shared" si="121"/>
        <v>0.69314718055994529</v>
      </c>
      <c r="DA158" s="13">
        <f t="shared" si="122"/>
        <v>0</v>
      </c>
      <c r="DB158" s="13">
        <f t="shared" si="123"/>
        <v>0.69314718055994529</v>
      </c>
      <c r="DC158" s="13">
        <f t="shared" si="124"/>
        <v>0.69314718055994529</v>
      </c>
      <c r="DD158" s="13">
        <f t="shared" si="125"/>
        <v>0</v>
      </c>
      <c r="DE158" s="13">
        <f t="shared" si="126"/>
        <v>0.69314718055994529</v>
      </c>
      <c r="DF158" s="13">
        <f t="shared" si="127"/>
        <v>0.69314718055994529</v>
      </c>
      <c r="DG158" s="13">
        <f t="shared" si="128"/>
        <v>0</v>
      </c>
      <c r="DH158" s="13"/>
      <c r="DI158" s="13"/>
      <c r="DJ158" s="13"/>
      <c r="DL158"/>
      <c r="DM158"/>
      <c r="DN158"/>
      <c r="DO158"/>
      <c r="DP158" s="31"/>
    </row>
    <row r="159" spans="1:120">
      <c r="A159" t="s">
        <v>256</v>
      </c>
      <c r="B159" t="s">
        <v>183</v>
      </c>
      <c r="C159" t="s">
        <v>255</v>
      </c>
      <c r="D159" s="13" t="s">
        <v>319</v>
      </c>
      <c r="E159" s="13" t="s">
        <v>283</v>
      </c>
      <c r="F159" s="13">
        <v>0</v>
      </c>
      <c r="G159" s="13">
        <v>0</v>
      </c>
      <c r="H159" s="13">
        <v>0</v>
      </c>
      <c r="I159" s="13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13">
        <v>1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 s="32">
        <v>0</v>
      </c>
      <c r="BD159" s="32">
        <v>0</v>
      </c>
      <c r="BE159" s="32">
        <v>0</v>
      </c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13">
        <v>1</v>
      </c>
      <c r="BL159" s="32">
        <v>0</v>
      </c>
      <c r="BM159" s="13">
        <v>1</v>
      </c>
      <c r="BN159" s="32">
        <v>0</v>
      </c>
      <c r="BO159">
        <f t="shared" si="132"/>
        <v>2</v>
      </c>
      <c r="BP159" s="13">
        <f t="shared" si="133"/>
        <v>2</v>
      </c>
      <c r="BQ159" s="13">
        <f>[1]!shannonweaver(K159:BL159)</f>
        <v>0.69314718055994529</v>
      </c>
      <c r="BR159">
        <f t="shared" si="129"/>
        <v>1</v>
      </c>
      <c r="BS159">
        <f t="shared" si="130"/>
        <v>0</v>
      </c>
      <c r="BT159">
        <f t="shared" si="131"/>
        <v>0</v>
      </c>
      <c r="BU159">
        <f t="shared" si="91"/>
        <v>1</v>
      </c>
      <c r="BV159" s="13">
        <f t="shared" si="92"/>
        <v>1</v>
      </c>
      <c r="BW159" s="13">
        <f t="shared" si="93"/>
        <v>0</v>
      </c>
      <c r="BX159" s="13">
        <f t="shared" si="94"/>
        <v>0</v>
      </c>
      <c r="BY159" s="13">
        <f t="shared" si="95"/>
        <v>0</v>
      </c>
      <c r="BZ159" s="13">
        <f t="shared" si="96"/>
        <v>0</v>
      </c>
      <c r="CA159" s="13">
        <f t="shared" si="97"/>
        <v>0</v>
      </c>
      <c r="CB159" s="13">
        <f t="shared" si="98"/>
        <v>0</v>
      </c>
      <c r="CC159" s="13">
        <f t="shared" si="99"/>
        <v>1</v>
      </c>
      <c r="CD159" s="13">
        <f t="shared" si="100"/>
        <v>1.4142135623730951</v>
      </c>
      <c r="CE159" s="13">
        <f t="shared" si="101"/>
        <v>1.4142135623730951</v>
      </c>
      <c r="CF159" s="13">
        <f t="shared" si="102"/>
        <v>0.83255461115769769</v>
      </c>
      <c r="CG159" s="13">
        <f t="shared" si="103"/>
        <v>1</v>
      </c>
      <c r="CH159" s="13">
        <f t="shared" si="104"/>
        <v>0</v>
      </c>
      <c r="CI159" s="13">
        <f t="shared" si="105"/>
        <v>0</v>
      </c>
      <c r="CJ159" s="13">
        <f t="shared" si="105"/>
        <v>1</v>
      </c>
      <c r="CK159" s="13">
        <f t="shared" si="106"/>
        <v>1</v>
      </c>
      <c r="CL159" s="13">
        <f t="shared" si="107"/>
        <v>0</v>
      </c>
      <c r="CM159" s="13">
        <f t="shared" si="108"/>
        <v>0</v>
      </c>
      <c r="CN159" s="13">
        <f t="shared" si="109"/>
        <v>0</v>
      </c>
      <c r="CO159" s="13">
        <f t="shared" si="110"/>
        <v>0</v>
      </c>
      <c r="CP159" s="13">
        <f t="shared" si="111"/>
        <v>0</v>
      </c>
      <c r="CQ159" s="13">
        <f t="shared" si="112"/>
        <v>0</v>
      </c>
      <c r="CR159" s="13">
        <f t="shared" si="113"/>
        <v>1</v>
      </c>
      <c r="CS159" s="13">
        <f t="shared" si="114"/>
        <v>1.0986122886681098</v>
      </c>
      <c r="CT159" s="13">
        <f t="shared" si="115"/>
        <v>1.0986122886681098</v>
      </c>
      <c r="CU159" s="13">
        <f t="shared" si="116"/>
        <v>0.52658903413904457</v>
      </c>
      <c r="CV159" s="13">
        <f t="shared" si="117"/>
        <v>0.69314718055994529</v>
      </c>
      <c r="CW159" s="13">
        <f t="shared" si="118"/>
        <v>0</v>
      </c>
      <c r="CX159" s="13">
        <f t="shared" si="119"/>
        <v>0</v>
      </c>
      <c r="CY159" s="13">
        <f t="shared" si="120"/>
        <v>0.69314718055994529</v>
      </c>
      <c r="CZ159" s="13">
        <f t="shared" si="121"/>
        <v>0.69314718055994529</v>
      </c>
      <c r="DA159" s="13">
        <f t="shared" si="122"/>
        <v>0</v>
      </c>
      <c r="DB159" s="13">
        <f t="shared" si="123"/>
        <v>0</v>
      </c>
      <c r="DC159" s="13">
        <f t="shared" si="124"/>
        <v>0</v>
      </c>
      <c r="DD159" s="13">
        <f t="shared" si="125"/>
        <v>0</v>
      </c>
      <c r="DE159" s="13">
        <f t="shared" si="126"/>
        <v>0</v>
      </c>
      <c r="DF159" s="13">
        <f t="shared" si="127"/>
        <v>0</v>
      </c>
      <c r="DG159" s="13">
        <f t="shared" si="128"/>
        <v>0.69314718055994529</v>
      </c>
      <c r="DH159" s="13"/>
      <c r="DI159" s="13"/>
      <c r="DJ159" s="13"/>
      <c r="DL159"/>
      <c r="DM159"/>
      <c r="DN159"/>
      <c r="DO159"/>
      <c r="DP159" s="31"/>
    </row>
    <row r="160" spans="1:120">
      <c r="A160" t="s">
        <v>257</v>
      </c>
      <c r="B160" t="s">
        <v>183</v>
      </c>
      <c r="C160" t="s">
        <v>255</v>
      </c>
      <c r="D160" s="13" t="s">
        <v>319</v>
      </c>
      <c r="E160" s="13" t="s">
        <v>283</v>
      </c>
      <c r="F160" s="13">
        <v>0</v>
      </c>
      <c r="G160" s="13">
        <v>0</v>
      </c>
      <c r="H160" s="13">
        <v>0</v>
      </c>
      <c r="I160" s="13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 s="32">
        <v>0</v>
      </c>
      <c r="BD160" s="32">
        <v>0</v>
      </c>
      <c r="BE160" s="32">
        <v>0</v>
      </c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>
        <f t="shared" si="132"/>
        <v>0</v>
      </c>
      <c r="BP160" s="13">
        <f t="shared" si="133"/>
        <v>0</v>
      </c>
      <c r="BQ160" s="13">
        <v>0</v>
      </c>
      <c r="BR160">
        <f t="shared" si="129"/>
        <v>0</v>
      </c>
      <c r="BS160">
        <f t="shared" si="130"/>
        <v>0</v>
      </c>
      <c r="BT160">
        <f t="shared" si="131"/>
        <v>0</v>
      </c>
      <c r="BU160">
        <f t="shared" si="91"/>
        <v>0</v>
      </c>
      <c r="BV160" s="13">
        <f t="shared" si="92"/>
        <v>0</v>
      </c>
      <c r="BW160" s="13">
        <f t="shared" si="93"/>
        <v>0</v>
      </c>
      <c r="BX160" s="13">
        <f t="shared" si="94"/>
        <v>0</v>
      </c>
      <c r="BY160" s="13">
        <f t="shared" si="95"/>
        <v>0</v>
      </c>
      <c r="BZ160" s="13">
        <f t="shared" si="96"/>
        <v>0</v>
      </c>
      <c r="CA160" s="13">
        <f t="shared" si="97"/>
        <v>0</v>
      </c>
      <c r="CB160" s="13">
        <f t="shared" si="98"/>
        <v>0</v>
      </c>
      <c r="CC160" s="13">
        <f t="shared" si="99"/>
        <v>0</v>
      </c>
      <c r="CD160" s="13">
        <f t="shared" si="100"/>
        <v>0</v>
      </c>
      <c r="CE160" s="13">
        <f t="shared" si="101"/>
        <v>0</v>
      </c>
      <c r="CF160" s="13">
        <f t="shared" si="102"/>
        <v>0</v>
      </c>
      <c r="CG160" s="13">
        <f t="shared" si="103"/>
        <v>0</v>
      </c>
      <c r="CH160" s="13">
        <f t="shared" si="104"/>
        <v>0</v>
      </c>
      <c r="CI160" s="13">
        <f t="shared" si="105"/>
        <v>0</v>
      </c>
      <c r="CJ160" s="13">
        <f t="shared" si="105"/>
        <v>0</v>
      </c>
      <c r="CK160" s="13">
        <f t="shared" si="106"/>
        <v>0</v>
      </c>
      <c r="CL160" s="13">
        <f t="shared" si="107"/>
        <v>0</v>
      </c>
      <c r="CM160" s="13">
        <f t="shared" si="108"/>
        <v>0</v>
      </c>
      <c r="CN160" s="13">
        <f t="shared" si="109"/>
        <v>0</v>
      </c>
      <c r="CO160" s="13">
        <f t="shared" si="110"/>
        <v>0</v>
      </c>
      <c r="CP160" s="13">
        <f t="shared" si="111"/>
        <v>0</v>
      </c>
      <c r="CQ160" s="13">
        <f t="shared" si="112"/>
        <v>0</v>
      </c>
      <c r="CR160" s="13">
        <f t="shared" si="113"/>
        <v>0</v>
      </c>
      <c r="CS160" s="13">
        <f t="shared" si="114"/>
        <v>0</v>
      </c>
      <c r="CT160" s="13">
        <f t="shared" si="115"/>
        <v>0</v>
      </c>
      <c r="CU160" s="13">
        <f t="shared" si="116"/>
        <v>0</v>
      </c>
      <c r="CV160" s="13">
        <f t="shared" si="117"/>
        <v>0</v>
      </c>
      <c r="CW160" s="13">
        <f t="shared" si="118"/>
        <v>0</v>
      </c>
      <c r="CX160" s="13">
        <f t="shared" si="119"/>
        <v>0</v>
      </c>
      <c r="CY160" s="13">
        <f t="shared" si="120"/>
        <v>0</v>
      </c>
      <c r="CZ160" s="13">
        <f t="shared" si="121"/>
        <v>0</v>
      </c>
      <c r="DA160" s="13">
        <f t="shared" si="122"/>
        <v>0</v>
      </c>
      <c r="DB160" s="13">
        <f t="shared" si="123"/>
        <v>0</v>
      </c>
      <c r="DC160" s="13">
        <f t="shared" si="124"/>
        <v>0</v>
      </c>
      <c r="DD160" s="13">
        <f t="shared" si="125"/>
        <v>0</v>
      </c>
      <c r="DE160" s="13">
        <f t="shared" si="126"/>
        <v>0</v>
      </c>
      <c r="DF160" s="13">
        <f t="shared" si="127"/>
        <v>0</v>
      </c>
      <c r="DG160" s="13">
        <f t="shared" si="128"/>
        <v>0</v>
      </c>
      <c r="DH160" s="13"/>
      <c r="DI160" s="13"/>
      <c r="DJ160" s="13"/>
      <c r="DL160"/>
      <c r="DM160"/>
      <c r="DN160"/>
      <c r="DO160"/>
      <c r="DP160" s="31"/>
    </row>
    <row r="161" spans="1:120">
      <c r="A161" t="s">
        <v>258</v>
      </c>
      <c r="B161" t="s">
        <v>183</v>
      </c>
      <c r="C161" t="s">
        <v>255</v>
      </c>
      <c r="D161" s="13" t="s">
        <v>319</v>
      </c>
      <c r="E161" s="13" t="s">
        <v>283</v>
      </c>
      <c r="F161" s="13">
        <v>0</v>
      </c>
      <c r="G161" s="13">
        <v>0</v>
      </c>
      <c r="H161" s="13">
        <v>0</v>
      </c>
      <c r="I161" s="13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13">
        <v>1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 s="32">
        <v>0</v>
      </c>
      <c r="BD161" s="32">
        <v>0</v>
      </c>
      <c r="BE161" s="32">
        <v>0</v>
      </c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>
        <f t="shared" si="132"/>
        <v>1</v>
      </c>
      <c r="BP161" s="13">
        <f t="shared" si="133"/>
        <v>1</v>
      </c>
      <c r="BQ161" s="13">
        <f>[1]!shannonweaver(K161:BL161)</f>
        <v>0</v>
      </c>
      <c r="BR161">
        <f t="shared" si="129"/>
        <v>1</v>
      </c>
      <c r="BS161">
        <f t="shared" si="130"/>
        <v>0</v>
      </c>
      <c r="BT161">
        <f t="shared" si="131"/>
        <v>0</v>
      </c>
      <c r="BU161">
        <f t="shared" si="91"/>
        <v>1</v>
      </c>
      <c r="BV161" s="13">
        <f t="shared" si="92"/>
        <v>1</v>
      </c>
      <c r="BW161" s="13">
        <f t="shared" si="93"/>
        <v>0</v>
      </c>
      <c r="BX161" s="13">
        <f t="shared" si="94"/>
        <v>0</v>
      </c>
      <c r="BY161" s="13">
        <f t="shared" si="95"/>
        <v>0</v>
      </c>
      <c r="BZ161" s="13">
        <f t="shared" si="96"/>
        <v>0</v>
      </c>
      <c r="CA161" s="13">
        <f t="shared" si="97"/>
        <v>0</v>
      </c>
      <c r="CB161" s="13">
        <f t="shared" si="98"/>
        <v>0</v>
      </c>
      <c r="CC161" s="13">
        <f t="shared" si="99"/>
        <v>0</v>
      </c>
      <c r="CD161" s="13">
        <f t="shared" si="100"/>
        <v>1</v>
      </c>
      <c r="CE161" s="13">
        <f t="shared" si="101"/>
        <v>1</v>
      </c>
      <c r="CF161" s="13">
        <f t="shared" si="102"/>
        <v>0</v>
      </c>
      <c r="CG161" s="13">
        <f t="shared" si="103"/>
        <v>1</v>
      </c>
      <c r="CH161" s="13">
        <f t="shared" si="104"/>
        <v>0</v>
      </c>
      <c r="CI161" s="13">
        <f t="shared" si="105"/>
        <v>0</v>
      </c>
      <c r="CJ161" s="13">
        <f t="shared" si="105"/>
        <v>1</v>
      </c>
      <c r="CK161" s="13">
        <f t="shared" si="106"/>
        <v>1</v>
      </c>
      <c r="CL161" s="13">
        <f t="shared" si="107"/>
        <v>0</v>
      </c>
      <c r="CM161" s="13">
        <f t="shared" si="108"/>
        <v>0</v>
      </c>
      <c r="CN161" s="13">
        <f t="shared" si="109"/>
        <v>0</v>
      </c>
      <c r="CO161" s="13">
        <f t="shared" si="110"/>
        <v>0</v>
      </c>
      <c r="CP161" s="13">
        <f t="shared" si="111"/>
        <v>0</v>
      </c>
      <c r="CQ161" s="13">
        <f t="shared" si="112"/>
        <v>0</v>
      </c>
      <c r="CR161" s="13">
        <f t="shared" si="113"/>
        <v>0</v>
      </c>
      <c r="CS161" s="13">
        <f t="shared" si="114"/>
        <v>0.69314718055994529</v>
      </c>
      <c r="CT161" s="13">
        <f t="shared" si="115"/>
        <v>0.69314718055994529</v>
      </c>
      <c r="CU161" s="13">
        <f t="shared" si="116"/>
        <v>0</v>
      </c>
      <c r="CV161" s="13">
        <f t="shared" si="117"/>
        <v>0.69314718055994529</v>
      </c>
      <c r="CW161" s="13">
        <f t="shared" si="118"/>
        <v>0</v>
      </c>
      <c r="CX161" s="13">
        <f t="shared" si="119"/>
        <v>0</v>
      </c>
      <c r="CY161" s="13">
        <f t="shared" si="120"/>
        <v>0.69314718055994529</v>
      </c>
      <c r="CZ161" s="13">
        <f t="shared" si="121"/>
        <v>0.69314718055994529</v>
      </c>
      <c r="DA161" s="13">
        <f t="shared" si="122"/>
        <v>0</v>
      </c>
      <c r="DB161" s="13">
        <f t="shared" si="123"/>
        <v>0</v>
      </c>
      <c r="DC161" s="13">
        <f t="shared" si="124"/>
        <v>0</v>
      </c>
      <c r="DD161" s="13">
        <f t="shared" si="125"/>
        <v>0</v>
      </c>
      <c r="DE161" s="13">
        <f t="shared" si="126"/>
        <v>0</v>
      </c>
      <c r="DF161" s="13">
        <f t="shared" si="127"/>
        <v>0</v>
      </c>
      <c r="DG161" s="13">
        <f t="shared" si="128"/>
        <v>0</v>
      </c>
      <c r="DH161" s="13"/>
      <c r="DI161" s="13"/>
      <c r="DJ161" s="13"/>
      <c r="DL161"/>
      <c r="DM161"/>
      <c r="DN161"/>
      <c r="DO161"/>
      <c r="DP161" s="31"/>
    </row>
    <row r="162" spans="1:120">
      <c r="A162" t="s">
        <v>259</v>
      </c>
      <c r="B162" t="s">
        <v>183</v>
      </c>
      <c r="C162" t="s">
        <v>255</v>
      </c>
      <c r="D162" s="13" t="s">
        <v>319</v>
      </c>
      <c r="E162" s="13" t="s">
        <v>283</v>
      </c>
      <c r="F162" s="13">
        <v>0</v>
      </c>
      <c r="G162" s="13">
        <v>0</v>
      </c>
      <c r="H162" s="13">
        <v>0</v>
      </c>
      <c r="I162" s="13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13">
        <v>1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2">
        <v>0</v>
      </c>
      <c r="AU162" s="32">
        <v>0</v>
      </c>
      <c r="AV162" s="32">
        <v>0</v>
      </c>
      <c r="AW162" s="32">
        <v>0</v>
      </c>
      <c r="AX162" s="32">
        <v>0</v>
      </c>
      <c r="AY162" s="32">
        <v>0</v>
      </c>
      <c r="AZ162" s="32">
        <v>0</v>
      </c>
      <c r="BA162" s="32">
        <v>0</v>
      </c>
      <c r="BB162" s="32">
        <v>0</v>
      </c>
      <c r="BC162" s="32">
        <v>0</v>
      </c>
      <c r="BD162" s="32">
        <v>0</v>
      </c>
      <c r="BE162" s="32">
        <v>0</v>
      </c>
      <c r="BF162" s="32">
        <v>0</v>
      </c>
      <c r="BG162" s="32">
        <v>0</v>
      </c>
      <c r="BH162" s="32">
        <v>0</v>
      </c>
      <c r="BI162" s="13">
        <v>3</v>
      </c>
      <c r="BJ162" s="32">
        <v>0</v>
      </c>
      <c r="BK162" s="32">
        <v>0</v>
      </c>
      <c r="BL162" s="32">
        <v>0</v>
      </c>
      <c r="BM162" s="13">
        <v>1</v>
      </c>
      <c r="BN162" s="32">
        <v>0</v>
      </c>
      <c r="BO162">
        <f t="shared" si="132"/>
        <v>2</v>
      </c>
      <c r="BP162" s="13">
        <f t="shared" si="133"/>
        <v>4</v>
      </c>
      <c r="BQ162" s="13">
        <f>[1]!shannonweaver(K162:BL162)</f>
        <v>0.56233514461880829</v>
      </c>
      <c r="BR162">
        <f t="shared" si="129"/>
        <v>1</v>
      </c>
      <c r="BS162">
        <f t="shared" si="130"/>
        <v>0</v>
      </c>
      <c r="BT162">
        <f t="shared" si="131"/>
        <v>0</v>
      </c>
      <c r="BU162">
        <f t="shared" si="91"/>
        <v>1</v>
      </c>
      <c r="BV162" s="13">
        <f t="shared" si="92"/>
        <v>1</v>
      </c>
      <c r="BW162" s="13">
        <f t="shared" si="93"/>
        <v>0</v>
      </c>
      <c r="BX162" s="13">
        <f t="shared" si="94"/>
        <v>0</v>
      </c>
      <c r="BY162" s="13">
        <f t="shared" si="95"/>
        <v>0</v>
      </c>
      <c r="BZ162" s="13">
        <f t="shared" si="96"/>
        <v>0</v>
      </c>
      <c r="CA162" s="13">
        <f t="shared" si="97"/>
        <v>0</v>
      </c>
      <c r="CB162" s="13">
        <f t="shared" si="98"/>
        <v>0</v>
      </c>
      <c r="CC162" s="13">
        <f t="shared" si="99"/>
        <v>0</v>
      </c>
      <c r="CD162" s="13">
        <f t="shared" si="100"/>
        <v>1.4142135623730951</v>
      </c>
      <c r="CE162" s="13">
        <f t="shared" si="101"/>
        <v>2</v>
      </c>
      <c r="CF162" s="13">
        <f t="shared" si="102"/>
        <v>0.74989008835882631</v>
      </c>
      <c r="CG162" s="13">
        <f t="shared" si="103"/>
        <v>1</v>
      </c>
      <c r="CH162" s="13">
        <f t="shared" si="104"/>
        <v>0</v>
      </c>
      <c r="CI162" s="13">
        <f t="shared" si="105"/>
        <v>0</v>
      </c>
      <c r="CJ162" s="13">
        <f t="shared" si="105"/>
        <v>1</v>
      </c>
      <c r="CK162" s="13">
        <f t="shared" si="106"/>
        <v>1</v>
      </c>
      <c r="CL162" s="13">
        <f t="shared" si="107"/>
        <v>0</v>
      </c>
      <c r="CM162" s="13">
        <f t="shared" si="108"/>
        <v>0</v>
      </c>
      <c r="CN162" s="13">
        <f t="shared" si="109"/>
        <v>0</v>
      </c>
      <c r="CO162" s="13">
        <f t="shared" si="110"/>
        <v>0</v>
      </c>
      <c r="CP162" s="13">
        <f t="shared" si="111"/>
        <v>0</v>
      </c>
      <c r="CQ162" s="13">
        <f t="shared" si="112"/>
        <v>0</v>
      </c>
      <c r="CR162" s="13">
        <f t="shared" si="113"/>
        <v>0</v>
      </c>
      <c r="CS162" s="13">
        <f t="shared" si="114"/>
        <v>1.0986122886681098</v>
      </c>
      <c r="CT162" s="13">
        <f t="shared" si="115"/>
        <v>1.6094379124341003</v>
      </c>
      <c r="CU162" s="13">
        <f t="shared" si="116"/>
        <v>0.44618158961815491</v>
      </c>
      <c r="CV162" s="13">
        <f t="shared" si="117"/>
        <v>0.69314718055994529</v>
      </c>
      <c r="CW162" s="13">
        <f t="shared" si="118"/>
        <v>0</v>
      </c>
      <c r="CX162" s="13">
        <f t="shared" si="119"/>
        <v>0</v>
      </c>
      <c r="CY162" s="13">
        <f t="shared" si="120"/>
        <v>0.69314718055994529</v>
      </c>
      <c r="CZ162" s="13">
        <f t="shared" si="121"/>
        <v>0.69314718055994529</v>
      </c>
      <c r="DA162" s="13">
        <f t="shared" si="122"/>
        <v>0</v>
      </c>
      <c r="DB162" s="13">
        <f t="shared" si="123"/>
        <v>0</v>
      </c>
      <c r="DC162" s="13">
        <f t="shared" si="124"/>
        <v>0</v>
      </c>
      <c r="DD162" s="13">
        <f t="shared" si="125"/>
        <v>0</v>
      </c>
      <c r="DE162" s="13">
        <f t="shared" si="126"/>
        <v>0</v>
      </c>
      <c r="DF162" s="13">
        <f t="shared" si="127"/>
        <v>0</v>
      </c>
      <c r="DG162" s="13">
        <f t="shared" si="128"/>
        <v>0</v>
      </c>
      <c r="DH162" s="13"/>
      <c r="DI162" s="13"/>
      <c r="DJ162" s="13"/>
      <c r="DL162"/>
      <c r="DM162"/>
      <c r="DN162"/>
      <c r="DO162"/>
      <c r="DP162" s="31"/>
    </row>
    <row r="163" spans="1:120">
      <c r="A163" t="s">
        <v>260</v>
      </c>
      <c r="B163" t="s">
        <v>183</v>
      </c>
      <c r="C163" t="s">
        <v>255</v>
      </c>
      <c r="D163" s="13" t="s">
        <v>319</v>
      </c>
      <c r="E163" s="13" t="s">
        <v>283</v>
      </c>
      <c r="F163" s="13">
        <v>0</v>
      </c>
      <c r="G163" s="13">
        <v>0</v>
      </c>
      <c r="H163" s="13">
        <v>0</v>
      </c>
      <c r="I163" s="13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 s="13">
        <v>1</v>
      </c>
      <c r="BD163" s="32">
        <v>0</v>
      </c>
      <c r="BE163" s="32">
        <v>0</v>
      </c>
      <c r="BF163" s="32">
        <v>0</v>
      </c>
      <c r="BG163" s="32">
        <v>0</v>
      </c>
      <c r="BH163" s="32">
        <v>0</v>
      </c>
      <c r="BI163" s="32">
        <v>0</v>
      </c>
      <c r="BJ163" s="32">
        <v>0</v>
      </c>
      <c r="BK163" s="32">
        <v>0</v>
      </c>
      <c r="BL163" s="32">
        <v>0</v>
      </c>
      <c r="BM163" s="32">
        <v>0</v>
      </c>
      <c r="BN163" s="32">
        <v>0</v>
      </c>
      <c r="BO163">
        <f t="shared" si="132"/>
        <v>1</v>
      </c>
      <c r="BP163" s="13">
        <f t="shared" si="133"/>
        <v>1</v>
      </c>
      <c r="BQ163" s="13">
        <f>[1]!shannonweaver(K163:BL163)</f>
        <v>0</v>
      </c>
      <c r="BR163">
        <f t="shared" si="129"/>
        <v>0</v>
      </c>
      <c r="BS163">
        <f t="shared" si="130"/>
        <v>0</v>
      </c>
      <c r="BT163">
        <f t="shared" si="131"/>
        <v>1</v>
      </c>
      <c r="BU163">
        <f t="shared" si="91"/>
        <v>0</v>
      </c>
      <c r="BV163" s="13">
        <f t="shared" si="92"/>
        <v>0</v>
      </c>
      <c r="BW163" s="13">
        <f t="shared" si="93"/>
        <v>0</v>
      </c>
      <c r="BX163" s="13">
        <f t="shared" si="94"/>
        <v>0</v>
      </c>
      <c r="BY163" s="13">
        <f t="shared" si="95"/>
        <v>0</v>
      </c>
      <c r="BZ163" s="13">
        <f t="shared" si="96"/>
        <v>0</v>
      </c>
      <c r="CA163" s="13">
        <f t="shared" si="97"/>
        <v>0</v>
      </c>
      <c r="CB163" s="13">
        <f t="shared" si="98"/>
        <v>1</v>
      </c>
      <c r="CC163" s="13">
        <f t="shared" si="99"/>
        <v>0</v>
      </c>
      <c r="CD163" s="13">
        <f t="shared" si="100"/>
        <v>1</v>
      </c>
      <c r="CE163" s="13">
        <f t="shared" si="101"/>
        <v>1</v>
      </c>
      <c r="CF163" s="13">
        <f t="shared" si="102"/>
        <v>0</v>
      </c>
      <c r="CG163" s="13">
        <f t="shared" si="103"/>
        <v>0</v>
      </c>
      <c r="CH163" s="13">
        <f t="shared" si="104"/>
        <v>0</v>
      </c>
      <c r="CI163" s="13">
        <f t="shared" si="105"/>
        <v>1</v>
      </c>
      <c r="CJ163" s="13">
        <f t="shared" si="105"/>
        <v>0</v>
      </c>
      <c r="CK163" s="13">
        <f t="shared" si="106"/>
        <v>0</v>
      </c>
      <c r="CL163" s="13">
        <f t="shared" si="107"/>
        <v>0</v>
      </c>
      <c r="CM163" s="13">
        <f t="shared" si="108"/>
        <v>0</v>
      </c>
      <c r="CN163" s="13">
        <f t="shared" si="109"/>
        <v>0</v>
      </c>
      <c r="CO163" s="13">
        <f t="shared" si="110"/>
        <v>0</v>
      </c>
      <c r="CP163" s="13">
        <f t="shared" si="111"/>
        <v>0</v>
      </c>
      <c r="CQ163" s="13">
        <f t="shared" si="112"/>
        <v>1</v>
      </c>
      <c r="CR163" s="13">
        <f t="shared" si="113"/>
        <v>0</v>
      </c>
      <c r="CS163" s="13">
        <f t="shared" si="114"/>
        <v>0.69314718055994529</v>
      </c>
      <c r="CT163" s="13">
        <f t="shared" si="115"/>
        <v>0.69314718055994529</v>
      </c>
      <c r="CU163" s="13">
        <f t="shared" si="116"/>
        <v>0</v>
      </c>
      <c r="CV163" s="13">
        <f t="shared" si="117"/>
        <v>0</v>
      </c>
      <c r="CW163" s="13">
        <f t="shared" si="118"/>
        <v>0</v>
      </c>
      <c r="CX163" s="13">
        <f t="shared" si="119"/>
        <v>0.69314718055994529</v>
      </c>
      <c r="CY163" s="13">
        <f t="shared" si="120"/>
        <v>0</v>
      </c>
      <c r="CZ163" s="13">
        <f t="shared" si="121"/>
        <v>0</v>
      </c>
      <c r="DA163" s="13">
        <f t="shared" si="122"/>
        <v>0</v>
      </c>
      <c r="DB163" s="13">
        <f t="shared" si="123"/>
        <v>0</v>
      </c>
      <c r="DC163" s="13">
        <f t="shared" si="124"/>
        <v>0</v>
      </c>
      <c r="DD163" s="13">
        <f t="shared" si="125"/>
        <v>0</v>
      </c>
      <c r="DE163" s="13">
        <f t="shared" si="126"/>
        <v>0</v>
      </c>
      <c r="DF163" s="13">
        <f t="shared" si="127"/>
        <v>0.69314718055994529</v>
      </c>
      <c r="DG163" s="13">
        <f t="shared" si="128"/>
        <v>0</v>
      </c>
      <c r="DH163" s="13"/>
      <c r="DI163" s="13"/>
      <c r="DJ163" s="13"/>
      <c r="DL163"/>
      <c r="DM163"/>
      <c r="DN163"/>
      <c r="DO163"/>
      <c r="DP163" s="31"/>
    </row>
    <row r="164" spans="1:120">
      <c r="A164" t="s">
        <v>261</v>
      </c>
      <c r="B164" t="s">
        <v>183</v>
      </c>
      <c r="C164" t="s">
        <v>262</v>
      </c>
      <c r="D164" s="13" t="s">
        <v>320</v>
      </c>
      <c r="E164" s="13" t="s">
        <v>283</v>
      </c>
      <c r="F164" s="13">
        <v>0</v>
      </c>
      <c r="G164" s="13">
        <v>0</v>
      </c>
      <c r="H164" s="13">
        <v>0</v>
      </c>
      <c r="I164" s="13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0</v>
      </c>
      <c r="AB164" s="32">
        <v>0</v>
      </c>
      <c r="AC164" s="32">
        <v>0</v>
      </c>
      <c r="AD164" s="32">
        <v>0</v>
      </c>
      <c r="AE164" s="13">
        <v>1</v>
      </c>
      <c r="AF164" s="32">
        <v>0</v>
      </c>
      <c r="AG164" s="32">
        <v>0</v>
      </c>
      <c r="AH164" s="32">
        <v>0</v>
      </c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2">
        <v>0</v>
      </c>
      <c r="AX164" s="32">
        <v>0</v>
      </c>
      <c r="AY164" s="32">
        <v>0</v>
      </c>
      <c r="AZ164" s="32">
        <v>0</v>
      </c>
      <c r="BA164" s="32">
        <v>0</v>
      </c>
      <c r="BB164" s="32">
        <v>0</v>
      </c>
      <c r="BC164" s="32">
        <v>0</v>
      </c>
      <c r="BD164" s="32">
        <v>0</v>
      </c>
      <c r="BE164" s="32">
        <v>0</v>
      </c>
      <c r="BF164" s="32">
        <v>0</v>
      </c>
      <c r="BG164" s="32">
        <v>0</v>
      </c>
      <c r="BH164" s="32">
        <v>0</v>
      </c>
      <c r="BI164" s="32">
        <v>0</v>
      </c>
      <c r="BJ164" s="32">
        <v>0</v>
      </c>
      <c r="BK164" s="32">
        <v>0</v>
      </c>
      <c r="BL164" s="32">
        <v>0</v>
      </c>
      <c r="BM164" s="32">
        <v>0</v>
      </c>
      <c r="BN164" s="32">
        <v>0</v>
      </c>
      <c r="BO164">
        <f t="shared" si="132"/>
        <v>1</v>
      </c>
      <c r="BP164" s="13">
        <f t="shared" si="133"/>
        <v>1</v>
      </c>
      <c r="BQ164" s="13">
        <f>[1]!shannonweaver(K164:BL164)</f>
        <v>0</v>
      </c>
      <c r="BR164">
        <f t="shared" si="129"/>
        <v>0</v>
      </c>
      <c r="BS164">
        <f t="shared" si="130"/>
        <v>1</v>
      </c>
      <c r="BT164">
        <f t="shared" si="131"/>
        <v>0</v>
      </c>
      <c r="BU164">
        <f t="shared" si="91"/>
        <v>0</v>
      </c>
      <c r="BV164" s="13">
        <f t="shared" si="92"/>
        <v>0</v>
      </c>
      <c r="BW164" s="13">
        <f t="shared" si="93"/>
        <v>0</v>
      </c>
      <c r="BX164" s="13">
        <f t="shared" si="94"/>
        <v>1</v>
      </c>
      <c r="BY164" s="13">
        <f t="shared" si="95"/>
        <v>1</v>
      </c>
      <c r="BZ164" s="13">
        <f t="shared" si="96"/>
        <v>0</v>
      </c>
      <c r="CA164" s="13">
        <f t="shared" si="97"/>
        <v>1</v>
      </c>
      <c r="CB164" s="13">
        <f t="shared" si="98"/>
        <v>0</v>
      </c>
      <c r="CC164" s="13">
        <f t="shared" si="99"/>
        <v>0</v>
      </c>
      <c r="CD164" s="13">
        <f t="shared" si="100"/>
        <v>1</v>
      </c>
      <c r="CE164" s="13">
        <f t="shared" si="101"/>
        <v>1</v>
      </c>
      <c r="CF164" s="13">
        <f t="shared" si="102"/>
        <v>0</v>
      </c>
      <c r="CG164" s="13">
        <f t="shared" si="103"/>
        <v>0</v>
      </c>
      <c r="CH164" s="13">
        <f t="shared" si="104"/>
        <v>1</v>
      </c>
      <c r="CI164" s="13">
        <f t="shared" si="105"/>
        <v>0</v>
      </c>
      <c r="CJ164" s="13">
        <f t="shared" si="105"/>
        <v>0</v>
      </c>
      <c r="CK164" s="13">
        <f t="shared" si="106"/>
        <v>0</v>
      </c>
      <c r="CL164" s="13">
        <f t="shared" si="107"/>
        <v>0</v>
      </c>
      <c r="CM164" s="13">
        <f t="shared" si="108"/>
        <v>1</v>
      </c>
      <c r="CN164" s="13">
        <f t="shared" si="109"/>
        <v>1</v>
      </c>
      <c r="CO164" s="13">
        <f t="shared" si="110"/>
        <v>0</v>
      </c>
      <c r="CP164" s="13">
        <f t="shared" si="111"/>
        <v>1</v>
      </c>
      <c r="CQ164" s="13">
        <f t="shared" si="112"/>
        <v>0</v>
      </c>
      <c r="CR164" s="13">
        <f t="shared" si="113"/>
        <v>0</v>
      </c>
      <c r="CS164" s="13">
        <f t="shared" si="114"/>
        <v>0.69314718055994529</v>
      </c>
      <c r="CT164" s="13">
        <f t="shared" si="115"/>
        <v>0.69314718055994529</v>
      </c>
      <c r="CU164" s="13">
        <f t="shared" si="116"/>
        <v>0</v>
      </c>
      <c r="CV164" s="13">
        <f t="shared" si="117"/>
        <v>0</v>
      </c>
      <c r="CW164" s="13">
        <f t="shared" si="118"/>
        <v>0.69314718055994529</v>
      </c>
      <c r="CX164" s="13">
        <f t="shared" si="119"/>
        <v>0</v>
      </c>
      <c r="CY164" s="13">
        <f t="shared" si="120"/>
        <v>0</v>
      </c>
      <c r="CZ164" s="13">
        <f t="shared" si="121"/>
        <v>0</v>
      </c>
      <c r="DA164" s="13">
        <f t="shared" si="122"/>
        <v>0</v>
      </c>
      <c r="DB164" s="13">
        <f t="shared" si="123"/>
        <v>0.69314718055994529</v>
      </c>
      <c r="DC164" s="13">
        <f t="shared" si="124"/>
        <v>0.69314718055994529</v>
      </c>
      <c r="DD164" s="13">
        <f t="shared" si="125"/>
        <v>0</v>
      </c>
      <c r="DE164" s="13">
        <f t="shared" si="126"/>
        <v>0.69314718055994529</v>
      </c>
      <c r="DF164" s="13">
        <f t="shared" si="127"/>
        <v>0</v>
      </c>
      <c r="DG164" s="13">
        <f t="shared" si="128"/>
        <v>0</v>
      </c>
      <c r="DH164" s="13"/>
      <c r="DI164" s="13"/>
      <c r="DJ164" s="13"/>
      <c r="DL164"/>
      <c r="DM164"/>
      <c r="DN164"/>
      <c r="DO164"/>
      <c r="DP164" s="31"/>
    </row>
    <row r="165" spans="1:120">
      <c r="A165" t="s">
        <v>263</v>
      </c>
      <c r="B165" t="s">
        <v>183</v>
      </c>
      <c r="C165" t="s">
        <v>262</v>
      </c>
      <c r="D165" s="13" t="s">
        <v>320</v>
      </c>
      <c r="E165" s="13" t="s">
        <v>283</v>
      </c>
      <c r="F165" s="13">
        <v>0</v>
      </c>
      <c r="G165" s="13">
        <v>0</v>
      </c>
      <c r="H165" s="13">
        <v>0</v>
      </c>
      <c r="I165" s="13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13">
        <v>1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32">
        <v>0</v>
      </c>
      <c r="BB165" s="32">
        <v>0</v>
      </c>
      <c r="BC165" s="32">
        <v>0</v>
      </c>
      <c r="BD165" s="32">
        <v>0</v>
      </c>
      <c r="BE165" s="32">
        <v>0</v>
      </c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>
        <f t="shared" si="132"/>
        <v>1</v>
      </c>
      <c r="BP165" s="13">
        <f t="shared" si="133"/>
        <v>1</v>
      </c>
      <c r="BQ165" s="13">
        <f>[1]!shannonweaver(K165:BL165)</f>
        <v>0</v>
      </c>
      <c r="BR165">
        <f t="shared" si="129"/>
        <v>0</v>
      </c>
      <c r="BS165">
        <f t="shared" si="130"/>
        <v>1</v>
      </c>
      <c r="BT165">
        <f t="shared" si="131"/>
        <v>0</v>
      </c>
      <c r="BU165">
        <f t="shared" si="91"/>
        <v>0</v>
      </c>
      <c r="BV165" s="13">
        <f t="shared" si="92"/>
        <v>0</v>
      </c>
      <c r="BW165" s="13">
        <f t="shared" si="93"/>
        <v>0</v>
      </c>
      <c r="BX165" s="13">
        <f t="shared" si="94"/>
        <v>0</v>
      </c>
      <c r="BY165" s="13">
        <f t="shared" si="95"/>
        <v>0</v>
      </c>
      <c r="BZ165" s="13">
        <f t="shared" si="96"/>
        <v>0</v>
      </c>
      <c r="CA165" s="13">
        <f t="shared" si="97"/>
        <v>1</v>
      </c>
      <c r="CB165" s="13">
        <f t="shared" si="98"/>
        <v>0</v>
      </c>
      <c r="CC165" s="13">
        <f t="shared" si="99"/>
        <v>0</v>
      </c>
      <c r="CD165" s="13">
        <f t="shared" si="100"/>
        <v>1</v>
      </c>
      <c r="CE165" s="13">
        <f t="shared" si="101"/>
        <v>1</v>
      </c>
      <c r="CF165" s="13">
        <f t="shared" si="102"/>
        <v>0</v>
      </c>
      <c r="CG165" s="13">
        <f t="shared" si="103"/>
        <v>0</v>
      </c>
      <c r="CH165" s="13">
        <f t="shared" si="104"/>
        <v>1</v>
      </c>
      <c r="CI165" s="13">
        <f t="shared" si="105"/>
        <v>0</v>
      </c>
      <c r="CJ165" s="13">
        <f t="shared" si="105"/>
        <v>0</v>
      </c>
      <c r="CK165" s="13">
        <f t="shared" si="106"/>
        <v>0</v>
      </c>
      <c r="CL165" s="13">
        <f t="shared" si="107"/>
        <v>0</v>
      </c>
      <c r="CM165" s="13">
        <f t="shared" si="108"/>
        <v>0</v>
      </c>
      <c r="CN165" s="13">
        <f t="shared" si="109"/>
        <v>0</v>
      </c>
      <c r="CO165" s="13">
        <f t="shared" si="110"/>
        <v>0</v>
      </c>
      <c r="CP165" s="13">
        <f t="shared" si="111"/>
        <v>1</v>
      </c>
      <c r="CQ165" s="13">
        <f t="shared" si="112"/>
        <v>0</v>
      </c>
      <c r="CR165" s="13">
        <f t="shared" si="113"/>
        <v>0</v>
      </c>
      <c r="CS165" s="13">
        <f t="shared" si="114"/>
        <v>0.69314718055994529</v>
      </c>
      <c r="CT165" s="13">
        <f t="shared" si="115"/>
        <v>0.69314718055994529</v>
      </c>
      <c r="CU165" s="13">
        <f t="shared" si="116"/>
        <v>0</v>
      </c>
      <c r="CV165" s="13">
        <f t="shared" si="117"/>
        <v>0</v>
      </c>
      <c r="CW165" s="13">
        <f t="shared" si="118"/>
        <v>0.69314718055994529</v>
      </c>
      <c r="CX165" s="13">
        <f t="shared" si="119"/>
        <v>0</v>
      </c>
      <c r="CY165" s="13">
        <f t="shared" si="120"/>
        <v>0</v>
      </c>
      <c r="CZ165" s="13">
        <f t="shared" si="121"/>
        <v>0</v>
      </c>
      <c r="DA165" s="13">
        <f t="shared" si="122"/>
        <v>0</v>
      </c>
      <c r="DB165" s="13">
        <f t="shared" si="123"/>
        <v>0</v>
      </c>
      <c r="DC165" s="13">
        <f t="shared" si="124"/>
        <v>0</v>
      </c>
      <c r="DD165" s="13">
        <f t="shared" si="125"/>
        <v>0</v>
      </c>
      <c r="DE165" s="13">
        <f t="shared" si="126"/>
        <v>0.69314718055994529</v>
      </c>
      <c r="DF165" s="13">
        <f t="shared" si="127"/>
        <v>0</v>
      </c>
      <c r="DG165" s="13">
        <f t="shared" si="128"/>
        <v>0</v>
      </c>
      <c r="DH165" s="13"/>
      <c r="DI165" s="13"/>
      <c r="DJ165" s="13"/>
      <c r="DL165"/>
      <c r="DM165"/>
      <c r="DN165"/>
      <c r="DO165"/>
      <c r="DP165" s="31"/>
    </row>
    <row r="166" spans="1:120">
      <c r="A166" t="s">
        <v>264</v>
      </c>
      <c r="B166" t="s">
        <v>183</v>
      </c>
      <c r="C166" t="s">
        <v>262</v>
      </c>
      <c r="D166" s="13" t="s">
        <v>320</v>
      </c>
      <c r="E166" s="13" t="s">
        <v>283</v>
      </c>
      <c r="F166" s="13">
        <v>0</v>
      </c>
      <c r="G166" s="13">
        <v>0</v>
      </c>
      <c r="H166" s="13">
        <v>0</v>
      </c>
      <c r="I166" s="13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 s="32">
        <v>0</v>
      </c>
      <c r="BD166" s="32">
        <v>0</v>
      </c>
      <c r="BE166" s="32">
        <v>0</v>
      </c>
      <c r="BF166" s="32">
        <v>0</v>
      </c>
      <c r="BG166" s="32">
        <v>0</v>
      </c>
      <c r="BH166" s="32">
        <v>0</v>
      </c>
      <c r="BI166" s="32">
        <v>0</v>
      </c>
      <c r="BJ166" s="32">
        <v>0</v>
      </c>
      <c r="BK166" s="32">
        <v>0</v>
      </c>
      <c r="BL166" s="32">
        <v>0</v>
      </c>
      <c r="BM166" s="32">
        <v>0</v>
      </c>
      <c r="BN166" s="32">
        <v>0</v>
      </c>
      <c r="BO166">
        <f t="shared" si="132"/>
        <v>0</v>
      </c>
      <c r="BP166" s="13">
        <f t="shared" si="133"/>
        <v>0</v>
      </c>
      <c r="BQ166" s="13">
        <v>0</v>
      </c>
      <c r="BR166">
        <f t="shared" si="129"/>
        <v>0</v>
      </c>
      <c r="BS166">
        <f t="shared" si="130"/>
        <v>0</v>
      </c>
      <c r="BT166">
        <f t="shared" si="131"/>
        <v>0</v>
      </c>
      <c r="BU166">
        <f t="shared" si="91"/>
        <v>0</v>
      </c>
      <c r="BV166" s="13">
        <f t="shared" si="92"/>
        <v>0</v>
      </c>
      <c r="BW166" s="13">
        <f t="shared" si="93"/>
        <v>0</v>
      </c>
      <c r="BX166" s="13">
        <f t="shared" si="94"/>
        <v>0</v>
      </c>
      <c r="BY166" s="13">
        <f t="shared" si="95"/>
        <v>0</v>
      </c>
      <c r="BZ166" s="13">
        <f t="shared" si="96"/>
        <v>0</v>
      </c>
      <c r="CA166" s="13">
        <f t="shared" si="97"/>
        <v>0</v>
      </c>
      <c r="CB166" s="13">
        <f t="shared" si="98"/>
        <v>0</v>
      </c>
      <c r="CC166" s="13">
        <f t="shared" si="99"/>
        <v>0</v>
      </c>
      <c r="CD166" s="13">
        <f t="shared" si="100"/>
        <v>0</v>
      </c>
      <c r="CE166" s="13">
        <f t="shared" si="101"/>
        <v>0</v>
      </c>
      <c r="CF166" s="13">
        <f t="shared" si="102"/>
        <v>0</v>
      </c>
      <c r="CG166" s="13">
        <f t="shared" si="103"/>
        <v>0</v>
      </c>
      <c r="CH166" s="13">
        <f t="shared" si="104"/>
        <v>0</v>
      </c>
      <c r="CI166" s="13">
        <f t="shared" si="105"/>
        <v>0</v>
      </c>
      <c r="CJ166" s="13">
        <f t="shared" si="105"/>
        <v>0</v>
      </c>
      <c r="CK166" s="13">
        <f t="shared" si="106"/>
        <v>0</v>
      </c>
      <c r="CL166" s="13">
        <f t="shared" si="107"/>
        <v>0</v>
      </c>
      <c r="CM166" s="13">
        <f t="shared" si="108"/>
        <v>0</v>
      </c>
      <c r="CN166" s="13">
        <f t="shared" si="109"/>
        <v>0</v>
      </c>
      <c r="CO166" s="13">
        <f t="shared" si="110"/>
        <v>0</v>
      </c>
      <c r="CP166" s="13">
        <f t="shared" si="111"/>
        <v>0</v>
      </c>
      <c r="CQ166" s="13">
        <f t="shared" si="112"/>
        <v>0</v>
      </c>
      <c r="CR166" s="13">
        <f t="shared" si="113"/>
        <v>0</v>
      </c>
      <c r="CS166" s="13">
        <f t="shared" si="114"/>
        <v>0</v>
      </c>
      <c r="CT166" s="13">
        <f t="shared" si="115"/>
        <v>0</v>
      </c>
      <c r="CU166" s="13">
        <f t="shared" si="116"/>
        <v>0</v>
      </c>
      <c r="CV166" s="13">
        <f t="shared" si="117"/>
        <v>0</v>
      </c>
      <c r="CW166" s="13">
        <f t="shared" si="118"/>
        <v>0</v>
      </c>
      <c r="CX166" s="13">
        <f t="shared" si="119"/>
        <v>0</v>
      </c>
      <c r="CY166" s="13">
        <f t="shared" si="120"/>
        <v>0</v>
      </c>
      <c r="CZ166" s="13">
        <f t="shared" si="121"/>
        <v>0</v>
      </c>
      <c r="DA166" s="13">
        <f t="shared" si="122"/>
        <v>0</v>
      </c>
      <c r="DB166" s="13">
        <f t="shared" si="123"/>
        <v>0</v>
      </c>
      <c r="DC166" s="13">
        <f t="shared" si="124"/>
        <v>0</v>
      </c>
      <c r="DD166" s="13">
        <f t="shared" si="125"/>
        <v>0</v>
      </c>
      <c r="DE166" s="13">
        <f t="shared" si="126"/>
        <v>0</v>
      </c>
      <c r="DF166" s="13">
        <f t="shared" si="127"/>
        <v>0</v>
      </c>
      <c r="DG166" s="13">
        <f t="shared" si="128"/>
        <v>0</v>
      </c>
      <c r="DH166" s="13"/>
      <c r="DI166" s="13"/>
      <c r="DJ166" s="13"/>
      <c r="DL166"/>
      <c r="DM166"/>
      <c r="DN166"/>
      <c r="DO166"/>
      <c r="DP166" s="31"/>
    </row>
    <row r="167" spans="1:120">
      <c r="A167" t="s">
        <v>265</v>
      </c>
      <c r="B167" t="s">
        <v>183</v>
      </c>
      <c r="C167" t="s">
        <v>262</v>
      </c>
      <c r="D167" s="13" t="s">
        <v>320</v>
      </c>
      <c r="E167" s="13" t="s">
        <v>283</v>
      </c>
      <c r="F167" s="13">
        <v>0</v>
      </c>
      <c r="G167" s="13">
        <v>0</v>
      </c>
      <c r="H167" s="13">
        <v>0</v>
      </c>
      <c r="I167" s="13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0</v>
      </c>
      <c r="AB167" s="32">
        <v>0</v>
      </c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13">
        <v>1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2">
        <v>0</v>
      </c>
      <c r="BA167" s="32">
        <v>0</v>
      </c>
      <c r="BB167" s="32">
        <v>0</v>
      </c>
      <c r="BC167" s="32">
        <v>0</v>
      </c>
      <c r="BD167" s="32">
        <v>0</v>
      </c>
      <c r="BE167" s="32">
        <v>0</v>
      </c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>
        <f t="shared" si="132"/>
        <v>1</v>
      </c>
      <c r="BP167" s="13">
        <f t="shared" si="133"/>
        <v>1</v>
      </c>
      <c r="BQ167" s="13">
        <f>[1]!shannonweaver(K167:BL167)</f>
        <v>0</v>
      </c>
      <c r="BR167">
        <f t="shared" si="129"/>
        <v>0</v>
      </c>
      <c r="BS167">
        <f t="shared" si="130"/>
        <v>1</v>
      </c>
      <c r="BT167">
        <f t="shared" si="131"/>
        <v>0</v>
      </c>
      <c r="BU167">
        <f t="shared" si="91"/>
        <v>0</v>
      </c>
      <c r="BV167" s="13">
        <f t="shared" si="92"/>
        <v>0</v>
      </c>
      <c r="BW167" s="13">
        <f t="shared" si="93"/>
        <v>0</v>
      </c>
      <c r="BX167" s="13">
        <f t="shared" si="94"/>
        <v>0</v>
      </c>
      <c r="BY167" s="13">
        <f t="shared" si="95"/>
        <v>0</v>
      </c>
      <c r="BZ167" s="13">
        <f t="shared" si="96"/>
        <v>0</v>
      </c>
      <c r="CA167" s="13">
        <f t="shared" si="97"/>
        <v>1</v>
      </c>
      <c r="CB167" s="13">
        <f t="shared" si="98"/>
        <v>0</v>
      </c>
      <c r="CC167" s="13">
        <f t="shared" si="99"/>
        <v>0</v>
      </c>
      <c r="CD167" s="13">
        <f t="shared" si="100"/>
        <v>1</v>
      </c>
      <c r="CE167" s="13">
        <f t="shared" si="101"/>
        <v>1</v>
      </c>
      <c r="CF167" s="13">
        <f t="shared" si="102"/>
        <v>0</v>
      </c>
      <c r="CG167" s="13">
        <f t="shared" si="103"/>
        <v>0</v>
      </c>
      <c r="CH167" s="13">
        <f t="shared" si="104"/>
        <v>1</v>
      </c>
      <c r="CI167" s="13">
        <f t="shared" si="105"/>
        <v>0</v>
      </c>
      <c r="CJ167" s="13">
        <f t="shared" si="105"/>
        <v>0</v>
      </c>
      <c r="CK167" s="13">
        <f t="shared" si="106"/>
        <v>0</v>
      </c>
      <c r="CL167" s="13">
        <f t="shared" si="107"/>
        <v>0</v>
      </c>
      <c r="CM167" s="13">
        <f t="shared" si="108"/>
        <v>0</v>
      </c>
      <c r="CN167" s="13">
        <f t="shared" si="109"/>
        <v>0</v>
      </c>
      <c r="CO167" s="13">
        <f t="shared" si="110"/>
        <v>0</v>
      </c>
      <c r="CP167" s="13">
        <f t="shared" si="111"/>
        <v>1</v>
      </c>
      <c r="CQ167" s="13">
        <f t="shared" si="112"/>
        <v>0</v>
      </c>
      <c r="CR167" s="13">
        <f t="shared" si="113"/>
        <v>0</v>
      </c>
      <c r="CS167" s="13">
        <f t="shared" si="114"/>
        <v>0.69314718055994529</v>
      </c>
      <c r="CT167" s="13">
        <f t="shared" si="115"/>
        <v>0.69314718055994529</v>
      </c>
      <c r="CU167" s="13">
        <f t="shared" si="116"/>
        <v>0</v>
      </c>
      <c r="CV167" s="13">
        <f t="shared" si="117"/>
        <v>0</v>
      </c>
      <c r="CW167" s="13">
        <f t="shared" si="118"/>
        <v>0.69314718055994529</v>
      </c>
      <c r="CX167" s="13">
        <f t="shared" si="119"/>
        <v>0</v>
      </c>
      <c r="CY167" s="13">
        <f t="shared" si="120"/>
        <v>0</v>
      </c>
      <c r="CZ167" s="13">
        <f t="shared" si="121"/>
        <v>0</v>
      </c>
      <c r="DA167" s="13">
        <f t="shared" si="122"/>
        <v>0</v>
      </c>
      <c r="DB167" s="13">
        <f t="shared" si="123"/>
        <v>0</v>
      </c>
      <c r="DC167" s="13">
        <f t="shared" si="124"/>
        <v>0</v>
      </c>
      <c r="DD167" s="13">
        <f t="shared" si="125"/>
        <v>0</v>
      </c>
      <c r="DE167" s="13">
        <f t="shared" si="126"/>
        <v>0.69314718055994529</v>
      </c>
      <c r="DF167" s="13">
        <f t="shared" si="127"/>
        <v>0</v>
      </c>
      <c r="DG167" s="13">
        <f t="shared" si="128"/>
        <v>0</v>
      </c>
      <c r="DH167" s="13"/>
      <c r="DI167" s="13"/>
      <c r="DJ167" s="13"/>
      <c r="DL167"/>
      <c r="DM167"/>
      <c r="DN167"/>
      <c r="DO167"/>
      <c r="DP167" s="31"/>
    </row>
    <row r="168" spans="1:120">
      <c r="A168" t="s">
        <v>266</v>
      </c>
      <c r="B168" t="s">
        <v>183</v>
      </c>
      <c r="C168" t="s">
        <v>262</v>
      </c>
      <c r="D168" s="13" t="s">
        <v>320</v>
      </c>
      <c r="E168" s="13" t="s">
        <v>283</v>
      </c>
      <c r="F168" s="13">
        <v>0</v>
      </c>
      <c r="G168" s="13">
        <v>0</v>
      </c>
      <c r="H168" s="13">
        <v>0</v>
      </c>
      <c r="I168" s="13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32">
        <v>0</v>
      </c>
      <c r="Z168" s="32">
        <v>0</v>
      </c>
      <c r="AA168" s="32">
        <v>0</v>
      </c>
      <c r="AB168" s="13">
        <v>2</v>
      </c>
      <c r="AC168" s="32">
        <v>0</v>
      </c>
      <c r="AD168" s="32">
        <v>0</v>
      </c>
      <c r="AE168" s="13">
        <v>1</v>
      </c>
      <c r="AF168" s="32">
        <v>0</v>
      </c>
      <c r="AG168" s="13">
        <v>2</v>
      </c>
      <c r="AH168" s="32">
        <v>0</v>
      </c>
      <c r="AI168" s="32">
        <v>0</v>
      </c>
      <c r="AJ168" s="32">
        <v>0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2">
        <v>0</v>
      </c>
      <c r="BA168" s="32">
        <v>0</v>
      </c>
      <c r="BB168" s="32">
        <v>0</v>
      </c>
      <c r="BC168" s="32">
        <v>0</v>
      </c>
      <c r="BD168" s="32">
        <v>0</v>
      </c>
      <c r="BE168" s="32">
        <v>0</v>
      </c>
      <c r="BF168" s="32">
        <v>0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>
        <f t="shared" si="132"/>
        <v>3</v>
      </c>
      <c r="BP168" s="13">
        <f t="shared" si="133"/>
        <v>5</v>
      </c>
      <c r="BQ168" s="13">
        <f>[1]!shannonweaver(K168:BL168)</f>
        <v>1.0549201679861442</v>
      </c>
      <c r="BR168">
        <f t="shared" si="129"/>
        <v>0</v>
      </c>
      <c r="BS168">
        <f t="shared" si="130"/>
        <v>3</v>
      </c>
      <c r="BT168">
        <f t="shared" si="131"/>
        <v>0</v>
      </c>
      <c r="BU168">
        <f t="shared" si="91"/>
        <v>0</v>
      </c>
      <c r="BV168" s="13">
        <f t="shared" si="92"/>
        <v>0</v>
      </c>
      <c r="BW168" s="13">
        <f t="shared" si="93"/>
        <v>2</v>
      </c>
      <c r="BX168" s="13">
        <f t="shared" si="94"/>
        <v>1</v>
      </c>
      <c r="BY168" s="13">
        <f t="shared" si="95"/>
        <v>3</v>
      </c>
      <c r="BZ168" s="13">
        <f t="shared" si="96"/>
        <v>2</v>
      </c>
      <c r="CA168" s="13">
        <f t="shared" si="97"/>
        <v>5</v>
      </c>
      <c r="CB168" s="13">
        <f t="shared" si="98"/>
        <v>0</v>
      </c>
      <c r="CC168" s="13">
        <f t="shared" si="99"/>
        <v>0</v>
      </c>
      <c r="CD168" s="13">
        <f t="shared" si="100"/>
        <v>1.7320508075688772</v>
      </c>
      <c r="CE168" s="13">
        <f t="shared" si="101"/>
        <v>2.2360679774997898</v>
      </c>
      <c r="CF168" s="13">
        <f t="shared" si="102"/>
        <v>1.0270930668572076</v>
      </c>
      <c r="CG168" s="13">
        <f t="shared" si="103"/>
        <v>0</v>
      </c>
      <c r="CH168" s="13">
        <f t="shared" si="104"/>
        <v>1.7320508075688772</v>
      </c>
      <c r="CI168" s="13">
        <f t="shared" si="105"/>
        <v>0</v>
      </c>
      <c r="CJ168" s="13">
        <f t="shared" si="105"/>
        <v>0</v>
      </c>
      <c r="CK168" s="13">
        <f t="shared" si="106"/>
        <v>0</v>
      </c>
      <c r="CL168" s="13">
        <f t="shared" si="107"/>
        <v>1.4142135623730951</v>
      </c>
      <c r="CM168" s="13">
        <f t="shared" si="108"/>
        <v>1</v>
      </c>
      <c r="CN168" s="13">
        <f t="shared" si="109"/>
        <v>1.7320508075688772</v>
      </c>
      <c r="CO168" s="13">
        <f t="shared" si="110"/>
        <v>1.4142135623730951</v>
      </c>
      <c r="CP168" s="13">
        <f t="shared" si="111"/>
        <v>2.2360679774997898</v>
      </c>
      <c r="CQ168" s="13">
        <f t="shared" si="112"/>
        <v>0</v>
      </c>
      <c r="CR168" s="13">
        <f t="shared" si="113"/>
        <v>0</v>
      </c>
      <c r="CS168" s="13">
        <f t="shared" si="114"/>
        <v>1.3862943611198906</v>
      </c>
      <c r="CT168" s="13">
        <f t="shared" si="115"/>
        <v>1.791759469228055</v>
      </c>
      <c r="CU168" s="13">
        <f t="shared" si="116"/>
        <v>0.72023699949829967</v>
      </c>
      <c r="CV168" s="13">
        <f t="shared" si="117"/>
        <v>0</v>
      </c>
      <c r="CW168" s="13">
        <f t="shared" si="118"/>
        <v>1.3862943611198906</v>
      </c>
      <c r="CX168" s="13">
        <f t="shared" si="119"/>
        <v>0</v>
      </c>
      <c r="CY168" s="13">
        <f t="shared" si="120"/>
        <v>0</v>
      </c>
      <c r="CZ168" s="13">
        <f t="shared" si="121"/>
        <v>0</v>
      </c>
      <c r="DA168" s="13">
        <f t="shared" si="122"/>
        <v>1.0986122886681098</v>
      </c>
      <c r="DB168" s="13">
        <f t="shared" si="123"/>
        <v>0.69314718055994529</v>
      </c>
      <c r="DC168" s="13">
        <f t="shared" si="124"/>
        <v>1.3862943611198906</v>
      </c>
      <c r="DD168" s="13">
        <f t="shared" si="125"/>
        <v>1.0986122886681098</v>
      </c>
      <c r="DE168" s="13">
        <f t="shared" si="126"/>
        <v>1.791759469228055</v>
      </c>
      <c r="DF168" s="13">
        <f t="shared" si="127"/>
        <v>0</v>
      </c>
      <c r="DG168" s="13">
        <f t="shared" si="128"/>
        <v>0</v>
      </c>
      <c r="DH168" s="13"/>
      <c r="DI168" s="13"/>
      <c r="DJ168" s="13"/>
      <c r="DL168"/>
      <c r="DM168"/>
      <c r="DN168"/>
      <c r="DO168"/>
      <c r="DP168" s="31"/>
    </row>
    <row r="169" spans="1:120">
      <c r="A169" t="s">
        <v>267</v>
      </c>
      <c r="B169" t="s">
        <v>183</v>
      </c>
      <c r="C169" t="s">
        <v>262</v>
      </c>
      <c r="D169" s="13" t="s">
        <v>320</v>
      </c>
      <c r="E169" s="13" t="s">
        <v>283</v>
      </c>
      <c r="F169" s="13">
        <v>0</v>
      </c>
      <c r="G169" s="13">
        <v>0</v>
      </c>
      <c r="H169" s="13">
        <v>0</v>
      </c>
      <c r="I169" s="13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13">
        <v>1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>
        <v>0</v>
      </c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2">
        <v>0</v>
      </c>
      <c r="BA169" s="32">
        <v>0</v>
      </c>
      <c r="BB169" s="32">
        <v>0</v>
      </c>
      <c r="BC169" s="32">
        <v>0</v>
      </c>
      <c r="BD169" s="32">
        <v>0</v>
      </c>
      <c r="BE169" s="32">
        <v>0</v>
      </c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>
        <f t="shared" si="132"/>
        <v>1</v>
      </c>
      <c r="BP169" s="13">
        <f t="shared" si="133"/>
        <v>1</v>
      </c>
      <c r="BQ169" s="13">
        <f>[1]!shannonweaver(K169:BL169)</f>
        <v>0</v>
      </c>
      <c r="BR169">
        <f t="shared" si="129"/>
        <v>1</v>
      </c>
      <c r="BS169">
        <f t="shared" si="130"/>
        <v>0</v>
      </c>
      <c r="BT169">
        <f t="shared" si="131"/>
        <v>0</v>
      </c>
      <c r="BU169">
        <f t="shared" si="91"/>
        <v>1</v>
      </c>
      <c r="BV169" s="13">
        <f t="shared" si="92"/>
        <v>1</v>
      </c>
      <c r="BW169" s="13">
        <f t="shared" si="93"/>
        <v>0</v>
      </c>
      <c r="BX169" s="13">
        <f t="shared" si="94"/>
        <v>0</v>
      </c>
      <c r="BY169" s="13">
        <f t="shared" si="95"/>
        <v>0</v>
      </c>
      <c r="BZ169" s="13">
        <f t="shared" si="96"/>
        <v>0</v>
      </c>
      <c r="CA169" s="13">
        <f t="shared" si="97"/>
        <v>0</v>
      </c>
      <c r="CB169" s="13">
        <f t="shared" si="98"/>
        <v>0</v>
      </c>
      <c r="CC169" s="13">
        <f t="shared" si="99"/>
        <v>0</v>
      </c>
      <c r="CD169" s="13">
        <f t="shared" si="100"/>
        <v>1</v>
      </c>
      <c r="CE169" s="13">
        <f t="shared" si="101"/>
        <v>1</v>
      </c>
      <c r="CF169" s="13">
        <f t="shared" si="102"/>
        <v>0</v>
      </c>
      <c r="CG169" s="13">
        <f t="shared" si="103"/>
        <v>1</v>
      </c>
      <c r="CH169" s="13">
        <f t="shared" si="104"/>
        <v>0</v>
      </c>
      <c r="CI169" s="13">
        <f t="shared" si="105"/>
        <v>0</v>
      </c>
      <c r="CJ169" s="13">
        <f t="shared" si="105"/>
        <v>1</v>
      </c>
      <c r="CK169" s="13">
        <f t="shared" si="106"/>
        <v>1</v>
      </c>
      <c r="CL169" s="13">
        <f t="shared" si="107"/>
        <v>0</v>
      </c>
      <c r="CM169" s="13">
        <f t="shared" si="108"/>
        <v>0</v>
      </c>
      <c r="CN169" s="13">
        <f t="shared" si="109"/>
        <v>0</v>
      </c>
      <c r="CO169" s="13">
        <f t="shared" si="110"/>
        <v>0</v>
      </c>
      <c r="CP169" s="13">
        <f t="shared" si="111"/>
        <v>0</v>
      </c>
      <c r="CQ169" s="13">
        <f t="shared" si="112"/>
        <v>0</v>
      </c>
      <c r="CR169" s="13">
        <f t="shared" si="113"/>
        <v>0</v>
      </c>
      <c r="CS169" s="13">
        <f t="shared" si="114"/>
        <v>0.69314718055994529</v>
      </c>
      <c r="CT169" s="13">
        <f t="shared" si="115"/>
        <v>0.69314718055994529</v>
      </c>
      <c r="CU169" s="13">
        <f t="shared" si="116"/>
        <v>0</v>
      </c>
      <c r="CV169" s="13">
        <f t="shared" si="117"/>
        <v>0.69314718055994529</v>
      </c>
      <c r="CW169" s="13">
        <f t="shared" si="118"/>
        <v>0</v>
      </c>
      <c r="CX169" s="13">
        <f t="shared" si="119"/>
        <v>0</v>
      </c>
      <c r="CY169" s="13">
        <f t="shared" si="120"/>
        <v>0.69314718055994529</v>
      </c>
      <c r="CZ169" s="13">
        <f t="shared" si="121"/>
        <v>0.69314718055994529</v>
      </c>
      <c r="DA169" s="13">
        <f t="shared" si="122"/>
        <v>0</v>
      </c>
      <c r="DB169" s="13">
        <f t="shared" si="123"/>
        <v>0</v>
      </c>
      <c r="DC169" s="13">
        <f t="shared" si="124"/>
        <v>0</v>
      </c>
      <c r="DD169" s="13">
        <f t="shared" si="125"/>
        <v>0</v>
      </c>
      <c r="DE169" s="13">
        <f t="shared" si="126"/>
        <v>0</v>
      </c>
      <c r="DF169" s="13">
        <f t="shared" si="127"/>
        <v>0</v>
      </c>
      <c r="DG169" s="13">
        <f t="shared" si="128"/>
        <v>0</v>
      </c>
      <c r="DH169" s="13"/>
      <c r="DI169" s="13"/>
      <c r="DJ169" s="13"/>
      <c r="DL169"/>
      <c r="DM169"/>
      <c r="DN169"/>
      <c r="DO169"/>
      <c r="DP169" s="31"/>
    </row>
    <row r="170" spans="1:120">
      <c r="A170" t="s">
        <v>268</v>
      </c>
      <c r="B170" t="s">
        <v>183</v>
      </c>
      <c r="C170" t="s">
        <v>269</v>
      </c>
      <c r="D170" s="13" t="s">
        <v>320</v>
      </c>
      <c r="E170" s="13" t="s">
        <v>283</v>
      </c>
      <c r="F170" s="13">
        <v>0</v>
      </c>
      <c r="G170" s="13">
        <v>0</v>
      </c>
      <c r="H170" s="13">
        <v>0</v>
      </c>
      <c r="I170" s="13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  <c r="AD170" s="32">
        <v>0</v>
      </c>
      <c r="AE170" s="32">
        <v>0</v>
      </c>
      <c r="AF170" s="32">
        <v>0</v>
      </c>
      <c r="AG170" s="32">
        <v>0</v>
      </c>
      <c r="AH170" s="32">
        <v>0</v>
      </c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2">
        <v>0</v>
      </c>
      <c r="BA170" s="32">
        <v>0</v>
      </c>
      <c r="BB170" s="32">
        <v>0</v>
      </c>
      <c r="BC170" s="32">
        <v>0</v>
      </c>
      <c r="BD170" s="32">
        <v>0</v>
      </c>
      <c r="BE170" s="32">
        <v>0</v>
      </c>
      <c r="BF170" s="32">
        <v>0</v>
      </c>
      <c r="BG170" s="32">
        <v>0</v>
      </c>
      <c r="BH170" s="32">
        <v>0</v>
      </c>
      <c r="BI170" s="13">
        <v>1</v>
      </c>
      <c r="BJ170" s="32">
        <v>0</v>
      </c>
      <c r="BK170" s="13">
        <v>1</v>
      </c>
      <c r="BL170" s="32">
        <v>0</v>
      </c>
      <c r="BM170" s="32">
        <v>0</v>
      </c>
      <c r="BN170" s="32">
        <v>0</v>
      </c>
      <c r="BO170">
        <f t="shared" si="132"/>
        <v>2</v>
      </c>
      <c r="BP170" s="13">
        <f t="shared" si="133"/>
        <v>2</v>
      </c>
      <c r="BQ170" s="13">
        <f>[1]!shannonweaver(K170:BL170)</f>
        <v>0.69314718055994529</v>
      </c>
      <c r="BR170">
        <f t="shared" si="129"/>
        <v>0</v>
      </c>
      <c r="BS170">
        <f t="shared" si="130"/>
        <v>0</v>
      </c>
      <c r="BT170">
        <f t="shared" si="131"/>
        <v>0</v>
      </c>
      <c r="BU170">
        <f t="shared" si="91"/>
        <v>0</v>
      </c>
      <c r="BV170" s="13">
        <f t="shared" si="92"/>
        <v>0</v>
      </c>
      <c r="BW170" s="13">
        <f t="shared" si="93"/>
        <v>0</v>
      </c>
      <c r="BX170" s="13">
        <f t="shared" si="94"/>
        <v>0</v>
      </c>
      <c r="BY170" s="13">
        <f t="shared" si="95"/>
        <v>0</v>
      </c>
      <c r="BZ170" s="13">
        <f t="shared" si="96"/>
        <v>0</v>
      </c>
      <c r="CA170" s="13">
        <f t="shared" si="97"/>
        <v>0</v>
      </c>
      <c r="CB170" s="13">
        <f t="shared" si="98"/>
        <v>0</v>
      </c>
      <c r="CC170" s="13">
        <f t="shared" si="99"/>
        <v>1</v>
      </c>
      <c r="CD170" s="13">
        <f t="shared" si="100"/>
        <v>1.4142135623730951</v>
      </c>
      <c r="CE170" s="13">
        <f t="shared" si="101"/>
        <v>1.4142135623730951</v>
      </c>
      <c r="CF170" s="13">
        <f t="shared" si="102"/>
        <v>0.83255461115769769</v>
      </c>
      <c r="CG170" s="13">
        <f t="shared" si="103"/>
        <v>0</v>
      </c>
      <c r="CH170" s="13">
        <f t="shared" si="104"/>
        <v>0</v>
      </c>
      <c r="CI170" s="13">
        <f t="shared" si="105"/>
        <v>0</v>
      </c>
      <c r="CJ170" s="13">
        <f t="shared" si="105"/>
        <v>0</v>
      </c>
      <c r="CK170" s="13">
        <f t="shared" si="106"/>
        <v>0</v>
      </c>
      <c r="CL170" s="13">
        <f t="shared" si="107"/>
        <v>0</v>
      </c>
      <c r="CM170" s="13">
        <f t="shared" si="108"/>
        <v>0</v>
      </c>
      <c r="CN170" s="13">
        <f t="shared" si="109"/>
        <v>0</v>
      </c>
      <c r="CO170" s="13">
        <f t="shared" si="110"/>
        <v>0</v>
      </c>
      <c r="CP170" s="13">
        <f t="shared" si="111"/>
        <v>0</v>
      </c>
      <c r="CQ170" s="13">
        <f t="shared" si="112"/>
        <v>0</v>
      </c>
      <c r="CR170" s="13">
        <f t="shared" si="113"/>
        <v>1</v>
      </c>
      <c r="CS170" s="13">
        <f t="shared" si="114"/>
        <v>1.0986122886681098</v>
      </c>
      <c r="CT170" s="13">
        <f t="shared" si="115"/>
        <v>1.0986122886681098</v>
      </c>
      <c r="CU170" s="13">
        <f t="shared" si="116"/>
        <v>0.52658903413904457</v>
      </c>
      <c r="CV170" s="13">
        <f t="shared" si="117"/>
        <v>0</v>
      </c>
      <c r="CW170" s="13">
        <f t="shared" si="118"/>
        <v>0</v>
      </c>
      <c r="CX170" s="13">
        <f t="shared" si="119"/>
        <v>0</v>
      </c>
      <c r="CY170" s="13">
        <f t="shared" si="120"/>
        <v>0</v>
      </c>
      <c r="CZ170" s="13">
        <f t="shared" si="121"/>
        <v>0</v>
      </c>
      <c r="DA170" s="13">
        <f t="shared" si="122"/>
        <v>0</v>
      </c>
      <c r="DB170" s="13">
        <f t="shared" si="123"/>
        <v>0</v>
      </c>
      <c r="DC170" s="13">
        <f t="shared" si="124"/>
        <v>0</v>
      </c>
      <c r="DD170" s="13">
        <f t="shared" si="125"/>
        <v>0</v>
      </c>
      <c r="DE170" s="13">
        <f t="shared" si="126"/>
        <v>0</v>
      </c>
      <c r="DF170" s="13">
        <f t="shared" si="127"/>
        <v>0</v>
      </c>
      <c r="DG170" s="13">
        <f t="shared" si="128"/>
        <v>0.69314718055994529</v>
      </c>
      <c r="DH170" s="13"/>
      <c r="DI170" s="13"/>
      <c r="DJ170" s="13"/>
      <c r="DL170"/>
      <c r="DM170"/>
      <c r="DN170"/>
      <c r="DO170"/>
      <c r="DP170" s="31"/>
    </row>
    <row r="171" spans="1:120">
      <c r="A171" t="s">
        <v>39</v>
      </c>
      <c r="B171" t="s">
        <v>183</v>
      </c>
      <c r="C171" t="s">
        <v>269</v>
      </c>
      <c r="D171" s="13" t="s">
        <v>320</v>
      </c>
      <c r="E171" s="13" t="s">
        <v>283</v>
      </c>
      <c r="F171" s="13">
        <v>0</v>
      </c>
      <c r="G171" s="13">
        <v>0</v>
      </c>
      <c r="H171" s="13">
        <v>0</v>
      </c>
      <c r="I171" s="13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13">
        <v>1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2">
        <v>0</v>
      </c>
      <c r="BA171" s="32">
        <v>0</v>
      </c>
      <c r="BB171" s="32">
        <v>0</v>
      </c>
      <c r="BC171" s="32">
        <v>0</v>
      </c>
      <c r="BD171" s="32">
        <v>0</v>
      </c>
      <c r="BE171" s="32">
        <v>0</v>
      </c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>
        <f t="shared" si="132"/>
        <v>1</v>
      </c>
      <c r="BP171" s="13">
        <f t="shared" si="133"/>
        <v>1</v>
      </c>
      <c r="BQ171" s="13">
        <f>[1]!shannonweaver(K171:BL171)</f>
        <v>0</v>
      </c>
      <c r="BR171">
        <f t="shared" si="129"/>
        <v>1</v>
      </c>
      <c r="BS171">
        <f t="shared" si="130"/>
        <v>0</v>
      </c>
      <c r="BT171">
        <f t="shared" si="131"/>
        <v>0</v>
      </c>
      <c r="BU171">
        <f t="shared" si="91"/>
        <v>0</v>
      </c>
      <c r="BV171" s="13">
        <f t="shared" si="92"/>
        <v>1</v>
      </c>
      <c r="BW171" s="13">
        <f t="shared" si="93"/>
        <v>0</v>
      </c>
      <c r="BX171" s="13">
        <f t="shared" si="94"/>
        <v>0</v>
      </c>
      <c r="BY171" s="13">
        <f t="shared" si="95"/>
        <v>0</v>
      </c>
      <c r="BZ171" s="13">
        <f t="shared" si="96"/>
        <v>0</v>
      </c>
      <c r="CA171" s="13">
        <f t="shared" si="97"/>
        <v>0</v>
      </c>
      <c r="CB171" s="13">
        <f t="shared" si="98"/>
        <v>0</v>
      </c>
      <c r="CC171" s="13">
        <f t="shared" si="99"/>
        <v>0</v>
      </c>
      <c r="CD171" s="13">
        <f t="shared" si="100"/>
        <v>1</v>
      </c>
      <c r="CE171" s="13">
        <f t="shared" si="101"/>
        <v>1</v>
      </c>
      <c r="CF171" s="13">
        <f t="shared" si="102"/>
        <v>0</v>
      </c>
      <c r="CG171" s="13">
        <f t="shared" si="103"/>
        <v>1</v>
      </c>
      <c r="CH171" s="13">
        <f t="shared" si="104"/>
        <v>0</v>
      </c>
      <c r="CI171" s="13">
        <f t="shared" si="105"/>
        <v>0</v>
      </c>
      <c r="CJ171" s="13">
        <f t="shared" si="105"/>
        <v>0</v>
      </c>
      <c r="CK171" s="13">
        <f t="shared" si="106"/>
        <v>1</v>
      </c>
      <c r="CL171" s="13">
        <f t="shared" si="107"/>
        <v>0</v>
      </c>
      <c r="CM171" s="13">
        <f t="shared" si="108"/>
        <v>0</v>
      </c>
      <c r="CN171" s="13">
        <f t="shared" si="109"/>
        <v>0</v>
      </c>
      <c r="CO171" s="13">
        <f t="shared" si="110"/>
        <v>0</v>
      </c>
      <c r="CP171" s="13">
        <f t="shared" si="111"/>
        <v>0</v>
      </c>
      <c r="CQ171" s="13">
        <f t="shared" si="112"/>
        <v>0</v>
      </c>
      <c r="CR171" s="13">
        <f t="shared" si="113"/>
        <v>0</v>
      </c>
      <c r="CS171" s="13">
        <f t="shared" si="114"/>
        <v>0.69314718055994529</v>
      </c>
      <c r="CT171" s="13">
        <f t="shared" si="115"/>
        <v>0.69314718055994529</v>
      </c>
      <c r="CU171" s="13">
        <f t="shared" si="116"/>
        <v>0</v>
      </c>
      <c r="CV171" s="13">
        <f t="shared" si="117"/>
        <v>0.69314718055994529</v>
      </c>
      <c r="CW171" s="13">
        <f t="shared" si="118"/>
        <v>0</v>
      </c>
      <c r="CX171" s="13">
        <f t="shared" si="119"/>
        <v>0</v>
      </c>
      <c r="CY171" s="13">
        <f t="shared" si="120"/>
        <v>0</v>
      </c>
      <c r="CZ171" s="13">
        <f t="shared" si="121"/>
        <v>0.69314718055994529</v>
      </c>
      <c r="DA171" s="13">
        <f t="shared" si="122"/>
        <v>0</v>
      </c>
      <c r="DB171" s="13">
        <f t="shared" si="123"/>
        <v>0</v>
      </c>
      <c r="DC171" s="13">
        <f t="shared" si="124"/>
        <v>0</v>
      </c>
      <c r="DD171" s="13">
        <f t="shared" si="125"/>
        <v>0</v>
      </c>
      <c r="DE171" s="13">
        <f t="shared" si="126"/>
        <v>0</v>
      </c>
      <c r="DF171" s="13">
        <f t="shared" si="127"/>
        <v>0</v>
      </c>
      <c r="DG171" s="13">
        <f t="shared" si="128"/>
        <v>0</v>
      </c>
      <c r="DH171" s="13"/>
      <c r="DI171" s="13"/>
      <c r="DJ171" s="13"/>
      <c r="DL171"/>
      <c r="DM171"/>
      <c r="DN171"/>
      <c r="DO171"/>
      <c r="DP171" s="31"/>
    </row>
    <row r="172" spans="1:120">
      <c r="A172" t="s">
        <v>40</v>
      </c>
      <c r="B172" t="s">
        <v>183</v>
      </c>
      <c r="C172" t="s">
        <v>269</v>
      </c>
      <c r="D172" s="13" t="s">
        <v>320</v>
      </c>
      <c r="E172" s="13" t="s">
        <v>283</v>
      </c>
      <c r="F172" s="13">
        <v>0</v>
      </c>
      <c r="G172" s="13">
        <v>0</v>
      </c>
      <c r="H172" s="13">
        <v>0</v>
      </c>
      <c r="I172" s="13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 s="32">
        <v>0</v>
      </c>
      <c r="BD172" s="32">
        <v>0</v>
      </c>
      <c r="BE172" s="32">
        <v>0</v>
      </c>
      <c r="BF172" s="32">
        <v>0</v>
      </c>
      <c r="BG172" s="32">
        <v>0</v>
      </c>
      <c r="BH172" s="32">
        <v>0</v>
      </c>
      <c r="BI172" s="13">
        <v>1</v>
      </c>
      <c r="BJ172" s="32">
        <v>0</v>
      </c>
      <c r="BK172" s="13">
        <v>1</v>
      </c>
      <c r="BL172" s="32">
        <v>0</v>
      </c>
      <c r="BM172" s="32">
        <v>0</v>
      </c>
      <c r="BN172" s="32">
        <v>0</v>
      </c>
      <c r="BO172">
        <f t="shared" si="132"/>
        <v>2</v>
      </c>
      <c r="BP172" s="13">
        <f t="shared" si="133"/>
        <v>2</v>
      </c>
      <c r="BQ172" s="13">
        <f>[1]!shannonweaver(K172:BL172)</f>
        <v>0.69314718055994529</v>
      </c>
      <c r="BR172">
        <f t="shared" si="129"/>
        <v>0</v>
      </c>
      <c r="BS172">
        <f t="shared" si="130"/>
        <v>0</v>
      </c>
      <c r="BT172">
        <f t="shared" si="131"/>
        <v>0</v>
      </c>
      <c r="BU172">
        <f t="shared" si="91"/>
        <v>0</v>
      </c>
      <c r="BV172" s="13">
        <f t="shared" si="92"/>
        <v>0</v>
      </c>
      <c r="BW172" s="13">
        <f t="shared" si="93"/>
        <v>0</v>
      </c>
      <c r="BX172" s="13">
        <f t="shared" si="94"/>
        <v>0</v>
      </c>
      <c r="BY172" s="13">
        <f t="shared" si="95"/>
        <v>0</v>
      </c>
      <c r="BZ172" s="13">
        <f t="shared" si="96"/>
        <v>0</v>
      </c>
      <c r="CA172" s="13">
        <f t="shared" si="97"/>
        <v>0</v>
      </c>
      <c r="CB172" s="13">
        <f t="shared" si="98"/>
        <v>0</v>
      </c>
      <c r="CC172" s="13">
        <f t="shared" si="99"/>
        <v>1</v>
      </c>
      <c r="CD172" s="13">
        <f t="shared" si="100"/>
        <v>1.4142135623730951</v>
      </c>
      <c r="CE172" s="13">
        <f t="shared" si="101"/>
        <v>1.4142135623730951</v>
      </c>
      <c r="CF172" s="13">
        <f t="shared" si="102"/>
        <v>0.83255461115769769</v>
      </c>
      <c r="CG172" s="13">
        <f t="shared" si="103"/>
        <v>0</v>
      </c>
      <c r="CH172" s="13">
        <f t="shared" si="104"/>
        <v>0</v>
      </c>
      <c r="CI172" s="13">
        <f t="shared" si="105"/>
        <v>0</v>
      </c>
      <c r="CJ172" s="13">
        <f t="shared" si="105"/>
        <v>0</v>
      </c>
      <c r="CK172" s="13">
        <f t="shared" si="106"/>
        <v>0</v>
      </c>
      <c r="CL172" s="13">
        <f t="shared" si="107"/>
        <v>0</v>
      </c>
      <c r="CM172" s="13">
        <f t="shared" si="108"/>
        <v>0</v>
      </c>
      <c r="CN172" s="13">
        <f t="shared" si="109"/>
        <v>0</v>
      </c>
      <c r="CO172" s="13">
        <f t="shared" si="110"/>
        <v>0</v>
      </c>
      <c r="CP172" s="13">
        <f t="shared" si="111"/>
        <v>0</v>
      </c>
      <c r="CQ172" s="13">
        <f t="shared" si="112"/>
        <v>0</v>
      </c>
      <c r="CR172" s="13">
        <f t="shared" si="113"/>
        <v>1</v>
      </c>
      <c r="CS172" s="13">
        <f t="shared" si="114"/>
        <v>1.0986122886681098</v>
      </c>
      <c r="CT172" s="13">
        <f t="shared" si="115"/>
        <v>1.0986122886681098</v>
      </c>
      <c r="CU172" s="13">
        <f t="shared" si="116"/>
        <v>0.52658903413904457</v>
      </c>
      <c r="CV172" s="13">
        <f t="shared" si="117"/>
        <v>0</v>
      </c>
      <c r="CW172" s="13">
        <f t="shared" si="118"/>
        <v>0</v>
      </c>
      <c r="CX172" s="13">
        <f t="shared" si="119"/>
        <v>0</v>
      </c>
      <c r="CY172" s="13">
        <f t="shared" si="120"/>
        <v>0</v>
      </c>
      <c r="CZ172" s="13">
        <f t="shared" si="121"/>
        <v>0</v>
      </c>
      <c r="DA172" s="13">
        <f t="shared" si="122"/>
        <v>0</v>
      </c>
      <c r="DB172" s="13">
        <f t="shared" si="123"/>
        <v>0</v>
      </c>
      <c r="DC172" s="13">
        <f t="shared" si="124"/>
        <v>0</v>
      </c>
      <c r="DD172" s="13">
        <f t="shared" si="125"/>
        <v>0</v>
      </c>
      <c r="DE172" s="13">
        <f t="shared" si="126"/>
        <v>0</v>
      </c>
      <c r="DF172" s="13">
        <f t="shared" si="127"/>
        <v>0</v>
      </c>
      <c r="DG172" s="13">
        <f t="shared" si="128"/>
        <v>0.69314718055994529</v>
      </c>
      <c r="DH172" s="13"/>
      <c r="DI172" s="13"/>
      <c r="DJ172" s="13"/>
      <c r="DL172"/>
      <c r="DM172"/>
      <c r="DN172"/>
      <c r="DO172"/>
      <c r="DP172" s="31"/>
    </row>
    <row r="173" spans="1:120">
      <c r="A173" t="s">
        <v>41</v>
      </c>
      <c r="B173" t="s">
        <v>183</v>
      </c>
      <c r="C173" t="s">
        <v>269</v>
      </c>
      <c r="D173" s="13" t="s">
        <v>320</v>
      </c>
      <c r="E173" s="13" t="s">
        <v>283</v>
      </c>
      <c r="F173" s="13">
        <v>0</v>
      </c>
      <c r="G173" s="13">
        <v>0</v>
      </c>
      <c r="H173" s="13">
        <v>0</v>
      </c>
      <c r="I173" s="13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 s="32">
        <v>0</v>
      </c>
      <c r="BD173" s="32">
        <v>0</v>
      </c>
      <c r="BE173" s="32">
        <v>0</v>
      </c>
      <c r="BF173" s="32">
        <v>0</v>
      </c>
      <c r="BG173" s="32">
        <v>0</v>
      </c>
      <c r="BH173" s="32">
        <v>0</v>
      </c>
      <c r="BI173" s="32">
        <v>0</v>
      </c>
      <c r="BJ173" s="32">
        <v>0</v>
      </c>
      <c r="BK173" s="32">
        <v>0</v>
      </c>
      <c r="BL173" s="32">
        <v>0</v>
      </c>
      <c r="BM173" s="32">
        <v>0</v>
      </c>
      <c r="BN173" s="32">
        <v>0</v>
      </c>
      <c r="BO173">
        <f t="shared" si="132"/>
        <v>0</v>
      </c>
      <c r="BP173" s="13">
        <f t="shared" si="133"/>
        <v>0</v>
      </c>
      <c r="BQ173" s="13" t="e">
        <f>[1]!shannonweaver(K173:BL173)</f>
        <v>#VALUE!</v>
      </c>
      <c r="BR173">
        <f t="shared" si="129"/>
        <v>0</v>
      </c>
      <c r="BS173">
        <f t="shared" si="130"/>
        <v>0</v>
      </c>
      <c r="BT173">
        <f t="shared" si="131"/>
        <v>0</v>
      </c>
      <c r="BU173">
        <f t="shared" si="91"/>
        <v>0</v>
      </c>
      <c r="BV173" s="13">
        <f t="shared" si="92"/>
        <v>0</v>
      </c>
      <c r="BW173" s="13">
        <f t="shared" si="93"/>
        <v>0</v>
      </c>
      <c r="BX173" s="13">
        <f t="shared" si="94"/>
        <v>0</v>
      </c>
      <c r="BY173" s="13">
        <f t="shared" si="95"/>
        <v>0</v>
      </c>
      <c r="BZ173" s="13">
        <f t="shared" si="96"/>
        <v>0</v>
      </c>
      <c r="CA173" s="13">
        <f t="shared" si="97"/>
        <v>0</v>
      </c>
      <c r="CB173" s="13">
        <f t="shared" si="98"/>
        <v>0</v>
      </c>
      <c r="CC173" s="13">
        <f t="shared" si="99"/>
        <v>0</v>
      </c>
      <c r="CD173" s="13">
        <f t="shared" si="100"/>
        <v>0</v>
      </c>
      <c r="CE173" s="13">
        <f t="shared" si="101"/>
        <v>0</v>
      </c>
      <c r="CF173" s="13" t="e">
        <f t="shared" si="102"/>
        <v>#VALUE!</v>
      </c>
      <c r="CG173" s="13">
        <f t="shared" si="103"/>
        <v>0</v>
      </c>
      <c r="CH173" s="13">
        <f t="shared" si="104"/>
        <v>0</v>
      </c>
      <c r="CI173" s="13">
        <f t="shared" si="105"/>
        <v>0</v>
      </c>
      <c r="CJ173" s="13">
        <f t="shared" si="105"/>
        <v>0</v>
      </c>
      <c r="CK173" s="13">
        <f t="shared" si="106"/>
        <v>0</v>
      </c>
      <c r="CL173" s="13">
        <f t="shared" si="107"/>
        <v>0</v>
      </c>
      <c r="CM173" s="13">
        <f t="shared" si="108"/>
        <v>0</v>
      </c>
      <c r="CN173" s="13">
        <f t="shared" si="109"/>
        <v>0</v>
      </c>
      <c r="CO173" s="13">
        <f t="shared" si="110"/>
        <v>0</v>
      </c>
      <c r="CP173" s="13">
        <f t="shared" si="111"/>
        <v>0</v>
      </c>
      <c r="CQ173" s="13">
        <f t="shared" si="112"/>
        <v>0</v>
      </c>
      <c r="CR173" s="13">
        <f t="shared" si="113"/>
        <v>0</v>
      </c>
      <c r="CS173" s="13">
        <f t="shared" si="114"/>
        <v>0</v>
      </c>
      <c r="CT173" s="13">
        <f t="shared" si="115"/>
        <v>0</v>
      </c>
      <c r="CU173" s="13" t="e">
        <f t="shared" si="116"/>
        <v>#VALUE!</v>
      </c>
      <c r="CV173" s="13">
        <f t="shared" si="117"/>
        <v>0</v>
      </c>
      <c r="CW173" s="13">
        <f t="shared" si="118"/>
        <v>0</v>
      </c>
      <c r="CX173" s="13">
        <f t="shared" si="119"/>
        <v>0</v>
      </c>
      <c r="CY173" s="13">
        <f t="shared" si="120"/>
        <v>0</v>
      </c>
      <c r="CZ173" s="13">
        <f t="shared" si="121"/>
        <v>0</v>
      </c>
      <c r="DA173" s="13">
        <f t="shared" si="122"/>
        <v>0</v>
      </c>
      <c r="DB173" s="13">
        <f t="shared" si="123"/>
        <v>0</v>
      </c>
      <c r="DC173" s="13">
        <f t="shared" si="124"/>
        <v>0</v>
      </c>
      <c r="DD173" s="13">
        <f t="shared" si="125"/>
        <v>0</v>
      </c>
      <c r="DE173" s="13">
        <f t="shared" si="126"/>
        <v>0</v>
      </c>
      <c r="DF173" s="13">
        <f t="shared" si="127"/>
        <v>0</v>
      </c>
      <c r="DG173" s="13">
        <f t="shared" si="128"/>
        <v>0</v>
      </c>
      <c r="DH173" s="13"/>
      <c r="DI173" s="13"/>
      <c r="DJ173" s="13"/>
      <c r="DL173"/>
      <c r="DM173"/>
      <c r="DN173"/>
      <c r="DO173"/>
      <c r="DP173" s="31"/>
    </row>
    <row r="174" spans="1:120">
      <c r="A174" t="s">
        <v>42</v>
      </c>
      <c r="B174" t="s">
        <v>183</v>
      </c>
      <c r="C174" t="s">
        <v>269</v>
      </c>
      <c r="D174" s="13" t="s">
        <v>320</v>
      </c>
      <c r="E174" s="13" t="s">
        <v>283</v>
      </c>
      <c r="F174" s="13">
        <v>0</v>
      </c>
      <c r="G174" s="13">
        <v>0</v>
      </c>
      <c r="H174" s="13">
        <v>0</v>
      </c>
      <c r="I174" s="13">
        <v>0</v>
      </c>
      <c r="J174" s="32">
        <v>0</v>
      </c>
      <c r="K174" s="32">
        <v>0</v>
      </c>
      <c r="L174" s="32">
        <v>0</v>
      </c>
      <c r="M174" s="32">
        <v>0</v>
      </c>
      <c r="N174" s="32">
        <v>0</v>
      </c>
      <c r="O174" s="13">
        <v>1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>
        <v>0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 s="32">
        <v>0</v>
      </c>
      <c r="BD174" s="32">
        <v>0</v>
      </c>
      <c r="BE174" s="32">
        <v>0</v>
      </c>
      <c r="BF174" s="32">
        <v>0</v>
      </c>
      <c r="BG174" s="32">
        <v>0</v>
      </c>
      <c r="BH174" s="32">
        <v>0</v>
      </c>
      <c r="BI174" s="13">
        <v>1</v>
      </c>
      <c r="BJ174" s="32">
        <v>0</v>
      </c>
      <c r="BK174" s="32">
        <v>0</v>
      </c>
      <c r="BL174" s="32">
        <v>0</v>
      </c>
      <c r="BM174" s="32">
        <v>0</v>
      </c>
      <c r="BN174" s="32">
        <v>0</v>
      </c>
      <c r="BO174">
        <f t="shared" si="132"/>
        <v>2</v>
      </c>
      <c r="BP174" s="13">
        <f t="shared" si="133"/>
        <v>2</v>
      </c>
      <c r="BQ174" s="13">
        <f>[1]!shannonweaver(K174:BL174)</f>
        <v>0.69314718055994529</v>
      </c>
      <c r="BR174">
        <f t="shared" si="129"/>
        <v>1</v>
      </c>
      <c r="BS174">
        <f t="shared" si="130"/>
        <v>0</v>
      </c>
      <c r="BT174">
        <f t="shared" si="131"/>
        <v>0</v>
      </c>
      <c r="BU174">
        <f t="shared" si="91"/>
        <v>1</v>
      </c>
      <c r="BV174" s="13">
        <f t="shared" si="92"/>
        <v>1</v>
      </c>
      <c r="BW174" s="13">
        <f t="shared" si="93"/>
        <v>0</v>
      </c>
      <c r="BX174" s="13">
        <f t="shared" si="94"/>
        <v>0</v>
      </c>
      <c r="BY174" s="13">
        <f t="shared" si="95"/>
        <v>0</v>
      </c>
      <c r="BZ174" s="13">
        <f t="shared" si="96"/>
        <v>0</v>
      </c>
      <c r="CA174" s="13">
        <f t="shared" si="97"/>
        <v>0</v>
      </c>
      <c r="CB174" s="13">
        <f t="shared" si="98"/>
        <v>0</v>
      </c>
      <c r="CC174" s="13">
        <f t="shared" si="99"/>
        <v>0</v>
      </c>
      <c r="CD174" s="13">
        <f t="shared" si="100"/>
        <v>1.4142135623730951</v>
      </c>
      <c r="CE174" s="13">
        <f t="shared" si="101"/>
        <v>1.4142135623730951</v>
      </c>
      <c r="CF174" s="13">
        <f t="shared" si="102"/>
        <v>0.83255461115769769</v>
      </c>
      <c r="CG174" s="13">
        <f t="shared" si="103"/>
        <v>1</v>
      </c>
      <c r="CH174" s="13">
        <f t="shared" si="104"/>
        <v>0</v>
      </c>
      <c r="CI174" s="13">
        <f t="shared" si="105"/>
        <v>0</v>
      </c>
      <c r="CJ174" s="13">
        <f t="shared" si="105"/>
        <v>1</v>
      </c>
      <c r="CK174" s="13">
        <f t="shared" si="106"/>
        <v>1</v>
      </c>
      <c r="CL174" s="13">
        <f t="shared" si="107"/>
        <v>0</v>
      </c>
      <c r="CM174" s="13">
        <f t="shared" si="108"/>
        <v>0</v>
      </c>
      <c r="CN174" s="13">
        <f t="shared" si="109"/>
        <v>0</v>
      </c>
      <c r="CO174" s="13">
        <f t="shared" si="110"/>
        <v>0</v>
      </c>
      <c r="CP174" s="13">
        <f t="shared" si="111"/>
        <v>0</v>
      </c>
      <c r="CQ174" s="13">
        <f t="shared" si="112"/>
        <v>0</v>
      </c>
      <c r="CR174" s="13">
        <f t="shared" si="113"/>
        <v>0</v>
      </c>
      <c r="CS174" s="13">
        <f t="shared" si="114"/>
        <v>1.0986122886681098</v>
      </c>
      <c r="CT174" s="13">
        <f t="shared" si="115"/>
        <v>1.0986122886681098</v>
      </c>
      <c r="CU174" s="13">
        <f t="shared" si="116"/>
        <v>0.52658903413904457</v>
      </c>
      <c r="CV174" s="13">
        <f t="shared" si="117"/>
        <v>0.69314718055994529</v>
      </c>
      <c r="CW174" s="13">
        <f t="shared" si="118"/>
        <v>0</v>
      </c>
      <c r="CX174" s="13">
        <f t="shared" si="119"/>
        <v>0</v>
      </c>
      <c r="CY174" s="13">
        <f t="shared" si="120"/>
        <v>0.69314718055994529</v>
      </c>
      <c r="CZ174" s="13">
        <f t="shared" si="121"/>
        <v>0.69314718055994529</v>
      </c>
      <c r="DA174" s="13">
        <f t="shared" si="122"/>
        <v>0</v>
      </c>
      <c r="DB174" s="13">
        <f t="shared" si="123"/>
        <v>0</v>
      </c>
      <c r="DC174" s="13">
        <f t="shared" si="124"/>
        <v>0</v>
      </c>
      <c r="DD174" s="13">
        <f t="shared" si="125"/>
        <v>0</v>
      </c>
      <c r="DE174" s="13">
        <f t="shared" si="126"/>
        <v>0</v>
      </c>
      <c r="DF174" s="13">
        <f t="shared" si="127"/>
        <v>0</v>
      </c>
      <c r="DG174" s="13">
        <f t="shared" si="128"/>
        <v>0</v>
      </c>
      <c r="DH174" s="13"/>
      <c r="DI174" s="13"/>
      <c r="DJ174" s="13"/>
      <c r="DL174"/>
      <c r="DM174"/>
      <c r="DN174"/>
      <c r="DO174"/>
      <c r="DP174" s="31"/>
    </row>
    <row r="175" spans="1:120">
      <c r="A175" t="s">
        <v>43</v>
      </c>
      <c r="B175" t="s">
        <v>183</v>
      </c>
      <c r="C175" t="s">
        <v>269</v>
      </c>
      <c r="D175" s="13" t="s">
        <v>320</v>
      </c>
      <c r="E175" s="13" t="s">
        <v>283</v>
      </c>
      <c r="F175" s="13">
        <v>0</v>
      </c>
      <c r="G175" s="13">
        <v>0</v>
      </c>
      <c r="H175" s="13">
        <v>0</v>
      </c>
      <c r="I175" s="13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 s="32">
        <v>0</v>
      </c>
      <c r="BD175" s="32">
        <v>0</v>
      </c>
      <c r="BE175" s="32">
        <v>0</v>
      </c>
      <c r="BF175" s="32">
        <v>0</v>
      </c>
      <c r="BG175" s="32">
        <v>0</v>
      </c>
      <c r="BH175" s="32">
        <v>0</v>
      </c>
      <c r="BI175" s="32">
        <v>0</v>
      </c>
      <c r="BJ175" s="32">
        <v>0</v>
      </c>
      <c r="BK175" s="32">
        <v>0</v>
      </c>
      <c r="BL175" s="32">
        <v>0</v>
      </c>
      <c r="BM175" s="32">
        <v>0</v>
      </c>
      <c r="BN175" s="32">
        <v>0</v>
      </c>
      <c r="BO175">
        <f t="shared" si="132"/>
        <v>0</v>
      </c>
      <c r="BP175" s="13">
        <f t="shared" si="133"/>
        <v>0</v>
      </c>
      <c r="BQ175" s="13">
        <v>0</v>
      </c>
      <c r="BR175">
        <f t="shared" si="129"/>
        <v>0</v>
      </c>
      <c r="BS175">
        <f t="shared" si="130"/>
        <v>0</v>
      </c>
      <c r="BT175">
        <f t="shared" si="131"/>
        <v>0</v>
      </c>
      <c r="BU175">
        <f t="shared" si="91"/>
        <v>0</v>
      </c>
      <c r="BV175" s="13">
        <f t="shared" si="92"/>
        <v>0</v>
      </c>
      <c r="BW175" s="13">
        <f t="shared" si="93"/>
        <v>0</v>
      </c>
      <c r="BX175" s="13">
        <f t="shared" si="94"/>
        <v>0</v>
      </c>
      <c r="BY175" s="13">
        <f t="shared" si="95"/>
        <v>0</v>
      </c>
      <c r="BZ175" s="13">
        <f t="shared" si="96"/>
        <v>0</v>
      </c>
      <c r="CA175" s="13">
        <f t="shared" si="97"/>
        <v>0</v>
      </c>
      <c r="CB175" s="13">
        <f t="shared" si="98"/>
        <v>0</v>
      </c>
      <c r="CC175" s="13">
        <f t="shared" si="99"/>
        <v>0</v>
      </c>
      <c r="CD175" s="13">
        <f t="shared" si="100"/>
        <v>0</v>
      </c>
      <c r="CE175" s="13">
        <f t="shared" si="101"/>
        <v>0</v>
      </c>
      <c r="CF175" s="13">
        <f t="shared" si="102"/>
        <v>0</v>
      </c>
      <c r="CG175" s="13">
        <f t="shared" si="103"/>
        <v>0</v>
      </c>
      <c r="CH175" s="13">
        <f t="shared" si="104"/>
        <v>0</v>
      </c>
      <c r="CI175" s="13">
        <f t="shared" si="105"/>
        <v>0</v>
      </c>
      <c r="CJ175" s="13">
        <f t="shared" si="105"/>
        <v>0</v>
      </c>
      <c r="CK175" s="13">
        <f t="shared" si="106"/>
        <v>0</v>
      </c>
      <c r="CL175" s="13">
        <f t="shared" si="107"/>
        <v>0</v>
      </c>
      <c r="CM175" s="13">
        <f t="shared" si="108"/>
        <v>0</v>
      </c>
      <c r="CN175" s="13">
        <f t="shared" si="109"/>
        <v>0</v>
      </c>
      <c r="CO175" s="13">
        <f t="shared" si="110"/>
        <v>0</v>
      </c>
      <c r="CP175" s="13">
        <f t="shared" si="111"/>
        <v>0</v>
      </c>
      <c r="CQ175" s="13">
        <f t="shared" si="112"/>
        <v>0</v>
      </c>
      <c r="CR175" s="13">
        <f t="shared" si="113"/>
        <v>0</v>
      </c>
      <c r="CS175" s="13">
        <f t="shared" si="114"/>
        <v>0</v>
      </c>
      <c r="CT175" s="13">
        <f t="shared" si="115"/>
        <v>0</v>
      </c>
      <c r="CU175" s="13">
        <f t="shared" si="116"/>
        <v>0</v>
      </c>
      <c r="CV175" s="13">
        <f t="shared" si="117"/>
        <v>0</v>
      </c>
      <c r="CW175" s="13">
        <f t="shared" si="118"/>
        <v>0</v>
      </c>
      <c r="CX175" s="13">
        <f t="shared" si="119"/>
        <v>0</v>
      </c>
      <c r="CY175" s="13">
        <f t="shared" si="120"/>
        <v>0</v>
      </c>
      <c r="CZ175" s="13">
        <f t="shared" si="121"/>
        <v>0</v>
      </c>
      <c r="DA175" s="13">
        <f t="shared" si="122"/>
        <v>0</v>
      </c>
      <c r="DB175" s="13">
        <f t="shared" si="123"/>
        <v>0</v>
      </c>
      <c r="DC175" s="13">
        <f t="shared" si="124"/>
        <v>0</v>
      </c>
      <c r="DD175" s="13">
        <f t="shared" si="125"/>
        <v>0</v>
      </c>
      <c r="DE175" s="13">
        <f t="shared" si="126"/>
        <v>0</v>
      </c>
      <c r="DF175" s="13">
        <f t="shared" si="127"/>
        <v>0</v>
      </c>
      <c r="DG175" s="13">
        <f t="shared" si="128"/>
        <v>0</v>
      </c>
      <c r="DH175" s="13"/>
      <c r="DI175" s="13"/>
      <c r="DJ175" s="13"/>
      <c r="DL175"/>
      <c r="DM175"/>
      <c r="DN175"/>
      <c r="DO175"/>
      <c r="DP175" s="31"/>
    </row>
    <row r="176" spans="1:120">
      <c r="A176" t="s">
        <v>44</v>
      </c>
      <c r="B176" t="s">
        <v>183</v>
      </c>
      <c r="C176" t="s">
        <v>45</v>
      </c>
      <c r="D176" s="13" t="s">
        <v>320</v>
      </c>
      <c r="E176" s="13" t="s">
        <v>283</v>
      </c>
      <c r="F176" s="13">
        <v>0</v>
      </c>
      <c r="G176" s="13">
        <v>0</v>
      </c>
      <c r="H176" s="13">
        <v>0</v>
      </c>
      <c r="I176" s="13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 s="32">
        <v>0</v>
      </c>
      <c r="BD176" s="32">
        <v>0</v>
      </c>
      <c r="BE176" s="32">
        <v>0</v>
      </c>
      <c r="BF176" s="32">
        <v>0</v>
      </c>
      <c r="BG176" s="32">
        <v>0</v>
      </c>
      <c r="BH176" s="32">
        <v>0</v>
      </c>
      <c r="BI176" s="32">
        <v>0</v>
      </c>
      <c r="BJ176" s="32">
        <v>0</v>
      </c>
      <c r="BK176" s="32">
        <v>0</v>
      </c>
      <c r="BL176" s="32">
        <v>0</v>
      </c>
      <c r="BM176" s="32">
        <v>0</v>
      </c>
      <c r="BN176" s="32">
        <v>0</v>
      </c>
      <c r="BO176">
        <f t="shared" si="132"/>
        <v>0</v>
      </c>
      <c r="BP176" s="13">
        <f t="shared" si="133"/>
        <v>0</v>
      </c>
      <c r="BQ176" s="13">
        <v>0</v>
      </c>
      <c r="BR176">
        <f t="shared" si="129"/>
        <v>0</v>
      </c>
      <c r="BS176">
        <f t="shared" si="130"/>
        <v>0</v>
      </c>
      <c r="BT176">
        <f t="shared" si="131"/>
        <v>0</v>
      </c>
      <c r="BU176">
        <f t="shared" si="91"/>
        <v>0</v>
      </c>
      <c r="BV176" s="13">
        <f t="shared" si="92"/>
        <v>0</v>
      </c>
      <c r="BW176" s="13">
        <f t="shared" si="93"/>
        <v>0</v>
      </c>
      <c r="BX176" s="13">
        <f t="shared" si="94"/>
        <v>0</v>
      </c>
      <c r="BY176" s="13">
        <f t="shared" si="95"/>
        <v>0</v>
      </c>
      <c r="BZ176" s="13">
        <f t="shared" si="96"/>
        <v>0</v>
      </c>
      <c r="CA176" s="13">
        <f t="shared" si="97"/>
        <v>0</v>
      </c>
      <c r="CB176" s="13">
        <f t="shared" si="98"/>
        <v>0</v>
      </c>
      <c r="CC176" s="13">
        <f t="shared" si="99"/>
        <v>0</v>
      </c>
      <c r="CD176" s="13">
        <f t="shared" si="100"/>
        <v>0</v>
      </c>
      <c r="CE176" s="13">
        <f t="shared" si="101"/>
        <v>0</v>
      </c>
      <c r="CF176" s="13">
        <f t="shared" si="102"/>
        <v>0</v>
      </c>
      <c r="CG176" s="13">
        <f t="shared" si="103"/>
        <v>0</v>
      </c>
      <c r="CH176" s="13">
        <f t="shared" si="104"/>
        <v>0</v>
      </c>
      <c r="CI176" s="13">
        <f t="shared" si="105"/>
        <v>0</v>
      </c>
      <c r="CJ176" s="13">
        <f t="shared" si="105"/>
        <v>0</v>
      </c>
      <c r="CK176" s="13">
        <f t="shared" si="106"/>
        <v>0</v>
      </c>
      <c r="CL176" s="13">
        <f t="shared" si="107"/>
        <v>0</v>
      </c>
      <c r="CM176" s="13">
        <f t="shared" si="108"/>
        <v>0</v>
      </c>
      <c r="CN176" s="13">
        <f t="shared" si="109"/>
        <v>0</v>
      </c>
      <c r="CO176" s="13">
        <f t="shared" si="110"/>
        <v>0</v>
      </c>
      <c r="CP176" s="13">
        <f t="shared" si="111"/>
        <v>0</v>
      </c>
      <c r="CQ176" s="13">
        <f t="shared" si="112"/>
        <v>0</v>
      </c>
      <c r="CR176" s="13">
        <f t="shared" si="113"/>
        <v>0</v>
      </c>
      <c r="CS176" s="13">
        <f t="shared" si="114"/>
        <v>0</v>
      </c>
      <c r="CT176" s="13">
        <f t="shared" si="115"/>
        <v>0</v>
      </c>
      <c r="CU176" s="13">
        <f t="shared" si="116"/>
        <v>0</v>
      </c>
      <c r="CV176" s="13">
        <f t="shared" si="117"/>
        <v>0</v>
      </c>
      <c r="CW176" s="13">
        <f t="shared" si="118"/>
        <v>0</v>
      </c>
      <c r="CX176" s="13">
        <f t="shared" si="119"/>
        <v>0</v>
      </c>
      <c r="CY176" s="13">
        <f t="shared" si="120"/>
        <v>0</v>
      </c>
      <c r="CZ176" s="13">
        <f t="shared" si="121"/>
        <v>0</v>
      </c>
      <c r="DA176" s="13">
        <f t="shared" si="122"/>
        <v>0</v>
      </c>
      <c r="DB176" s="13">
        <f t="shared" si="123"/>
        <v>0</v>
      </c>
      <c r="DC176" s="13">
        <f t="shared" si="124"/>
        <v>0</v>
      </c>
      <c r="DD176" s="13">
        <f t="shared" si="125"/>
        <v>0</v>
      </c>
      <c r="DE176" s="13">
        <f t="shared" si="126"/>
        <v>0</v>
      </c>
      <c r="DF176" s="13">
        <f t="shared" si="127"/>
        <v>0</v>
      </c>
      <c r="DG176" s="13">
        <f t="shared" si="128"/>
        <v>0</v>
      </c>
      <c r="DH176" s="13"/>
      <c r="DI176" s="13"/>
      <c r="DJ176" s="13"/>
      <c r="DL176"/>
      <c r="DM176"/>
      <c r="DN176"/>
      <c r="DO176"/>
      <c r="DP176" s="31"/>
    </row>
    <row r="177" spans="1:120">
      <c r="A177" t="s">
        <v>46</v>
      </c>
      <c r="B177" t="s">
        <v>183</v>
      </c>
      <c r="C177" t="s">
        <v>45</v>
      </c>
      <c r="D177" s="13" t="s">
        <v>320</v>
      </c>
      <c r="E177" s="13" t="s">
        <v>283</v>
      </c>
      <c r="F177" s="13">
        <v>0</v>
      </c>
      <c r="G177" s="13">
        <v>0</v>
      </c>
      <c r="H177" s="13">
        <v>0</v>
      </c>
      <c r="I177" s="13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32">
        <v>0</v>
      </c>
      <c r="Z177" s="32">
        <v>0</v>
      </c>
      <c r="AA177" s="32">
        <v>0</v>
      </c>
      <c r="AB177" s="13">
        <v>1</v>
      </c>
      <c r="AC177" s="32">
        <v>0</v>
      </c>
      <c r="AD177" s="32">
        <v>0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0</v>
      </c>
      <c r="AQ177" s="32">
        <v>0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2">
        <v>0</v>
      </c>
      <c r="AX177" s="13">
        <v>1</v>
      </c>
      <c r="AY177" s="32">
        <v>0</v>
      </c>
      <c r="AZ177" s="32">
        <v>0</v>
      </c>
      <c r="BA177" s="32">
        <v>0</v>
      </c>
      <c r="BB177" s="32">
        <v>0</v>
      </c>
      <c r="BC177" s="32">
        <v>0</v>
      </c>
      <c r="BD177" s="32">
        <v>0</v>
      </c>
      <c r="BE177" s="32">
        <v>0</v>
      </c>
      <c r="BF177" s="32">
        <v>0</v>
      </c>
      <c r="BG177" s="32">
        <v>0</v>
      </c>
      <c r="BH177" s="32">
        <v>0</v>
      </c>
      <c r="BI177" s="32">
        <v>0</v>
      </c>
      <c r="BJ177" s="32">
        <v>0</v>
      </c>
      <c r="BK177" s="32">
        <v>0</v>
      </c>
      <c r="BL177" s="32">
        <v>0</v>
      </c>
      <c r="BM177" s="32">
        <v>0</v>
      </c>
      <c r="BN177" s="32">
        <v>0</v>
      </c>
      <c r="BO177">
        <f t="shared" si="132"/>
        <v>2</v>
      </c>
      <c r="BP177" s="13">
        <f t="shared" si="133"/>
        <v>2</v>
      </c>
      <c r="BQ177" s="13">
        <f>[1]!shannonweaver(K177:BL177)</f>
        <v>0.69314718055994529</v>
      </c>
      <c r="BR177">
        <f t="shared" si="129"/>
        <v>0</v>
      </c>
      <c r="BS177">
        <f t="shared" si="130"/>
        <v>1</v>
      </c>
      <c r="BT177">
        <f t="shared" si="131"/>
        <v>1</v>
      </c>
      <c r="BU177">
        <f t="shared" si="91"/>
        <v>0</v>
      </c>
      <c r="BV177" s="13">
        <f t="shared" si="92"/>
        <v>0</v>
      </c>
      <c r="BW177" s="13">
        <f t="shared" si="93"/>
        <v>1</v>
      </c>
      <c r="BX177" s="13">
        <f t="shared" si="94"/>
        <v>0</v>
      </c>
      <c r="BY177" s="13">
        <f t="shared" si="95"/>
        <v>1</v>
      </c>
      <c r="BZ177" s="13">
        <f t="shared" si="96"/>
        <v>0</v>
      </c>
      <c r="CA177" s="13">
        <f t="shared" si="97"/>
        <v>1</v>
      </c>
      <c r="CB177" s="13">
        <f t="shared" si="98"/>
        <v>1</v>
      </c>
      <c r="CC177" s="13">
        <f t="shared" si="99"/>
        <v>0</v>
      </c>
      <c r="CD177" s="13">
        <f t="shared" si="100"/>
        <v>1.4142135623730951</v>
      </c>
      <c r="CE177" s="13">
        <f t="shared" si="101"/>
        <v>1.4142135623730951</v>
      </c>
      <c r="CF177" s="13">
        <f t="shared" si="102"/>
        <v>0.83255461115769769</v>
      </c>
      <c r="CG177" s="13">
        <f t="shared" si="103"/>
        <v>0</v>
      </c>
      <c r="CH177" s="13">
        <f t="shared" si="104"/>
        <v>1</v>
      </c>
      <c r="CI177" s="13">
        <f t="shared" si="105"/>
        <v>1</v>
      </c>
      <c r="CJ177" s="13">
        <f t="shared" si="105"/>
        <v>0</v>
      </c>
      <c r="CK177" s="13">
        <f t="shared" si="106"/>
        <v>0</v>
      </c>
      <c r="CL177" s="13">
        <f t="shared" si="107"/>
        <v>1</v>
      </c>
      <c r="CM177" s="13">
        <f t="shared" si="108"/>
        <v>0</v>
      </c>
      <c r="CN177" s="13">
        <f t="shared" si="109"/>
        <v>1</v>
      </c>
      <c r="CO177" s="13">
        <f t="shared" si="110"/>
        <v>0</v>
      </c>
      <c r="CP177" s="13">
        <f t="shared" si="111"/>
        <v>1</v>
      </c>
      <c r="CQ177" s="13">
        <f t="shared" si="112"/>
        <v>1</v>
      </c>
      <c r="CR177" s="13">
        <f t="shared" si="113"/>
        <v>0</v>
      </c>
      <c r="CS177" s="13">
        <f t="shared" si="114"/>
        <v>1.0986122886681098</v>
      </c>
      <c r="CT177" s="13">
        <f t="shared" si="115"/>
        <v>1.0986122886681098</v>
      </c>
      <c r="CU177" s="13">
        <f t="shared" si="116"/>
        <v>0.52658903413904457</v>
      </c>
      <c r="CV177" s="13">
        <f t="shared" si="117"/>
        <v>0</v>
      </c>
      <c r="CW177" s="13">
        <f t="shared" si="118"/>
        <v>0.69314718055994529</v>
      </c>
      <c r="CX177" s="13">
        <f t="shared" si="119"/>
        <v>0.69314718055994529</v>
      </c>
      <c r="CY177" s="13">
        <f t="shared" si="120"/>
        <v>0</v>
      </c>
      <c r="CZ177" s="13">
        <f t="shared" si="121"/>
        <v>0</v>
      </c>
      <c r="DA177" s="13">
        <f t="shared" si="122"/>
        <v>0.69314718055994529</v>
      </c>
      <c r="DB177" s="13">
        <f t="shared" si="123"/>
        <v>0</v>
      </c>
      <c r="DC177" s="13">
        <f t="shared" si="124"/>
        <v>0.69314718055994529</v>
      </c>
      <c r="DD177" s="13">
        <f t="shared" si="125"/>
        <v>0</v>
      </c>
      <c r="DE177" s="13">
        <f t="shared" si="126"/>
        <v>0.69314718055994529</v>
      </c>
      <c r="DF177" s="13">
        <f t="shared" si="127"/>
        <v>0.69314718055994529</v>
      </c>
      <c r="DG177" s="13">
        <f t="shared" si="128"/>
        <v>0</v>
      </c>
      <c r="DH177" s="13"/>
      <c r="DI177" s="13"/>
      <c r="DJ177" s="13"/>
      <c r="DL177"/>
      <c r="DM177"/>
      <c r="DN177"/>
      <c r="DO177"/>
      <c r="DP177" s="31"/>
    </row>
    <row r="178" spans="1:120">
      <c r="A178" t="s">
        <v>47</v>
      </c>
      <c r="B178" t="s">
        <v>183</v>
      </c>
      <c r="C178" t="s">
        <v>45</v>
      </c>
      <c r="D178" s="13" t="s">
        <v>320</v>
      </c>
      <c r="E178" s="13" t="s">
        <v>283</v>
      </c>
      <c r="F178" s="13">
        <v>0</v>
      </c>
      <c r="G178" s="13">
        <v>0</v>
      </c>
      <c r="H178" s="13">
        <v>0</v>
      </c>
      <c r="I178" s="13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32">
        <v>0</v>
      </c>
      <c r="AI178" s="32">
        <v>0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13">
        <v>1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 s="32">
        <v>0</v>
      </c>
      <c r="BD178" s="32">
        <v>0</v>
      </c>
      <c r="BE178" s="32">
        <v>0</v>
      </c>
      <c r="BF178" s="32">
        <v>0</v>
      </c>
      <c r="BG178" s="32">
        <v>0</v>
      </c>
      <c r="BH178" s="32">
        <v>0</v>
      </c>
      <c r="BI178" s="32">
        <v>0</v>
      </c>
      <c r="BJ178" s="32">
        <v>0</v>
      </c>
      <c r="BK178" s="32">
        <v>0</v>
      </c>
      <c r="BL178" s="32">
        <v>0</v>
      </c>
      <c r="BM178" s="32">
        <v>0</v>
      </c>
      <c r="BN178" s="32">
        <v>0</v>
      </c>
      <c r="BO178">
        <f t="shared" si="132"/>
        <v>1</v>
      </c>
      <c r="BP178" s="13">
        <f t="shared" si="133"/>
        <v>1</v>
      </c>
      <c r="BQ178" s="13">
        <f>[1]!shannonweaver(K178:BL178)</f>
        <v>0</v>
      </c>
      <c r="BR178">
        <f t="shared" si="129"/>
        <v>0</v>
      </c>
      <c r="BS178">
        <f t="shared" si="130"/>
        <v>1</v>
      </c>
      <c r="BT178">
        <f t="shared" si="131"/>
        <v>0</v>
      </c>
      <c r="BU178">
        <f t="shared" si="91"/>
        <v>0</v>
      </c>
      <c r="BV178" s="13">
        <f t="shared" si="92"/>
        <v>0</v>
      </c>
      <c r="BW178" s="13">
        <f t="shared" si="93"/>
        <v>0</v>
      </c>
      <c r="BX178" s="13">
        <f t="shared" si="94"/>
        <v>0</v>
      </c>
      <c r="BY178" s="13">
        <f t="shared" si="95"/>
        <v>0</v>
      </c>
      <c r="BZ178" s="13">
        <f t="shared" si="96"/>
        <v>0</v>
      </c>
      <c r="CA178" s="13">
        <f t="shared" si="97"/>
        <v>1</v>
      </c>
      <c r="CB178" s="13">
        <f t="shared" si="98"/>
        <v>0</v>
      </c>
      <c r="CC178" s="13">
        <f t="shared" si="99"/>
        <v>0</v>
      </c>
      <c r="CD178" s="13">
        <f t="shared" si="100"/>
        <v>1</v>
      </c>
      <c r="CE178" s="13">
        <f t="shared" si="101"/>
        <v>1</v>
      </c>
      <c r="CF178" s="13">
        <f t="shared" si="102"/>
        <v>0</v>
      </c>
      <c r="CG178" s="13">
        <f t="shared" si="103"/>
        <v>0</v>
      </c>
      <c r="CH178" s="13">
        <f t="shared" si="104"/>
        <v>1</v>
      </c>
      <c r="CI178" s="13">
        <f t="shared" si="105"/>
        <v>0</v>
      </c>
      <c r="CJ178" s="13">
        <f t="shared" si="105"/>
        <v>0</v>
      </c>
      <c r="CK178" s="13">
        <f t="shared" si="106"/>
        <v>0</v>
      </c>
      <c r="CL178" s="13">
        <f t="shared" si="107"/>
        <v>0</v>
      </c>
      <c r="CM178" s="13">
        <f t="shared" si="108"/>
        <v>0</v>
      </c>
      <c r="CN178" s="13">
        <f t="shared" si="109"/>
        <v>0</v>
      </c>
      <c r="CO178" s="13">
        <f t="shared" si="110"/>
        <v>0</v>
      </c>
      <c r="CP178" s="13">
        <f t="shared" si="111"/>
        <v>1</v>
      </c>
      <c r="CQ178" s="13">
        <f t="shared" si="112"/>
        <v>0</v>
      </c>
      <c r="CR178" s="13">
        <f t="shared" si="113"/>
        <v>0</v>
      </c>
      <c r="CS178" s="13">
        <f t="shared" si="114"/>
        <v>0.69314718055994529</v>
      </c>
      <c r="CT178" s="13">
        <f t="shared" si="115"/>
        <v>0.69314718055994529</v>
      </c>
      <c r="CU178" s="13">
        <f t="shared" si="116"/>
        <v>0</v>
      </c>
      <c r="CV178" s="13">
        <f t="shared" si="117"/>
        <v>0</v>
      </c>
      <c r="CW178" s="13">
        <f t="shared" si="118"/>
        <v>0.69314718055994529</v>
      </c>
      <c r="CX178" s="13">
        <f t="shared" si="119"/>
        <v>0</v>
      </c>
      <c r="CY178" s="13">
        <f t="shared" si="120"/>
        <v>0</v>
      </c>
      <c r="CZ178" s="13">
        <f t="shared" si="121"/>
        <v>0</v>
      </c>
      <c r="DA178" s="13">
        <f t="shared" si="122"/>
        <v>0</v>
      </c>
      <c r="DB178" s="13">
        <f t="shared" si="123"/>
        <v>0</v>
      </c>
      <c r="DC178" s="13">
        <f t="shared" si="124"/>
        <v>0</v>
      </c>
      <c r="DD178" s="13">
        <f t="shared" si="125"/>
        <v>0</v>
      </c>
      <c r="DE178" s="13">
        <f t="shared" si="126"/>
        <v>0.69314718055994529</v>
      </c>
      <c r="DF178" s="13">
        <f t="shared" si="127"/>
        <v>0</v>
      </c>
      <c r="DG178" s="13">
        <f t="shared" si="128"/>
        <v>0</v>
      </c>
      <c r="DH178" s="13"/>
      <c r="DI178" s="13"/>
      <c r="DJ178" s="13"/>
      <c r="DL178"/>
      <c r="DM178"/>
      <c r="DN178"/>
      <c r="DO178"/>
      <c r="DP178" s="31"/>
    </row>
    <row r="179" spans="1:120">
      <c r="A179" t="s">
        <v>48</v>
      </c>
      <c r="B179" t="s">
        <v>183</v>
      </c>
      <c r="C179" t="s">
        <v>45</v>
      </c>
      <c r="D179" s="13" t="s">
        <v>320</v>
      </c>
      <c r="E179" s="13" t="s">
        <v>283</v>
      </c>
      <c r="F179" s="13">
        <v>0</v>
      </c>
      <c r="G179" s="13">
        <v>0</v>
      </c>
      <c r="H179" s="13">
        <v>0</v>
      </c>
      <c r="I179" s="13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0</v>
      </c>
      <c r="AD179" s="32">
        <v>0</v>
      </c>
      <c r="AE179" s="32">
        <v>0</v>
      </c>
      <c r="AF179" s="32">
        <v>0</v>
      </c>
      <c r="AG179" s="32">
        <v>0</v>
      </c>
      <c r="AH179" s="32">
        <v>0</v>
      </c>
      <c r="AI179" s="32">
        <v>0</v>
      </c>
      <c r="AJ179" s="32">
        <v>0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0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 s="32">
        <v>0</v>
      </c>
      <c r="BD179" s="32">
        <v>0</v>
      </c>
      <c r="BE179" s="32">
        <v>0</v>
      </c>
      <c r="BF179" s="32">
        <v>0</v>
      </c>
      <c r="BG179" s="32">
        <v>0</v>
      </c>
      <c r="BH179" s="32">
        <v>0</v>
      </c>
      <c r="BI179" s="32">
        <v>0</v>
      </c>
      <c r="BJ179" s="32">
        <v>0</v>
      </c>
      <c r="BK179" s="32">
        <v>0</v>
      </c>
      <c r="BL179" s="32">
        <v>0</v>
      </c>
      <c r="BM179" s="32">
        <v>0</v>
      </c>
      <c r="BN179" s="32">
        <v>0</v>
      </c>
      <c r="BO179">
        <f t="shared" si="132"/>
        <v>0</v>
      </c>
      <c r="BP179" s="13">
        <f t="shared" si="133"/>
        <v>0</v>
      </c>
      <c r="BQ179" s="13">
        <v>0</v>
      </c>
      <c r="BR179">
        <f t="shared" si="129"/>
        <v>0</v>
      </c>
      <c r="BS179">
        <f t="shared" si="130"/>
        <v>0</v>
      </c>
      <c r="BT179">
        <f t="shared" si="131"/>
        <v>0</v>
      </c>
      <c r="BU179">
        <f t="shared" si="91"/>
        <v>0</v>
      </c>
      <c r="BV179" s="13">
        <f t="shared" si="92"/>
        <v>0</v>
      </c>
      <c r="BW179" s="13">
        <f t="shared" si="93"/>
        <v>0</v>
      </c>
      <c r="BX179" s="13">
        <f t="shared" si="94"/>
        <v>0</v>
      </c>
      <c r="BY179" s="13">
        <f t="shared" si="95"/>
        <v>0</v>
      </c>
      <c r="BZ179" s="13">
        <f t="shared" si="96"/>
        <v>0</v>
      </c>
      <c r="CA179" s="13">
        <f t="shared" si="97"/>
        <v>0</v>
      </c>
      <c r="CB179" s="13">
        <f t="shared" si="98"/>
        <v>0</v>
      </c>
      <c r="CC179" s="13">
        <f t="shared" si="99"/>
        <v>0</v>
      </c>
      <c r="CD179" s="13">
        <f t="shared" si="100"/>
        <v>0</v>
      </c>
      <c r="CE179" s="13">
        <f t="shared" si="101"/>
        <v>0</v>
      </c>
      <c r="CF179" s="13">
        <f t="shared" si="102"/>
        <v>0</v>
      </c>
      <c r="CG179" s="13">
        <f t="shared" si="103"/>
        <v>0</v>
      </c>
      <c r="CH179" s="13">
        <f t="shared" si="104"/>
        <v>0</v>
      </c>
      <c r="CI179" s="13">
        <f t="shared" si="105"/>
        <v>0</v>
      </c>
      <c r="CJ179" s="13">
        <f t="shared" si="105"/>
        <v>0</v>
      </c>
      <c r="CK179" s="13">
        <f t="shared" si="106"/>
        <v>0</v>
      </c>
      <c r="CL179" s="13">
        <f t="shared" si="107"/>
        <v>0</v>
      </c>
      <c r="CM179" s="13">
        <f t="shared" si="108"/>
        <v>0</v>
      </c>
      <c r="CN179" s="13">
        <f t="shared" si="109"/>
        <v>0</v>
      </c>
      <c r="CO179" s="13">
        <f t="shared" si="110"/>
        <v>0</v>
      </c>
      <c r="CP179" s="13">
        <f t="shared" si="111"/>
        <v>0</v>
      </c>
      <c r="CQ179" s="13">
        <f t="shared" si="112"/>
        <v>0</v>
      </c>
      <c r="CR179" s="13">
        <f t="shared" si="113"/>
        <v>0</v>
      </c>
      <c r="CS179" s="13">
        <f t="shared" si="114"/>
        <v>0</v>
      </c>
      <c r="CT179" s="13">
        <f t="shared" si="115"/>
        <v>0</v>
      </c>
      <c r="CU179" s="13">
        <f t="shared" si="116"/>
        <v>0</v>
      </c>
      <c r="CV179" s="13">
        <f t="shared" si="117"/>
        <v>0</v>
      </c>
      <c r="CW179" s="13">
        <f t="shared" si="118"/>
        <v>0</v>
      </c>
      <c r="CX179" s="13">
        <f t="shared" si="119"/>
        <v>0</v>
      </c>
      <c r="CY179" s="13">
        <f t="shared" si="120"/>
        <v>0</v>
      </c>
      <c r="CZ179" s="13">
        <f t="shared" si="121"/>
        <v>0</v>
      </c>
      <c r="DA179" s="13">
        <f t="shared" si="122"/>
        <v>0</v>
      </c>
      <c r="DB179" s="13">
        <f t="shared" si="123"/>
        <v>0</v>
      </c>
      <c r="DC179" s="13">
        <f t="shared" si="124"/>
        <v>0</v>
      </c>
      <c r="DD179" s="13">
        <f t="shared" si="125"/>
        <v>0</v>
      </c>
      <c r="DE179" s="13">
        <f t="shared" si="126"/>
        <v>0</v>
      </c>
      <c r="DF179" s="13">
        <f t="shared" si="127"/>
        <v>0</v>
      </c>
      <c r="DG179" s="13">
        <f t="shared" si="128"/>
        <v>0</v>
      </c>
      <c r="DH179" s="13"/>
      <c r="DI179" s="13"/>
      <c r="DJ179" s="13"/>
      <c r="DL179"/>
      <c r="DM179"/>
      <c r="DN179"/>
      <c r="DO179"/>
      <c r="DP179" s="31"/>
    </row>
    <row r="180" spans="1:120">
      <c r="A180" t="s">
        <v>49</v>
      </c>
      <c r="B180" t="s">
        <v>183</v>
      </c>
      <c r="C180" t="s">
        <v>45</v>
      </c>
      <c r="D180" s="13" t="s">
        <v>320</v>
      </c>
      <c r="E180" s="13" t="s">
        <v>283</v>
      </c>
      <c r="F180" s="13">
        <v>0</v>
      </c>
      <c r="G180" s="13">
        <v>0</v>
      </c>
      <c r="H180" s="13">
        <v>0</v>
      </c>
      <c r="I180" s="13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13">
        <v>1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 s="32">
        <v>0</v>
      </c>
      <c r="BD180" s="32">
        <v>0</v>
      </c>
      <c r="BE180" s="32">
        <v>0</v>
      </c>
      <c r="BF180" s="32">
        <v>0</v>
      </c>
      <c r="BG180" s="32">
        <v>0</v>
      </c>
      <c r="BH180" s="32">
        <v>0</v>
      </c>
      <c r="BI180" s="32">
        <v>0</v>
      </c>
      <c r="BJ180" s="32">
        <v>0</v>
      </c>
      <c r="BK180" s="32">
        <v>0</v>
      </c>
      <c r="BL180" s="32">
        <v>0</v>
      </c>
      <c r="BM180" s="32">
        <v>0</v>
      </c>
      <c r="BN180" s="32">
        <v>0</v>
      </c>
      <c r="BO180">
        <f t="shared" si="132"/>
        <v>1</v>
      </c>
      <c r="BP180" s="13">
        <f t="shared" si="133"/>
        <v>1</v>
      </c>
      <c r="BQ180" s="13">
        <f>[1]!shannonweaver(K180:BL180)</f>
        <v>0</v>
      </c>
      <c r="BR180">
        <f t="shared" si="129"/>
        <v>0</v>
      </c>
      <c r="BS180">
        <f t="shared" si="130"/>
        <v>1</v>
      </c>
      <c r="BT180">
        <f t="shared" si="131"/>
        <v>0</v>
      </c>
      <c r="BU180">
        <f t="shared" si="91"/>
        <v>0</v>
      </c>
      <c r="BV180" s="13">
        <f t="shared" si="92"/>
        <v>0</v>
      </c>
      <c r="BW180" s="13">
        <f t="shared" si="93"/>
        <v>0</v>
      </c>
      <c r="BX180" s="13">
        <f t="shared" si="94"/>
        <v>0</v>
      </c>
      <c r="BY180" s="13">
        <f t="shared" si="95"/>
        <v>0</v>
      </c>
      <c r="BZ180" s="13">
        <f t="shared" si="96"/>
        <v>1</v>
      </c>
      <c r="CA180" s="13">
        <f t="shared" si="97"/>
        <v>1</v>
      </c>
      <c r="CB180" s="13">
        <f t="shared" si="98"/>
        <v>0</v>
      </c>
      <c r="CC180" s="13">
        <f t="shared" si="99"/>
        <v>0</v>
      </c>
      <c r="CD180" s="13">
        <f t="shared" si="100"/>
        <v>1</v>
      </c>
      <c r="CE180" s="13">
        <f t="shared" si="101"/>
        <v>1</v>
      </c>
      <c r="CF180" s="13">
        <f t="shared" si="102"/>
        <v>0</v>
      </c>
      <c r="CG180" s="13">
        <f t="shared" si="103"/>
        <v>0</v>
      </c>
      <c r="CH180" s="13">
        <f t="shared" si="104"/>
        <v>1</v>
      </c>
      <c r="CI180" s="13">
        <f t="shared" si="105"/>
        <v>0</v>
      </c>
      <c r="CJ180" s="13">
        <f t="shared" si="105"/>
        <v>0</v>
      </c>
      <c r="CK180" s="13">
        <f t="shared" si="106"/>
        <v>0</v>
      </c>
      <c r="CL180" s="13">
        <f t="shared" si="107"/>
        <v>0</v>
      </c>
      <c r="CM180" s="13">
        <f t="shared" si="108"/>
        <v>0</v>
      </c>
      <c r="CN180" s="13">
        <f t="shared" si="109"/>
        <v>0</v>
      </c>
      <c r="CO180" s="13">
        <f t="shared" si="110"/>
        <v>1</v>
      </c>
      <c r="CP180" s="13">
        <f t="shared" si="111"/>
        <v>1</v>
      </c>
      <c r="CQ180" s="13">
        <f t="shared" si="112"/>
        <v>0</v>
      </c>
      <c r="CR180" s="13">
        <f t="shared" si="113"/>
        <v>0</v>
      </c>
      <c r="CS180" s="13">
        <f t="shared" si="114"/>
        <v>0.69314718055994529</v>
      </c>
      <c r="CT180" s="13">
        <f t="shared" si="115"/>
        <v>0.69314718055994529</v>
      </c>
      <c r="CU180" s="13">
        <f t="shared" si="116"/>
        <v>0</v>
      </c>
      <c r="CV180" s="13">
        <f t="shared" si="117"/>
        <v>0</v>
      </c>
      <c r="CW180" s="13">
        <f t="shared" si="118"/>
        <v>0.69314718055994529</v>
      </c>
      <c r="CX180" s="13">
        <f t="shared" si="119"/>
        <v>0</v>
      </c>
      <c r="CY180" s="13">
        <f t="shared" si="120"/>
        <v>0</v>
      </c>
      <c r="CZ180" s="13">
        <f t="shared" si="121"/>
        <v>0</v>
      </c>
      <c r="DA180" s="13">
        <f t="shared" si="122"/>
        <v>0</v>
      </c>
      <c r="DB180" s="13">
        <f t="shared" si="123"/>
        <v>0</v>
      </c>
      <c r="DC180" s="13">
        <f t="shared" si="124"/>
        <v>0</v>
      </c>
      <c r="DD180" s="13">
        <f t="shared" si="125"/>
        <v>0.69314718055994529</v>
      </c>
      <c r="DE180" s="13">
        <f t="shared" si="126"/>
        <v>0.69314718055994529</v>
      </c>
      <c r="DF180" s="13">
        <f t="shared" si="127"/>
        <v>0</v>
      </c>
      <c r="DG180" s="13">
        <f t="shared" si="128"/>
        <v>0</v>
      </c>
      <c r="DH180" s="13"/>
      <c r="DI180" s="13"/>
      <c r="DJ180" s="13"/>
      <c r="DL180"/>
      <c r="DM180"/>
      <c r="DN180"/>
      <c r="DO180"/>
      <c r="DP180" s="31"/>
    </row>
    <row r="181" spans="1:120">
      <c r="A181" t="s">
        <v>50</v>
      </c>
      <c r="B181" t="s">
        <v>183</v>
      </c>
      <c r="C181" t="s">
        <v>45</v>
      </c>
      <c r="D181" s="13" t="s">
        <v>320</v>
      </c>
      <c r="E181" s="13" t="s">
        <v>283</v>
      </c>
      <c r="F181" s="13">
        <v>0</v>
      </c>
      <c r="G181" s="13">
        <v>0</v>
      </c>
      <c r="H181" s="13">
        <v>0</v>
      </c>
      <c r="I181" s="13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>
        <v>0</v>
      </c>
      <c r="P181" s="32">
        <v>0</v>
      </c>
      <c r="Q181" s="13">
        <v>1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  <c r="AD181" s="32">
        <v>0</v>
      </c>
      <c r="AE181" s="32">
        <v>0</v>
      </c>
      <c r="AF181" s="32">
        <v>0</v>
      </c>
      <c r="AG181" s="32">
        <v>0</v>
      </c>
      <c r="AH181" s="32">
        <v>0</v>
      </c>
      <c r="AI181" s="32">
        <v>0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2">
        <v>0</v>
      </c>
      <c r="AX181" s="32">
        <v>0</v>
      </c>
      <c r="AY181" s="32">
        <v>0</v>
      </c>
      <c r="AZ181" s="32">
        <v>0</v>
      </c>
      <c r="BA181" s="32">
        <v>0</v>
      </c>
      <c r="BB181" s="32">
        <v>0</v>
      </c>
      <c r="BC181" s="32">
        <v>0</v>
      </c>
      <c r="BD181" s="32">
        <v>0</v>
      </c>
      <c r="BE181" s="32">
        <v>0</v>
      </c>
      <c r="BF181" s="32">
        <v>0</v>
      </c>
      <c r="BG181" s="32">
        <v>0</v>
      </c>
      <c r="BH181" s="32">
        <v>0</v>
      </c>
      <c r="BI181" s="13">
        <v>1</v>
      </c>
      <c r="BJ181" s="32">
        <v>0</v>
      </c>
      <c r="BK181" s="32">
        <v>0</v>
      </c>
      <c r="BL181" s="32">
        <v>0</v>
      </c>
      <c r="BM181" s="32">
        <v>0</v>
      </c>
      <c r="BN181" s="32">
        <v>0</v>
      </c>
      <c r="BO181">
        <f t="shared" si="132"/>
        <v>2</v>
      </c>
      <c r="BP181" s="13">
        <f t="shared" si="133"/>
        <v>2</v>
      </c>
      <c r="BQ181" s="13">
        <f>[1]!shannonweaver(K181:BL181)</f>
        <v>0.69314718055994529</v>
      </c>
      <c r="BR181">
        <f t="shared" si="129"/>
        <v>1</v>
      </c>
      <c r="BS181">
        <f t="shared" si="130"/>
        <v>0</v>
      </c>
      <c r="BT181">
        <f t="shared" si="131"/>
        <v>0</v>
      </c>
      <c r="BU181">
        <f t="shared" si="91"/>
        <v>1</v>
      </c>
      <c r="BV181" s="13">
        <f t="shared" si="92"/>
        <v>1</v>
      </c>
      <c r="BW181" s="13">
        <f t="shared" si="93"/>
        <v>0</v>
      </c>
      <c r="BX181" s="13">
        <f t="shared" si="94"/>
        <v>0</v>
      </c>
      <c r="BY181" s="13">
        <f t="shared" si="95"/>
        <v>0</v>
      </c>
      <c r="BZ181" s="13">
        <f t="shared" si="96"/>
        <v>0</v>
      </c>
      <c r="CA181" s="13">
        <f t="shared" si="97"/>
        <v>0</v>
      </c>
      <c r="CB181" s="13">
        <f t="shared" si="98"/>
        <v>0</v>
      </c>
      <c r="CC181" s="13">
        <f t="shared" si="99"/>
        <v>0</v>
      </c>
      <c r="CD181" s="13">
        <f t="shared" si="100"/>
        <v>1.4142135623730951</v>
      </c>
      <c r="CE181" s="13">
        <f t="shared" si="101"/>
        <v>1.4142135623730951</v>
      </c>
      <c r="CF181" s="13">
        <f t="shared" si="102"/>
        <v>0.83255461115769769</v>
      </c>
      <c r="CG181" s="13">
        <f t="shared" si="103"/>
        <v>1</v>
      </c>
      <c r="CH181" s="13">
        <f t="shared" si="104"/>
        <v>0</v>
      </c>
      <c r="CI181" s="13">
        <f t="shared" si="105"/>
        <v>0</v>
      </c>
      <c r="CJ181" s="13">
        <f t="shared" si="105"/>
        <v>1</v>
      </c>
      <c r="CK181" s="13">
        <f t="shared" si="106"/>
        <v>1</v>
      </c>
      <c r="CL181" s="13">
        <f t="shared" si="107"/>
        <v>0</v>
      </c>
      <c r="CM181" s="13">
        <f t="shared" si="108"/>
        <v>0</v>
      </c>
      <c r="CN181" s="13">
        <f t="shared" si="109"/>
        <v>0</v>
      </c>
      <c r="CO181" s="13">
        <f t="shared" si="110"/>
        <v>0</v>
      </c>
      <c r="CP181" s="13">
        <f t="shared" si="111"/>
        <v>0</v>
      </c>
      <c r="CQ181" s="13">
        <f t="shared" si="112"/>
        <v>0</v>
      </c>
      <c r="CR181" s="13">
        <f t="shared" si="113"/>
        <v>0</v>
      </c>
      <c r="CS181" s="13">
        <f t="shared" si="114"/>
        <v>1.0986122886681098</v>
      </c>
      <c r="CT181" s="13">
        <f t="shared" si="115"/>
        <v>1.0986122886681098</v>
      </c>
      <c r="CU181" s="13">
        <f t="shared" si="116"/>
        <v>0.52658903413904457</v>
      </c>
      <c r="CV181" s="13">
        <f t="shared" si="117"/>
        <v>0.69314718055994529</v>
      </c>
      <c r="CW181" s="13">
        <f t="shared" si="118"/>
        <v>0</v>
      </c>
      <c r="CX181" s="13">
        <f t="shared" si="119"/>
        <v>0</v>
      </c>
      <c r="CY181" s="13">
        <f t="shared" si="120"/>
        <v>0.69314718055994529</v>
      </c>
      <c r="CZ181" s="13">
        <f t="shared" si="121"/>
        <v>0.69314718055994529</v>
      </c>
      <c r="DA181" s="13">
        <f t="shared" si="122"/>
        <v>0</v>
      </c>
      <c r="DB181" s="13">
        <f t="shared" si="123"/>
        <v>0</v>
      </c>
      <c r="DC181" s="13">
        <f t="shared" si="124"/>
        <v>0</v>
      </c>
      <c r="DD181" s="13">
        <f t="shared" si="125"/>
        <v>0</v>
      </c>
      <c r="DE181" s="13">
        <f t="shared" si="126"/>
        <v>0</v>
      </c>
      <c r="DF181" s="13">
        <f t="shared" si="127"/>
        <v>0</v>
      </c>
      <c r="DG181" s="13">
        <f t="shared" si="128"/>
        <v>0</v>
      </c>
      <c r="DH181" s="13"/>
      <c r="DI181" s="13"/>
      <c r="DJ181" s="13"/>
      <c r="DL181"/>
      <c r="DM181"/>
      <c r="DN181"/>
      <c r="DO181"/>
      <c r="DP181" s="31"/>
    </row>
    <row r="182" spans="1:120">
      <c r="A182" t="s">
        <v>152</v>
      </c>
      <c r="B182" t="s">
        <v>183</v>
      </c>
      <c r="C182" t="s">
        <v>184</v>
      </c>
      <c r="D182" s="13" t="s">
        <v>319</v>
      </c>
      <c r="E182" s="13" t="s">
        <v>91</v>
      </c>
      <c r="F182" s="13">
        <v>0</v>
      </c>
      <c r="G182" s="13">
        <v>0</v>
      </c>
      <c r="H182" s="13">
        <v>0</v>
      </c>
      <c r="I182" s="13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 s="32">
        <v>0</v>
      </c>
      <c r="BD182" s="32">
        <v>0</v>
      </c>
      <c r="BE182" s="32">
        <v>0</v>
      </c>
      <c r="BF182" s="32">
        <v>0</v>
      </c>
      <c r="BG182" s="32">
        <v>0</v>
      </c>
      <c r="BH182" s="32">
        <v>0</v>
      </c>
      <c r="BI182" s="32">
        <v>0</v>
      </c>
      <c r="BJ182" s="32">
        <v>0</v>
      </c>
      <c r="BK182" s="32">
        <v>0</v>
      </c>
      <c r="BL182" s="32">
        <v>0</v>
      </c>
      <c r="BM182" s="32">
        <v>0</v>
      </c>
      <c r="BN182" s="32">
        <v>0</v>
      </c>
      <c r="BO182">
        <f t="shared" si="132"/>
        <v>0</v>
      </c>
      <c r="BP182" s="13">
        <f t="shared" si="133"/>
        <v>0</v>
      </c>
      <c r="BQ182" s="13">
        <v>0</v>
      </c>
      <c r="BR182">
        <f t="shared" si="129"/>
        <v>0</v>
      </c>
      <c r="BS182">
        <f t="shared" si="130"/>
        <v>0</v>
      </c>
      <c r="BT182">
        <f t="shared" si="131"/>
        <v>0</v>
      </c>
      <c r="BU182">
        <f t="shared" si="91"/>
        <v>0</v>
      </c>
      <c r="BV182" s="13">
        <f t="shared" si="92"/>
        <v>0</v>
      </c>
      <c r="BW182" s="13">
        <f t="shared" si="93"/>
        <v>0</v>
      </c>
      <c r="BX182" s="13">
        <f t="shared" si="94"/>
        <v>0</v>
      </c>
      <c r="BY182" s="13">
        <f t="shared" si="95"/>
        <v>0</v>
      </c>
      <c r="BZ182" s="13">
        <f t="shared" si="96"/>
        <v>0</v>
      </c>
      <c r="CA182" s="13">
        <f t="shared" si="97"/>
        <v>0</v>
      </c>
      <c r="CB182" s="13">
        <f t="shared" si="98"/>
        <v>0</v>
      </c>
      <c r="CC182" s="13">
        <f t="shared" si="99"/>
        <v>0</v>
      </c>
      <c r="CD182" s="13">
        <f t="shared" si="100"/>
        <v>0</v>
      </c>
      <c r="CE182" s="13">
        <f t="shared" si="101"/>
        <v>0</v>
      </c>
      <c r="CF182" s="13">
        <f t="shared" si="102"/>
        <v>0</v>
      </c>
      <c r="CG182" s="13">
        <f t="shared" si="103"/>
        <v>0</v>
      </c>
      <c r="CH182" s="13">
        <f t="shared" si="104"/>
        <v>0</v>
      </c>
      <c r="CI182" s="13">
        <f t="shared" si="105"/>
        <v>0</v>
      </c>
      <c r="CJ182" s="13">
        <f t="shared" si="105"/>
        <v>0</v>
      </c>
      <c r="CK182" s="13">
        <f t="shared" si="106"/>
        <v>0</v>
      </c>
      <c r="CL182" s="13">
        <f t="shared" si="107"/>
        <v>0</v>
      </c>
      <c r="CM182" s="13">
        <f t="shared" si="108"/>
        <v>0</v>
      </c>
      <c r="CN182" s="13">
        <f t="shared" si="109"/>
        <v>0</v>
      </c>
      <c r="CO182" s="13">
        <f t="shared" si="110"/>
        <v>0</v>
      </c>
      <c r="CP182" s="13">
        <f t="shared" si="111"/>
        <v>0</v>
      </c>
      <c r="CQ182" s="13">
        <f t="shared" si="112"/>
        <v>0</v>
      </c>
      <c r="CR182" s="13">
        <f t="shared" si="113"/>
        <v>0</v>
      </c>
      <c r="CS182" s="13">
        <f t="shared" si="114"/>
        <v>0</v>
      </c>
      <c r="CT182" s="13">
        <f t="shared" si="115"/>
        <v>0</v>
      </c>
      <c r="CU182" s="13">
        <f t="shared" si="116"/>
        <v>0</v>
      </c>
      <c r="CV182" s="13">
        <f t="shared" si="117"/>
        <v>0</v>
      </c>
      <c r="CW182" s="13">
        <f t="shared" si="118"/>
        <v>0</v>
      </c>
      <c r="CX182" s="13">
        <f t="shared" si="119"/>
        <v>0</v>
      </c>
      <c r="CY182" s="13">
        <f t="shared" si="120"/>
        <v>0</v>
      </c>
      <c r="CZ182" s="13">
        <f t="shared" si="121"/>
        <v>0</v>
      </c>
      <c r="DA182" s="13">
        <f t="shared" si="122"/>
        <v>0</v>
      </c>
      <c r="DB182" s="13">
        <f t="shared" si="123"/>
        <v>0</v>
      </c>
      <c r="DC182" s="13">
        <f t="shared" si="124"/>
        <v>0</v>
      </c>
      <c r="DD182" s="13">
        <f t="shared" si="125"/>
        <v>0</v>
      </c>
      <c r="DE182" s="13">
        <f t="shared" si="126"/>
        <v>0</v>
      </c>
      <c r="DF182" s="13">
        <f t="shared" si="127"/>
        <v>0</v>
      </c>
      <c r="DG182" s="13">
        <f t="shared" si="128"/>
        <v>0</v>
      </c>
      <c r="DH182" s="13"/>
      <c r="DI182" s="13"/>
      <c r="DJ182" s="13"/>
      <c r="DL182"/>
      <c r="DM182"/>
      <c r="DN182"/>
      <c r="DO182"/>
      <c r="DP182" s="31"/>
    </row>
    <row r="183" spans="1:120">
      <c r="A183" t="s">
        <v>153</v>
      </c>
      <c r="B183" t="s">
        <v>183</v>
      </c>
      <c r="C183" t="s">
        <v>184</v>
      </c>
      <c r="D183" s="13" t="s">
        <v>319</v>
      </c>
      <c r="E183" s="13" t="s">
        <v>91</v>
      </c>
      <c r="F183" s="13">
        <v>0</v>
      </c>
      <c r="G183" s="13">
        <v>0</v>
      </c>
      <c r="H183" s="13">
        <v>0</v>
      </c>
      <c r="I183" s="13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  <c r="X183" s="32">
        <v>0</v>
      </c>
      <c r="Y183" s="32">
        <v>0</v>
      </c>
      <c r="Z183" s="32">
        <v>0</v>
      </c>
      <c r="AA183" s="32">
        <v>0</v>
      </c>
      <c r="AB183" s="32">
        <v>0</v>
      </c>
      <c r="AC183" s="32">
        <v>0</v>
      </c>
      <c r="AD183" s="13">
        <v>1</v>
      </c>
      <c r="AE183" s="13">
        <v>1</v>
      </c>
      <c r="AF183" s="32">
        <v>0</v>
      </c>
      <c r="AG183" s="32">
        <v>0</v>
      </c>
      <c r="AH183" s="32">
        <v>0</v>
      </c>
      <c r="AI183" s="32">
        <v>0</v>
      </c>
      <c r="AJ183" s="32">
        <v>0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2">
        <v>0</v>
      </c>
      <c r="AX183" s="32">
        <v>0</v>
      </c>
      <c r="AY183" s="32">
        <v>0</v>
      </c>
      <c r="AZ183" s="32">
        <v>0</v>
      </c>
      <c r="BA183" s="32">
        <v>0</v>
      </c>
      <c r="BB183" s="32">
        <v>0</v>
      </c>
      <c r="BC183" s="32">
        <v>0</v>
      </c>
      <c r="BD183" s="32">
        <v>0</v>
      </c>
      <c r="BE183" s="32">
        <v>0</v>
      </c>
      <c r="BF183" s="32">
        <v>0</v>
      </c>
      <c r="BG183" s="32">
        <v>0</v>
      </c>
      <c r="BH183" s="32">
        <v>0</v>
      </c>
      <c r="BI183" s="32">
        <v>0</v>
      </c>
      <c r="BJ183" s="32">
        <v>0</v>
      </c>
      <c r="BK183" s="32">
        <v>0</v>
      </c>
      <c r="BL183" s="32">
        <v>0</v>
      </c>
      <c r="BM183" s="32">
        <v>0</v>
      </c>
      <c r="BN183" s="32">
        <v>0</v>
      </c>
      <c r="BO183">
        <f t="shared" si="132"/>
        <v>2</v>
      </c>
      <c r="BP183" s="13">
        <f t="shared" si="133"/>
        <v>2</v>
      </c>
      <c r="BQ183" s="13">
        <f>[1]!shannonweaver(K183:BL183)</f>
        <v>0.69314718055994529</v>
      </c>
      <c r="BR183">
        <f t="shared" si="129"/>
        <v>0</v>
      </c>
      <c r="BS183">
        <f t="shared" si="130"/>
        <v>2</v>
      </c>
      <c r="BT183">
        <f t="shared" si="131"/>
        <v>0</v>
      </c>
      <c r="BU183">
        <f t="shared" si="91"/>
        <v>0</v>
      </c>
      <c r="BV183" s="13">
        <f t="shared" si="92"/>
        <v>0</v>
      </c>
      <c r="BW183" s="13">
        <f t="shared" si="93"/>
        <v>1</v>
      </c>
      <c r="BX183" s="13">
        <f t="shared" si="94"/>
        <v>1</v>
      </c>
      <c r="BY183" s="13">
        <f t="shared" si="95"/>
        <v>2</v>
      </c>
      <c r="BZ183" s="13">
        <f t="shared" si="96"/>
        <v>0</v>
      </c>
      <c r="CA183" s="13">
        <f t="shared" si="97"/>
        <v>2</v>
      </c>
      <c r="CB183" s="13">
        <f t="shared" si="98"/>
        <v>0</v>
      </c>
      <c r="CC183" s="13">
        <f t="shared" si="99"/>
        <v>0</v>
      </c>
      <c r="CD183" s="13">
        <f t="shared" si="100"/>
        <v>1.4142135623730951</v>
      </c>
      <c r="CE183" s="13">
        <f t="shared" si="101"/>
        <v>1.4142135623730951</v>
      </c>
      <c r="CF183" s="13">
        <f t="shared" si="102"/>
        <v>0.83255461115769769</v>
      </c>
      <c r="CG183" s="13">
        <f t="shared" si="103"/>
        <v>0</v>
      </c>
      <c r="CH183" s="13">
        <f t="shared" si="104"/>
        <v>1.4142135623730951</v>
      </c>
      <c r="CI183" s="13">
        <f t="shared" si="105"/>
        <v>0</v>
      </c>
      <c r="CJ183" s="13">
        <f t="shared" si="105"/>
        <v>0</v>
      </c>
      <c r="CK183" s="13">
        <f t="shared" si="106"/>
        <v>0</v>
      </c>
      <c r="CL183" s="13">
        <f t="shared" si="107"/>
        <v>1</v>
      </c>
      <c r="CM183" s="13">
        <f t="shared" si="108"/>
        <v>1</v>
      </c>
      <c r="CN183" s="13">
        <f t="shared" si="109"/>
        <v>1.4142135623730951</v>
      </c>
      <c r="CO183" s="13">
        <f t="shared" si="110"/>
        <v>0</v>
      </c>
      <c r="CP183" s="13">
        <f t="shared" si="111"/>
        <v>1.4142135623730951</v>
      </c>
      <c r="CQ183" s="13">
        <f t="shared" si="112"/>
        <v>0</v>
      </c>
      <c r="CR183" s="13">
        <f t="shared" si="113"/>
        <v>0</v>
      </c>
      <c r="CS183" s="13">
        <f t="shared" si="114"/>
        <v>1.0986122886681098</v>
      </c>
      <c r="CT183" s="13">
        <f t="shared" si="115"/>
        <v>1.0986122886681098</v>
      </c>
      <c r="CU183" s="13">
        <f t="shared" si="116"/>
        <v>0.52658903413904457</v>
      </c>
      <c r="CV183" s="13">
        <f t="shared" si="117"/>
        <v>0</v>
      </c>
      <c r="CW183" s="13">
        <f t="shared" si="118"/>
        <v>1.0986122886681098</v>
      </c>
      <c r="CX183" s="13">
        <f t="shared" si="119"/>
        <v>0</v>
      </c>
      <c r="CY183" s="13">
        <f t="shared" si="120"/>
        <v>0</v>
      </c>
      <c r="CZ183" s="13">
        <f t="shared" si="121"/>
        <v>0</v>
      </c>
      <c r="DA183" s="13">
        <f t="shared" si="122"/>
        <v>0.69314718055994529</v>
      </c>
      <c r="DB183" s="13">
        <f t="shared" si="123"/>
        <v>0.69314718055994529</v>
      </c>
      <c r="DC183" s="13">
        <f t="shared" si="124"/>
        <v>1.0986122886681098</v>
      </c>
      <c r="DD183" s="13">
        <f t="shared" si="125"/>
        <v>0</v>
      </c>
      <c r="DE183" s="13">
        <f t="shared" si="126"/>
        <v>1.0986122886681098</v>
      </c>
      <c r="DF183" s="13">
        <f t="shared" si="127"/>
        <v>0</v>
      </c>
      <c r="DG183" s="13">
        <f t="shared" si="128"/>
        <v>0</v>
      </c>
      <c r="DH183" s="13"/>
      <c r="DI183" s="13"/>
      <c r="DJ183" s="13"/>
      <c r="DL183"/>
      <c r="DM183"/>
      <c r="DN183"/>
      <c r="DO183"/>
      <c r="DP183" s="31"/>
    </row>
    <row r="184" spans="1:120">
      <c r="A184" t="s">
        <v>154</v>
      </c>
      <c r="B184" t="s">
        <v>183</v>
      </c>
      <c r="C184" t="s">
        <v>184</v>
      </c>
      <c r="D184" s="13" t="s">
        <v>319</v>
      </c>
      <c r="E184" s="13" t="s">
        <v>91</v>
      </c>
      <c r="F184" s="13">
        <v>0</v>
      </c>
      <c r="G184" s="13">
        <v>0</v>
      </c>
      <c r="H184" s="13">
        <v>0</v>
      </c>
      <c r="I184" s="13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32">
        <v>0</v>
      </c>
      <c r="T184" s="32">
        <v>0</v>
      </c>
      <c r="U184" s="32">
        <v>0</v>
      </c>
      <c r="V184" s="13">
        <v>1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32">
        <v>0</v>
      </c>
      <c r="AC184" s="32">
        <v>0</v>
      </c>
      <c r="AD184" s="32">
        <v>0</v>
      </c>
      <c r="AE184" s="13">
        <v>1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 s="32">
        <v>0</v>
      </c>
      <c r="BD184" s="32">
        <v>0</v>
      </c>
      <c r="BE184" s="32">
        <v>0</v>
      </c>
      <c r="BF184" s="32">
        <v>0</v>
      </c>
      <c r="BG184" s="32">
        <v>0</v>
      </c>
      <c r="BH184" s="32">
        <v>0</v>
      </c>
      <c r="BI184" s="13">
        <v>1</v>
      </c>
      <c r="BJ184" s="32">
        <v>0</v>
      </c>
      <c r="BK184" s="32">
        <v>0</v>
      </c>
      <c r="BL184" s="32">
        <v>0</v>
      </c>
      <c r="BM184" s="32">
        <v>0</v>
      </c>
      <c r="BN184" s="32">
        <v>0</v>
      </c>
      <c r="BO184">
        <f t="shared" si="132"/>
        <v>3</v>
      </c>
      <c r="BP184" s="13">
        <f t="shared" si="133"/>
        <v>3</v>
      </c>
      <c r="BQ184" s="13">
        <f>[1]!shannonweaver(K184:BL184)</f>
        <v>1.0986122886681096</v>
      </c>
      <c r="BR184">
        <f t="shared" si="129"/>
        <v>1</v>
      </c>
      <c r="BS184">
        <f t="shared" si="130"/>
        <v>1</v>
      </c>
      <c r="BT184">
        <f t="shared" si="131"/>
        <v>0</v>
      </c>
      <c r="BU184">
        <f t="shared" si="91"/>
        <v>0</v>
      </c>
      <c r="BV184" s="13">
        <f t="shared" si="92"/>
        <v>1</v>
      </c>
      <c r="BW184" s="13">
        <f t="shared" si="93"/>
        <v>0</v>
      </c>
      <c r="BX184" s="13">
        <f t="shared" si="94"/>
        <v>1</v>
      </c>
      <c r="BY184" s="13">
        <f t="shared" si="95"/>
        <v>1</v>
      </c>
      <c r="BZ184" s="13">
        <f t="shared" si="96"/>
        <v>0</v>
      </c>
      <c r="CA184" s="13">
        <f t="shared" si="97"/>
        <v>1</v>
      </c>
      <c r="CB184" s="13">
        <f t="shared" si="98"/>
        <v>0</v>
      </c>
      <c r="CC184" s="13">
        <f t="shared" si="99"/>
        <v>0</v>
      </c>
      <c r="CD184" s="13">
        <f t="shared" si="100"/>
        <v>1.7320508075688772</v>
      </c>
      <c r="CE184" s="13">
        <f t="shared" si="101"/>
        <v>1.7320508075688772</v>
      </c>
      <c r="CF184" s="13">
        <f t="shared" si="102"/>
        <v>1.0481470739682048</v>
      </c>
      <c r="CG184" s="13">
        <f t="shared" si="103"/>
        <v>1</v>
      </c>
      <c r="CH184" s="13">
        <f t="shared" si="104"/>
        <v>1</v>
      </c>
      <c r="CI184" s="13">
        <f t="shared" si="105"/>
        <v>0</v>
      </c>
      <c r="CJ184" s="13">
        <f t="shared" si="105"/>
        <v>0</v>
      </c>
      <c r="CK184" s="13">
        <f t="shared" si="106"/>
        <v>1</v>
      </c>
      <c r="CL184" s="13">
        <f t="shared" si="107"/>
        <v>0</v>
      </c>
      <c r="CM184" s="13">
        <f t="shared" si="108"/>
        <v>1</v>
      </c>
      <c r="CN184" s="13">
        <f t="shared" si="109"/>
        <v>1</v>
      </c>
      <c r="CO184" s="13">
        <f t="shared" si="110"/>
        <v>0</v>
      </c>
      <c r="CP184" s="13">
        <f t="shared" si="111"/>
        <v>1</v>
      </c>
      <c r="CQ184" s="13">
        <f t="shared" si="112"/>
        <v>0</v>
      </c>
      <c r="CR184" s="13">
        <f t="shared" si="113"/>
        <v>0</v>
      </c>
      <c r="CS184" s="13">
        <f t="shared" si="114"/>
        <v>1.3862943611198906</v>
      </c>
      <c r="CT184" s="13">
        <f t="shared" si="115"/>
        <v>1.3862943611198906</v>
      </c>
      <c r="CU184" s="13">
        <f t="shared" si="116"/>
        <v>0.74127631137501515</v>
      </c>
      <c r="CV184" s="13">
        <f t="shared" si="117"/>
        <v>0.69314718055994529</v>
      </c>
      <c r="CW184" s="13">
        <f t="shared" si="118"/>
        <v>0.69314718055994529</v>
      </c>
      <c r="CX184" s="13">
        <f t="shared" si="119"/>
        <v>0</v>
      </c>
      <c r="CY184" s="13">
        <f t="shared" si="120"/>
        <v>0</v>
      </c>
      <c r="CZ184" s="13">
        <f t="shared" si="121"/>
        <v>0.69314718055994529</v>
      </c>
      <c r="DA184" s="13">
        <f t="shared" si="122"/>
        <v>0</v>
      </c>
      <c r="DB184" s="13">
        <f t="shared" si="123"/>
        <v>0.69314718055994529</v>
      </c>
      <c r="DC184" s="13">
        <f t="shared" si="124"/>
        <v>0.69314718055994529</v>
      </c>
      <c r="DD184" s="13">
        <f t="shared" si="125"/>
        <v>0</v>
      </c>
      <c r="DE184" s="13">
        <f t="shared" si="126"/>
        <v>0.69314718055994529</v>
      </c>
      <c r="DF184" s="13">
        <f t="shared" si="127"/>
        <v>0</v>
      </c>
      <c r="DG184" s="13">
        <f t="shared" si="128"/>
        <v>0</v>
      </c>
      <c r="DH184" s="13"/>
      <c r="DI184" s="13"/>
      <c r="DJ184" s="13"/>
      <c r="DL184"/>
      <c r="DM184"/>
      <c r="DN184"/>
      <c r="DO184"/>
      <c r="DP184" s="31"/>
    </row>
    <row r="185" spans="1:120">
      <c r="A185" t="s">
        <v>155</v>
      </c>
      <c r="B185" t="s">
        <v>183</v>
      </c>
      <c r="C185" t="s">
        <v>184</v>
      </c>
      <c r="D185" s="13" t="s">
        <v>319</v>
      </c>
      <c r="E185" s="13" t="s">
        <v>91</v>
      </c>
      <c r="F185" s="13">
        <v>0</v>
      </c>
      <c r="G185" s="13">
        <v>0</v>
      </c>
      <c r="H185" s="13">
        <v>0</v>
      </c>
      <c r="I185" s="13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0</v>
      </c>
      <c r="AD185" s="32">
        <v>0</v>
      </c>
      <c r="AE185" s="32">
        <v>0</v>
      </c>
      <c r="AF185" s="32">
        <v>0</v>
      </c>
      <c r="AG185" s="32">
        <v>0</v>
      </c>
      <c r="AH185" s="32">
        <v>0</v>
      </c>
      <c r="AI185" s="32">
        <v>0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2">
        <v>0</v>
      </c>
      <c r="AX185" s="32">
        <v>0</v>
      </c>
      <c r="AY185" s="32">
        <v>0</v>
      </c>
      <c r="AZ185" s="32">
        <v>0</v>
      </c>
      <c r="BA185" s="32">
        <v>0</v>
      </c>
      <c r="BB185" s="32">
        <v>0</v>
      </c>
      <c r="BC185" s="32">
        <v>0</v>
      </c>
      <c r="BD185" s="32">
        <v>0</v>
      </c>
      <c r="BE185" s="32">
        <v>0</v>
      </c>
      <c r="BF185" s="32">
        <v>0</v>
      </c>
      <c r="BG185" s="32">
        <v>0</v>
      </c>
      <c r="BH185" s="32">
        <v>0</v>
      </c>
      <c r="BI185" s="13">
        <v>1</v>
      </c>
      <c r="BJ185" s="32">
        <v>0</v>
      </c>
      <c r="BK185" s="32">
        <v>0</v>
      </c>
      <c r="BL185" s="32">
        <v>0</v>
      </c>
      <c r="BM185" s="32">
        <v>0</v>
      </c>
      <c r="BN185" s="32">
        <v>0</v>
      </c>
      <c r="BO185">
        <f t="shared" si="132"/>
        <v>1</v>
      </c>
      <c r="BP185" s="13">
        <f t="shared" si="133"/>
        <v>1</v>
      </c>
      <c r="BQ185" s="13">
        <f>[1]!shannonweaver(K185:BL185)</f>
        <v>0</v>
      </c>
      <c r="BR185">
        <f t="shared" si="129"/>
        <v>0</v>
      </c>
      <c r="BS185">
        <f t="shared" si="130"/>
        <v>0</v>
      </c>
      <c r="BT185">
        <f t="shared" si="131"/>
        <v>0</v>
      </c>
      <c r="BU185">
        <f t="shared" si="91"/>
        <v>0</v>
      </c>
      <c r="BV185" s="13">
        <f t="shared" si="92"/>
        <v>0</v>
      </c>
      <c r="BW185" s="13">
        <f t="shared" si="93"/>
        <v>0</v>
      </c>
      <c r="BX185" s="13">
        <f t="shared" si="94"/>
        <v>0</v>
      </c>
      <c r="BY185" s="13">
        <f t="shared" si="95"/>
        <v>0</v>
      </c>
      <c r="BZ185" s="13">
        <f t="shared" si="96"/>
        <v>0</v>
      </c>
      <c r="CA185" s="13">
        <f t="shared" si="97"/>
        <v>0</v>
      </c>
      <c r="CB185" s="13">
        <f t="shared" si="98"/>
        <v>0</v>
      </c>
      <c r="CC185" s="13">
        <f t="shared" si="99"/>
        <v>0</v>
      </c>
      <c r="CD185" s="13">
        <f t="shared" si="100"/>
        <v>1</v>
      </c>
      <c r="CE185" s="13">
        <f t="shared" si="101"/>
        <v>1</v>
      </c>
      <c r="CF185" s="13">
        <f t="shared" si="102"/>
        <v>0</v>
      </c>
      <c r="CG185" s="13">
        <f t="shared" si="103"/>
        <v>0</v>
      </c>
      <c r="CH185" s="13">
        <f t="shared" si="104"/>
        <v>0</v>
      </c>
      <c r="CI185" s="13">
        <f t="shared" si="105"/>
        <v>0</v>
      </c>
      <c r="CJ185" s="13">
        <f t="shared" si="105"/>
        <v>0</v>
      </c>
      <c r="CK185" s="13">
        <f t="shared" si="106"/>
        <v>0</v>
      </c>
      <c r="CL185" s="13">
        <f t="shared" si="107"/>
        <v>0</v>
      </c>
      <c r="CM185" s="13">
        <f t="shared" si="108"/>
        <v>0</v>
      </c>
      <c r="CN185" s="13">
        <f t="shared" si="109"/>
        <v>0</v>
      </c>
      <c r="CO185" s="13">
        <f t="shared" si="110"/>
        <v>0</v>
      </c>
      <c r="CP185" s="13">
        <f t="shared" si="111"/>
        <v>0</v>
      </c>
      <c r="CQ185" s="13">
        <f t="shared" si="112"/>
        <v>0</v>
      </c>
      <c r="CR185" s="13">
        <f t="shared" si="113"/>
        <v>0</v>
      </c>
      <c r="CS185" s="13">
        <f t="shared" si="114"/>
        <v>0.69314718055994529</v>
      </c>
      <c r="CT185" s="13">
        <f t="shared" si="115"/>
        <v>0.69314718055994529</v>
      </c>
      <c r="CU185" s="13">
        <f t="shared" si="116"/>
        <v>0</v>
      </c>
      <c r="CV185" s="13">
        <f t="shared" si="117"/>
        <v>0</v>
      </c>
      <c r="CW185" s="13">
        <f t="shared" si="118"/>
        <v>0</v>
      </c>
      <c r="CX185" s="13">
        <f t="shared" si="119"/>
        <v>0</v>
      </c>
      <c r="CY185" s="13">
        <f t="shared" si="120"/>
        <v>0</v>
      </c>
      <c r="CZ185" s="13">
        <f t="shared" si="121"/>
        <v>0</v>
      </c>
      <c r="DA185" s="13">
        <f t="shared" si="122"/>
        <v>0</v>
      </c>
      <c r="DB185" s="13">
        <f t="shared" si="123"/>
        <v>0</v>
      </c>
      <c r="DC185" s="13">
        <f t="shared" si="124"/>
        <v>0</v>
      </c>
      <c r="DD185" s="13">
        <f t="shared" si="125"/>
        <v>0</v>
      </c>
      <c r="DE185" s="13">
        <f t="shared" si="126"/>
        <v>0</v>
      </c>
      <c r="DF185" s="13">
        <f t="shared" si="127"/>
        <v>0</v>
      </c>
      <c r="DG185" s="13">
        <f t="shared" si="128"/>
        <v>0</v>
      </c>
      <c r="DH185" s="13"/>
      <c r="DI185" s="13"/>
      <c r="DJ185" s="13"/>
      <c r="DL185"/>
      <c r="DM185"/>
      <c r="DN185"/>
      <c r="DO185"/>
      <c r="DP185" s="31"/>
    </row>
    <row r="186" spans="1:120">
      <c r="A186" t="s">
        <v>156</v>
      </c>
      <c r="B186" t="s">
        <v>183</v>
      </c>
      <c r="C186" t="s">
        <v>184</v>
      </c>
      <c r="D186" s="13" t="s">
        <v>319</v>
      </c>
      <c r="E186" s="13" t="s">
        <v>91</v>
      </c>
      <c r="F186" s="13">
        <v>0</v>
      </c>
      <c r="G186" s="13">
        <v>0</v>
      </c>
      <c r="H186" s="13">
        <v>0</v>
      </c>
      <c r="I186" s="13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32">
        <v>0</v>
      </c>
      <c r="T186" s="32">
        <v>0</v>
      </c>
      <c r="U186" s="32">
        <v>0</v>
      </c>
      <c r="V186" s="13">
        <v>1</v>
      </c>
      <c r="W186" s="32">
        <v>0</v>
      </c>
      <c r="X186" s="32">
        <v>0</v>
      </c>
      <c r="Y186" s="32">
        <v>0</v>
      </c>
      <c r="Z186" s="32">
        <v>0</v>
      </c>
      <c r="AA186" s="32">
        <v>0</v>
      </c>
      <c r="AB186" s="13">
        <v>2</v>
      </c>
      <c r="AC186" s="32">
        <v>0</v>
      </c>
      <c r="AD186" s="13">
        <v>1</v>
      </c>
      <c r="AE186" s="32">
        <v>0</v>
      </c>
      <c r="AF186" s="32">
        <v>0</v>
      </c>
      <c r="AG186" s="32">
        <v>0</v>
      </c>
      <c r="AH186" s="32">
        <v>0</v>
      </c>
      <c r="AI186" s="32">
        <v>0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v>0</v>
      </c>
      <c r="AY186" s="32">
        <v>0</v>
      </c>
      <c r="AZ186" s="32">
        <v>0</v>
      </c>
      <c r="BA186" s="32">
        <v>0</v>
      </c>
      <c r="BB186" s="32">
        <v>0</v>
      </c>
      <c r="BC186" s="32">
        <v>0</v>
      </c>
      <c r="BD186" s="32">
        <v>0</v>
      </c>
      <c r="BE186" s="32">
        <v>0</v>
      </c>
      <c r="BF186" s="32">
        <v>0</v>
      </c>
      <c r="BG186" s="32">
        <v>0</v>
      </c>
      <c r="BH186" s="32">
        <v>0</v>
      </c>
      <c r="BI186" s="32">
        <v>0</v>
      </c>
      <c r="BJ186" s="13">
        <v>1</v>
      </c>
      <c r="BK186" s="32">
        <v>0</v>
      </c>
      <c r="BL186" s="32">
        <v>0</v>
      </c>
      <c r="BM186" s="32">
        <v>0</v>
      </c>
      <c r="BN186" s="32">
        <v>0</v>
      </c>
      <c r="BO186">
        <f t="shared" si="132"/>
        <v>4</v>
      </c>
      <c r="BP186" s="13">
        <f t="shared" si="133"/>
        <v>5</v>
      </c>
      <c r="BQ186" s="13">
        <f>[1]!shannonweaver(K186:BL186)</f>
        <v>1.3321790402101223</v>
      </c>
      <c r="BR186">
        <f t="shared" si="129"/>
        <v>1</v>
      </c>
      <c r="BS186">
        <f t="shared" si="130"/>
        <v>2</v>
      </c>
      <c r="BT186">
        <f t="shared" si="131"/>
        <v>0</v>
      </c>
      <c r="BU186">
        <f t="shared" si="91"/>
        <v>0</v>
      </c>
      <c r="BV186" s="13">
        <f t="shared" si="92"/>
        <v>1</v>
      </c>
      <c r="BW186" s="13">
        <f t="shared" si="93"/>
        <v>3</v>
      </c>
      <c r="BX186" s="13">
        <f t="shared" si="94"/>
        <v>0</v>
      </c>
      <c r="BY186" s="13">
        <f t="shared" si="95"/>
        <v>3</v>
      </c>
      <c r="BZ186" s="13">
        <f t="shared" si="96"/>
        <v>0</v>
      </c>
      <c r="CA186" s="13">
        <f t="shared" si="97"/>
        <v>3</v>
      </c>
      <c r="CB186" s="13">
        <f t="shared" si="98"/>
        <v>0</v>
      </c>
      <c r="CC186" s="13">
        <f t="shared" si="99"/>
        <v>0</v>
      </c>
      <c r="CD186" s="13">
        <f t="shared" si="100"/>
        <v>2</v>
      </c>
      <c r="CE186" s="13">
        <f t="shared" si="101"/>
        <v>2.2360679774997898</v>
      </c>
      <c r="CF186" s="13">
        <f t="shared" si="102"/>
        <v>1.1542006065715449</v>
      </c>
      <c r="CG186" s="13">
        <f t="shared" si="103"/>
        <v>1</v>
      </c>
      <c r="CH186" s="13">
        <f t="shared" si="104"/>
        <v>1.4142135623730951</v>
      </c>
      <c r="CI186" s="13">
        <f t="shared" si="105"/>
        <v>0</v>
      </c>
      <c r="CJ186" s="13">
        <f t="shared" si="105"/>
        <v>0</v>
      </c>
      <c r="CK186" s="13">
        <f t="shared" si="106"/>
        <v>1</v>
      </c>
      <c r="CL186" s="13">
        <f t="shared" si="107"/>
        <v>1.7320508075688772</v>
      </c>
      <c r="CM186" s="13">
        <f t="shared" si="108"/>
        <v>0</v>
      </c>
      <c r="CN186" s="13">
        <f t="shared" si="109"/>
        <v>1.7320508075688772</v>
      </c>
      <c r="CO186" s="13">
        <f t="shared" si="110"/>
        <v>0</v>
      </c>
      <c r="CP186" s="13">
        <f t="shared" si="111"/>
        <v>1.7320508075688772</v>
      </c>
      <c r="CQ186" s="13">
        <f t="shared" si="112"/>
        <v>0</v>
      </c>
      <c r="CR186" s="13">
        <f t="shared" si="113"/>
        <v>0</v>
      </c>
      <c r="CS186" s="13">
        <f t="shared" si="114"/>
        <v>1.6094379124341003</v>
      </c>
      <c r="CT186" s="13">
        <f t="shared" si="115"/>
        <v>1.791759469228055</v>
      </c>
      <c r="CU186" s="13">
        <f t="shared" si="116"/>
        <v>0.84680304093144199</v>
      </c>
      <c r="CV186" s="13">
        <f t="shared" si="117"/>
        <v>0.69314718055994529</v>
      </c>
      <c r="CW186" s="13">
        <f t="shared" si="118"/>
        <v>1.0986122886681098</v>
      </c>
      <c r="CX186" s="13">
        <f t="shared" si="119"/>
        <v>0</v>
      </c>
      <c r="CY186" s="13">
        <f t="shared" si="120"/>
        <v>0</v>
      </c>
      <c r="CZ186" s="13">
        <f t="shared" si="121"/>
        <v>0.69314718055994529</v>
      </c>
      <c r="DA186" s="13">
        <f t="shared" si="122"/>
        <v>1.3862943611198906</v>
      </c>
      <c r="DB186" s="13">
        <f t="shared" si="123"/>
        <v>0</v>
      </c>
      <c r="DC186" s="13">
        <f t="shared" si="124"/>
        <v>1.3862943611198906</v>
      </c>
      <c r="DD186" s="13">
        <f t="shared" si="125"/>
        <v>0</v>
      </c>
      <c r="DE186" s="13">
        <f t="shared" si="126"/>
        <v>1.3862943611198906</v>
      </c>
      <c r="DF186" s="13">
        <f t="shared" si="127"/>
        <v>0</v>
      </c>
      <c r="DG186" s="13">
        <f t="shared" si="128"/>
        <v>0</v>
      </c>
      <c r="DH186" s="13"/>
      <c r="DI186" s="13"/>
      <c r="DJ186" s="13"/>
      <c r="DL186"/>
      <c r="DM186"/>
      <c r="DN186"/>
      <c r="DO186"/>
      <c r="DP186" s="31"/>
    </row>
    <row r="187" spans="1:120">
      <c r="A187" t="s">
        <v>157</v>
      </c>
      <c r="B187" t="s">
        <v>183</v>
      </c>
      <c r="C187" t="s">
        <v>184</v>
      </c>
      <c r="D187" s="13" t="s">
        <v>319</v>
      </c>
      <c r="E187" s="13" t="s">
        <v>91</v>
      </c>
      <c r="F187" s="13">
        <v>0</v>
      </c>
      <c r="G187" s="13">
        <v>0</v>
      </c>
      <c r="H187" s="13">
        <v>0</v>
      </c>
      <c r="I187" s="13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32">
        <v>0</v>
      </c>
      <c r="T187" s="32">
        <v>0</v>
      </c>
      <c r="U187" s="32">
        <v>0</v>
      </c>
      <c r="V187" s="13">
        <v>1</v>
      </c>
      <c r="W187" s="32">
        <v>0</v>
      </c>
      <c r="X187" s="32">
        <v>0</v>
      </c>
      <c r="Y187" s="32">
        <v>0</v>
      </c>
      <c r="Z187" s="32">
        <v>0</v>
      </c>
      <c r="AA187" s="32">
        <v>0</v>
      </c>
      <c r="AB187" s="13">
        <v>1</v>
      </c>
      <c r="AC187" s="32">
        <v>0</v>
      </c>
      <c r="AD187" s="32">
        <v>0</v>
      </c>
      <c r="AE187" s="32">
        <v>0</v>
      </c>
      <c r="AF187" s="32">
        <v>0</v>
      </c>
      <c r="AG187" s="32">
        <v>0</v>
      </c>
      <c r="AH187" s="32">
        <v>0</v>
      </c>
      <c r="AI187" s="32">
        <v>0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32">
        <v>0</v>
      </c>
      <c r="AW187" s="32">
        <v>0</v>
      </c>
      <c r="AX187" s="32">
        <v>0</v>
      </c>
      <c r="AY187" s="32">
        <v>0</v>
      </c>
      <c r="AZ187" s="32">
        <v>0</v>
      </c>
      <c r="BA187" s="32">
        <v>0</v>
      </c>
      <c r="BB187" s="32">
        <v>0</v>
      </c>
      <c r="BC187" s="13">
        <v>2</v>
      </c>
      <c r="BD187" s="32">
        <v>0</v>
      </c>
      <c r="BE187" s="32">
        <v>0</v>
      </c>
      <c r="BF187" s="32">
        <v>0</v>
      </c>
      <c r="BG187" s="32">
        <v>0</v>
      </c>
      <c r="BH187" s="32">
        <v>0</v>
      </c>
      <c r="BI187" s="13">
        <v>2</v>
      </c>
      <c r="BJ187" s="13">
        <v>0</v>
      </c>
      <c r="BK187" s="13">
        <v>1</v>
      </c>
      <c r="BL187" s="32">
        <v>0</v>
      </c>
      <c r="BM187" s="32">
        <v>0</v>
      </c>
      <c r="BN187" s="32">
        <v>0</v>
      </c>
      <c r="BO187">
        <f t="shared" si="132"/>
        <v>5</v>
      </c>
      <c r="BP187" s="13">
        <f t="shared" si="133"/>
        <v>7</v>
      </c>
      <c r="BQ187" s="13">
        <f>[1]!shannonweaver(K187:BL187)</f>
        <v>1.5498260458782016</v>
      </c>
      <c r="BR187">
        <f t="shared" si="129"/>
        <v>1</v>
      </c>
      <c r="BS187">
        <f t="shared" si="130"/>
        <v>1</v>
      </c>
      <c r="BT187">
        <f t="shared" si="131"/>
        <v>1</v>
      </c>
      <c r="BU187">
        <f t="shared" si="91"/>
        <v>0</v>
      </c>
      <c r="BV187" s="13">
        <f t="shared" si="92"/>
        <v>1</v>
      </c>
      <c r="BW187" s="13">
        <f t="shared" si="93"/>
        <v>1</v>
      </c>
      <c r="BX187" s="13">
        <f t="shared" si="94"/>
        <v>0</v>
      </c>
      <c r="BY187" s="13">
        <f t="shared" si="95"/>
        <v>1</v>
      </c>
      <c r="BZ187" s="13">
        <f t="shared" si="96"/>
        <v>0</v>
      </c>
      <c r="CA187" s="13">
        <f t="shared" si="97"/>
        <v>1</v>
      </c>
      <c r="CB187" s="13">
        <f t="shared" si="98"/>
        <v>2</v>
      </c>
      <c r="CC187" s="13">
        <f t="shared" si="99"/>
        <v>1</v>
      </c>
      <c r="CD187" s="13">
        <f t="shared" si="100"/>
        <v>2.2360679774997898</v>
      </c>
      <c r="CE187" s="13">
        <f t="shared" si="101"/>
        <v>2.6457513110645907</v>
      </c>
      <c r="CF187" s="13">
        <f t="shared" si="102"/>
        <v>1.2449200961821612</v>
      </c>
      <c r="CG187" s="13">
        <f t="shared" si="103"/>
        <v>1</v>
      </c>
      <c r="CH187" s="13">
        <f t="shared" si="104"/>
        <v>1</v>
      </c>
      <c r="CI187" s="13">
        <f t="shared" si="105"/>
        <v>1</v>
      </c>
      <c r="CJ187" s="13">
        <f t="shared" si="105"/>
        <v>0</v>
      </c>
      <c r="CK187" s="13">
        <f t="shared" si="106"/>
        <v>1</v>
      </c>
      <c r="CL187" s="13">
        <f t="shared" si="107"/>
        <v>1</v>
      </c>
      <c r="CM187" s="13">
        <f t="shared" si="108"/>
        <v>0</v>
      </c>
      <c r="CN187" s="13">
        <f t="shared" si="109"/>
        <v>1</v>
      </c>
      <c r="CO187" s="13">
        <f t="shared" si="110"/>
        <v>0</v>
      </c>
      <c r="CP187" s="13">
        <f t="shared" si="111"/>
        <v>1</v>
      </c>
      <c r="CQ187" s="13">
        <f t="shared" si="112"/>
        <v>1.4142135623730951</v>
      </c>
      <c r="CR187" s="13">
        <f t="shared" si="113"/>
        <v>1</v>
      </c>
      <c r="CS187" s="13">
        <f t="shared" si="114"/>
        <v>1.791759469228055</v>
      </c>
      <c r="CT187" s="13">
        <f t="shared" si="115"/>
        <v>2.0794415416798357</v>
      </c>
      <c r="CU187" s="13">
        <f t="shared" si="116"/>
        <v>0.93602513954076272</v>
      </c>
      <c r="CV187" s="13">
        <f t="shared" si="117"/>
        <v>0.69314718055994529</v>
      </c>
      <c r="CW187" s="13">
        <f t="shared" si="118"/>
        <v>0.69314718055994529</v>
      </c>
      <c r="CX187" s="13">
        <f t="shared" si="119"/>
        <v>0.69314718055994529</v>
      </c>
      <c r="CY187" s="13">
        <f t="shared" si="120"/>
        <v>0</v>
      </c>
      <c r="CZ187" s="13">
        <f t="shared" si="121"/>
        <v>0.69314718055994529</v>
      </c>
      <c r="DA187" s="13">
        <f t="shared" si="122"/>
        <v>0.69314718055994529</v>
      </c>
      <c r="DB187" s="13">
        <f t="shared" si="123"/>
        <v>0</v>
      </c>
      <c r="DC187" s="13">
        <f t="shared" si="124"/>
        <v>0.69314718055994529</v>
      </c>
      <c r="DD187" s="13">
        <f t="shared" si="125"/>
        <v>0</v>
      </c>
      <c r="DE187" s="13">
        <f t="shared" si="126"/>
        <v>0.69314718055994529</v>
      </c>
      <c r="DF187" s="13">
        <f t="shared" si="127"/>
        <v>1.0986122886681098</v>
      </c>
      <c r="DG187" s="13">
        <f t="shared" si="128"/>
        <v>0.69314718055994529</v>
      </c>
      <c r="DH187" s="13"/>
      <c r="DI187" s="13"/>
      <c r="DJ187" s="13"/>
      <c r="DL187"/>
      <c r="DM187"/>
      <c r="DN187"/>
      <c r="DO187"/>
      <c r="DP187" s="31"/>
    </row>
    <row r="188" spans="1:120">
      <c r="A188" t="s">
        <v>158</v>
      </c>
      <c r="B188" t="s">
        <v>183</v>
      </c>
      <c r="C188" t="s">
        <v>191</v>
      </c>
      <c r="D188" s="13" t="s">
        <v>319</v>
      </c>
      <c r="E188" s="13" t="s">
        <v>91</v>
      </c>
      <c r="F188" s="13">
        <v>0</v>
      </c>
      <c r="G188" s="13">
        <v>0</v>
      </c>
      <c r="H188" s="13">
        <v>0</v>
      </c>
      <c r="I188" s="13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32">
        <v>0</v>
      </c>
      <c r="Q188" s="32">
        <v>0</v>
      </c>
      <c r="R188" s="32">
        <v>0</v>
      </c>
      <c r="S188" s="13">
        <v>1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0</v>
      </c>
      <c r="AF188" s="32">
        <v>0</v>
      </c>
      <c r="AG188" s="32">
        <v>0</v>
      </c>
      <c r="AH188" s="32">
        <v>0</v>
      </c>
      <c r="AI188" s="32">
        <v>0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0</v>
      </c>
      <c r="AX188" s="32">
        <v>0</v>
      </c>
      <c r="AY188" s="32">
        <v>0</v>
      </c>
      <c r="AZ188" s="32">
        <v>0</v>
      </c>
      <c r="BA188" s="32">
        <v>0</v>
      </c>
      <c r="BB188" s="32">
        <v>0</v>
      </c>
      <c r="BC188" s="32">
        <v>0</v>
      </c>
      <c r="BD188" s="32">
        <v>0</v>
      </c>
      <c r="BE188" s="32">
        <v>0</v>
      </c>
      <c r="BF188" s="13">
        <v>1</v>
      </c>
      <c r="BG188" s="32">
        <v>0</v>
      </c>
      <c r="BH188" s="32">
        <v>0</v>
      </c>
      <c r="BI188" s="13">
        <v>1</v>
      </c>
      <c r="BJ188" s="13">
        <v>0</v>
      </c>
      <c r="BK188" s="13">
        <v>0</v>
      </c>
      <c r="BL188" s="32">
        <v>0</v>
      </c>
      <c r="BM188" s="32">
        <v>0</v>
      </c>
      <c r="BN188" s="32">
        <v>0</v>
      </c>
      <c r="BO188">
        <f t="shared" si="132"/>
        <v>3</v>
      </c>
      <c r="BP188" s="13">
        <f t="shared" si="133"/>
        <v>3</v>
      </c>
      <c r="BQ188" s="13">
        <f>[1]!shannonweaver(K188:BL188)</f>
        <v>1.0986122886681096</v>
      </c>
      <c r="BR188">
        <f t="shared" si="129"/>
        <v>1</v>
      </c>
      <c r="BS188">
        <f t="shared" si="130"/>
        <v>0</v>
      </c>
      <c r="BT188">
        <f t="shared" si="131"/>
        <v>0</v>
      </c>
      <c r="BU188">
        <f t="shared" si="91"/>
        <v>1</v>
      </c>
      <c r="BV188" s="13">
        <f t="shared" si="92"/>
        <v>1</v>
      </c>
      <c r="BW188" s="13">
        <f t="shared" si="93"/>
        <v>0</v>
      </c>
      <c r="BX188" s="13">
        <f t="shared" si="94"/>
        <v>0</v>
      </c>
      <c r="BY188" s="13">
        <f t="shared" si="95"/>
        <v>0</v>
      </c>
      <c r="BZ188" s="13">
        <f t="shared" si="96"/>
        <v>0</v>
      </c>
      <c r="CA188" s="13">
        <f t="shared" si="97"/>
        <v>0</v>
      </c>
      <c r="CB188" s="13">
        <f t="shared" si="98"/>
        <v>0</v>
      </c>
      <c r="CC188" s="13">
        <f t="shared" si="99"/>
        <v>0</v>
      </c>
      <c r="CD188" s="13">
        <f t="shared" si="100"/>
        <v>1.7320508075688772</v>
      </c>
      <c r="CE188" s="13">
        <f t="shared" si="101"/>
        <v>1.7320508075688772</v>
      </c>
      <c r="CF188" s="13">
        <f t="shared" si="102"/>
        <v>1.0481470739682048</v>
      </c>
      <c r="CG188" s="13">
        <f t="shared" si="103"/>
        <v>1</v>
      </c>
      <c r="CH188" s="13">
        <f t="shared" si="104"/>
        <v>0</v>
      </c>
      <c r="CI188" s="13">
        <f t="shared" si="105"/>
        <v>0</v>
      </c>
      <c r="CJ188" s="13">
        <f t="shared" si="105"/>
        <v>1</v>
      </c>
      <c r="CK188" s="13">
        <f t="shared" si="106"/>
        <v>1</v>
      </c>
      <c r="CL188" s="13">
        <f t="shared" si="107"/>
        <v>0</v>
      </c>
      <c r="CM188" s="13">
        <f t="shared" si="108"/>
        <v>0</v>
      </c>
      <c r="CN188" s="13">
        <f t="shared" si="109"/>
        <v>0</v>
      </c>
      <c r="CO188" s="13">
        <f t="shared" si="110"/>
        <v>0</v>
      </c>
      <c r="CP188" s="13">
        <f t="shared" si="111"/>
        <v>0</v>
      </c>
      <c r="CQ188" s="13">
        <f t="shared" si="112"/>
        <v>0</v>
      </c>
      <c r="CR188" s="13">
        <f t="shared" si="113"/>
        <v>0</v>
      </c>
      <c r="CS188" s="13">
        <f t="shared" si="114"/>
        <v>1.3862943611198906</v>
      </c>
      <c r="CT188" s="13">
        <f t="shared" si="115"/>
        <v>1.3862943611198906</v>
      </c>
      <c r="CU188" s="13">
        <f t="shared" si="116"/>
        <v>0.74127631137501515</v>
      </c>
      <c r="CV188" s="13">
        <f t="shared" si="117"/>
        <v>0.69314718055994529</v>
      </c>
      <c r="CW188" s="13">
        <f t="shared" si="118"/>
        <v>0</v>
      </c>
      <c r="CX188" s="13">
        <f t="shared" si="119"/>
        <v>0</v>
      </c>
      <c r="CY188" s="13">
        <f t="shared" si="120"/>
        <v>0.69314718055994529</v>
      </c>
      <c r="CZ188" s="13">
        <f t="shared" si="121"/>
        <v>0.69314718055994529</v>
      </c>
      <c r="DA188" s="13">
        <f t="shared" si="122"/>
        <v>0</v>
      </c>
      <c r="DB188" s="13">
        <f t="shared" si="123"/>
        <v>0</v>
      </c>
      <c r="DC188" s="13">
        <f t="shared" si="124"/>
        <v>0</v>
      </c>
      <c r="DD188" s="13">
        <f t="shared" si="125"/>
        <v>0</v>
      </c>
      <c r="DE188" s="13">
        <f t="shared" si="126"/>
        <v>0</v>
      </c>
      <c r="DF188" s="13">
        <f t="shared" si="127"/>
        <v>0</v>
      </c>
      <c r="DG188" s="13">
        <f t="shared" si="128"/>
        <v>0</v>
      </c>
      <c r="DH188" s="13"/>
      <c r="DI188" s="13"/>
      <c r="DJ188" s="13"/>
      <c r="DL188"/>
      <c r="DM188"/>
      <c r="DN188"/>
      <c r="DO188"/>
      <c r="DP188" s="31"/>
    </row>
    <row r="189" spans="1:120">
      <c r="A189" t="s">
        <v>159</v>
      </c>
      <c r="B189" t="s">
        <v>183</v>
      </c>
      <c r="C189" t="s">
        <v>191</v>
      </c>
      <c r="D189" s="13" t="s">
        <v>319</v>
      </c>
      <c r="E189" s="13" t="s">
        <v>91</v>
      </c>
      <c r="F189" s="13">
        <v>0</v>
      </c>
      <c r="G189" s="13">
        <v>0</v>
      </c>
      <c r="H189" s="13">
        <v>0</v>
      </c>
      <c r="I189" s="13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13">
        <v>1</v>
      </c>
      <c r="P189" s="32">
        <v>0</v>
      </c>
      <c r="Q189" s="32">
        <v>0</v>
      </c>
      <c r="R189" s="32">
        <v>0</v>
      </c>
      <c r="S189" s="13">
        <v>1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32">
        <v>0</v>
      </c>
      <c r="Z189" s="32">
        <v>0</v>
      </c>
      <c r="AA189" s="32">
        <v>0</v>
      </c>
      <c r="AB189" s="13">
        <v>2</v>
      </c>
      <c r="AC189" s="32">
        <v>0</v>
      </c>
      <c r="AD189" s="32">
        <v>0</v>
      </c>
      <c r="AE189" s="32">
        <v>0</v>
      </c>
      <c r="AF189" s="32">
        <v>0</v>
      </c>
      <c r="AG189" s="32">
        <v>0</v>
      </c>
      <c r="AH189" s="32">
        <v>0</v>
      </c>
      <c r="AI189" s="32">
        <v>0</v>
      </c>
      <c r="AJ189" s="32">
        <v>0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0</v>
      </c>
      <c r="AV189" s="32">
        <v>0</v>
      </c>
      <c r="AW189" s="32">
        <v>0</v>
      </c>
      <c r="AX189" s="32">
        <v>0</v>
      </c>
      <c r="AY189" s="32">
        <v>0</v>
      </c>
      <c r="AZ189" s="32">
        <v>0</v>
      </c>
      <c r="BA189" s="32">
        <v>0</v>
      </c>
      <c r="BB189" s="32">
        <v>0</v>
      </c>
      <c r="BC189" s="32">
        <v>0</v>
      </c>
      <c r="BD189" s="32">
        <v>0</v>
      </c>
      <c r="BE189" s="32">
        <v>0</v>
      </c>
      <c r="BF189" s="32">
        <v>0</v>
      </c>
      <c r="BG189" s="32">
        <v>0</v>
      </c>
      <c r="BH189" s="32">
        <v>0</v>
      </c>
      <c r="BI189" s="32">
        <v>0</v>
      </c>
      <c r="BJ189" s="13">
        <v>1</v>
      </c>
      <c r="BK189" s="13">
        <v>0</v>
      </c>
      <c r="BL189" s="32">
        <v>0</v>
      </c>
      <c r="BM189" s="32">
        <v>0</v>
      </c>
      <c r="BN189" s="32">
        <v>0</v>
      </c>
      <c r="BO189">
        <f t="shared" si="132"/>
        <v>4</v>
      </c>
      <c r="BP189" s="13">
        <f t="shared" si="133"/>
        <v>5</v>
      </c>
      <c r="BQ189" s="13">
        <f>[1]!shannonweaver(K189:BL189)</f>
        <v>1.3321790402101223</v>
      </c>
      <c r="BR189">
        <f t="shared" si="129"/>
        <v>2</v>
      </c>
      <c r="BS189">
        <f t="shared" si="130"/>
        <v>1</v>
      </c>
      <c r="BT189">
        <f t="shared" si="131"/>
        <v>0</v>
      </c>
      <c r="BU189">
        <f t="shared" si="91"/>
        <v>2</v>
      </c>
      <c r="BV189" s="13">
        <f t="shared" si="92"/>
        <v>2</v>
      </c>
      <c r="BW189" s="13">
        <f t="shared" si="93"/>
        <v>2</v>
      </c>
      <c r="BX189" s="13">
        <f t="shared" si="94"/>
        <v>0</v>
      </c>
      <c r="BY189" s="13">
        <f t="shared" si="95"/>
        <v>2</v>
      </c>
      <c r="BZ189" s="13">
        <f t="shared" si="96"/>
        <v>0</v>
      </c>
      <c r="CA189" s="13">
        <f t="shared" si="97"/>
        <v>2</v>
      </c>
      <c r="CB189" s="13">
        <f t="shared" si="98"/>
        <v>0</v>
      </c>
      <c r="CC189" s="13">
        <f t="shared" si="99"/>
        <v>0</v>
      </c>
      <c r="CD189" s="13">
        <f t="shared" si="100"/>
        <v>2</v>
      </c>
      <c r="CE189" s="13">
        <f t="shared" si="101"/>
        <v>2.2360679774997898</v>
      </c>
      <c r="CF189" s="13">
        <f t="shared" si="102"/>
        <v>1.1542006065715449</v>
      </c>
      <c r="CG189" s="13">
        <f t="shared" si="103"/>
        <v>1.4142135623730951</v>
      </c>
      <c r="CH189" s="13">
        <f t="shared" si="104"/>
        <v>1</v>
      </c>
      <c r="CI189" s="13">
        <f t="shared" si="105"/>
        <v>0</v>
      </c>
      <c r="CJ189" s="13">
        <f t="shared" si="105"/>
        <v>1.4142135623730951</v>
      </c>
      <c r="CK189" s="13">
        <f t="shared" si="106"/>
        <v>1.4142135623730951</v>
      </c>
      <c r="CL189" s="13">
        <f t="shared" si="107"/>
        <v>1.4142135623730951</v>
      </c>
      <c r="CM189" s="13">
        <f t="shared" si="108"/>
        <v>0</v>
      </c>
      <c r="CN189" s="13">
        <f t="shared" si="109"/>
        <v>1.4142135623730951</v>
      </c>
      <c r="CO189" s="13">
        <f t="shared" si="110"/>
        <v>0</v>
      </c>
      <c r="CP189" s="13">
        <f t="shared" si="111"/>
        <v>1.4142135623730951</v>
      </c>
      <c r="CQ189" s="13">
        <f t="shared" si="112"/>
        <v>0</v>
      </c>
      <c r="CR189" s="13">
        <f t="shared" si="113"/>
        <v>0</v>
      </c>
      <c r="CS189" s="13">
        <f t="shared" si="114"/>
        <v>1.6094379124341003</v>
      </c>
      <c r="CT189" s="13">
        <f t="shared" si="115"/>
        <v>1.791759469228055</v>
      </c>
      <c r="CU189" s="13">
        <f t="shared" si="116"/>
        <v>0.84680304093144199</v>
      </c>
      <c r="CV189" s="13">
        <f t="shared" si="117"/>
        <v>1.0986122886681098</v>
      </c>
      <c r="CW189" s="13">
        <f t="shared" si="118"/>
        <v>0.69314718055994529</v>
      </c>
      <c r="CX189" s="13">
        <f t="shared" si="119"/>
        <v>0</v>
      </c>
      <c r="CY189" s="13">
        <f t="shared" si="120"/>
        <v>1.0986122886681098</v>
      </c>
      <c r="CZ189" s="13">
        <f t="shared" si="121"/>
        <v>1.0986122886681098</v>
      </c>
      <c r="DA189" s="13">
        <f t="shared" si="122"/>
        <v>1.0986122886681098</v>
      </c>
      <c r="DB189" s="13">
        <f t="shared" si="123"/>
        <v>0</v>
      </c>
      <c r="DC189" s="13">
        <f t="shared" si="124"/>
        <v>1.0986122886681098</v>
      </c>
      <c r="DD189" s="13">
        <f t="shared" si="125"/>
        <v>0</v>
      </c>
      <c r="DE189" s="13">
        <f t="shared" si="126"/>
        <v>1.0986122886681098</v>
      </c>
      <c r="DF189" s="13">
        <f t="shared" si="127"/>
        <v>0</v>
      </c>
      <c r="DG189" s="13">
        <f t="shared" si="128"/>
        <v>0</v>
      </c>
      <c r="DH189" s="13"/>
      <c r="DI189" s="13"/>
      <c r="DJ189" s="13"/>
      <c r="DL189"/>
      <c r="DM189"/>
      <c r="DN189"/>
      <c r="DO189"/>
      <c r="DP189" s="31"/>
    </row>
    <row r="190" spans="1:120">
      <c r="A190" t="s">
        <v>160</v>
      </c>
      <c r="B190" t="s">
        <v>183</v>
      </c>
      <c r="C190" t="s">
        <v>191</v>
      </c>
      <c r="D190" s="13" t="s">
        <v>319</v>
      </c>
      <c r="E190" s="13" t="s">
        <v>91</v>
      </c>
      <c r="F190" s="13">
        <v>0</v>
      </c>
      <c r="G190" s="13">
        <v>0</v>
      </c>
      <c r="H190" s="13">
        <v>0</v>
      </c>
      <c r="I190" s="13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32">
        <v>0</v>
      </c>
      <c r="Q190" s="32">
        <v>0</v>
      </c>
      <c r="R190" s="32">
        <v>0</v>
      </c>
      <c r="S190" s="13">
        <v>1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32">
        <v>0</v>
      </c>
      <c r="Z190" s="32">
        <v>0</v>
      </c>
      <c r="AA190" s="32">
        <v>0</v>
      </c>
      <c r="AB190" s="13">
        <v>2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32">
        <v>0</v>
      </c>
      <c r="AI190" s="32">
        <v>0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13">
        <v>1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v>0</v>
      </c>
      <c r="AY190" s="32">
        <v>0</v>
      </c>
      <c r="AZ190" s="32">
        <v>0</v>
      </c>
      <c r="BA190" s="32">
        <v>0</v>
      </c>
      <c r="BB190" s="32">
        <v>0</v>
      </c>
      <c r="BC190" s="32">
        <v>0</v>
      </c>
      <c r="BD190" s="32">
        <v>0</v>
      </c>
      <c r="BE190" s="32">
        <v>0</v>
      </c>
      <c r="BF190" s="32">
        <v>0</v>
      </c>
      <c r="BG190" s="32">
        <v>0</v>
      </c>
      <c r="BH190" s="32">
        <v>0</v>
      </c>
      <c r="BI190" s="32">
        <v>0</v>
      </c>
      <c r="BJ190" s="32">
        <v>0</v>
      </c>
      <c r="BK190" s="13">
        <v>1</v>
      </c>
      <c r="BL190" s="32">
        <v>0</v>
      </c>
      <c r="BM190" s="32">
        <v>0</v>
      </c>
      <c r="BN190" s="32">
        <v>0</v>
      </c>
      <c r="BO190">
        <f t="shared" si="132"/>
        <v>4</v>
      </c>
      <c r="BP190" s="13">
        <f t="shared" si="133"/>
        <v>5</v>
      </c>
      <c r="BQ190" s="13">
        <f>[1]!shannonweaver(K190:BL190)</f>
        <v>1.3321790402101223</v>
      </c>
      <c r="BR190">
        <f t="shared" si="129"/>
        <v>1</v>
      </c>
      <c r="BS190">
        <f t="shared" si="130"/>
        <v>2</v>
      </c>
      <c r="BT190">
        <f t="shared" si="131"/>
        <v>0</v>
      </c>
      <c r="BU190">
        <f t="shared" si="91"/>
        <v>1</v>
      </c>
      <c r="BV190" s="13">
        <f t="shared" si="92"/>
        <v>1</v>
      </c>
      <c r="BW190" s="13">
        <f t="shared" si="93"/>
        <v>2</v>
      </c>
      <c r="BX190" s="13">
        <f t="shared" si="94"/>
        <v>0</v>
      </c>
      <c r="BY190" s="13">
        <f t="shared" si="95"/>
        <v>2</v>
      </c>
      <c r="BZ190" s="13">
        <f t="shared" si="96"/>
        <v>0</v>
      </c>
      <c r="CA190" s="13">
        <f t="shared" si="97"/>
        <v>3</v>
      </c>
      <c r="CB190" s="13">
        <f t="shared" si="98"/>
        <v>0</v>
      </c>
      <c r="CC190" s="13">
        <f t="shared" si="99"/>
        <v>1</v>
      </c>
      <c r="CD190" s="13">
        <f t="shared" si="100"/>
        <v>2</v>
      </c>
      <c r="CE190" s="13">
        <f t="shared" si="101"/>
        <v>2.2360679774997898</v>
      </c>
      <c r="CF190" s="13">
        <f t="shared" si="102"/>
        <v>1.1542006065715449</v>
      </c>
      <c r="CG190" s="13">
        <f t="shared" si="103"/>
        <v>1</v>
      </c>
      <c r="CH190" s="13">
        <f t="shared" si="104"/>
        <v>1.4142135623730951</v>
      </c>
      <c r="CI190" s="13">
        <f t="shared" si="105"/>
        <v>0</v>
      </c>
      <c r="CJ190" s="13">
        <f t="shared" si="105"/>
        <v>1</v>
      </c>
      <c r="CK190" s="13">
        <f t="shared" si="106"/>
        <v>1</v>
      </c>
      <c r="CL190" s="13">
        <f t="shared" si="107"/>
        <v>1.4142135623730951</v>
      </c>
      <c r="CM190" s="13">
        <f t="shared" si="108"/>
        <v>0</v>
      </c>
      <c r="CN190" s="13">
        <f t="shared" si="109"/>
        <v>1.4142135623730951</v>
      </c>
      <c r="CO190" s="13">
        <f t="shared" si="110"/>
        <v>0</v>
      </c>
      <c r="CP190" s="13">
        <f t="shared" si="111"/>
        <v>1.7320508075688772</v>
      </c>
      <c r="CQ190" s="13">
        <f t="shared" si="112"/>
        <v>0</v>
      </c>
      <c r="CR190" s="13">
        <f t="shared" si="113"/>
        <v>1</v>
      </c>
      <c r="CS190" s="13">
        <f t="shared" si="114"/>
        <v>1.6094379124341003</v>
      </c>
      <c r="CT190" s="13">
        <f t="shared" si="115"/>
        <v>1.791759469228055</v>
      </c>
      <c r="CU190" s="13">
        <f t="shared" si="116"/>
        <v>0.84680304093144199</v>
      </c>
      <c r="CV190" s="13">
        <f t="shared" si="117"/>
        <v>0.69314718055994529</v>
      </c>
      <c r="CW190" s="13">
        <f t="shared" si="118"/>
        <v>1.0986122886681098</v>
      </c>
      <c r="CX190" s="13">
        <f t="shared" si="119"/>
        <v>0</v>
      </c>
      <c r="CY190" s="13">
        <f t="shared" si="120"/>
        <v>0.69314718055994529</v>
      </c>
      <c r="CZ190" s="13">
        <f t="shared" si="121"/>
        <v>0.69314718055994529</v>
      </c>
      <c r="DA190" s="13">
        <f t="shared" si="122"/>
        <v>1.0986122886681098</v>
      </c>
      <c r="DB190" s="13">
        <f t="shared" si="123"/>
        <v>0</v>
      </c>
      <c r="DC190" s="13">
        <f t="shared" si="124"/>
        <v>1.0986122886681098</v>
      </c>
      <c r="DD190" s="13">
        <f t="shared" si="125"/>
        <v>0</v>
      </c>
      <c r="DE190" s="13">
        <f t="shared" si="126"/>
        <v>1.3862943611198906</v>
      </c>
      <c r="DF190" s="13">
        <f t="shared" si="127"/>
        <v>0</v>
      </c>
      <c r="DG190" s="13">
        <f t="shared" si="128"/>
        <v>0.69314718055994529</v>
      </c>
      <c r="DH190" s="13"/>
      <c r="DI190" s="13"/>
      <c r="DJ190" s="13"/>
      <c r="DL190"/>
      <c r="DM190"/>
      <c r="DN190"/>
      <c r="DO190"/>
      <c r="DP190" s="31"/>
    </row>
    <row r="191" spans="1:120">
      <c r="A191" t="s">
        <v>161</v>
      </c>
      <c r="B191" t="s">
        <v>183</v>
      </c>
      <c r="C191" t="s">
        <v>191</v>
      </c>
      <c r="D191" s="13" t="s">
        <v>319</v>
      </c>
      <c r="E191" s="13" t="s">
        <v>91</v>
      </c>
      <c r="F191" s="13">
        <v>0</v>
      </c>
      <c r="G191" s="13">
        <v>0</v>
      </c>
      <c r="H191" s="13">
        <v>0</v>
      </c>
      <c r="I191" s="13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13">
        <v>2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0</v>
      </c>
      <c r="AB191" s="32">
        <v>0</v>
      </c>
      <c r="AC191" s="32">
        <v>0</v>
      </c>
      <c r="AD191" s="32">
        <v>0</v>
      </c>
      <c r="AE191" s="32">
        <v>0</v>
      </c>
      <c r="AF191" s="32">
        <v>0</v>
      </c>
      <c r="AG191" s="32">
        <v>0</v>
      </c>
      <c r="AH191" s="13">
        <v>1</v>
      </c>
      <c r="AI191" s="32">
        <v>0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>
        <v>0</v>
      </c>
      <c r="AQ191" s="32">
        <v>0</v>
      </c>
      <c r="AR191" s="32">
        <v>0</v>
      </c>
      <c r="AS191" s="32">
        <v>0</v>
      </c>
      <c r="AT191" s="32">
        <v>0</v>
      </c>
      <c r="AU191" s="32">
        <v>0</v>
      </c>
      <c r="AV191" s="32">
        <v>0</v>
      </c>
      <c r="AW191" s="32">
        <v>0</v>
      </c>
      <c r="AX191" s="13">
        <v>1</v>
      </c>
      <c r="AY191" s="32">
        <v>0</v>
      </c>
      <c r="AZ191" s="32">
        <v>0</v>
      </c>
      <c r="BA191" s="32">
        <v>0</v>
      </c>
      <c r="BB191" s="32">
        <v>0</v>
      </c>
      <c r="BC191" s="32">
        <v>0</v>
      </c>
      <c r="BD191" s="32">
        <v>0</v>
      </c>
      <c r="BE191" s="32">
        <v>0</v>
      </c>
      <c r="BF191" s="32">
        <v>0</v>
      </c>
      <c r="BG191" s="32">
        <v>0</v>
      </c>
      <c r="BH191" s="32">
        <v>0</v>
      </c>
      <c r="BI191" s="32">
        <v>0</v>
      </c>
      <c r="BJ191" s="32">
        <v>0</v>
      </c>
      <c r="BK191" s="32">
        <v>0</v>
      </c>
      <c r="BL191" s="32">
        <v>0</v>
      </c>
      <c r="BM191" s="32">
        <v>0</v>
      </c>
      <c r="BN191" s="32">
        <v>0</v>
      </c>
      <c r="BO191">
        <f t="shared" si="132"/>
        <v>3</v>
      </c>
      <c r="BP191" s="13">
        <f t="shared" si="133"/>
        <v>4</v>
      </c>
      <c r="BQ191" s="13">
        <f>[1]!shannonweaver(K191:BL191)</f>
        <v>1.0397207708399179</v>
      </c>
      <c r="BR191">
        <f t="shared" si="129"/>
        <v>1</v>
      </c>
      <c r="BS191">
        <f t="shared" si="130"/>
        <v>1</v>
      </c>
      <c r="BT191">
        <f t="shared" si="131"/>
        <v>1</v>
      </c>
      <c r="BU191">
        <f t="shared" si="91"/>
        <v>2</v>
      </c>
      <c r="BV191" s="13">
        <f t="shared" si="92"/>
        <v>2</v>
      </c>
      <c r="BW191" s="13">
        <f t="shared" si="93"/>
        <v>0</v>
      </c>
      <c r="BX191" s="13">
        <f t="shared" si="94"/>
        <v>0</v>
      </c>
      <c r="BY191" s="13">
        <f t="shared" si="95"/>
        <v>0</v>
      </c>
      <c r="BZ191" s="13">
        <f t="shared" si="96"/>
        <v>0</v>
      </c>
      <c r="CA191" s="13">
        <f t="shared" si="97"/>
        <v>1</v>
      </c>
      <c r="CB191" s="13">
        <f t="shared" si="98"/>
        <v>1</v>
      </c>
      <c r="CC191" s="13">
        <f t="shared" si="99"/>
        <v>0</v>
      </c>
      <c r="CD191" s="13">
        <f t="shared" si="100"/>
        <v>1.7320508075688772</v>
      </c>
      <c r="CE191" s="13">
        <f t="shared" si="101"/>
        <v>2</v>
      </c>
      <c r="CF191" s="13">
        <f t="shared" si="102"/>
        <v>1.0196669901688089</v>
      </c>
      <c r="CG191" s="13">
        <f t="shared" si="103"/>
        <v>1</v>
      </c>
      <c r="CH191" s="13">
        <f t="shared" si="104"/>
        <v>1</v>
      </c>
      <c r="CI191" s="13">
        <f t="shared" si="105"/>
        <v>1</v>
      </c>
      <c r="CJ191" s="13">
        <f t="shared" si="105"/>
        <v>1.4142135623730951</v>
      </c>
      <c r="CK191" s="13">
        <f t="shared" si="106"/>
        <v>1.4142135623730951</v>
      </c>
      <c r="CL191" s="13">
        <f t="shared" si="107"/>
        <v>0</v>
      </c>
      <c r="CM191" s="13">
        <f t="shared" si="108"/>
        <v>0</v>
      </c>
      <c r="CN191" s="13">
        <f t="shared" si="109"/>
        <v>0</v>
      </c>
      <c r="CO191" s="13">
        <f t="shared" si="110"/>
        <v>0</v>
      </c>
      <c r="CP191" s="13">
        <f t="shared" si="111"/>
        <v>1</v>
      </c>
      <c r="CQ191" s="13">
        <f t="shared" si="112"/>
        <v>1</v>
      </c>
      <c r="CR191" s="13">
        <f t="shared" si="113"/>
        <v>0</v>
      </c>
      <c r="CS191" s="13">
        <f t="shared" si="114"/>
        <v>1.3862943611198906</v>
      </c>
      <c r="CT191" s="13">
        <f t="shared" si="115"/>
        <v>1.6094379124341003</v>
      </c>
      <c r="CU191" s="13">
        <f t="shared" si="116"/>
        <v>0.7128129214483524</v>
      </c>
      <c r="CV191" s="13">
        <f t="shared" si="117"/>
        <v>0.69314718055994529</v>
      </c>
      <c r="CW191" s="13">
        <f t="shared" si="118"/>
        <v>0.69314718055994529</v>
      </c>
      <c r="CX191" s="13">
        <f t="shared" si="119"/>
        <v>0.69314718055994529</v>
      </c>
      <c r="CY191" s="13">
        <f t="shared" si="120"/>
        <v>1.0986122886681098</v>
      </c>
      <c r="CZ191" s="13">
        <f t="shared" si="121"/>
        <v>1.0986122886681098</v>
      </c>
      <c r="DA191" s="13">
        <f t="shared" si="122"/>
        <v>0</v>
      </c>
      <c r="DB191" s="13">
        <f t="shared" si="123"/>
        <v>0</v>
      </c>
      <c r="DC191" s="13">
        <f t="shared" si="124"/>
        <v>0</v>
      </c>
      <c r="DD191" s="13">
        <f t="shared" si="125"/>
        <v>0</v>
      </c>
      <c r="DE191" s="13">
        <f t="shared" si="126"/>
        <v>0.69314718055994529</v>
      </c>
      <c r="DF191" s="13">
        <f t="shared" si="127"/>
        <v>0.69314718055994529</v>
      </c>
      <c r="DG191" s="13">
        <f t="shared" si="128"/>
        <v>0</v>
      </c>
      <c r="DH191" s="13"/>
      <c r="DI191" s="13"/>
      <c r="DJ191" s="13"/>
      <c r="DL191"/>
      <c r="DM191"/>
      <c r="DN191"/>
      <c r="DO191"/>
      <c r="DP191" s="31"/>
    </row>
    <row r="192" spans="1:120">
      <c r="A192" t="s">
        <v>162</v>
      </c>
      <c r="B192" t="s">
        <v>183</v>
      </c>
      <c r="C192" t="s">
        <v>191</v>
      </c>
      <c r="D192" s="13" t="s">
        <v>319</v>
      </c>
      <c r="E192" s="13" t="s">
        <v>91</v>
      </c>
      <c r="F192" s="13">
        <v>0</v>
      </c>
      <c r="G192" s="13">
        <v>0</v>
      </c>
      <c r="H192" s="13">
        <v>0</v>
      </c>
      <c r="I192" s="13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32">
        <v>0</v>
      </c>
      <c r="AB192" s="32">
        <v>0</v>
      </c>
      <c r="AC192" s="32">
        <v>0</v>
      </c>
      <c r="AD192" s="13">
        <v>2</v>
      </c>
      <c r="AE192" s="32">
        <v>0</v>
      </c>
      <c r="AF192" s="32">
        <v>0</v>
      </c>
      <c r="AG192" s="32">
        <v>0</v>
      </c>
      <c r="AH192" s="13">
        <v>2</v>
      </c>
      <c r="AI192" s="32">
        <v>0</v>
      </c>
      <c r="AJ192" s="32">
        <v>0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13">
        <v>1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v>0</v>
      </c>
      <c r="AY192" s="32">
        <v>0</v>
      </c>
      <c r="AZ192" s="32">
        <v>0</v>
      </c>
      <c r="BA192" s="32">
        <v>0</v>
      </c>
      <c r="BB192" s="32">
        <v>0</v>
      </c>
      <c r="BC192" s="32">
        <v>0</v>
      </c>
      <c r="BD192" s="32">
        <v>0</v>
      </c>
      <c r="BE192" s="32">
        <v>0</v>
      </c>
      <c r="BF192" s="32">
        <v>0</v>
      </c>
      <c r="BG192" s="32">
        <v>0</v>
      </c>
      <c r="BH192" s="32">
        <v>0</v>
      </c>
      <c r="BI192" s="13">
        <v>1</v>
      </c>
      <c r="BJ192" s="32">
        <v>0</v>
      </c>
      <c r="BK192" s="32">
        <v>0</v>
      </c>
      <c r="BL192" s="32">
        <v>0</v>
      </c>
      <c r="BM192" s="32">
        <v>0</v>
      </c>
      <c r="BN192" s="32">
        <v>0</v>
      </c>
      <c r="BO192">
        <f t="shared" si="132"/>
        <v>4</v>
      </c>
      <c r="BP192" s="13">
        <f t="shared" si="133"/>
        <v>6</v>
      </c>
      <c r="BQ192" s="13">
        <f>[1]!shannonweaver(K192:BL192)</f>
        <v>1.329661348854758</v>
      </c>
      <c r="BR192">
        <f t="shared" si="129"/>
        <v>0</v>
      </c>
      <c r="BS192">
        <f t="shared" si="130"/>
        <v>3</v>
      </c>
      <c r="BT192">
        <f t="shared" si="131"/>
        <v>0</v>
      </c>
      <c r="BU192">
        <f t="shared" si="91"/>
        <v>0</v>
      </c>
      <c r="BV192" s="13">
        <f t="shared" si="92"/>
        <v>0</v>
      </c>
      <c r="BW192" s="13">
        <f t="shared" si="93"/>
        <v>2</v>
      </c>
      <c r="BX192" s="13">
        <f t="shared" si="94"/>
        <v>0</v>
      </c>
      <c r="BY192" s="13">
        <f t="shared" si="95"/>
        <v>2</v>
      </c>
      <c r="BZ192" s="13">
        <f t="shared" si="96"/>
        <v>0</v>
      </c>
      <c r="CA192" s="13">
        <f t="shared" si="97"/>
        <v>5</v>
      </c>
      <c r="CB192" s="13">
        <f t="shared" si="98"/>
        <v>0</v>
      </c>
      <c r="CC192" s="13">
        <f t="shared" si="99"/>
        <v>0</v>
      </c>
      <c r="CD192" s="13">
        <f t="shared" si="100"/>
        <v>2</v>
      </c>
      <c r="CE192" s="13">
        <f t="shared" si="101"/>
        <v>2.4494897427831779</v>
      </c>
      <c r="CF192" s="13">
        <f t="shared" si="102"/>
        <v>1.153109426227519</v>
      </c>
      <c r="CG192" s="13">
        <f t="shared" si="103"/>
        <v>0</v>
      </c>
      <c r="CH192" s="13">
        <f t="shared" si="104"/>
        <v>1.7320508075688772</v>
      </c>
      <c r="CI192" s="13">
        <f t="shared" si="105"/>
        <v>0</v>
      </c>
      <c r="CJ192" s="13">
        <f t="shared" si="105"/>
        <v>0</v>
      </c>
      <c r="CK192" s="13">
        <f t="shared" si="106"/>
        <v>0</v>
      </c>
      <c r="CL192" s="13">
        <f t="shared" si="107"/>
        <v>1.4142135623730951</v>
      </c>
      <c r="CM192" s="13">
        <f t="shared" si="108"/>
        <v>0</v>
      </c>
      <c r="CN192" s="13">
        <f t="shared" si="109"/>
        <v>1.4142135623730951</v>
      </c>
      <c r="CO192" s="13">
        <f t="shared" si="110"/>
        <v>0</v>
      </c>
      <c r="CP192" s="13">
        <f t="shared" si="111"/>
        <v>2.2360679774997898</v>
      </c>
      <c r="CQ192" s="13">
        <f t="shared" si="112"/>
        <v>0</v>
      </c>
      <c r="CR192" s="13">
        <f t="shared" si="113"/>
        <v>0</v>
      </c>
      <c r="CS192" s="13">
        <f t="shared" si="114"/>
        <v>1.6094379124341003</v>
      </c>
      <c r="CT192" s="13">
        <f t="shared" si="115"/>
        <v>1.9459101490553132</v>
      </c>
      <c r="CU192" s="13">
        <f t="shared" si="116"/>
        <v>0.84572291317501025</v>
      </c>
      <c r="CV192" s="13">
        <f t="shared" si="117"/>
        <v>0</v>
      </c>
      <c r="CW192" s="13">
        <f t="shared" si="118"/>
        <v>1.3862943611198906</v>
      </c>
      <c r="CX192" s="13">
        <f t="shared" si="119"/>
        <v>0</v>
      </c>
      <c r="CY192" s="13">
        <f t="shared" si="120"/>
        <v>0</v>
      </c>
      <c r="CZ192" s="13">
        <f t="shared" si="121"/>
        <v>0</v>
      </c>
      <c r="DA192" s="13">
        <f t="shared" si="122"/>
        <v>1.0986122886681098</v>
      </c>
      <c r="DB192" s="13">
        <f t="shared" si="123"/>
        <v>0</v>
      </c>
      <c r="DC192" s="13">
        <f t="shared" si="124"/>
        <v>1.0986122886681098</v>
      </c>
      <c r="DD192" s="13">
        <f t="shared" si="125"/>
        <v>0</v>
      </c>
      <c r="DE192" s="13">
        <f t="shared" si="126"/>
        <v>1.791759469228055</v>
      </c>
      <c r="DF192" s="13">
        <f t="shared" si="127"/>
        <v>0</v>
      </c>
      <c r="DG192" s="13">
        <f t="shared" si="128"/>
        <v>0</v>
      </c>
      <c r="DH192" s="13"/>
      <c r="DI192" s="13"/>
      <c r="DJ192" s="13"/>
      <c r="DL192"/>
      <c r="DM192"/>
      <c r="DN192"/>
      <c r="DO192"/>
      <c r="DP192" s="31"/>
    </row>
    <row r="193" spans="1:120">
      <c r="A193" t="s">
        <v>163</v>
      </c>
      <c r="B193" t="s">
        <v>183</v>
      </c>
      <c r="C193" t="s">
        <v>191</v>
      </c>
      <c r="D193" s="13" t="s">
        <v>319</v>
      </c>
      <c r="E193" s="13" t="s">
        <v>91</v>
      </c>
      <c r="F193" s="13">
        <v>0</v>
      </c>
      <c r="G193" s="13">
        <v>0</v>
      </c>
      <c r="H193" s="13">
        <v>0</v>
      </c>
      <c r="I193" s="13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32">
        <v>0</v>
      </c>
      <c r="AB193" s="32">
        <v>0</v>
      </c>
      <c r="AC193" s="32">
        <v>0</v>
      </c>
      <c r="AD193" s="13">
        <v>1</v>
      </c>
      <c r="AE193" s="32">
        <v>0</v>
      </c>
      <c r="AF193" s="32">
        <v>0</v>
      </c>
      <c r="AG193" s="32">
        <v>0</v>
      </c>
      <c r="AH193" s="13">
        <v>2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 s="32">
        <v>0</v>
      </c>
      <c r="BD193" s="32">
        <v>0</v>
      </c>
      <c r="BE193" s="32">
        <v>0</v>
      </c>
      <c r="BF193" s="32">
        <v>0</v>
      </c>
      <c r="BG193" s="32">
        <v>0</v>
      </c>
      <c r="BH193" s="32">
        <v>0</v>
      </c>
      <c r="BI193" s="13">
        <v>1</v>
      </c>
      <c r="BJ193" s="32">
        <v>0</v>
      </c>
      <c r="BK193" s="32">
        <v>0</v>
      </c>
      <c r="BL193" s="32">
        <v>0</v>
      </c>
      <c r="BM193" s="32">
        <v>0</v>
      </c>
      <c r="BN193" s="32">
        <v>0</v>
      </c>
      <c r="BO193">
        <f t="shared" si="132"/>
        <v>3</v>
      </c>
      <c r="BP193" s="13">
        <f t="shared" si="133"/>
        <v>4</v>
      </c>
      <c r="BQ193" s="13">
        <f>[1]!shannonweaver(K193:BL193)</f>
        <v>1.0397207708399179</v>
      </c>
      <c r="BR193">
        <f t="shared" si="129"/>
        <v>0</v>
      </c>
      <c r="BS193">
        <f t="shared" si="130"/>
        <v>2</v>
      </c>
      <c r="BT193">
        <f t="shared" si="131"/>
        <v>0</v>
      </c>
      <c r="BU193">
        <f t="shared" si="91"/>
        <v>0</v>
      </c>
      <c r="BV193" s="13">
        <f t="shared" si="92"/>
        <v>0</v>
      </c>
      <c r="BW193" s="13">
        <f t="shared" si="93"/>
        <v>1</v>
      </c>
      <c r="BX193" s="13">
        <f t="shared" si="94"/>
        <v>0</v>
      </c>
      <c r="BY193" s="13">
        <f t="shared" si="95"/>
        <v>1</v>
      </c>
      <c r="BZ193" s="13">
        <f t="shared" si="96"/>
        <v>0</v>
      </c>
      <c r="CA193" s="13">
        <f t="shared" si="97"/>
        <v>3</v>
      </c>
      <c r="CB193" s="13">
        <f t="shared" si="98"/>
        <v>0</v>
      </c>
      <c r="CC193" s="13">
        <f t="shared" si="99"/>
        <v>0</v>
      </c>
      <c r="CD193" s="13">
        <f t="shared" si="100"/>
        <v>1.7320508075688772</v>
      </c>
      <c r="CE193" s="13">
        <f t="shared" si="101"/>
        <v>2</v>
      </c>
      <c r="CF193" s="13">
        <f t="shared" si="102"/>
        <v>1.0196669901688089</v>
      </c>
      <c r="CG193" s="13">
        <f t="shared" si="103"/>
        <v>0</v>
      </c>
      <c r="CH193" s="13">
        <f t="shared" si="104"/>
        <v>1.4142135623730951</v>
      </c>
      <c r="CI193" s="13">
        <f t="shared" si="105"/>
        <v>0</v>
      </c>
      <c r="CJ193" s="13">
        <f t="shared" si="105"/>
        <v>0</v>
      </c>
      <c r="CK193" s="13">
        <f t="shared" si="106"/>
        <v>0</v>
      </c>
      <c r="CL193" s="13">
        <f t="shared" si="107"/>
        <v>1</v>
      </c>
      <c r="CM193" s="13">
        <f t="shared" si="108"/>
        <v>0</v>
      </c>
      <c r="CN193" s="13">
        <f t="shared" si="109"/>
        <v>1</v>
      </c>
      <c r="CO193" s="13">
        <f t="shared" si="110"/>
        <v>0</v>
      </c>
      <c r="CP193" s="13">
        <f t="shared" si="111"/>
        <v>1.7320508075688772</v>
      </c>
      <c r="CQ193" s="13">
        <f t="shared" si="112"/>
        <v>0</v>
      </c>
      <c r="CR193" s="13">
        <f t="shared" si="113"/>
        <v>0</v>
      </c>
      <c r="CS193" s="13">
        <f t="shared" si="114"/>
        <v>1.3862943611198906</v>
      </c>
      <c r="CT193" s="13">
        <f t="shared" si="115"/>
        <v>1.6094379124341003</v>
      </c>
      <c r="CU193" s="13">
        <f t="shared" si="116"/>
        <v>0.7128129214483524</v>
      </c>
      <c r="CV193" s="13">
        <f t="shared" si="117"/>
        <v>0</v>
      </c>
      <c r="CW193" s="13">
        <f t="shared" si="118"/>
        <v>1.0986122886681098</v>
      </c>
      <c r="CX193" s="13">
        <f t="shared" si="119"/>
        <v>0</v>
      </c>
      <c r="CY193" s="13">
        <f t="shared" si="120"/>
        <v>0</v>
      </c>
      <c r="CZ193" s="13">
        <f t="shared" si="121"/>
        <v>0</v>
      </c>
      <c r="DA193" s="13">
        <f t="shared" si="122"/>
        <v>0.69314718055994529</v>
      </c>
      <c r="DB193" s="13">
        <f t="shared" si="123"/>
        <v>0</v>
      </c>
      <c r="DC193" s="13">
        <f t="shared" si="124"/>
        <v>0.69314718055994529</v>
      </c>
      <c r="DD193" s="13">
        <f t="shared" si="125"/>
        <v>0</v>
      </c>
      <c r="DE193" s="13">
        <f t="shared" si="126"/>
        <v>1.3862943611198906</v>
      </c>
      <c r="DF193" s="13">
        <f t="shared" si="127"/>
        <v>0</v>
      </c>
      <c r="DG193" s="13">
        <f t="shared" si="128"/>
        <v>0</v>
      </c>
      <c r="DH193" s="13"/>
      <c r="DI193" s="13"/>
      <c r="DJ193" s="13"/>
      <c r="DL193"/>
      <c r="DM193"/>
      <c r="DN193"/>
      <c r="DO193"/>
      <c r="DP193" s="31"/>
    </row>
    <row r="194" spans="1:120">
      <c r="A194" t="s">
        <v>164</v>
      </c>
      <c r="B194" t="s">
        <v>183</v>
      </c>
      <c r="C194" t="s">
        <v>255</v>
      </c>
      <c r="D194" s="13" t="s">
        <v>319</v>
      </c>
      <c r="E194" s="13" t="s">
        <v>91</v>
      </c>
      <c r="F194" s="13">
        <v>0</v>
      </c>
      <c r="G194" s="13">
        <v>0</v>
      </c>
      <c r="H194" s="13">
        <v>0</v>
      </c>
      <c r="I194" s="13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32">
        <v>0</v>
      </c>
      <c r="Z194" s="32">
        <v>0</v>
      </c>
      <c r="AA194" s="32">
        <v>0</v>
      </c>
      <c r="AB194" s="13">
        <v>1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 s="13">
        <v>1</v>
      </c>
      <c r="BD194" s="32">
        <v>0</v>
      </c>
      <c r="BE194" s="32">
        <v>0</v>
      </c>
      <c r="BF194" s="32">
        <v>0</v>
      </c>
      <c r="BG194" s="32">
        <v>0</v>
      </c>
      <c r="BH194" s="32">
        <v>0</v>
      </c>
      <c r="BI194" s="13">
        <v>2</v>
      </c>
      <c r="BJ194" s="32">
        <v>0</v>
      </c>
      <c r="BK194" s="32">
        <v>0</v>
      </c>
      <c r="BL194" s="32">
        <v>0</v>
      </c>
      <c r="BM194" s="32">
        <v>0</v>
      </c>
      <c r="BN194" s="32">
        <v>0</v>
      </c>
      <c r="BO194">
        <f t="shared" si="132"/>
        <v>3</v>
      </c>
      <c r="BP194" s="13">
        <f t="shared" si="133"/>
        <v>4</v>
      </c>
      <c r="BQ194" s="13">
        <f>[1]!shannonweaver(K194:BL194)</f>
        <v>1.0397207708399179</v>
      </c>
      <c r="BR194">
        <f t="shared" si="129"/>
        <v>0</v>
      </c>
      <c r="BS194">
        <f t="shared" si="130"/>
        <v>1</v>
      </c>
      <c r="BT194">
        <f t="shared" si="131"/>
        <v>1</v>
      </c>
      <c r="BU194">
        <f t="shared" si="91"/>
        <v>0</v>
      </c>
      <c r="BV194" s="13">
        <f t="shared" si="92"/>
        <v>0</v>
      </c>
      <c r="BW194" s="13">
        <f t="shared" si="93"/>
        <v>1</v>
      </c>
      <c r="BX194" s="13">
        <f t="shared" si="94"/>
        <v>0</v>
      </c>
      <c r="BY194" s="13">
        <f t="shared" si="95"/>
        <v>1</v>
      </c>
      <c r="BZ194" s="13">
        <f t="shared" si="96"/>
        <v>0</v>
      </c>
      <c r="CA194" s="13">
        <f t="shared" si="97"/>
        <v>1</v>
      </c>
      <c r="CB194" s="13">
        <f t="shared" si="98"/>
        <v>1</v>
      </c>
      <c r="CC194" s="13">
        <f t="shared" si="99"/>
        <v>0</v>
      </c>
      <c r="CD194" s="13">
        <f t="shared" si="100"/>
        <v>1.7320508075688772</v>
      </c>
      <c r="CE194" s="13">
        <f t="shared" si="101"/>
        <v>2</v>
      </c>
      <c r="CF194" s="13">
        <f t="shared" si="102"/>
        <v>1.0196669901688089</v>
      </c>
      <c r="CG194" s="13">
        <f t="shared" si="103"/>
        <v>0</v>
      </c>
      <c r="CH194" s="13">
        <f t="shared" si="104"/>
        <v>1</v>
      </c>
      <c r="CI194" s="13">
        <f t="shared" si="105"/>
        <v>1</v>
      </c>
      <c r="CJ194" s="13">
        <f t="shared" si="105"/>
        <v>0</v>
      </c>
      <c r="CK194" s="13">
        <f t="shared" si="106"/>
        <v>0</v>
      </c>
      <c r="CL194" s="13">
        <f t="shared" si="107"/>
        <v>1</v>
      </c>
      <c r="CM194" s="13">
        <f t="shared" si="108"/>
        <v>0</v>
      </c>
      <c r="CN194" s="13">
        <f t="shared" si="109"/>
        <v>1</v>
      </c>
      <c r="CO194" s="13">
        <f t="shared" si="110"/>
        <v>0</v>
      </c>
      <c r="CP194" s="13">
        <f t="shared" si="111"/>
        <v>1</v>
      </c>
      <c r="CQ194" s="13">
        <f t="shared" si="112"/>
        <v>1</v>
      </c>
      <c r="CR194" s="13">
        <f t="shared" si="113"/>
        <v>0</v>
      </c>
      <c r="CS194" s="13">
        <f t="shared" si="114"/>
        <v>1.3862943611198906</v>
      </c>
      <c r="CT194" s="13">
        <f t="shared" si="115"/>
        <v>1.6094379124341003</v>
      </c>
      <c r="CU194" s="13">
        <f t="shared" si="116"/>
        <v>0.7128129214483524</v>
      </c>
      <c r="CV194" s="13">
        <f t="shared" si="117"/>
        <v>0</v>
      </c>
      <c r="CW194" s="13">
        <f t="shared" si="118"/>
        <v>0.69314718055994529</v>
      </c>
      <c r="CX194" s="13">
        <f t="shared" si="119"/>
        <v>0.69314718055994529</v>
      </c>
      <c r="CY194" s="13">
        <f t="shared" si="120"/>
        <v>0</v>
      </c>
      <c r="CZ194" s="13">
        <f t="shared" si="121"/>
        <v>0</v>
      </c>
      <c r="DA194" s="13">
        <f t="shared" si="122"/>
        <v>0.69314718055994529</v>
      </c>
      <c r="DB194" s="13">
        <f t="shared" si="123"/>
        <v>0</v>
      </c>
      <c r="DC194" s="13">
        <f t="shared" si="124"/>
        <v>0.69314718055994529</v>
      </c>
      <c r="DD194" s="13">
        <f t="shared" si="125"/>
        <v>0</v>
      </c>
      <c r="DE194" s="13">
        <f t="shared" si="126"/>
        <v>0.69314718055994529</v>
      </c>
      <c r="DF194" s="13">
        <f t="shared" si="127"/>
        <v>0.69314718055994529</v>
      </c>
      <c r="DG194" s="13">
        <f t="shared" si="128"/>
        <v>0</v>
      </c>
      <c r="DH194" s="13"/>
      <c r="DI194" s="13"/>
      <c r="DJ194" s="13"/>
      <c r="DL194"/>
      <c r="DM194"/>
      <c r="DN194"/>
      <c r="DO194"/>
      <c r="DP194" s="31"/>
    </row>
    <row r="195" spans="1:120">
      <c r="A195" t="s">
        <v>165</v>
      </c>
      <c r="B195" t="s">
        <v>183</v>
      </c>
      <c r="C195" t="s">
        <v>255</v>
      </c>
      <c r="D195" s="13" t="s">
        <v>319</v>
      </c>
      <c r="E195" s="13" t="s">
        <v>91</v>
      </c>
      <c r="F195" s="13">
        <v>0</v>
      </c>
      <c r="G195" s="13">
        <v>0</v>
      </c>
      <c r="H195" s="13">
        <v>0</v>
      </c>
      <c r="I195" s="13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>
        <v>0</v>
      </c>
      <c r="P195" s="13">
        <v>1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32">
        <v>0</v>
      </c>
      <c r="AB195" s="32">
        <v>0</v>
      </c>
      <c r="AC195" s="32">
        <v>0</v>
      </c>
      <c r="AD195" s="13">
        <v>1</v>
      </c>
      <c r="AE195" s="32">
        <v>0</v>
      </c>
      <c r="AF195" s="32">
        <v>0</v>
      </c>
      <c r="AG195" s="13">
        <v>2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 s="32">
        <v>0</v>
      </c>
      <c r="BD195" s="32">
        <v>0</v>
      </c>
      <c r="BE195" s="32">
        <v>0</v>
      </c>
      <c r="BF195" s="32">
        <v>0</v>
      </c>
      <c r="BG195" s="32">
        <v>0</v>
      </c>
      <c r="BH195" s="32">
        <v>0</v>
      </c>
      <c r="BI195" s="13">
        <v>1</v>
      </c>
      <c r="BJ195" s="32">
        <v>0</v>
      </c>
      <c r="BK195" s="13">
        <v>1</v>
      </c>
      <c r="BL195" s="32">
        <v>0</v>
      </c>
      <c r="BM195" s="32">
        <v>0</v>
      </c>
      <c r="BN195" s="32">
        <v>0</v>
      </c>
      <c r="BO195">
        <f t="shared" si="132"/>
        <v>5</v>
      </c>
      <c r="BP195" s="13">
        <f t="shared" si="133"/>
        <v>6</v>
      </c>
      <c r="BQ195" s="13">
        <f>[1]!shannonweaver(K195:BL195)</f>
        <v>1.5607104090414063</v>
      </c>
      <c r="BR195">
        <f t="shared" si="129"/>
        <v>1</v>
      </c>
      <c r="BS195">
        <f t="shared" si="130"/>
        <v>2</v>
      </c>
      <c r="BT195">
        <f t="shared" si="131"/>
        <v>0</v>
      </c>
      <c r="BU195">
        <f t="shared" ref="BU195:BU217" si="134">SUM(O195:S195)</f>
        <v>1</v>
      </c>
      <c r="BV195" s="13">
        <f t="shared" ref="BV195:BV217" si="135">SUM(N195:W195)</f>
        <v>1</v>
      </c>
      <c r="BW195" s="13">
        <f t="shared" ref="BW195:BW217" si="136">SUM(AB195:AD195)</f>
        <v>1</v>
      </c>
      <c r="BX195" s="13">
        <f t="shared" ref="BX195:BX217" si="137">AE195</f>
        <v>0</v>
      </c>
      <c r="BY195" s="13">
        <f t="shared" ref="BY195:BY217" si="138">SUM(AB195:AE195)</f>
        <v>1</v>
      </c>
      <c r="BZ195" s="13">
        <f t="shared" ref="BZ195:BZ217" si="139">AG195</f>
        <v>2</v>
      </c>
      <c r="CA195" s="13">
        <f t="shared" ref="CA195:CA217" si="140">SUM(X195:AQ195)</f>
        <v>3</v>
      </c>
      <c r="CB195" s="13">
        <f t="shared" ref="CB195:CB217" si="141">SUM(AR195:BD195)</f>
        <v>0</v>
      </c>
      <c r="CC195" s="13">
        <f t="shared" ref="CC195:CC217" si="142">SUM(BK195:BL195)</f>
        <v>1</v>
      </c>
      <c r="CD195" s="13">
        <f t="shared" ref="CD195:CD217" si="143">BO195^0.5</f>
        <v>2.2360679774997898</v>
      </c>
      <c r="CE195" s="13">
        <f t="shared" ref="CE195:CE217" si="144">BP195^0.5</f>
        <v>2.4494897427831779</v>
      </c>
      <c r="CF195" s="13">
        <f t="shared" ref="CF195:CF217" si="145">BQ195^0.5</f>
        <v>1.2492839585304081</v>
      </c>
      <c r="CG195" s="13">
        <f t="shared" ref="CG195:CG217" si="146">BR195^0.5</f>
        <v>1</v>
      </c>
      <c r="CH195" s="13">
        <f t="shared" ref="CH195:CH217" si="147">BS195^0.5</f>
        <v>1.4142135623730951</v>
      </c>
      <c r="CI195" s="13">
        <f t="shared" ref="CI195:CJ217" si="148">BT195^0.5</f>
        <v>0</v>
      </c>
      <c r="CJ195" s="13">
        <f t="shared" si="148"/>
        <v>1</v>
      </c>
      <c r="CK195" s="13">
        <f t="shared" ref="CK195:CK217" si="149">BV195^0.5</f>
        <v>1</v>
      </c>
      <c r="CL195" s="13">
        <f t="shared" ref="CL195:CL217" si="150">BW195^0.5</f>
        <v>1</v>
      </c>
      <c r="CM195" s="13">
        <f t="shared" ref="CM195:CM217" si="151">BX195^0.5</f>
        <v>0</v>
      </c>
      <c r="CN195" s="13">
        <f t="shared" ref="CN195:CN217" si="152">BY195^0.5</f>
        <v>1</v>
      </c>
      <c r="CO195" s="13">
        <f t="shared" ref="CO195:CO217" si="153">BZ195^0.5</f>
        <v>1.4142135623730951</v>
      </c>
      <c r="CP195" s="13">
        <f t="shared" ref="CP195:CP217" si="154">CA195^0.5</f>
        <v>1.7320508075688772</v>
      </c>
      <c r="CQ195" s="13">
        <f t="shared" ref="CQ195:CQ217" si="155">CB195^0.5</f>
        <v>0</v>
      </c>
      <c r="CR195" s="13">
        <f t="shared" ref="CR195:CR217" si="156">CC195^0.5</f>
        <v>1</v>
      </c>
      <c r="CS195" s="13">
        <f t="shared" ref="CS195:CS217" si="157">LN(BO195+1)</f>
        <v>1.791759469228055</v>
      </c>
      <c r="CT195" s="13">
        <f t="shared" ref="CT195:CT217" si="158">LN(BP195+1)</f>
        <v>1.9459101490553132</v>
      </c>
      <c r="CU195" s="13">
        <f t="shared" ref="CU195:CU217" si="159">LN(BQ195+1)</f>
        <v>0.94028472352628722</v>
      </c>
      <c r="CV195" s="13">
        <f t="shared" ref="CV195:CV217" si="160">LN(BR195+1)</f>
        <v>0.69314718055994529</v>
      </c>
      <c r="CW195" s="13">
        <f t="shared" ref="CW195:CW217" si="161">LN(BS195+1)</f>
        <v>1.0986122886681098</v>
      </c>
      <c r="CX195" s="13">
        <f t="shared" ref="CX195:CX217" si="162">LN(BT195+1)</f>
        <v>0</v>
      </c>
      <c r="CY195" s="13">
        <f t="shared" ref="CY195:CY217" si="163">LN(BU195+1)</f>
        <v>0.69314718055994529</v>
      </c>
      <c r="CZ195" s="13">
        <f t="shared" ref="CZ195:CZ217" si="164">LN(BV195+1)</f>
        <v>0.69314718055994529</v>
      </c>
      <c r="DA195" s="13">
        <f t="shared" ref="DA195:DA217" si="165">LN(BW195+1)</f>
        <v>0.69314718055994529</v>
      </c>
      <c r="DB195" s="13">
        <f t="shared" ref="DB195:DB217" si="166">LN(BX195+1)</f>
        <v>0</v>
      </c>
      <c r="DC195" s="13">
        <f t="shared" ref="DC195:DC217" si="167">LN(BY195+1)</f>
        <v>0.69314718055994529</v>
      </c>
      <c r="DD195" s="13">
        <f t="shared" ref="DD195:DD217" si="168">LN(BZ195+1)</f>
        <v>1.0986122886681098</v>
      </c>
      <c r="DE195" s="13">
        <f t="shared" ref="DE195:DE217" si="169">LN(CA195+1)</f>
        <v>1.3862943611198906</v>
      </c>
      <c r="DF195" s="13">
        <f t="shared" ref="DF195:DF217" si="170">LN(CB195+1)</f>
        <v>0</v>
      </c>
      <c r="DG195" s="13">
        <f t="shared" ref="DG195:DG217" si="171">LN(CC195+1)</f>
        <v>0.69314718055994529</v>
      </c>
      <c r="DH195" s="13"/>
      <c r="DI195" s="13"/>
      <c r="DJ195" s="13"/>
      <c r="DL195"/>
      <c r="DM195"/>
      <c r="DN195"/>
      <c r="DO195"/>
      <c r="DP195" s="31"/>
    </row>
    <row r="196" spans="1:120">
      <c r="A196" t="s">
        <v>166</v>
      </c>
      <c r="B196" t="s">
        <v>183</v>
      </c>
      <c r="C196" t="s">
        <v>255</v>
      </c>
      <c r="D196" s="13" t="s">
        <v>319</v>
      </c>
      <c r="E196" s="13" t="s">
        <v>91</v>
      </c>
      <c r="F196" s="13">
        <v>0</v>
      </c>
      <c r="G196" s="13">
        <v>0</v>
      </c>
      <c r="H196" s="13">
        <v>0</v>
      </c>
      <c r="I196" s="13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32">
        <v>0</v>
      </c>
      <c r="Z196" s="32">
        <v>0</v>
      </c>
      <c r="AA196" s="32">
        <v>0</v>
      </c>
      <c r="AB196" s="13">
        <v>1</v>
      </c>
      <c r="AC196" s="32">
        <v>0</v>
      </c>
      <c r="AD196" s="13">
        <v>1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 s="32">
        <v>0</v>
      </c>
      <c r="BD196" s="32">
        <v>0</v>
      </c>
      <c r="BE196" s="32">
        <v>0</v>
      </c>
      <c r="BF196" s="32">
        <v>0</v>
      </c>
      <c r="BG196" s="32">
        <v>0</v>
      </c>
      <c r="BH196" s="32">
        <v>0</v>
      </c>
      <c r="BI196" s="13">
        <v>2</v>
      </c>
      <c r="BJ196" s="32">
        <v>0</v>
      </c>
      <c r="BK196" s="32">
        <v>0</v>
      </c>
      <c r="BL196" s="32">
        <v>0</v>
      </c>
      <c r="BM196" s="32">
        <v>0</v>
      </c>
      <c r="BN196" s="32">
        <v>0</v>
      </c>
      <c r="BO196">
        <f t="shared" si="132"/>
        <v>3</v>
      </c>
      <c r="BP196" s="13">
        <f t="shared" si="133"/>
        <v>4</v>
      </c>
      <c r="BQ196" s="13">
        <f>[1]!shannonweaver(K196:BL196)</f>
        <v>1.0397207708399179</v>
      </c>
      <c r="BR196">
        <f t="shared" si="129"/>
        <v>0</v>
      </c>
      <c r="BS196">
        <f t="shared" si="130"/>
        <v>2</v>
      </c>
      <c r="BT196">
        <f t="shared" si="131"/>
        <v>0</v>
      </c>
      <c r="BU196">
        <f t="shared" si="134"/>
        <v>0</v>
      </c>
      <c r="BV196" s="13">
        <f t="shared" si="135"/>
        <v>0</v>
      </c>
      <c r="BW196" s="13">
        <f t="shared" si="136"/>
        <v>2</v>
      </c>
      <c r="BX196" s="13">
        <f t="shared" si="137"/>
        <v>0</v>
      </c>
      <c r="BY196" s="13">
        <f t="shared" si="138"/>
        <v>2</v>
      </c>
      <c r="BZ196" s="13">
        <f t="shared" si="139"/>
        <v>0</v>
      </c>
      <c r="CA196" s="13">
        <f t="shared" si="140"/>
        <v>2</v>
      </c>
      <c r="CB196" s="13">
        <f t="shared" si="141"/>
        <v>0</v>
      </c>
      <c r="CC196" s="13">
        <f t="shared" si="142"/>
        <v>0</v>
      </c>
      <c r="CD196" s="13">
        <f t="shared" si="143"/>
        <v>1.7320508075688772</v>
      </c>
      <c r="CE196" s="13">
        <f t="shared" si="144"/>
        <v>2</v>
      </c>
      <c r="CF196" s="13">
        <f t="shared" si="145"/>
        <v>1.0196669901688089</v>
      </c>
      <c r="CG196" s="13">
        <f t="shared" si="146"/>
        <v>0</v>
      </c>
      <c r="CH196" s="13">
        <f t="shared" si="147"/>
        <v>1.4142135623730951</v>
      </c>
      <c r="CI196" s="13">
        <f t="shared" si="148"/>
        <v>0</v>
      </c>
      <c r="CJ196" s="13">
        <f t="shared" si="148"/>
        <v>0</v>
      </c>
      <c r="CK196" s="13">
        <f t="shared" si="149"/>
        <v>0</v>
      </c>
      <c r="CL196" s="13">
        <f t="shared" si="150"/>
        <v>1.4142135623730951</v>
      </c>
      <c r="CM196" s="13">
        <f t="shared" si="151"/>
        <v>0</v>
      </c>
      <c r="CN196" s="13">
        <f t="shared" si="152"/>
        <v>1.4142135623730951</v>
      </c>
      <c r="CO196" s="13">
        <f t="shared" si="153"/>
        <v>0</v>
      </c>
      <c r="CP196" s="13">
        <f t="shared" si="154"/>
        <v>1.4142135623730951</v>
      </c>
      <c r="CQ196" s="13">
        <f t="shared" si="155"/>
        <v>0</v>
      </c>
      <c r="CR196" s="13">
        <f t="shared" si="156"/>
        <v>0</v>
      </c>
      <c r="CS196" s="13">
        <f t="shared" si="157"/>
        <v>1.3862943611198906</v>
      </c>
      <c r="CT196" s="13">
        <f t="shared" si="158"/>
        <v>1.6094379124341003</v>
      </c>
      <c r="CU196" s="13">
        <f t="shared" si="159"/>
        <v>0.7128129214483524</v>
      </c>
      <c r="CV196" s="13">
        <f t="shared" si="160"/>
        <v>0</v>
      </c>
      <c r="CW196" s="13">
        <f t="shared" si="161"/>
        <v>1.0986122886681098</v>
      </c>
      <c r="CX196" s="13">
        <f t="shared" si="162"/>
        <v>0</v>
      </c>
      <c r="CY196" s="13">
        <f t="shared" si="163"/>
        <v>0</v>
      </c>
      <c r="CZ196" s="13">
        <f t="shared" si="164"/>
        <v>0</v>
      </c>
      <c r="DA196" s="13">
        <f t="shared" si="165"/>
        <v>1.0986122886681098</v>
      </c>
      <c r="DB196" s="13">
        <f t="shared" si="166"/>
        <v>0</v>
      </c>
      <c r="DC196" s="13">
        <f t="shared" si="167"/>
        <v>1.0986122886681098</v>
      </c>
      <c r="DD196" s="13">
        <f t="shared" si="168"/>
        <v>0</v>
      </c>
      <c r="DE196" s="13">
        <f t="shared" si="169"/>
        <v>1.0986122886681098</v>
      </c>
      <c r="DF196" s="13">
        <f t="shared" si="170"/>
        <v>0</v>
      </c>
      <c r="DG196" s="13">
        <f t="shared" si="171"/>
        <v>0</v>
      </c>
      <c r="DH196" s="13"/>
      <c r="DI196" s="13"/>
      <c r="DJ196" s="13"/>
      <c r="DL196"/>
      <c r="DM196"/>
      <c r="DN196"/>
      <c r="DO196"/>
      <c r="DP196" s="31"/>
    </row>
    <row r="197" spans="1:120">
      <c r="A197" t="s">
        <v>167</v>
      </c>
      <c r="B197" t="s">
        <v>183</v>
      </c>
      <c r="C197" t="s">
        <v>255</v>
      </c>
      <c r="D197" s="13" t="s">
        <v>319</v>
      </c>
      <c r="E197" s="13" t="s">
        <v>91</v>
      </c>
      <c r="F197" s="13">
        <v>0</v>
      </c>
      <c r="G197" s="13">
        <v>0</v>
      </c>
      <c r="H197" s="13">
        <v>0</v>
      </c>
      <c r="I197" s="13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>
        <v>0</v>
      </c>
      <c r="P197" s="32">
        <v>0</v>
      </c>
      <c r="Q197" s="32">
        <v>0</v>
      </c>
      <c r="R197" s="13">
        <v>1</v>
      </c>
      <c r="S197" s="32">
        <v>0</v>
      </c>
      <c r="T197" s="32">
        <v>0</v>
      </c>
      <c r="U197" s="32">
        <v>0</v>
      </c>
      <c r="V197" s="32">
        <v>0</v>
      </c>
      <c r="W197" s="13">
        <v>1</v>
      </c>
      <c r="X197" s="32">
        <v>0</v>
      </c>
      <c r="Y197" s="32">
        <v>0</v>
      </c>
      <c r="Z197" s="32">
        <v>0</v>
      </c>
      <c r="AA197" s="32">
        <v>0</v>
      </c>
      <c r="AB197" s="13">
        <v>1</v>
      </c>
      <c r="AC197" s="32">
        <v>0</v>
      </c>
      <c r="AD197" s="32">
        <v>0</v>
      </c>
      <c r="AE197" s="32">
        <v>0</v>
      </c>
      <c r="AF197" s="32">
        <v>0</v>
      </c>
      <c r="AG197" s="13">
        <v>1</v>
      </c>
      <c r="AH197" s="32">
        <v>0</v>
      </c>
      <c r="AI197" s="32">
        <v>0</v>
      </c>
      <c r="AJ197" s="32">
        <v>0</v>
      </c>
      <c r="AK197" s="32">
        <v>0</v>
      </c>
      <c r="AL197" s="32">
        <v>0</v>
      </c>
      <c r="AM197" s="32">
        <v>0</v>
      </c>
      <c r="AN197" s="32">
        <v>0</v>
      </c>
      <c r="AO197" s="32">
        <v>0</v>
      </c>
      <c r="AP197" s="32">
        <v>0</v>
      </c>
      <c r="AQ197" s="32">
        <v>0</v>
      </c>
      <c r="AR197" s="32">
        <v>0</v>
      </c>
      <c r="AS197" s="32">
        <v>0</v>
      </c>
      <c r="AT197" s="32">
        <v>0</v>
      </c>
      <c r="AU197" s="32">
        <v>0</v>
      </c>
      <c r="AV197" s="32">
        <v>0</v>
      </c>
      <c r="AW197" s="32">
        <v>0</v>
      </c>
      <c r="AX197" s="32">
        <v>0</v>
      </c>
      <c r="AY197" s="32">
        <v>0</v>
      </c>
      <c r="AZ197" s="32">
        <v>0</v>
      </c>
      <c r="BA197" s="32">
        <v>0</v>
      </c>
      <c r="BB197" s="32">
        <v>0</v>
      </c>
      <c r="BC197" s="13">
        <v>1</v>
      </c>
      <c r="BD197" s="32">
        <v>0</v>
      </c>
      <c r="BE197" s="32">
        <v>0</v>
      </c>
      <c r="BF197" s="32">
        <v>0</v>
      </c>
      <c r="BG197" s="32">
        <v>0</v>
      </c>
      <c r="BH197" s="32">
        <v>0</v>
      </c>
      <c r="BI197" s="13">
        <v>2</v>
      </c>
      <c r="BJ197" s="32">
        <v>0</v>
      </c>
      <c r="BK197" s="32">
        <v>0</v>
      </c>
      <c r="BL197" s="32">
        <v>0</v>
      </c>
      <c r="BM197" s="32">
        <v>0</v>
      </c>
      <c r="BN197" s="32">
        <v>0</v>
      </c>
      <c r="BO197">
        <f t="shared" si="132"/>
        <v>6</v>
      </c>
      <c r="BP197" s="13">
        <f t="shared" si="133"/>
        <v>7</v>
      </c>
      <c r="BQ197" s="13">
        <f>[1]!shannonweaver(K197:BL197)</f>
        <v>1.7478680974667573</v>
      </c>
      <c r="BR197">
        <f t="shared" si="129"/>
        <v>2</v>
      </c>
      <c r="BS197">
        <f t="shared" si="130"/>
        <v>2</v>
      </c>
      <c r="BT197">
        <f t="shared" si="131"/>
        <v>1</v>
      </c>
      <c r="BU197">
        <f t="shared" si="134"/>
        <v>1</v>
      </c>
      <c r="BV197" s="13">
        <f t="shared" si="135"/>
        <v>2</v>
      </c>
      <c r="BW197" s="13">
        <f t="shared" si="136"/>
        <v>1</v>
      </c>
      <c r="BX197" s="13">
        <f t="shared" si="137"/>
        <v>0</v>
      </c>
      <c r="BY197" s="13">
        <f t="shared" si="138"/>
        <v>1</v>
      </c>
      <c r="BZ197" s="13">
        <f t="shared" si="139"/>
        <v>1</v>
      </c>
      <c r="CA197" s="13">
        <f t="shared" si="140"/>
        <v>2</v>
      </c>
      <c r="CB197" s="13">
        <f t="shared" si="141"/>
        <v>1</v>
      </c>
      <c r="CC197" s="13">
        <f t="shared" si="142"/>
        <v>0</v>
      </c>
      <c r="CD197" s="13">
        <f t="shared" si="143"/>
        <v>2.4494897427831779</v>
      </c>
      <c r="CE197" s="13">
        <f t="shared" si="144"/>
        <v>2.6457513110645907</v>
      </c>
      <c r="CF197" s="13">
        <f t="shared" si="145"/>
        <v>1.3220696265578289</v>
      </c>
      <c r="CG197" s="13">
        <f t="shared" si="146"/>
        <v>1.4142135623730951</v>
      </c>
      <c r="CH197" s="13">
        <f t="shared" si="147"/>
        <v>1.4142135623730951</v>
      </c>
      <c r="CI197" s="13">
        <f t="shared" si="148"/>
        <v>1</v>
      </c>
      <c r="CJ197" s="13">
        <f t="shared" si="148"/>
        <v>1</v>
      </c>
      <c r="CK197" s="13">
        <f t="shared" si="149"/>
        <v>1.4142135623730951</v>
      </c>
      <c r="CL197" s="13">
        <f t="shared" si="150"/>
        <v>1</v>
      </c>
      <c r="CM197" s="13">
        <f t="shared" si="151"/>
        <v>0</v>
      </c>
      <c r="CN197" s="13">
        <f t="shared" si="152"/>
        <v>1</v>
      </c>
      <c r="CO197" s="13">
        <f t="shared" si="153"/>
        <v>1</v>
      </c>
      <c r="CP197" s="13">
        <f t="shared" si="154"/>
        <v>1.4142135623730951</v>
      </c>
      <c r="CQ197" s="13">
        <f t="shared" si="155"/>
        <v>1</v>
      </c>
      <c r="CR197" s="13">
        <f t="shared" si="156"/>
        <v>0</v>
      </c>
      <c r="CS197" s="13">
        <f t="shared" si="157"/>
        <v>1.9459101490553132</v>
      </c>
      <c r="CT197" s="13">
        <f t="shared" si="158"/>
        <v>2.0794415416798357</v>
      </c>
      <c r="CU197" s="13">
        <f t="shared" si="159"/>
        <v>1.0108253737418462</v>
      </c>
      <c r="CV197" s="13">
        <f t="shared" si="160"/>
        <v>1.0986122886681098</v>
      </c>
      <c r="CW197" s="13">
        <f t="shared" si="161"/>
        <v>1.0986122886681098</v>
      </c>
      <c r="CX197" s="13">
        <f t="shared" si="162"/>
        <v>0.69314718055994529</v>
      </c>
      <c r="CY197" s="13">
        <f t="shared" si="163"/>
        <v>0.69314718055994529</v>
      </c>
      <c r="CZ197" s="13">
        <f t="shared" si="164"/>
        <v>1.0986122886681098</v>
      </c>
      <c r="DA197" s="13">
        <f t="shared" si="165"/>
        <v>0.69314718055994529</v>
      </c>
      <c r="DB197" s="13">
        <f t="shared" si="166"/>
        <v>0</v>
      </c>
      <c r="DC197" s="13">
        <f t="shared" si="167"/>
        <v>0.69314718055994529</v>
      </c>
      <c r="DD197" s="13">
        <f t="shared" si="168"/>
        <v>0.69314718055994529</v>
      </c>
      <c r="DE197" s="13">
        <f t="shared" si="169"/>
        <v>1.0986122886681098</v>
      </c>
      <c r="DF197" s="13">
        <f t="shared" si="170"/>
        <v>0.69314718055994529</v>
      </c>
      <c r="DG197" s="13">
        <f t="shared" si="171"/>
        <v>0</v>
      </c>
      <c r="DH197" s="13"/>
      <c r="DI197" s="13"/>
      <c r="DJ197" s="13"/>
      <c r="DL197"/>
      <c r="DM197"/>
      <c r="DN197"/>
      <c r="DO197"/>
      <c r="DP197" s="31"/>
    </row>
    <row r="198" spans="1:120">
      <c r="A198" t="s">
        <v>168</v>
      </c>
      <c r="B198" t="s">
        <v>183</v>
      </c>
      <c r="C198" t="s">
        <v>255</v>
      </c>
      <c r="D198" s="13" t="s">
        <v>319</v>
      </c>
      <c r="E198" s="13" t="s">
        <v>91</v>
      </c>
      <c r="F198" s="13">
        <v>0</v>
      </c>
      <c r="G198" s="13">
        <v>0</v>
      </c>
      <c r="H198" s="13">
        <v>0</v>
      </c>
      <c r="I198" s="13">
        <v>0</v>
      </c>
      <c r="J198" s="32">
        <v>0</v>
      </c>
      <c r="K198" s="32">
        <v>0</v>
      </c>
      <c r="L198" s="32">
        <v>0</v>
      </c>
      <c r="M198" s="32">
        <v>0</v>
      </c>
      <c r="N198" s="32">
        <v>0</v>
      </c>
      <c r="O198" s="13">
        <v>1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13">
        <v>1</v>
      </c>
      <c r="AH198" s="32">
        <v>0</v>
      </c>
      <c r="AI198" s="32">
        <v>0</v>
      </c>
      <c r="AJ198" s="32">
        <v>0</v>
      </c>
      <c r="AK198" s="32">
        <v>0</v>
      </c>
      <c r="AL198" s="32">
        <v>0</v>
      </c>
      <c r="AM198" s="32">
        <v>0</v>
      </c>
      <c r="AN198" s="32">
        <v>0</v>
      </c>
      <c r="AO198" s="32">
        <v>0</v>
      </c>
      <c r="AP198" s="32">
        <v>0</v>
      </c>
      <c r="AQ198" s="32">
        <v>0</v>
      </c>
      <c r="AR198" s="32">
        <v>0</v>
      </c>
      <c r="AS198" s="32">
        <v>0</v>
      </c>
      <c r="AT198" s="32">
        <v>0</v>
      </c>
      <c r="AU198" s="32">
        <v>0</v>
      </c>
      <c r="AV198" s="32">
        <v>0</v>
      </c>
      <c r="AW198" s="32">
        <v>0</v>
      </c>
      <c r="AX198" s="32">
        <v>0</v>
      </c>
      <c r="AY198" s="32">
        <v>0</v>
      </c>
      <c r="AZ198" s="32">
        <v>0</v>
      </c>
      <c r="BA198" s="32">
        <v>0</v>
      </c>
      <c r="BB198" s="32">
        <v>0</v>
      </c>
      <c r="BC198" s="32">
        <v>0</v>
      </c>
      <c r="BD198" s="32">
        <v>0</v>
      </c>
      <c r="BE198" s="32">
        <v>0</v>
      </c>
      <c r="BF198" s="32">
        <v>0</v>
      </c>
      <c r="BG198" s="32">
        <v>0</v>
      </c>
      <c r="BH198" s="32">
        <v>0</v>
      </c>
      <c r="BI198" s="32">
        <v>0</v>
      </c>
      <c r="BJ198" s="32">
        <v>0</v>
      </c>
      <c r="BK198" s="32">
        <v>0</v>
      </c>
      <c r="BL198" s="32">
        <v>0</v>
      </c>
      <c r="BM198" s="32">
        <v>0</v>
      </c>
      <c r="BN198" s="32">
        <v>0</v>
      </c>
      <c r="BO198">
        <f t="shared" si="132"/>
        <v>2</v>
      </c>
      <c r="BP198" s="13">
        <f t="shared" si="133"/>
        <v>2</v>
      </c>
      <c r="BQ198" s="13">
        <f>[1]!shannonweaver(K198:BL198)</f>
        <v>0.69314718055994529</v>
      </c>
      <c r="BR198">
        <f t="shared" si="129"/>
        <v>1</v>
      </c>
      <c r="BS198">
        <f t="shared" si="130"/>
        <v>1</v>
      </c>
      <c r="BT198">
        <f t="shared" si="131"/>
        <v>0</v>
      </c>
      <c r="BU198">
        <f t="shared" si="134"/>
        <v>1</v>
      </c>
      <c r="BV198" s="13">
        <f t="shared" si="135"/>
        <v>1</v>
      </c>
      <c r="BW198" s="13">
        <f t="shared" si="136"/>
        <v>0</v>
      </c>
      <c r="BX198" s="13">
        <f t="shared" si="137"/>
        <v>0</v>
      </c>
      <c r="BY198" s="13">
        <f t="shared" si="138"/>
        <v>0</v>
      </c>
      <c r="BZ198" s="13">
        <f t="shared" si="139"/>
        <v>1</v>
      </c>
      <c r="CA198" s="13">
        <f t="shared" si="140"/>
        <v>1</v>
      </c>
      <c r="CB198" s="13">
        <f t="shared" si="141"/>
        <v>0</v>
      </c>
      <c r="CC198" s="13">
        <f t="shared" si="142"/>
        <v>0</v>
      </c>
      <c r="CD198" s="13">
        <f t="shared" si="143"/>
        <v>1.4142135623730951</v>
      </c>
      <c r="CE198" s="13">
        <f t="shared" si="144"/>
        <v>1.4142135623730951</v>
      </c>
      <c r="CF198" s="13">
        <f t="shared" si="145"/>
        <v>0.83255461115769769</v>
      </c>
      <c r="CG198" s="13">
        <f t="shared" si="146"/>
        <v>1</v>
      </c>
      <c r="CH198" s="13">
        <f t="shared" si="147"/>
        <v>1</v>
      </c>
      <c r="CI198" s="13">
        <f t="shared" si="148"/>
        <v>0</v>
      </c>
      <c r="CJ198" s="13">
        <f t="shared" si="148"/>
        <v>1</v>
      </c>
      <c r="CK198" s="13">
        <f t="shared" si="149"/>
        <v>1</v>
      </c>
      <c r="CL198" s="13">
        <f t="shared" si="150"/>
        <v>0</v>
      </c>
      <c r="CM198" s="13">
        <f t="shared" si="151"/>
        <v>0</v>
      </c>
      <c r="CN198" s="13">
        <f t="shared" si="152"/>
        <v>0</v>
      </c>
      <c r="CO198" s="13">
        <f t="shared" si="153"/>
        <v>1</v>
      </c>
      <c r="CP198" s="13">
        <f t="shared" si="154"/>
        <v>1</v>
      </c>
      <c r="CQ198" s="13">
        <f t="shared" si="155"/>
        <v>0</v>
      </c>
      <c r="CR198" s="13">
        <f t="shared" si="156"/>
        <v>0</v>
      </c>
      <c r="CS198" s="13">
        <f t="shared" si="157"/>
        <v>1.0986122886681098</v>
      </c>
      <c r="CT198" s="13">
        <f t="shared" si="158"/>
        <v>1.0986122886681098</v>
      </c>
      <c r="CU198" s="13">
        <f t="shared" si="159"/>
        <v>0.52658903413904457</v>
      </c>
      <c r="CV198" s="13">
        <f t="shared" si="160"/>
        <v>0.69314718055994529</v>
      </c>
      <c r="CW198" s="13">
        <f t="shared" si="161"/>
        <v>0.69314718055994529</v>
      </c>
      <c r="CX198" s="13">
        <f t="shared" si="162"/>
        <v>0</v>
      </c>
      <c r="CY198" s="13">
        <f t="shared" si="163"/>
        <v>0.69314718055994529</v>
      </c>
      <c r="CZ198" s="13">
        <f t="shared" si="164"/>
        <v>0.69314718055994529</v>
      </c>
      <c r="DA198" s="13">
        <f t="shared" si="165"/>
        <v>0</v>
      </c>
      <c r="DB198" s="13">
        <f t="shared" si="166"/>
        <v>0</v>
      </c>
      <c r="DC198" s="13">
        <f t="shared" si="167"/>
        <v>0</v>
      </c>
      <c r="DD198" s="13">
        <f t="shared" si="168"/>
        <v>0.69314718055994529</v>
      </c>
      <c r="DE198" s="13">
        <f t="shared" si="169"/>
        <v>0.69314718055994529</v>
      </c>
      <c r="DF198" s="13">
        <f t="shared" si="170"/>
        <v>0</v>
      </c>
      <c r="DG198" s="13">
        <f t="shared" si="171"/>
        <v>0</v>
      </c>
      <c r="DH198" s="13"/>
      <c r="DI198" s="13"/>
      <c r="DJ198" s="13"/>
      <c r="DL198"/>
      <c r="DM198"/>
      <c r="DN198"/>
      <c r="DO198"/>
      <c r="DP198" s="31"/>
    </row>
    <row r="199" spans="1:120">
      <c r="A199" t="s">
        <v>169</v>
      </c>
      <c r="B199" t="s">
        <v>183</v>
      </c>
      <c r="C199" t="s">
        <v>255</v>
      </c>
      <c r="D199" s="13" t="s">
        <v>319</v>
      </c>
      <c r="E199" s="13" t="s">
        <v>91</v>
      </c>
      <c r="F199" s="13">
        <v>0</v>
      </c>
      <c r="G199" s="13">
        <v>0</v>
      </c>
      <c r="H199" s="13">
        <v>0</v>
      </c>
      <c r="I199" s="13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13">
        <v>2</v>
      </c>
      <c r="P199" s="13">
        <v>1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  <c r="Z199" s="32">
        <v>0</v>
      </c>
      <c r="AA199" s="32">
        <v>0</v>
      </c>
      <c r="AB199" s="32">
        <v>0</v>
      </c>
      <c r="AC199" s="13">
        <v>1</v>
      </c>
      <c r="AD199" s="13">
        <v>1</v>
      </c>
      <c r="AE199" s="32">
        <v>0</v>
      </c>
      <c r="AF199" s="32">
        <v>0</v>
      </c>
      <c r="AG199" s="32">
        <v>0</v>
      </c>
      <c r="AH199" s="32">
        <v>0</v>
      </c>
      <c r="AI199" s="32">
        <v>0</v>
      </c>
      <c r="AJ199" s="32">
        <v>0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v>0</v>
      </c>
      <c r="AY199" s="32">
        <v>0</v>
      </c>
      <c r="AZ199" s="32">
        <v>0</v>
      </c>
      <c r="BA199" s="32">
        <v>0</v>
      </c>
      <c r="BB199" s="32">
        <v>0</v>
      </c>
      <c r="BC199" s="32">
        <v>0</v>
      </c>
      <c r="BD199" s="32">
        <v>0</v>
      </c>
      <c r="BE199" s="32">
        <v>0</v>
      </c>
      <c r="BF199" s="32">
        <v>0</v>
      </c>
      <c r="BG199" s="13">
        <v>1</v>
      </c>
      <c r="BH199" s="32">
        <v>0</v>
      </c>
      <c r="BI199" s="32">
        <v>0</v>
      </c>
      <c r="BJ199" s="32">
        <v>0</v>
      </c>
      <c r="BK199" s="32">
        <v>0</v>
      </c>
      <c r="BL199" s="32">
        <v>0</v>
      </c>
      <c r="BM199" s="32">
        <v>0</v>
      </c>
      <c r="BN199" s="32">
        <v>0</v>
      </c>
      <c r="BO199">
        <f t="shared" si="132"/>
        <v>5</v>
      </c>
      <c r="BP199" s="13">
        <f t="shared" si="133"/>
        <v>6</v>
      </c>
      <c r="BQ199" s="13">
        <f>[1]!shannonweaver(K199:BL199)</f>
        <v>1.5607104090414063</v>
      </c>
      <c r="BR199">
        <f t="shared" si="129"/>
        <v>2</v>
      </c>
      <c r="BS199">
        <f t="shared" si="130"/>
        <v>2</v>
      </c>
      <c r="BT199">
        <f t="shared" si="131"/>
        <v>0</v>
      </c>
      <c r="BU199">
        <f t="shared" si="134"/>
        <v>3</v>
      </c>
      <c r="BV199" s="13">
        <f t="shared" si="135"/>
        <v>3</v>
      </c>
      <c r="BW199" s="13">
        <f t="shared" si="136"/>
        <v>2</v>
      </c>
      <c r="BX199" s="13">
        <f t="shared" si="137"/>
        <v>0</v>
      </c>
      <c r="BY199" s="13">
        <f t="shared" si="138"/>
        <v>2</v>
      </c>
      <c r="BZ199" s="13">
        <f t="shared" si="139"/>
        <v>0</v>
      </c>
      <c r="CA199" s="13">
        <f t="shared" si="140"/>
        <v>2</v>
      </c>
      <c r="CB199" s="13">
        <f t="shared" si="141"/>
        <v>0</v>
      </c>
      <c r="CC199" s="13">
        <f t="shared" si="142"/>
        <v>0</v>
      </c>
      <c r="CD199" s="13">
        <f t="shared" si="143"/>
        <v>2.2360679774997898</v>
      </c>
      <c r="CE199" s="13">
        <f t="shared" si="144"/>
        <v>2.4494897427831779</v>
      </c>
      <c r="CF199" s="13">
        <f t="shared" si="145"/>
        <v>1.2492839585304081</v>
      </c>
      <c r="CG199" s="13">
        <f t="shared" si="146"/>
        <v>1.4142135623730951</v>
      </c>
      <c r="CH199" s="13">
        <f t="shared" si="147"/>
        <v>1.4142135623730951</v>
      </c>
      <c r="CI199" s="13">
        <f t="shared" si="148"/>
        <v>0</v>
      </c>
      <c r="CJ199" s="13">
        <f t="shared" si="148"/>
        <v>1.7320508075688772</v>
      </c>
      <c r="CK199" s="13">
        <f t="shared" si="149"/>
        <v>1.7320508075688772</v>
      </c>
      <c r="CL199" s="13">
        <f t="shared" si="150"/>
        <v>1.4142135623730951</v>
      </c>
      <c r="CM199" s="13">
        <f t="shared" si="151"/>
        <v>0</v>
      </c>
      <c r="CN199" s="13">
        <f t="shared" si="152"/>
        <v>1.4142135623730951</v>
      </c>
      <c r="CO199" s="13">
        <f t="shared" si="153"/>
        <v>0</v>
      </c>
      <c r="CP199" s="13">
        <f t="shared" si="154"/>
        <v>1.4142135623730951</v>
      </c>
      <c r="CQ199" s="13">
        <f t="shared" si="155"/>
        <v>0</v>
      </c>
      <c r="CR199" s="13">
        <f t="shared" si="156"/>
        <v>0</v>
      </c>
      <c r="CS199" s="13">
        <f t="shared" si="157"/>
        <v>1.791759469228055</v>
      </c>
      <c r="CT199" s="13">
        <f t="shared" si="158"/>
        <v>1.9459101490553132</v>
      </c>
      <c r="CU199" s="13">
        <f t="shared" si="159"/>
        <v>0.94028472352628722</v>
      </c>
      <c r="CV199" s="13">
        <f t="shared" si="160"/>
        <v>1.0986122886681098</v>
      </c>
      <c r="CW199" s="13">
        <f t="shared" si="161"/>
        <v>1.0986122886681098</v>
      </c>
      <c r="CX199" s="13">
        <f t="shared" si="162"/>
        <v>0</v>
      </c>
      <c r="CY199" s="13">
        <f t="shared" si="163"/>
        <v>1.3862943611198906</v>
      </c>
      <c r="CZ199" s="13">
        <f t="shared" si="164"/>
        <v>1.3862943611198906</v>
      </c>
      <c r="DA199" s="13">
        <f t="shared" si="165"/>
        <v>1.0986122886681098</v>
      </c>
      <c r="DB199" s="13">
        <f t="shared" si="166"/>
        <v>0</v>
      </c>
      <c r="DC199" s="13">
        <f t="shared" si="167"/>
        <v>1.0986122886681098</v>
      </c>
      <c r="DD199" s="13">
        <f t="shared" si="168"/>
        <v>0</v>
      </c>
      <c r="DE199" s="13">
        <f t="shared" si="169"/>
        <v>1.0986122886681098</v>
      </c>
      <c r="DF199" s="13">
        <f t="shared" si="170"/>
        <v>0</v>
      </c>
      <c r="DG199" s="13">
        <f t="shared" si="171"/>
        <v>0</v>
      </c>
      <c r="DH199" s="13"/>
      <c r="DI199" s="13"/>
      <c r="DJ199" s="13"/>
      <c r="DL199"/>
      <c r="DM199"/>
      <c r="DN199"/>
      <c r="DO199"/>
      <c r="DP199" s="31"/>
    </row>
    <row r="200" spans="1:120">
      <c r="A200" t="s">
        <v>170</v>
      </c>
      <c r="B200" t="s">
        <v>183</v>
      </c>
      <c r="C200" t="s">
        <v>262</v>
      </c>
      <c r="D200" s="13" t="s">
        <v>320</v>
      </c>
      <c r="E200" s="13" t="s">
        <v>91</v>
      </c>
      <c r="F200" s="13">
        <v>0</v>
      </c>
      <c r="G200" s="13">
        <v>0</v>
      </c>
      <c r="H200" s="13">
        <v>0</v>
      </c>
      <c r="I200" s="13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32">
        <v>0</v>
      </c>
      <c r="Z200" s="32">
        <v>0</v>
      </c>
      <c r="AA200" s="32">
        <v>0</v>
      </c>
      <c r="AB200" s="13">
        <v>1</v>
      </c>
      <c r="AC200" s="13">
        <v>0</v>
      </c>
      <c r="AD200" s="13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0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13">
        <v>3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0</v>
      </c>
      <c r="BA200" s="32">
        <v>0</v>
      </c>
      <c r="BB200" s="32">
        <v>0</v>
      </c>
      <c r="BC200" s="32">
        <v>0</v>
      </c>
      <c r="BD200" s="32">
        <v>0</v>
      </c>
      <c r="BE200" s="32">
        <v>0</v>
      </c>
      <c r="BF200" s="32">
        <v>0</v>
      </c>
      <c r="BG200" s="32">
        <v>0</v>
      </c>
      <c r="BH200" s="32">
        <v>0</v>
      </c>
      <c r="BI200" s="13">
        <v>1</v>
      </c>
      <c r="BJ200" s="32">
        <v>0</v>
      </c>
      <c r="BK200" s="32">
        <v>0</v>
      </c>
      <c r="BL200" s="32">
        <v>0</v>
      </c>
      <c r="BM200" s="32">
        <v>0</v>
      </c>
      <c r="BN200" s="32">
        <v>0</v>
      </c>
      <c r="BO200">
        <f t="shared" si="132"/>
        <v>3</v>
      </c>
      <c r="BP200" s="13">
        <f t="shared" si="133"/>
        <v>5</v>
      </c>
      <c r="BQ200" s="13">
        <f>[1]!shannonweaver(K200:BL200)</f>
        <v>0.95027053923323468</v>
      </c>
      <c r="BR200">
        <f t="shared" ref="BR200:BR217" si="172">COUNTIF(N200:W200, "&gt;0")</f>
        <v>0</v>
      </c>
      <c r="BS200">
        <f t="shared" ref="BS200:BS217" si="173">COUNTIF(X200:AQ200, "&gt;0")</f>
        <v>2</v>
      </c>
      <c r="BT200">
        <f t="shared" ref="BT200:BT217" si="174">COUNTIF(AR200:BD200, "&gt;0")</f>
        <v>0</v>
      </c>
      <c r="BU200">
        <f t="shared" si="134"/>
        <v>0</v>
      </c>
      <c r="BV200" s="13">
        <f t="shared" si="135"/>
        <v>0</v>
      </c>
      <c r="BW200" s="13">
        <f t="shared" si="136"/>
        <v>1</v>
      </c>
      <c r="BX200" s="13">
        <f t="shared" si="137"/>
        <v>0</v>
      </c>
      <c r="BY200" s="13">
        <f t="shared" si="138"/>
        <v>1</v>
      </c>
      <c r="BZ200" s="13">
        <f t="shared" si="139"/>
        <v>0</v>
      </c>
      <c r="CA200" s="13">
        <f t="shared" si="140"/>
        <v>4</v>
      </c>
      <c r="CB200" s="13">
        <f t="shared" si="141"/>
        <v>0</v>
      </c>
      <c r="CC200" s="13">
        <f t="shared" si="142"/>
        <v>0</v>
      </c>
      <c r="CD200" s="13">
        <f t="shared" si="143"/>
        <v>1.7320508075688772</v>
      </c>
      <c r="CE200" s="13">
        <f t="shared" si="144"/>
        <v>2.2360679774997898</v>
      </c>
      <c r="CF200" s="13">
        <f t="shared" si="145"/>
        <v>0.97481820830000643</v>
      </c>
      <c r="CG200" s="13">
        <f t="shared" si="146"/>
        <v>0</v>
      </c>
      <c r="CH200" s="13">
        <f t="shared" si="147"/>
        <v>1.4142135623730951</v>
      </c>
      <c r="CI200" s="13">
        <f t="shared" si="148"/>
        <v>0</v>
      </c>
      <c r="CJ200" s="13">
        <f t="shared" si="148"/>
        <v>0</v>
      </c>
      <c r="CK200" s="13">
        <f t="shared" si="149"/>
        <v>0</v>
      </c>
      <c r="CL200" s="13">
        <f t="shared" si="150"/>
        <v>1</v>
      </c>
      <c r="CM200" s="13">
        <f t="shared" si="151"/>
        <v>0</v>
      </c>
      <c r="CN200" s="13">
        <f t="shared" si="152"/>
        <v>1</v>
      </c>
      <c r="CO200" s="13">
        <f t="shared" si="153"/>
        <v>0</v>
      </c>
      <c r="CP200" s="13">
        <f t="shared" si="154"/>
        <v>2</v>
      </c>
      <c r="CQ200" s="13">
        <f t="shared" si="155"/>
        <v>0</v>
      </c>
      <c r="CR200" s="13">
        <f t="shared" si="156"/>
        <v>0</v>
      </c>
      <c r="CS200" s="13">
        <f t="shared" si="157"/>
        <v>1.3862943611198906</v>
      </c>
      <c r="CT200" s="13">
        <f t="shared" si="158"/>
        <v>1.791759469228055</v>
      </c>
      <c r="CU200" s="13">
        <f t="shared" si="159"/>
        <v>0.66796810102074522</v>
      </c>
      <c r="CV200" s="13">
        <f t="shared" si="160"/>
        <v>0</v>
      </c>
      <c r="CW200" s="13">
        <f t="shared" si="161"/>
        <v>1.0986122886681098</v>
      </c>
      <c r="CX200" s="13">
        <f t="shared" si="162"/>
        <v>0</v>
      </c>
      <c r="CY200" s="13">
        <f t="shared" si="163"/>
        <v>0</v>
      </c>
      <c r="CZ200" s="13">
        <f t="shared" si="164"/>
        <v>0</v>
      </c>
      <c r="DA200" s="13">
        <f t="shared" si="165"/>
        <v>0.69314718055994529</v>
      </c>
      <c r="DB200" s="13">
        <f t="shared" si="166"/>
        <v>0</v>
      </c>
      <c r="DC200" s="13">
        <f t="shared" si="167"/>
        <v>0.69314718055994529</v>
      </c>
      <c r="DD200" s="13">
        <f t="shared" si="168"/>
        <v>0</v>
      </c>
      <c r="DE200" s="13">
        <f t="shared" si="169"/>
        <v>1.6094379124341003</v>
      </c>
      <c r="DF200" s="13">
        <f t="shared" si="170"/>
        <v>0</v>
      </c>
      <c r="DG200" s="13">
        <f t="shared" si="171"/>
        <v>0</v>
      </c>
      <c r="DH200" s="13"/>
      <c r="DI200" s="13"/>
      <c r="DJ200" s="13"/>
      <c r="DL200"/>
      <c r="DM200"/>
      <c r="DN200"/>
      <c r="DO200"/>
      <c r="DP200" s="31"/>
    </row>
    <row r="201" spans="1:120">
      <c r="A201" t="s">
        <v>125</v>
      </c>
      <c r="B201" t="s">
        <v>183</v>
      </c>
      <c r="C201" t="s">
        <v>262</v>
      </c>
      <c r="D201" s="13" t="s">
        <v>320</v>
      </c>
      <c r="E201" s="13" t="s">
        <v>91</v>
      </c>
      <c r="F201" s="13">
        <v>0</v>
      </c>
      <c r="G201" s="13">
        <v>0</v>
      </c>
      <c r="H201" s="13">
        <v>1</v>
      </c>
      <c r="I201" s="13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0</v>
      </c>
      <c r="AC201" s="32">
        <v>0</v>
      </c>
      <c r="AD201" s="32">
        <v>0</v>
      </c>
      <c r="AE201" s="32">
        <v>0</v>
      </c>
      <c r="AF201" s="32">
        <v>0</v>
      </c>
      <c r="AG201" s="32">
        <v>0</v>
      </c>
      <c r="AH201" s="32">
        <v>0</v>
      </c>
      <c r="AI201" s="32">
        <v>0</v>
      </c>
      <c r="AJ201" s="32">
        <v>0</v>
      </c>
      <c r="AK201" s="32">
        <v>0</v>
      </c>
      <c r="AL201" s="32">
        <v>0</v>
      </c>
      <c r="AM201" s="13">
        <v>1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2">
        <v>0</v>
      </c>
      <c r="AZ201" s="32">
        <v>0</v>
      </c>
      <c r="BA201" s="32">
        <v>0</v>
      </c>
      <c r="BB201" s="32">
        <v>0</v>
      </c>
      <c r="BC201" s="32">
        <v>0</v>
      </c>
      <c r="BD201" s="32">
        <v>0</v>
      </c>
      <c r="BE201" s="32">
        <v>0</v>
      </c>
      <c r="BF201" s="32">
        <v>0</v>
      </c>
      <c r="BG201" s="32">
        <v>0</v>
      </c>
      <c r="BH201" s="32">
        <v>0</v>
      </c>
      <c r="BI201" s="32">
        <v>0</v>
      </c>
      <c r="BJ201" s="32">
        <v>0</v>
      </c>
      <c r="BK201" s="32">
        <v>0</v>
      </c>
      <c r="BL201" s="32">
        <v>0</v>
      </c>
      <c r="BM201" s="32">
        <v>0</v>
      </c>
      <c r="BN201" s="32">
        <v>0</v>
      </c>
      <c r="BO201">
        <f t="shared" si="132"/>
        <v>1</v>
      </c>
      <c r="BP201" s="13">
        <f t="shared" si="133"/>
        <v>1</v>
      </c>
      <c r="BQ201" s="13">
        <f>[1]!shannonweaver(K201:BL201)</f>
        <v>0</v>
      </c>
      <c r="BR201">
        <f t="shared" si="172"/>
        <v>0</v>
      </c>
      <c r="BS201">
        <f t="shared" si="173"/>
        <v>1</v>
      </c>
      <c r="BT201">
        <f t="shared" si="174"/>
        <v>0</v>
      </c>
      <c r="BU201">
        <f t="shared" si="134"/>
        <v>0</v>
      </c>
      <c r="BV201" s="13">
        <f t="shared" si="135"/>
        <v>0</v>
      </c>
      <c r="BW201" s="13">
        <f t="shared" si="136"/>
        <v>0</v>
      </c>
      <c r="BX201" s="13">
        <f t="shared" si="137"/>
        <v>0</v>
      </c>
      <c r="BY201" s="13">
        <f t="shared" si="138"/>
        <v>0</v>
      </c>
      <c r="BZ201" s="13">
        <f t="shared" si="139"/>
        <v>0</v>
      </c>
      <c r="CA201" s="13">
        <f t="shared" si="140"/>
        <v>1</v>
      </c>
      <c r="CB201" s="13">
        <f t="shared" si="141"/>
        <v>0</v>
      </c>
      <c r="CC201" s="13">
        <f t="shared" si="142"/>
        <v>0</v>
      </c>
      <c r="CD201" s="13">
        <f t="shared" si="143"/>
        <v>1</v>
      </c>
      <c r="CE201" s="13">
        <f t="shared" si="144"/>
        <v>1</v>
      </c>
      <c r="CF201" s="13">
        <f t="shared" si="145"/>
        <v>0</v>
      </c>
      <c r="CG201" s="13">
        <f t="shared" si="146"/>
        <v>0</v>
      </c>
      <c r="CH201" s="13">
        <f t="shared" si="147"/>
        <v>1</v>
      </c>
      <c r="CI201" s="13">
        <f t="shared" si="148"/>
        <v>0</v>
      </c>
      <c r="CJ201" s="13">
        <f t="shared" si="148"/>
        <v>0</v>
      </c>
      <c r="CK201" s="13">
        <f t="shared" si="149"/>
        <v>0</v>
      </c>
      <c r="CL201" s="13">
        <f t="shared" si="150"/>
        <v>0</v>
      </c>
      <c r="CM201" s="13">
        <f t="shared" si="151"/>
        <v>0</v>
      </c>
      <c r="CN201" s="13">
        <f t="shared" si="152"/>
        <v>0</v>
      </c>
      <c r="CO201" s="13">
        <f t="shared" si="153"/>
        <v>0</v>
      </c>
      <c r="CP201" s="13">
        <f t="shared" si="154"/>
        <v>1</v>
      </c>
      <c r="CQ201" s="13">
        <f t="shared" si="155"/>
        <v>0</v>
      </c>
      <c r="CR201" s="13">
        <f t="shared" si="156"/>
        <v>0</v>
      </c>
      <c r="CS201" s="13">
        <f t="shared" si="157"/>
        <v>0.69314718055994529</v>
      </c>
      <c r="CT201" s="13">
        <f t="shared" si="158"/>
        <v>0.69314718055994529</v>
      </c>
      <c r="CU201" s="13">
        <f t="shared" si="159"/>
        <v>0</v>
      </c>
      <c r="CV201" s="13">
        <f t="shared" si="160"/>
        <v>0</v>
      </c>
      <c r="CW201" s="13">
        <f t="shared" si="161"/>
        <v>0.69314718055994529</v>
      </c>
      <c r="CX201" s="13">
        <f t="shared" si="162"/>
        <v>0</v>
      </c>
      <c r="CY201" s="13">
        <f t="shared" si="163"/>
        <v>0</v>
      </c>
      <c r="CZ201" s="13">
        <f t="shared" si="164"/>
        <v>0</v>
      </c>
      <c r="DA201" s="13">
        <f t="shared" si="165"/>
        <v>0</v>
      </c>
      <c r="DB201" s="13">
        <f t="shared" si="166"/>
        <v>0</v>
      </c>
      <c r="DC201" s="13">
        <f t="shared" si="167"/>
        <v>0</v>
      </c>
      <c r="DD201" s="13">
        <f t="shared" si="168"/>
        <v>0</v>
      </c>
      <c r="DE201" s="13">
        <f t="shared" si="169"/>
        <v>0.69314718055994529</v>
      </c>
      <c r="DF201" s="13">
        <f t="shared" si="170"/>
        <v>0</v>
      </c>
      <c r="DG201" s="13">
        <f t="shared" si="171"/>
        <v>0</v>
      </c>
      <c r="DH201" s="13"/>
      <c r="DI201" s="13"/>
      <c r="DJ201" s="13"/>
      <c r="DL201"/>
      <c r="DM201"/>
      <c r="DN201"/>
      <c r="DO201"/>
      <c r="DP201" s="31"/>
    </row>
    <row r="202" spans="1:120">
      <c r="A202" t="s">
        <v>126</v>
      </c>
      <c r="B202" t="s">
        <v>183</v>
      </c>
      <c r="C202" t="s">
        <v>262</v>
      </c>
      <c r="D202" s="13" t="s">
        <v>320</v>
      </c>
      <c r="E202" s="13" t="s">
        <v>91</v>
      </c>
      <c r="F202" s="13">
        <v>0</v>
      </c>
      <c r="G202" s="13">
        <v>0</v>
      </c>
      <c r="H202" s="13">
        <v>0</v>
      </c>
      <c r="I202" s="13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32">
        <v>0</v>
      </c>
      <c r="Z202" s="32">
        <v>0</v>
      </c>
      <c r="AA202" s="32">
        <v>0</v>
      </c>
      <c r="AB202" s="13">
        <v>1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0</v>
      </c>
      <c r="AJ202" s="32">
        <v>0</v>
      </c>
      <c r="AK202" s="32">
        <v>0</v>
      </c>
      <c r="AL202" s="32">
        <v>0</v>
      </c>
      <c r="AM202" s="13">
        <v>1</v>
      </c>
      <c r="AN202" s="32">
        <v>0</v>
      </c>
      <c r="AO202" s="32">
        <v>0</v>
      </c>
      <c r="AP202" s="32">
        <v>0</v>
      </c>
      <c r="AQ202" s="13">
        <v>1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0</v>
      </c>
      <c r="BC202" s="32">
        <v>0</v>
      </c>
      <c r="BD202" s="32">
        <v>0</v>
      </c>
      <c r="BE202" s="32">
        <v>0</v>
      </c>
      <c r="BF202" s="32">
        <v>0</v>
      </c>
      <c r="BG202" s="32">
        <v>0</v>
      </c>
      <c r="BH202" s="32">
        <v>0</v>
      </c>
      <c r="BI202" s="32">
        <v>0</v>
      </c>
      <c r="BJ202" s="32">
        <v>0</v>
      </c>
      <c r="BK202" s="32">
        <v>0</v>
      </c>
      <c r="BL202" s="32">
        <v>0</v>
      </c>
      <c r="BM202" s="32">
        <v>0</v>
      </c>
      <c r="BN202" s="32">
        <v>0</v>
      </c>
      <c r="BO202">
        <f t="shared" si="132"/>
        <v>3</v>
      </c>
      <c r="BP202" s="13">
        <f t="shared" si="133"/>
        <v>3</v>
      </c>
      <c r="BQ202" s="13">
        <f>[1]!shannonweaver(K202:BL202)</f>
        <v>1.0986122886681096</v>
      </c>
      <c r="BR202">
        <f t="shared" si="172"/>
        <v>0</v>
      </c>
      <c r="BS202">
        <f t="shared" si="173"/>
        <v>3</v>
      </c>
      <c r="BT202">
        <f t="shared" si="174"/>
        <v>0</v>
      </c>
      <c r="BU202">
        <f t="shared" si="134"/>
        <v>0</v>
      </c>
      <c r="BV202" s="13">
        <f t="shared" si="135"/>
        <v>0</v>
      </c>
      <c r="BW202" s="13">
        <f t="shared" si="136"/>
        <v>1</v>
      </c>
      <c r="BX202" s="13">
        <f t="shared" si="137"/>
        <v>0</v>
      </c>
      <c r="BY202" s="13">
        <f t="shared" si="138"/>
        <v>1</v>
      </c>
      <c r="BZ202" s="13">
        <f t="shared" si="139"/>
        <v>0</v>
      </c>
      <c r="CA202" s="13">
        <f t="shared" si="140"/>
        <v>3</v>
      </c>
      <c r="CB202" s="13">
        <f t="shared" si="141"/>
        <v>0</v>
      </c>
      <c r="CC202" s="13">
        <f t="shared" si="142"/>
        <v>0</v>
      </c>
      <c r="CD202" s="13">
        <f t="shared" si="143"/>
        <v>1.7320508075688772</v>
      </c>
      <c r="CE202" s="13">
        <f t="shared" si="144"/>
        <v>1.7320508075688772</v>
      </c>
      <c r="CF202" s="13">
        <f t="shared" si="145"/>
        <v>1.0481470739682048</v>
      </c>
      <c r="CG202" s="13">
        <f t="shared" si="146"/>
        <v>0</v>
      </c>
      <c r="CH202" s="13">
        <f t="shared" si="147"/>
        <v>1.7320508075688772</v>
      </c>
      <c r="CI202" s="13">
        <f t="shared" si="148"/>
        <v>0</v>
      </c>
      <c r="CJ202" s="13">
        <f t="shared" si="148"/>
        <v>0</v>
      </c>
      <c r="CK202" s="13">
        <f t="shared" si="149"/>
        <v>0</v>
      </c>
      <c r="CL202" s="13">
        <f t="shared" si="150"/>
        <v>1</v>
      </c>
      <c r="CM202" s="13">
        <f t="shared" si="151"/>
        <v>0</v>
      </c>
      <c r="CN202" s="13">
        <f t="shared" si="152"/>
        <v>1</v>
      </c>
      <c r="CO202" s="13">
        <f t="shared" si="153"/>
        <v>0</v>
      </c>
      <c r="CP202" s="13">
        <f t="shared" si="154"/>
        <v>1.7320508075688772</v>
      </c>
      <c r="CQ202" s="13">
        <f t="shared" si="155"/>
        <v>0</v>
      </c>
      <c r="CR202" s="13">
        <f t="shared" si="156"/>
        <v>0</v>
      </c>
      <c r="CS202" s="13">
        <f t="shared" si="157"/>
        <v>1.3862943611198906</v>
      </c>
      <c r="CT202" s="13">
        <f t="shared" si="158"/>
        <v>1.3862943611198906</v>
      </c>
      <c r="CU202" s="13">
        <f t="shared" si="159"/>
        <v>0.74127631137501515</v>
      </c>
      <c r="CV202" s="13">
        <f t="shared" si="160"/>
        <v>0</v>
      </c>
      <c r="CW202" s="13">
        <f t="shared" si="161"/>
        <v>1.3862943611198906</v>
      </c>
      <c r="CX202" s="13">
        <f t="shared" si="162"/>
        <v>0</v>
      </c>
      <c r="CY202" s="13">
        <f t="shared" si="163"/>
        <v>0</v>
      </c>
      <c r="CZ202" s="13">
        <f t="shared" si="164"/>
        <v>0</v>
      </c>
      <c r="DA202" s="13">
        <f t="shared" si="165"/>
        <v>0.69314718055994529</v>
      </c>
      <c r="DB202" s="13">
        <f t="shared" si="166"/>
        <v>0</v>
      </c>
      <c r="DC202" s="13">
        <f t="shared" si="167"/>
        <v>0.69314718055994529</v>
      </c>
      <c r="DD202" s="13">
        <f t="shared" si="168"/>
        <v>0</v>
      </c>
      <c r="DE202" s="13">
        <f t="shared" si="169"/>
        <v>1.3862943611198906</v>
      </c>
      <c r="DF202" s="13">
        <f t="shared" si="170"/>
        <v>0</v>
      </c>
      <c r="DG202" s="13">
        <f t="shared" si="171"/>
        <v>0</v>
      </c>
      <c r="DH202" s="13"/>
      <c r="DI202" s="13"/>
      <c r="DJ202" s="13"/>
      <c r="DL202"/>
      <c r="DM202"/>
      <c r="DN202"/>
      <c r="DO202"/>
      <c r="DP202" s="31"/>
    </row>
    <row r="203" spans="1:120">
      <c r="A203" t="s">
        <v>127</v>
      </c>
      <c r="B203" t="s">
        <v>183</v>
      </c>
      <c r="C203" t="s">
        <v>262</v>
      </c>
      <c r="D203" s="13" t="s">
        <v>320</v>
      </c>
      <c r="E203" s="13" t="s">
        <v>91</v>
      </c>
      <c r="F203" s="13">
        <v>0</v>
      </c>
      <c r="G203" s="13">
        <v>0</v>
      </c>
      <c r="H203" s="13">
        <v>0</v>
      </c>
      <c r="I203" s="13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0</v>
      </c>
      <c r="AB203" s="32">
        <v>0</v>
      </c>
      <c r="AC203" s="32">
        <v>0</v>
      </c>
      <c r="AD203" s="32">
        <v>0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>
        <v>0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>
        <v>0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v>0</v>
      </c>
      <c r="AY203" s="32">
        <v>0</v>
      </c>
      <c r="AZ203" s="32">
        <v>0</v>
      </c>
      <c r="BA203" s="32">
        <v>0</v>
      </c>
      <c r="BB203" s="32">
        <v>0</v>
      </c>
      <c r="BC203" s="32">
        <v>0</v>
      </c>
      <c r="BD203" s="32">
        <v>0</v>
      </c>
      <c r="BE203" s="32">
        <v>0</v>
      </c>
      <c r="BF203" s="32">
        <v>0</v>
      </c>
      <c r="BG203" s="32">
        <v>0</v>
      </c>
      <c r="BH203" s="32">
        <v>0</v>
      </c>
      <c r="BI203" s="32">
        <v>0</v>
      </c>
      <c r="BJ203" s="32">
        <v>0</v>
      </c>
      <c r="BK203" s="32">
        <v>0</v>
      </c>
      <c r="BL203" s="32">
        <v>0</v>
      </c>
      <c r="BM203" s="32">
        <v>0</v>
      </c>
      <c r="BN203" s="32">
        <v>0</v>
      </c>
      <c r="BO203">
        <f t="shared" si="132"/>
        <v>0</v>
      </c>
      <c r="BP203" s="13">
        <f t="shared" si="133"/>
        <v>0</v>
      </c>
      <c r="BQ203" s="13">
        <v>0</v>
      </c>
      <c r="BR203">
        <f t="shared" si="172"/>
        <v>0</v>
      </c>
      <c r="BS203">
        <f t="shared" si="173"/>
        <v>0</v>
      </c>
      <c r="BT203">
        <f t="shared" si="174"/>
        <v>0</v>
      </c>
      <c r="BU203">
        <f t="shared" si="134"/>
        <v>0</v>
      </c>
      <c r="BV203" s="13">
        <f t="shared" si="135"/>
        <v>0</v>
      </c>
      <c r="BW203" s="13">
        <f t="shared" si="136"/>
        <v>0</v>
      </c>
      <c r="BX203" s="13">
        <f t="shared" si="137"/>
        <v>0</v>
      </c>
      <c r="BY203" s="13">
        <f t="shared" si="138"/>
        <v>0</v>
      </c>
      <c r="BZ203" s="13">
        <f t="shared" si="139"/>
        <v>0</v>
      </c>
      <c r="CA203" s="13">
        <f t="shared" si="140"/>
        <v>0</v>
      </c>
      <c r="CB203" s="13">
        <f t="shared" si="141"/>
        <v>0</v>
      </c>
      <c r="CC203" s="13">
        <f t="shared" si="142"/>
        <v>0</v>
      </c>
      <c r="CD203" s="13">
        <f t="shared" si="143"/>
        <v>0</v>
      </c>
      <c r="CE203" s="13">
        <f t="shared" si="144"/>
        <v>0</v>
      </c>
      <c r="CF203" s="13">
        <f t="shared" si="145"/>
        <v>0</v>
      </c>
      <c r="CG203" s="13">
        <f t="shared" si="146"/>
        <v>0</v>
      </c>
      <c r="CH203" s="13">
        <f t="shared" si="147"/>
        <v>0</v>
      </c>
      <c r="CI203" s="13">
        <f t="shared" si="148"/>
        <v>0</v>
      </c>
      <c r="CJ203" s="13">
        <f t="shared" si="148"/>
        <v>0</v>
      </c>
      <c r="CK203" s="13">
        <f t="shared" si="149"/>
        <v>0</v>
      </c>
      <c r="CL203" s="13">
        <f t="shared" si="150"/>
        <v>0</v>
      </c>
      <c r="CM203" s="13">
        <f t="shared" si="151"/>
        <v>0</v>
      </c>
      <c r="CN203" s="13">
        <f t="shared" si="152"/>
        <v>0</v>
      </c>
      <c r="CO203" s="13">
        <f t="shared" si="153"/>
        <v>0</v>
      </c>
      <c r="CP203" s="13">
        <f t="shared" si="154"/>
        <v>0</v>
      </c>
      <c r="CQ203" s="13">
        <f t="shared" si="155"/>
        <v>0</v>
      </c>
      <c r="CR203" s="13">
        <f t="shared" si="156"/>
        <v>0</v>
      </c>
      <c r="CS203" s="13">
        <f t="shared" si="157"/>
        <v>0</v>
      </c>
      <c r="CT203" s="13">
        <f t="shared" si="158"/>
        <v>0</v>
      </c>
      <c r="CU203" s="13">
        <f t="shared" si="159"/>
        <v>0</v>
      </c>
      <c r="CV203" s="13">
        <f t="shared" si="160"/>
        <v>0</v>
      </c>
      <c r="CW203" s="13">
        <f t="shared" si="161"/>
        <v>0</v>
      </c>
      <c r="CX203" s="13">
        <f t="shared" si="162"/>
        <v>0</v>
      </c>
      <c r="CY203" s="13">
        <f t="shared" si="163"/>
        <v>0</v>
      </c>
      <c r="CZ203" s="13">
        <f t="shared" si="164"/>
        <v>0</v>
      </c>
      <c r="DA203" s="13">
        <f t="shared" si="165"/>
        <v>0</v>
      </c>
      <c r="DB203" s="13">
        <f t="shared" si="166"/>
        <v>0</v>
      </c>
      <c r="DC203" s="13">
        <f t="shared" si="167"/>
        <v>0</v>
      </c>
      <c r="DD203" s="13">
        <f t="shared" si="168"/>
        <v>0</v>
      </c>
      <c r="DE203" s="13">
        <f t="shared" si="169"/>
        <v>0</v>
      </c>
      <c r="DF203" s="13">
        <f t="shared" si="170"/>
        <v>0</v>
      </c>
      <c r="DG203" s="13">
        <f t="shared" si="171"/>
        <v>0</v>
      </c>
      <c r="DH203" s="13"/>
      <c r="DI203" s="13"/>
      <c r="DJ203" s="13"/>
      <c r="DL203"/>
      <c r="DM203"/>
      <c r="DN203"/>
      <c r="DO203"/>
      <c r="DP203" s="31"/>
    </row>
    <row r="204" spans="1:120">
      <c r="A204" t="s">
        <v>128</v>
      </c>
      <c r="B204" t="s">
        <v>183</v>
      </c>
      <c r="C204" t="s">
        <v>262</v>
      </c>
      <c r="D204" s="13" t="s">
        <v>320</v>
      </c>
      <c r="E204" s="13" t="s">
        <v>91</v>
      </c>
      <c r="F204" s="13">
        <v>0</v>
      </c>
      <c r="G204" s="13">
        <v>0</v>
      </c>
      <c r="H204" s="13">
        <v>0</v>
      </c>
      <c r="I204" s="13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0</v>
      </c>
      <c r="AB204" s="32">
        <v>0</v>
      </c>
      <c r="AC204" s="32">
        <v>0</v>
      </c>
      <c r="AD204" s="32">
        <v>0</v>
      </c>
      <c r="AE204" s="32">
        <v>0</v>
      </c>
      <c r="AF204" s="32">
        <v>0</v>
      </c>
      <c r="AG204" s="32">
        <v>0</v>
      </c>
      <c r="AH204" s="32">
        <v>0</v>
      </c>
      <c r="AI204" s="32">
        <v>0</v>
      </c>
      <c r="AJ204" s="32">
        <v>0</v>
      </c>
      <c r="AK204" s="32">
        <v>0</v>
      </c>
      <c r="AL204" s="32">
        <v>0</v>
      </c>
      <c r="AM204" s="32">
        <v>0</v>
      </c>
      <c r="AN204" s="32">
        <v>0</v>
      </c>
      <c r="AO204" s="32">
        <v>0</v>
      </c>
      <c r="AP204" s="32">
        <v>0</v>
      </c>
      <c r="AQ204" s="32">
        <v>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v>0</v>
      </c>
      <c r="AY204" s="32">
        <v>0</v>
      </c>
      <c r="AZ204" s="32">
        <v>0</v>
      </c>
      <c r="BA204" s="32">
        <v>0</v>
      </c>
      <c r="BB204" s="32">
        <v>0</v>
      </c>
      <c r="BC204" s="32">
        <v>0</v>
      </c>
      <c r="BD204" s="32">
        <v>0</v>
      </c>
      <c r="BE204" s="32">
        <v>0</v>
      </c>
      <c r="BF204" s="32">
        <v>0</v>
      </c>
      <c r="BG204" s="32">
        <v>0</v>
      </c>
      <c r="BH204" s="32">
        <v>0</v>
      </c>
      <c r="BI204" s="32">
        <v>0</v>
      </c>
      <c r="BJ204" s="13">
        <v>1</v>
      </c>
      <c r="BK204" s="32">
        <v>0</v>
      </c>
      <c r="BL204" s="32">
        <v>0</v>
      </c>
      <c r="BM204" s="32">
        <v>0</v>
      </c>
      <c r="BN204" s="32">
        <v>0</v>
      </c>
      <c r="BO204">
        <f t="shared" si="132"/>
        <v>1</v>
      </c>
      <c r="BP204" s="13">
        <f t="shared" si="133"/>
        <v>1</v>
      </c>
      <c r="BQ204" s="13">
        <f>[1]!shannonweaver(K204:BL204)</f>
        <v>0</v>
      </c>
      <c r="BR204">
        <f t="shared" si="172"/>
        <v>0</v>
      </c>
      <c r="BS204">
        <f t="shared" si="173"/>
        <v>0</v>
      </c>
      <c r="BT204">
        <f t="shared" si="174"/>
        <v>0</v>
      </c>
      <c r="BU204">
        <f t="shared" si="134"/>
        <v>0</v>
      </c>
      <c r="BV204" s="13">
        <f t="shared" si="135"/>
        <v>0</v>
      </c>
      <c r="BW204" s="13">
        <f t="shared" si="136"/>
        <v>0</v>
      </c>
      <c r="BX204" s="13">
        <f t="shared" si="137"/>
        <v>0</v>
      </c>
      <c r="BY204" s="13">
        <f t="shared" si="138"/>
        <v>0</v>
      </c>
      <c r="BZ204" s="13">
        <f t="shared" si="139"/>
        <v>0</v>
      </c>
      <c r="CA204" s="13">
        <f t="shared" si="140"/>
        <v>0</v>
      </c>
      <c r="CB204" s="13">
        <f t="shared" si="141"/>
        <v>0</v>
      </c>
      <c r="CC204" s="13">
        <f t="shared" si="142"/>
        <v>0</v>
      </c>
      <c r="CD204" s="13">
        <f t="shared" si="143"/>
        <v>1</v>
      </c>
      <c r="CE204" s="13">
        <f t="shared" si="144"/>
        <v>1</v>
      </c>
      <c r="CF204" s="13">
        <f t="shared" si="145"/>
        <v>0</v>
      </c>
      <c r="CG204" s="13">
        <f t="shared" si="146"/>
        <v>0</v>
      </c>
      <c r="CH204" s="13">
        <f t="shared" si="147"/>
        <v>0</v>
      </c>
      <c r="CI204" s="13">
        <f t="shared" si="148"/>
        <v>0</v>
      </c>
      <c r="CJ204" s="13">
        <f t="shared" si="148"/>
        <v>0</v>
      </c>
      <c r="CK204" s="13">
        <f t="shared" si="149"/>
        <v>0</v>
      </c>
      <c r="CL204" s="13">
        <f t="shared" si="150"/>
        <v>0</v>
      </c>
      <c r="CM204" s="13">
        <f t="shared" si="151"/>
        <v>0</v>
      </c>
      <c r="CN204" s="13">
        <f t="shared" si="152"/>
        <v>0</v>
      </c>
      <c r="CO204" s="13">
        <f t="shared" si="153"/>
        <v>0</v>
      </c>
      <c r="CP204" s="13">
        <f t="shared" si="154"/>
        <v>0</v>
      </c>
      <c r="CQ204" s="13">
        <f t="shared" si="155"/>
        <v>0</v>
      </c>
      <c r="CR204" s="13">
        <f t="shared" si="156"/>
        <v>0</v>
      </c>
      <c r="CS204" s="13">
        <f t="shared" si="157"/>
        <v>0.69314718055994529</v>
      </c>
      <c r="CT204" s="13">
        <f t="shared" si="158"/>
        <v>0.69314718055994529</v>
      </c>
      <c r="CU204" s="13">
        <f t="shared" si="159"/>
        <v>0</v>
      </c>
      <c r="CV204" s="13">
        <f t="shared" si="160"/>
        <v>0</v>
      </c>
      <c r="CW204" s="13">
        <f t="shared" si="161"/>
        <v>0</v>
      </c>
      <c r="CX204" s="13">
        <f t="shared" si="162"/>
        <v>0</v>
      </c>
      <c r="CY204" s="13">
        <f t="shared" si="163"/>
        <v>0</v>
      </c>
      <c r="CZ204" s="13">
        <f t="shared" si="164"/>
        <v>0</v>
      </c>
      <c r="DA204" s="13">
        <f t="shared" si="165"/>
        <v>0</v>
      </c>
      <c r="DB204" s="13">
        <f t="shared" si="166"/>
        <v>0</v>
      </c>
      <c r="DC204" s="13">
        <f t="shared" si="167"/>
        <v>0</v>
      </c>
      <c r="DD204" s="13">
        <f t="shared" si="168"/>
        <v>0</v>
      </c>
      <c r="DE204" s="13">
        <f t="shared" si="169"/>
        <v>0</v>
      </c>
      <c r="DF204" s="13">
        <f t="shared" si="170"/>
        <v>0</v>
      </c>
      <c r="DG204" s="13">
        <f t="shared" si="171"/>
        <v>0</v>
      </c>
      <c r="DH204" s="13"/>
      <c r="DI204" s="13"/>
      <c r="DJ204" s="13"/>
      <c r="DL204"/>
      <c r="DM204"/>
      <c r="DN204"/>
      <c r="DO204"/>
      <c r="DP204" s="31"/>
    </row>
    <row r="205" spans="1:120">
      <c r="A205" t="s">
        <v>129</v>
      </c>
      <c r="B205" t="s">
        <v>183</v>
      </c>
      <c r="C205" t="s">
        <v>262</v>
      </c>
      <c r="D205" s="13" t="s">
        <v>320</v>
      </c>
      <c r="E205" s="13" t="s">
        <v>91</v>
      </c>
      <c r="F205" s="13">
        <v>0</v>
      </c>
      <c r="G205" s="13">
        <v>0</v>
      </c>
      <c r="H205" s="13">
        <v>0</v>
      </c>
      <c r="I205" s="13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2">
        <v>0</v>
      </c>
      <c r="Z205" s="32">
        <v>0</v>
      </c>
      <c r="AA205" s="32">
        <v>0</v>
      </c>
      <c r="AB205" s="32">
        <v>0</v>
      </c>
      <c r="AC205" s="32">
        <v>0</v>
      </c>
      <c r="AD205" s="32">
        <v>0</v>
      </c>
      <c r="AE205" s="32">
        <v>0</v>
      </c>
      <c r="AF205" s="32">
        <v>0</v>
      </c>
      <c r="AG205" s="32">
        <v>0</v>
      </c>
      <c r="AH205" s="13">
        <v>1</v>
      </c>
      <c r="AI205" s="32">
        <v>0</v>
      </c>
      <c r="AJ205" s="32">
        <v>0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32">
        <v>0</v>
      </c>
      <c r="AX205" s="32">
        <v>0</v>
      </c>
      <c r="AY205" s="32">
        <v>0</v>
      </c>
      <c r="AZ205" s="32">
        <v>0</v>
      </c>
      <c r="BA205" s="32">
        <v>0</v>
      </c>
      <c r="BB205" s="32">
        <v>0</v>
      </c>
      <c r="BC205" s="32">
        <v>0</v>
      </c>
      <c r="BD205" s="32">
        <v>0</v>
      </c>
      <c r="BE205" s="32">
        <v>0</v>
      </c>
      <c r="BF205" s="32">
        <v>0</v>
      </c>
      <c r="BG205" s="32">
        <v>0</v>
      </c>
      <c r="BH205" s="32">
        <v>0</v>
      </c>
      <c r="BI205" s="13">
        <v>1</v>
      </c>
      <c r="BJ205" s="13">
        <v>2</v>
      </c>
      <c r="BK205" s="32">
        <v>0</v>
      </c>
      <c r="BL205" s="32">
        <v>0</v>
      </c>
      <c r="BM205" s="32">
        <v>0</v>
      </c>
      <c r="BN205" s="32">
        <v>0</v>
      </c>
      <c r="BO205">
        <f t="shared" si="132"/>
        <v>3</v>
      </c>
      <c r="BP205" s="13">
        <f t="shared" si="133"/>
        <v>4</v>
      </c>
      <c r="BQ205" s="13">
        <f>[1]!shannonweaver(K205:BL205)</f>
        <v>1.0397207708399179</v>
      </c>
      <c r="BR205">
        <f t="shared" si="172"/>
        <v>0</v>
      </c>
      <c r="BS205">
        <f t="shared" si="173"/>
        <v>1</v>
      </c>
      <c r="BT205">
        <f t="shared" si="174"/>
        <v>0</v>
      </c>
      <c r="BU205">
        <f t="shared" si="134"/>
        <v>0</v>
      </c>
      <c r="BV205" s="13">
        <f t="shared" si="135"/>
        <v>0</v>
      </c>
      <c r="BW205" s="13">
        <f t="shared" si="136"/>
        <v>0</v>
      </c>
      <c r="BX205" s="13">
        <f t="shared" si="137"/>
        <v>0</v>
      </c>
      <c r="BY205" s="13">
        <f t="shared" si="138"/>
        <v>0</v>
      </c>
      <c r="BZ205" s="13">
        <f t="shared" si="139"/>
        <v>0</v>
      </c>
      <c r="CA205" s="13">
        <f t="shared" si="140"/>
        <v>1</v>
      </c>
      <c r="CB205" s="13">
        <f t="shared" si="141"/>
        <v>0</v>
      </c>
      <c r="CC205" s="13">
        <f t="shared" si="142"/>
        <v>0</v>
      </c>
      <c r="CD205" s="13">
        <f t="shared" si="143"/>
        <v>1.7320508075688772</v>
      </c>
      <c r="CE205" s="13">
        <f t="shared" si="144"/>
        <v>2</v>
      </c>
      <c r="CF205" s="13">
        <f t="shared" si="145"/>
        <v>1.0196669901688089</v>
      </c>
      <c r="CG205" s="13">
        <f t="shared" si="146"/>
        <v>0</v>
      </c>
      <c r="CH205" s="13">
        <f t="shared" si="147"/>
        <v>1</v>
      </c>
      <c r="CI205" s="13">
        <f t="shared" si="148"/>
        <v>0</v>
      </c>
      <c r="CJ205" s="13">
        <f t="shared" si="148"/>
        <v>0</v>
      </c>
      <c r="CK205" s="13">
        <f t="shared" si="149"/>
        <v>0</v>
      </c>
      <c r="CL205" s="13">
        <f t="shared" si="150"/>
        <v>0</v>
      </c>
      <c r="CM205" s="13">
        <f t="shared" si="151"/>
        <v>0</v>
      </c>
      <c r="CN205" s="13">
        <f t="shared" si="152"/>
        <v>0</v>
      </c>
      <c r="CO205" s="13">
        <f t="shared" si="153"/>
        <v>0</v>
      </c>
      <c r="CP205" s="13">
        <f t="shared" si="154"/>
        <v>1</v>
      </c>
      <c r="CQ205" s="13">
        <f t="shared" si="155"/>
        <v>0</v>
      </c>
      <c r="CR205" s="13">
        <f t="shared" si="156"/>
        <v>0</v>
      </c>
      <c r="CS205" s="13">
        <f t="shared" si="157"/>
        <v>1.3862943611198906</v>
      </c>
      <c r="CT205" s="13">
        <f t="shared" si="158"/>
        <v>1.6094379124341003</v>
      </c>
      <c r="CU205" s="13">
        <f t="shared" si="159"/>
        <v>0.7128129214483524</v>
      </c>
      <c r="CV205" s="13">
        <f t="shared" si="160"/>
        <v>0</v>
      </c>
      <c r="CW205" s="13">
        <f t="shared" si="161"/>
        <v>0.69314718055994529</v>
      </c>
      <c r="CX205" s="13">
        <f t="shared" si="162"/>
        <v>0</v>
      </c>
      <c r="CY205" s="13">
        <f t="shared" si="163"/>
        <v>0</v>
      </c>
      <c r="CZ205" s="13">
        <f t="shared" si="164"/>
        <v>0</v>
      </c>
      <c r="DA205" s="13">
        <f t="shared" si="165"/>
        <v>0</v>
      </c>
      <c r="DB205" s="13">
        <f t="shared" si="166"/>
        <v>0</v>
      </c>
      <c r="DC205" s="13">
        <f t="shared" si="167"/>
        <v>0</v>
      </c>
      <c r="DD205" s="13">
        <f t="shared" si="168"/>
        <v>0</v>
      </c>
      <c r="DE205" s="13">
        <f t="shared" si="169"/>
        <v>0.69314718055994529</v>
      </c>
      <c r="DF205" s="13">
        <f t="shared" si="170"/>
        <v>0</v>
      </c>
      <c r="DG205" s="13">
        <f t="shared" si="171"/>
        <v>0</v>
      </c>
      <c r="DH205" s="13"/>
      <c r="DI205" s="13"/>
      <c r="DJ205" s="13"/>
      <c r="DL205"/>
      <c r="DM205"/>
      <c r="DN205"/>
      <c r="DO205"/>
      <c r="DP205" s="31"/>
    </row>
    <row r="206" spans="1:120">
      <c r="A206" t="s">
        <v>180</v>
      </c>
      <c r="B206" t="s">
        <v>183</v>
      </c>
      <c r="C206" t="s">
        <v>269</v>
      </c>
      <c r="D206" s="13" t="s">
        <v>320</v>
      </c>
      <c r="E206" s="13" t="s">
        <v>91</v>
      </c>
      <c r="F206" s="13">
        <v>0</v>
      </c>
      <c r="G206" s="13">
        <v>0</v>
      </c>
      <c r="H206" s="13">
        <v>0</v>
      </c>
      <c r="I206" s="13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32">
        <v>0</v>
      </c>
      <c r="T206" s="32">
        <v>0</v>
      </c>
      <c r="U206" s="32">
        <v>0</v>
      </c>
      <c r="V206" s="13">
        <v>1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2">
        <v>0</v>
      </c>
      <c r="AX206" s="32">
        <v>0</v>
      </c>
      <c r="AY206" s="32">
        <v>0</v>
      </c>
      <c r="AZ206" s="32">
        <v>0</v>
      </c>
      <c r="BA206" s="32">
        <v>0</v>
      </c>
      <c r="BB206" s="32">
        <v>0</v>
      </c>
      <c r="BC206" s="32">
        <v>0</v>
      </c>
      <c r="BD206" s="32">
        <v>0</v>
      </c>
      <c r="BE206" s="32">
        <v>0</v>
      </c>
      <c r="BF206" s="32">
        <v>0</v>
      </c>
      <c r="BG206" s="32">
        <v>0</v>
      </c>
      <c r="BH206" s="32">
        <v>0</v>
      </c>
      <c r="BI206" s="13">
        <v>1</v>
      </c>
      <c r="BJ206" s="13">
        <v>0</v>
      </c>
      <c r="BK206" s="32">
        <v>0</v>
      </c>
      <c r="BL206" s="32">
        <v>0</v>
      </c>
      <c r="BM206" s="32">
        <v>0</v>
      </c>
      <c r="BN206" s="32">
        <v>0</v>
      </c>
      <c r="BO206">
        <f t="shared" si="132"/>
        <v>2</v>
      </c>
      <c r="BP206" s="13">
        <f t="shared" si="133"/>
        <v>2</v>
      </c>
      <c r="BQ206" s="13">
        <f>[1]!shannonweaver(K206:BL206)</f>
        <v>0.69314718055994529</v>
      </c>
      <c r="BR206">
        <f t="shared" si="172"/>
        <v>1</v>
      </c>
      <c r="BS206">
        <f t="shared" si="173"/>
        <v>0</v>
      </c>
      <c r="BT206">
        <f t="shared" si="174"/>
        <v>0</v>
      </c>
      <c r="BU206">
        <f t="shared" si="134"/>
        <v>0</v>
      </c>
      <c r="BV206" s="13">
        <f t="shared" si="135"/>
        <v>1</v>
      </c>
      <c r="BW206" s="13">
        <f t="shared" si="136"/>
        <v>0</v>
      </c>
      <c r="BX206" s="13">
        <f t="shared" si="137"/>
        <v>0</v>
      </c>
      <c r="BY206" s="13">
        <f t="shared" si="138"/>
        <v>0</v>
      </c>
      <c r="BZ206" s="13">
        <f t="shared" si="139"/>
        <v>0</v>
      </c>
      <c r="CA206" s="13">
        <f t="shared" si="140"/>
        <v>0</v>
      </c>
      <c r="CB206" s="13">
        <f t="shared" si="141"/>
        <v>0</v>
      </c>
      <c r="CC206" s="13">
        <f t="shared" si="142"/>
        <v>0</v>
      </c>
      <c r="CD206" s="13">
        <f t="shared" si="143"/>
        <v>1.4142135623730951</v>
      </c>
      <c r="CE206" s="13">
        <f t="shared" si="144"/>
        <v>1.4142135623730951</v>
      </c>
      <c r="CF206" s="13">
        <f t="shared" si="145"/>
        <v>0.83255461115769769</v>
      </c>
      <c r="CG206" s="13">
        <f t="shared" si="146"/>
        <v>1</v>
      </c>
      <c r="CH206" s="13">
        <f t="shared" si="147"/>
        <v>0</v>
      </c>
      <c r="CI206" s="13">
        <f t="shared" si="148"/>
        <v>0</v>
      </c>
      <c r="CJ206" s="13">
        <f t="shared" si="148"/>
        <v>0</v>
      </c>
      <c r="CK206" s="13">
        <f t="shared" si="149"/>
        <v>1</v>
      </c>
      <c r="CL206" s="13">
        <f t="shared" si="150"/>
        <v>0</v>
      </c>
      <c r="CM206" s="13">
        <f t="shared" si="151"/>
        <v>0</v>
      </c>
      <c r="CN206" s="13">
        <f t="shared" si="152"/>
        <v>0</v>
      </c>
      <c r="CO206" s="13">
        <f t="shared" si="153"/>
        <v>0</v>
      </c>
      <c r="CP206" s="13">
        <f t="shared" si="154"/>
        <v>0</v>
      </c>
      <c r="CQ206" s="13">
        <f t="shared" si="155"/>
        <v>0</v>
      </c>
      <c r="CR206" s="13">
        <f t="shared" si="156"/>
        <v>0</v>
      </c>
      <c r="CS206" s="13">
        <f t="shared" si="157"/>
        <v>1.0986122886681098</v>
      </c>
      <c r="CT206" s="13">
        <f t="shared" si="158"/>
        <v>1.0986122886681098</v>
      </c>
      <c r="CU206" s="13">
        <f t="shared" si="159"/>
        <v>0.52658903413904457</v>
      </c>
      <c r="CV206" s="13">
        <f t="shared" si="160"/>
        <v>0.69314718055994529</v>
      </c>
      <c r="CW206" s="13">
        <f t="shared" si="161"/>
        <v>0</v>
      </c>
      <c r="CX206" s="13">
        <f t="shared" si="162"/>
        <v>0</v>
      </c>
      <c r="CY206" s="13">
        <f t="shared" si="163"/>
        <v>0</v>
      </c>
      <c r="CZ206" s="13">
        <f t="shared" si="164"/>
        <v>0.69314718055994529</v>
      </c>
      <c r="DA206" s="13">
        <f t="shared" si="165"/>
        <v>0</v>
      </c>
      <c r="DB206" s="13">
        <f t="shared" si="166"/>
        <v>0</v>
      </c>
      <c r="DC206" s="13">
        <f t="shared" si="167"/>
        <v>0</v>
      </c>
      <c r="DD206" s="13">
        <f t="shared" si="168"/>
        <v>0</v>
      </c>
      <c r="DE206" s="13">
        <f t="shared" si="169"/>
        <v>0</v>
      </c>
      <c r="DF206" s="13">
        <f t="shared" si="170"/>
        <v>0</v>
      </c>
      <c r="DG206" s="13">
        <f t="shared" si="171"/>
        <v>0</v>
      </c>
      <c r="DH206" s="13"/>
      <c r="DI206" s="13"/>
      <c r="DJ206" s="13"/>
      <c r="DL206"/>
      <c r="DM206"/>
      <c r="DN206"/>
      <c r="DO206"/>
      <c r="DP206" s="31"/>
    </row>
    <row r="207" spans="1:120">
      <c r="A207" t="s">
        <v>130</v>
      </c>
      <c r="B207" t="s">
        <v>183</v>
      </c>
      <c r="C207" t="s">
        <v>269</v>
      </c>
      <c r="D207" s="13" t="s">
        <v>320</v>
      </c>
      <c r="E207" s="13" t="s">
        <v>91</v>
      </c>
      <c r="F207" s="13">
        <v>0</v>
      </c>
      <c r="G207" s="13">
        <v>0</v>
      </c>
      <c r="H207" s="13">
        <v>1</v>
      </c>
      <c r="I207" s="13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 s="32">
        <v>0</v>
      </c>
      <c r="BD207" s="32">
        <v>0</v>
      </c>
      <c r="BE207" s="32">
        <v>0</v>
      </c>
      <c r="BF207" s="32">
        <v>0</v>
      </c>
      <c r="BG207" s="32">
        <v>0</v>
      </c>
      <c r="BH207" s="32">
        <v>0</v>
      </c>
      <c r="BI207" s="32">
        <v>0</v>
      </c>
      <c r="BJ207" s="32">
        <v>0</v>
      </c>
      <c r="BK207" s="32">
        <v>0</v>
      </c>
      <c r="BL207" s="32">
        <v>0</v>
      </c>
      <c r="BM207" s="32">
        <v>0</v>
      </c>
      <c r="BN207" s="32">
        <v>0</v>
      </c>
      <c r="BO207">
        <f t="shared" si="132"/>
        <v>0</v>
      </c>
      <c r="BP207" s="13">
        <f t="shared" si="133"/>
        <v>0</v>
      </c>
      <c r="BQ207" s="13">
        <v>0</v>
      </c>
      <c r="BR207">
        <f t="shared" si="172"/>
        <v>0</v>
      </c>
      <c r="BS207">
        <f t="shared" si="173"/>
        <v>0</v>
      </c>
      <c r="BT207">
        <f t="shared" si="174"/>
        <v>0</v>
      </c>
      <c r="BU207">
        <f t="shared" si="134"/>
        <v>0</v>
      </c>
      <c r="BV207" s="13">
        <f t="shared" si="135"/>
        <v>0</v>
      </c>
      <c r="BW207" s="13">
        <f t="shared" si="136"/>
        <v>0</v>
      </c>
      <c r="BX207" s="13">
        <f t="shared" si="137"/>
        <v>0</v>
      </c>
      <c r="BY207" s="13">
        <f t="shared" si="138"/>
        <v>0</v>
      </c>
      <c r="BZ207" s="13">
        <f t="shared" si="139"/>
        <v>0</v>
      </c>
      <c r="CA207" s="13">
        <f t="shared" si="140"/>
        <v>0</v>
      </c>
      <c r="CB207" s="13">
        <f t="shared" si="141"/>
        <v>0</v>
      </c>
      <c r="CC207" s="13">
        <f t="shared" si="142"/>
        <v>0</v>
      </c>
      <c r="CD207" s="13">
        <f t="shared" si="143"/>
        <v>0</v>
      </c>
      <c r="CE207" s="13">
        <f t="shared" si="144"/>
        <v>0</v>
      </c>
      <c r="CF207" s="13">
        <f t="shared" si="145"/>
        <v>0</v>
      </c>
      <c r="CG207" s="13">
        <f t="shared" si="146"/>
        <v>0</v>
      </c>
      <c r="CH207" s="13">
        <f t="shared" si="147"/>
        <v>0</v>
      </c>
      <c r="CI207" s="13">
        <f t="shared" si="148"/>
        <v>0</v>
      </c>
      <c r="CJ207" s="13">
        <f t="shared" si="148"/>
        <v>0</v>
      </c>
      <c r="CK207" s="13">
        <f t="shared" si="149"/>
        <v>0</v>
      </c>
      <c r="CL207" s="13">
        <f t="shared" si="150"/>
        <v>0</v>
      </c>
      <c r="CM207" s="13">
        <f t="shared" si="151"/>
        <v>0</v>
      </c>
      <c r="CN207" s="13">
        <f t="shared" si="152"/>
        <v>0</v>
      </c>
      <c r="CO207" s="13">
        <f t="shared" si="153"/>
        <v>0</v>
      </c>
      <c r="CP207" s="13">
        <f t="shared" si="154"/>
        <v>0</v>
      </c>
      <c r="CQ207" s="13">
        <f t="shared" si="155"/>
        <v>0</v>
      </c>
      <c r="CR207" s="13">
        <f t="shared" si="156"/>
        <v>0</v>
      </c>
      <c r="CS207" s="13">
        <f t="shared" si="157"/>
        <v>0</v>
      </c>
      <c r="CT207" s="13">
        <f t="shared" si="158"/>
        <v>0</v>
      </c>
      <c r="CU207" s="13">
        <f t="shared" si="159"/>
        <v>0</v>
      </c>
      <c r="CV207" s="13">
        <f t="shared" si="160"/>
        <v>0</v>
      </c>
      <c r="CW207" s="13">
        <f t="shared" si="161"/>
        <v>0</v>
      </c>
      <c r="CX207" s="13">
        <f t="shared" si="162"/>
        <v>0</v>
      </c>
      <c r="CY207" s="13">
        <f t="shared" si="163"/>
        <v>0</v>
      </c>
      <c r="CZ207" s="13">
        <f t="shared" si="164"/>
        <v>0</v>
      </c>
      <c r="DA207" s="13">
        <f t="shared" si="165"/>
        <v>0</v>
      </c>
      <c r="DB207" s="13">
        <f t="shared" si="166"/>
        <v>0</v>
      </c>
      <c r="DC207" s="13">
        <f t="shared" si="167"/>
        <v>0</v>
      </c>
      <c r="DD207" s="13">
        <f t="shared" si="168"/>
        <v>0</v>
      </c>
      <c r="DE207" s="13">
        <f t="shared" si="169"/>
        <v>0</v>
      </c>
      <c r="DF207" s="13">
        <f t="shared" si="170"/>
        <v>0</v>
      </c>
      <c r="DG207" s="13">
        <f t="shared" si="171"/>
        <v>0</v>
      </c>
      <c r="DH207" s="13"/>
      <c r="DI207" s="13"/>
      <c r="DJ207" s="13"/>
      <c r="DL207"/>
      <c r="DM207"/>
      <c r="DN207"/>
      <c r="DO207"/>
      <c r="DP207" s="31"/>
    </row>
    <row r="208" spans="1:120">
      <c r="A208" t="s">
        <v>131</v>
      </c>
      <c r="B208" t="s">
        <v>183</v>
      </c>
      <c r="C208" t="s">
        <v>269</v>
      </c>
      <c r="D208" s="13" t="s">
        <v>320</v>
      </c>
      <c r="E208" s="13" t="s">
        <v>91</v>
      </c>
      <c r="F208" s="13">
        <v>0</v>
      </c>
      <c r="G208" s="13">
        <v>0</v>
      </c>
      <c r="H208" s="13">
        <v>0</v>
      </c>
      <c r="I208" s="13">
        <v>0</v>
      </c>
      <c r="J208" s="13">
        <v>1</v>
      </c>
      <c r="K208" s="32">
        <v>0</v>
      </c>
      <c r="L208" s="32">
        <v>0</v>
      </c>
      <c r="M208" s="32">
        <v>0</v>
      </c>
      <c r="N208" s="32">
        <v>0</v>
      </c>
      <c r="O208" s="13">
        <v>2</v>
      </c>
      <c r="P208" s="32">
        <v>0</v>
      </c>
      <c r="Q208" s="32">
        <v>0</v>
      </c>
      <c r="R208" s="32">
        <v>0</v>
      </c>
      <c r="S208" s="32">
        <v>0</v>
      </c>
      <c r="T208" s="32">
        <v>0</v>
      </c>
      <c r="U208" s="32">
        <v>0</v>
      </c>
      <c r="V208" s="13">
        <v>1</v>
      </c>
      <c r="W208" s="32">
        <v>0</v>
      </c>
      <c r="X208" s="32">
        <v>0</v>
      </c>
      <c r="Y208" s="32">
        <v>0</v>
      </c>
      <c r="Z208" s="13">
        <v>1</v>
      </c>
      <c r="AA208" s="32">
        <v>0</v>
      </c>
      <c r="AB208" s="32">
        <v>0</v>
      </c>
      <c r="AC208" s="32">
        <v>0</v>
      </c>
      <c r="AD208" s="32">
        <v>0</v>
      </c>
      <c r="AE208" s="13">
        <v>2</v>
      </c>
      <c r="AF208" s="32">
        <v>0</v>
      </c>
      <c r="AG208" s="13">
        <v>1</v>
      </c>
      <c r="AH208" s="32">
        <v>0</v>
      </c>
      <c r="AI208" s="32">
        <v>0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13">
        <v>1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2">
        <v>0</v>
      </c>
      <c r="AX208" s="32">
        <v>0</v>
      </c>
      <c r="AY208" s="32">
        <v>0</v>
      </c>
      <c r="AZ208" s="32">
        <v>0</v>
      </c>
      <c r="BA208" s="32">
        <v>0</v>
      </c>
      <c r="BB208" s="32">
        <v>0</v>
      </c>
      <c r="BC208" s="32">
        <v>0</v>
      </c>
      <c r="BD208" s="32">
        <v>0</v>
      </c>
      <c r="BE208" s="32">
        <v>0</v>
      </c>
      <c r="BF208" s="32">
        <v>0</v>
      </c>
      <c r="BG208" s="32">
        <v>0</v>
      </c>
      <c r="BH208" s="32">
        <v>0</v>
      </c>
      <c r="BI208" s="32">
        <v>0</v>
      </c>
      <c r="BJ208" s="13">
        <v>3</v>
      </c>
      <c r="BK208" s="32">
        <v>0</v>
      </c>
      <c r="BL208" s="32">
        <v>0</v>
      </c>
      <c r="BM208" s="32">
        <v>0</v>
      </c>
      <c r="BN208" s="32">
        <v>0</v>
      </c>
      <c r="BO208">
        <f t="shared" si="132"/>
        <v>7</v>
      </c>
      <c r="BP208" s="13">
        <f t="shared" si="133"/>
        <v>11</v>
      </c>
      <c r="BQ208" s="13">
        <f>[1]!shannonweaver(K208:BL208)</f>
        <v>1.8462202193216335</v>
      </c>
      <c r="BR208">
        <f t="shared" si="172"/>
        <v>2</v>
      </c>
      <c r="BS208">
        <f t="shared" si="173"/>
        <v>4</v>
      </c>
      <c r="BT208">
        <f t="shared" si="174"/>
        <v>0</v>
      </c>
      <c r="BU208">
        <f t="shared" si="134"/>
        <v>2</v>
      </c>
      <c r="BV208" s="13">
        <f t="shared" si="135"/>
        <v>3</v>
      </c>
      <c r="BW208" s="13">
        <f t="shared" si="136"/>
        <v>0</v>
      </c>
      <c r="BX208" s="13">
        <f t="shared" si="137"/>
        <v>2</v>
      </c>
      <c r="BY208" s="13">
        <f t="shared" si="138"/>
        <v>2</v>
      </c>
      <c r="BZ208" s="13">
        <f t="shared" si="139"/>
        <v>1</v>
      </c>
      <c r="CA208" s="13">
        <f t="shared" si="140"/>
        <v>5</v>
      </c>
      <c r="CB208" s="13">
        <f t="shared" si="141"/>
        <v>0</v>
      </c>
      <c r="CC208" s="13">
        <f t="shared" si="142"/>
        <v>0</v>
      </c>
      <c r="CD208" s="13">
        <f t="shared" si="143"/>
        <v>2.6457513110645907</v>
      </c>
      <c r="CE208" s="13">
        <f t="shared" si="144"/>
        <v>3.3166247903553998</v>
      </c>
      <c r="CF208" s="13">
        <f t="shared" si="145"/>
        <v>1.358756865418399</v>
      </c>
      <c r="CG208" s="13">
        <f t="shared" si="146"/>
        <v>1.4142135623730951</v>
      </c>
      <c r="CH208" s="13">
        <f t="shared" si="147"/>
        <v>2</v>
      </c>
      <c r="CI208" s="13">
        <f t="shared" si="148"/>
        <v>0</v>
      </c>
      <c r="CJ208" s="13">
        <f t="shared" si="148"/>
        <v>1.4142135623730951</v>
      </c>
      <c r="CK208" s="13">
        <f t="shared" si="149"/>
        <v>1.7320508075688772</v>
      </c>
      <c r="CL208" s="13">
        <f t="shared" si="150"/>
        <v>0</v>
      </c>
      <c r="CM208" s="13">
        <f t="shared" si="151"/>
        <v>1.4142135623730951</v>
      </c>
      <c r="CN208" s="13">
        <f t="shared" si="152"/>
        <v>1.4142135623730951</v>
      </c>
      <c r="CO208" s="13">
        <f t="shared" si="153"/>
        <v>1</v>
      </c>
      <c r="CP208" s="13">
        <f t="shared" si="154"/>
        <v>2.2360679774997898</v>
      </c>
      <c r="CQ208" s="13">
        <f t="shared" si="155"/>
        <v>0</v>
      </c>
      <c r="CR208" s="13">
        <f t="shared" si="156"/>
        <v>0</v>
      </c>
      <c r="CS208" s="13">
        <f t="shared" si="157"/>
        <v>2.0794415416798357</v>
      </c>
      <c r="CT208" s="13">
        <f t="shared" si="158"/>
        <v>2.4849066497880004</v>
      </c>
      <c r="CU208" s="13">
        <f t="shared" si="159"/>
        <v>1.0459918752129693</v>
      </c>
      <c r="CV208" s="13">
        <f t="shared" si="160"/>
        <v>1.0986122886681098</v>
      </c>
      <c r="CW208" s="13">
        <f t="shared" si="161"/>
        <v>1.6094379124341003</v>
      </c>
      <c r="CX208" s="13">
        <f t="shared" si="162"/>
        <v>0</v>
      </c>
      <c r="CY208" s="13">
        <f t="shared" si="163"/>
        <v>1.0986122886681098</v>
      </c>
      <c r="CZ208" s="13">
        <f t="shared" si="164"/>
        <v>1.3862943611198906</v>
      </c>
      <c r="DA208" s="13">
        <f t="shared" si="165"/>
        <v>0</v>
      </c>
      <c r="DB208" s="13">
        <f t="shared" si="166"/>
        <v>1.0986122886681098</v>
      </c>
      <c r="DC208" s="13">
        <f t="shared" si="167"/>
        <v>1.0986122886681098</v>
      </c>
      <c r="DD208" s="13">
        <f t="shared" si="168"/>
        <v>0.69314718055994529</v>
      </c>
      <c r="DE208" s="13">
        <f t="shared" si="169"/>
        <v>1.791759469228055</v>
      </c>
      <c r="DF208" s="13">
        <f t="shared" si="170"/>
        <v>0</v>
      </c>
      <c r="DG208" s="13">
        <f t="shared" si="171"/>
        <v>0</v>
      </c>
      <c r="DH208" s="13"/>
      <c r="DI208" s="13"/>
      <c r="DJ208" s="13"/>
      <c r="DL208"/>
      <c r="DM208"/>
      <c r="DN208"/>
      <c r="DO208"/>
      <c r="DP208" s="31"/>
    </row>
    <row r="209" spans="1:120">
      <c r="A209" t="s">
        <v>132</v>
      </c>
      <c r="B209" t="s">
        <v>183</v>
      </c>
      <c r="C209" t="s">
        <v>269</v>
      </c>
      <c r="D209" s="13" t="s">
        <v>320</v>
      </c>
      <c r="E209" s="13" t="s">
        <v>91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 s="32">
        <v>0</v>
      </c>
      <c r="BD209" s="32">
        <v>0</v>
      </c>
      <c r="BE209" s="32">
        <v>0</v>
      </c>
      <c r="BF209" s="32">
        <v>0</v>
      </c>
      <c r="BG209" s="32">
        <v>0</v>
      </c>
      <c r="BH209" s="32">
        <v>0</v>
      </c>
      <c r="BI209" s="32">
        <v>0</v>
      </c>
      <c r="BJ209" s="32">
        <v>0</v>
      </c>
      <c r="BK209" s="32">
        <v>0</v>
      </c>
      <c r="BL209" s="32">
        <v>0</v>
      </c>
      <c r="BM209" s="32">
        <v>0</v>
      </c>
      <c r="BN209" s="32">
        <v>0</v>
      </c>
      <c r="BO209">
        <f t="shared" si="132"/>
        <v>0</v>
      </c>
      <c r="BP209" s="13">
        <f t="shared" si="133"/>
        <v>0</v>
      </c>
      <c r="BQ209" s="13">
        <v>0</v>
      </c>
      <c r="BR209">
        <f t="shared" si="172"/>
        <v>0</v>
      </c>
      <c r="BS209">
        <f t="shared" si="173"/>
        <v>0</v>
      </c>
      <c r="BT209">
        <f t="shared" si="174"/>
        <v>0</v>
      </c>
      <c r="BU209">
        <f t="shared" si="134"/>
        <v>0</v>
      </c>
      <c r="BV209" s="13">
        <f t="shared" si="135"/>
        <v>0</v>
      </c>
      <c r="BW209" s="13">
        <f t="shared" si="136"/>
        <v>0</v>
      </c>
      <c r="BX209" s="13">
        <f t="shared" si="137"/>
        <v>0</v>
      </c>
      <c r="BY209" s="13">
        <f t="shared" si="138"/>
        <v>0</v>
      </c>
      <c r="BZ209" s="13">
        <f t="shared" si="139"/>
        <v>0</v>
      </c>
      <c r="CA209" s="13">
        <f t="shared" si="140"/>
        <v>0</v>
      </c>
      <c r="CB209" s="13">
        <f t="shared" si="141"/>
        <v>0</v>
      </c>
      <c r="CC209" s="13">
        <f t="shared" si="142"/>
        <v>0</v>
      </c>
      <c r="CD209" s="13">
        <f t="shared" si="143"/>
        <v>0</v>
      </c>
      <c r="CE209" s="13">
        <f t="shared" si="144"/>
        <v>0</v>
      </c>
      <c r="CF209" s="13">
        <f t="shared" si="145"/>
        <v>0</v>
      </c>
      <c r="CG209" s="13">
        <f t="shared" si="146"/>
        <v>0</v>
      </c>
      <c r="CH209" s="13">
        <f t="shared" si="147"/>
        <v>0</v>
      </c>
      <c r="CI209" s="13">
        <f t="shared" si="148"/>
        <v>0</v>
      </c>
      <c r="CJ209" s="13">
        <f t="shared" si="148"/>
        <v>0</v>
      </c>
      <c r="CK209" s="13">
        <f t="shared" si="149"/>
        <v>0</v>
      </c>
      <c r="CL209" s="13">
        <f t="shared" si="150"/>
        <v>0</v>
      </c>
      <c r="CM209" s="13">
        <f t="shared" si="151"/>
        <v>0</v>
      </c>
      <c r="CN209" s="13">
        <f t="shared" si="152"/>
        <v>0</v>
      </c>
      <c r="CO209" s="13">
        <f t="shared" si="153"/>
        <v>0</v>
      </c>
      <c r="CP209" s="13">
        <f t="shared" si="154"/>
        <v>0</v>
      </c>
      <c r="CQ209" s="13">
        <f t="shared" si="155"/>
        <v>0</v>
      </c>
      <c r="CR209" s="13">
        <f t="shared" si="156"/>
        <v>0</v>
      </c>
      <c r="CS209" s="13">
        <f t="shared" si="157"/>
        <v>0</v>
      </c>
      <c r="CT209" s="13">
        <f t="shared" si="158"/>
        <v>0</v>
      </c>
      <c r="CU209" s="13">
        <f t="shared" si="159"/>
        <v>0</v>
      </c>
      <c r="CV209" s="13">
        <f t="shared" si="160"/>
        <v>0</v>
      </c>
      <c r="CW209" s="13">
        <f t="shared" si="161"/>
        <v>0</v>
      </c>
      <c r="CX209" s="13">
        <f t="shared" si="162"/>
        <v>0</v>
      </c>
      <c r="CY209" s="13">
        <f t="shared" si="163"/>
        <v>0</v>
      </c>
      <c r="CZ209" s="13">
        <f t="shared" si="164"/>
        <v>0</v>
      </c>
      <c r="DA209" s="13">
        <f t="shared" si="165"/>
        <v>0</v>
      </c>
      <c r="DB209" s="13">
        <f t="shared" si="166"/>
        <v>0</v>
      </c>
      <c r="DC209" s="13">
        <f t="shared" si="167"/>
        <v>0</v>
      </c>
      <c r="DD209" s="13">
        <f t="shared" si="168"/>
        <v>0</v>
      </c>
      <c r="DE209" s="13">
        <f t="shared" si="169"/>
        <v>0</v>
      </c>
      <c r="DF209" s="13">
        <f t="shared" si="170"/>
        <v>0</v>
      </c>
      <c r="DG209" s="13">
        <f t="shared" si="171"/>
        <v>0</v>
      </c>
      <c r="DH209" s="13"/>
      <c r="DI209" s="13"/>
      <c r="DJ209" s="13"/>
      <c r="DL209"/>
      <c r="DM209"/>
      <c r="DN209"/>
      <c r="DO209"/>
      <c r="DP209" s="31"/>
    </row>
    <row r="210" spans="1:120">
      <c r="A210" t="s">
        <v>133</v>
      </c>
      <c r="B210" t="s">
        <v>183</v>
      </c>
      <c r="C210" t="s">
        <v>269</v>
      </c>
      <c r="D210" s="13" t="s">
        <v>320</v>
      </c>
      <c r="E210" s="13" t="s">
        <v>91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32">
        <v>0</v>
      </c>
      <c r="L210" s="32">
        <v>0</v>
      </c>
      <c r="M210" s="32">
        <v>0</v>
      </c>
      <c r="N210" s="32">
        <v>0</v>
      </c>
      <c r="O210" s="32">
        <v>0</v>
      </c>
      <c r="P210" s="32">
        <v>0</v>
      </c>
      <c r="Q210" s="13">
        <v>1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32">
        <v>0</v>
      </c>
      <c r="AB210" s="32">
        <v>0</v>
      </c>
      <c r="AC210" s="32">
        <v>0</v>
      </c>
      <c r="AD210" s="13">
        <v>1</v>
      </c>
      <c r="AE210" s="32">
        <v>0</v>
      </c>
      <c r="AF210" s="32">
        <v>0</v>
      </c>
      <c r="AG210" s="13">
        <v>2</v>
      </c>
      <c r="AH210" s="32">
        <v>0</v>
      </c>
      <c r="AI210" s="32">
        <v>0</v>
      </c>
      <c r="AJ210" s="32">
        <v>0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v>0</v>
      </c>
      <c r="AY210" s="32">
        <v>0</v>
      </c>
      <c r="AZ210" s="32">
        <v>0</v>
      </c>
      <c r="BA210" s="32">
        <v>0</v>
      </c>
      <c r="BB210" s="32">
        <v>0</v>
      </c>
      <c r="BC210" s="32">
        <v>0</v>
      </c>
      <c r="BD210" s="32">
        <v>0</v>
      </c>
      <c r="BE210" s="32">
        <v>0</v>
      </c>
      <c r="BF210" s="32">
        <v>0</v>
      </c>
      <c r="BG210" s="32">
        <v>0</v>
      </c>
      <c r="BH210" s="32">
        <v>0</v>
      </c>
      <c r="BI210" s="13">
        <v>1</v>
      </c>
      <c r="BJ210" s="32">
        <v>0</v>
      </c>
      <c r="BK210" s="32">
        <v>0</v>
      </c>
      <c r="BL210" s="32">
        <v>0</v>
      </c>
      <c r="BM210" s="32">
        <v>0</v>
      </c>
      <c r="BN210" s="32">
        <v>0</v>
      </c>
      <c r="BO210">
        <f t="shared" ref="BO210:BO217" si="175">COUNTIF(K210:BL210, "&gt;0")</f>
        <v>4</v>
      </c>
      <c r="BP210" s="13">
        <f t="shared" ref="BP210:BP217" si="176">SUM(K210:BL210)</f>
        <v>5</v>
      </c>
      <c r="BQ210" s="13">
        <f>[1]!shannonweaver(K210:BL210)</f>
        <v>1.3321790402101223</v>
      </c>
      <c r="BR210">
        <f t="shared" si="172"/>
        <v>1</v>
      </c>
      <c r="BS210">
        <f t="shared" si="173"/>
        <v>2</v>
      </c>
      <c r="BT210">
        <f t="shared" si="174"/>
        <v>0</v>
      </c>
      <c r="BU210">
        <f t="shared" si="134"/>
        <v>1</v>
      </c>
      <c r="BV210" s="13">
        <f t="shared" si="135"/>
        <v>1</v>
      </c>
      <c r="BW210" s="13">
        <f t="shared" si="136"/>
        <v>1</v>
      </c>
      <c r="BX210" s="13">
        <f t="shared" si="137"/>
        <v>0</v>
      </c>
      <c r="BY210" s="13">
        <f t="shared" si="138"/>
        <v>1</v>
      </c>
      <c r="BZ210" s="13">
        <f t="shared" si="139"/>
        <v>2</v>
      </c>
      <c r="CA210" s="13">
        <f t="shared" si="140"/>
        <v>3</v>
      </c>
      <c r="CB210" s="13">
        <f t="shared" si="141"/>
        <v>0</v>
      </c>
      <c r="CC210" s="13">
        <f t="shared" si="142"/>
        <v>0</v>
      </c>
      <c r="CD210" s="13">
        <f t="shared" si="143"/>
        <v>2</v>
      </c>
      <c r="CE210" s="13">
        <f t="shared" si="144"/>
        <v>2.2360679774997898</v>
      </c>
      <c r="CF210" s="13">
        <f t="shared" si="145"/>
        <v>1.1542006065715449</v>
      </c>
      <c r="CG210" s="13">
        <f t="shared" si="146"/>
        <v>1</v>
      </c>
      <c r="CH210" s="13">
        <f t="shared" si="147"/>
        <v>1.4142135623730951</v>
      </c>
      <c r="CI210" s="13">
        <f t="shared" si="148"/>
        <v>0</v>
      </c>
      <c r="CJ210" s="13">
        <f t="shared" si="148"/>
        <v>1</v>
      </c>
      <c r="CK210" s="13">
        <f t="shared" si="149"/>
        <v>1</v>
      </c>
      <c r="CL210" s="13">
        <f t="shared" si="150"/>
        <v>1</v>
      </c>
      <c r="CM210" s="13">
        <f t="shared" si="151"/>
        <v>0</v>
      </c>
      <c r="CN210" s="13">
        <f t="shared" si="152"/>
        <v>1</v>
      </c>
      <c r="CO210" s="13">
        <f t="shared" si="153"/>
        <v>1.4142135623730951</v>
      </c>
      <c r="CP210" s="13">
        <f t="shared" si="154"/>
        <v>1.7320508075688772</v>
      </c>
      <c r="CQ210" s="13">
        <f t="shared" si="155"/>
        <v>0</v>
      </c>
      <c r="CR210" s="13">
        <f t="shared" si="156"/>
        <v>0</v>
      </c>
      <c r="CS210" s="13">
        <f t="shared" si="157"/>
        <v>1.6094379124341003</v>
      </c>
      <c r="CT210" s="13">
        <f t="shared" si="158"/>
        <v>1.791759469228055</v>
      </c>
      <c r="CU210" s="13">
        <f t="shared" si="159"/>
        <v>0.84680304093144199</v>
      </c>
      <c r="CV210" s="13">
        <f t="shared" si="160"/>
        <v>0.69314718055994529</v>
      </c>
      <c r="CW210" s="13">
        <f t="shared" si="161"/>
        <v>1.0986122886681098</v>
      </c>
      <c r="CX210" s="13">
        <f t="shared" si="162"/>
        <v>0</v>
      </c>
      <c r="CY210" s="13">
        <f t="shared" si="163"/>
        <v>0.69314718055994529</v>
      </c>
      <c r="CZ210" s="13">
        <f t="shared" si="164"/>
        <v>0.69314718055994529</v>
      </c>
      <c r="DA210" s="13">
        <f t="shared" si="165"/>
        <v>0.69314718055994529</v>
      </c>
      <c r="DB210" s="13">
        <f t="shared" si="166"/>
        <v>0</v>
      </c>
      <c r="DC210" s="13">
        <f t="shared" si="167"/>
        <v>0.69314718055994529</v>
      </c>
      <c r="DD210" s="13">
        <f t="shared" si="168"/>
        <v>1.0986122886681098</v>
      </c>
      <c r="DE210" s="13">
        <f t="shared" si="169"/>
        <v>1.3862943611198906</v>
      </c>
      <c r="DF210" s="13">
        <f t="shared" si="170"/>
        <v>0</v>
      </c>
      <c r="DG210" s="13">
        <f t="shared" si="171"/>
        <v>0</v>
      </c>
      <c r="DH210" s="13"/>
      <c r="DI210" s="13"/>
      <c r="DJ210" s="13"/>
      <c r="DL210"/>
      <c r="DM210"/>
      <c r="DN210"/>
      <c r="DO210"/>
      <c r="DP210" s="31"/>
    </row>
    <row r="211" spans="1:120">
      <c r="A211" t="s">
        <v>134</v>
      </c>
      <c r="B211" t="s">
        <v>183</v>
      </c>
      <c r="C211" t="s">
        <v>269</v>
      </c>
      <c r="D211" s="13" t="s">
        <v>320</v>
      </c>
      <c r="E211" s="13" t="s">
        <v>91</v>
      </c>
      <c r="F211" s="13">
        <v>0</v>
      </c>
      <c r="G211" s="13">
        <v>0</v>
      </c>
      <c r="H211" s="13">
        <v>1</v>
      </c>
      <c r="I211" s="13">
        <v>0</v>
      </c>
      <c r="J211" s="13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 s="32">
        <v>0</v>
      </c>
      <c r="BD211" s="32">
        <v>0</v>
      </c>
      <c r="BE211" s="32">
        <v>0</v>
      </c>
      <c r="BF211" s="32">
        <v>0</v>
      </c>
      <c r="BG211" s="32">
        <v>0</v>
      </c>
      <c r="BH211" s="32">
        <v>0</v>
      </c>
      <c r="BI211" s="13">
        <v>1</v>
      </c>
      <c r="BJ211" s="32">
        <v>0</v>
      </c>
      <c r="BK211" s="32">
        <v>0</v>
      </c>
      <c r="BL211" s="32">
        <v>0</v>
      </c>
      <c r="BM211" s="32">
        <v>0</v>
      </c>
      <c r="BN211" s="32">
        <v>0</v>
      </c>
      <c r="BO211">
        <f t="shared" si="175"/>
        <v>1</v>
      </c>
      <c r="BP211" s="13">
        <f t="shared" si="176"/>
        <v>1</v>
      </c>
      <c r="BQ211" s="13">
        <f>[1]!shannonweaver(K211:BL211)</f>
        <v>0</v>
      </c>
      <c r="BR211">
        <f t="shared" si="172"/>
        <v>0</v>
      </c>
      <c r="BS211">
        <f t="shared" si="173"/>
        <v>0</v>
      </c>
      <c r="BT211">
        <f t="shared" si="174"/>
        <v>0</v>
      </c>
      <c r="BU211">
        <f t="shared" si="134"/>
        <v>0</v>
      </c>
      <c r="BV211" s="13">
        <f t="shared" si="135"/>
        <v>0</v>
      </c>
      <c r="BW211" s="13">
        <f t="shared" si="136"/>
        <v>0</v>
      </c>
      <c r="BX211" s="13">
        <f t="shared" si="137"/>
        <v>0</v>
      </c>
      <c r="BY211" s="13">
        <f t="shared" si="138"/>
        <v>0</v>
      </c>
      <c r="BZ211" s="13">
        <f t="shared" si="139"/>
        <v>0</v>
      </c>
      <c r="CA211" s="13">
        <f t="shared" si="140"/>
        <v>0</v>
      </c>
      <c r="CB211" s="13">
        <f t="shared" si="141"/>
        <v>0</v>
      </c>
      <c r="CC211" s="13">
        <f t="shared" si="142"/>
        <v>0</v>
      </c>
      <c r="CD211" s="13">
        <f t="shared" si="143"/>
        <v>1</v>
      </c>
      <c r="CE211" s="13">
        <f t="shared" si="144"/>
        <v>1</v>
      </c>
      <c r="CF211" s="13">
        <f t="shared" si="145"/>
        <v>0</v>
      </c>
      <c r="CG211" s="13">
        <f t="shared" si="146"/>
        <v>0</v>
      </c>
      <c r="CH211" s="13">
        <f t="shared" si="147"/>
        <v>0</v>
      </c>
      <c r="CI211" s="13">
        <f t="shared" si="148"/>
        <v>0</v>
      </c>
      <c r="CJ211" s="13">
        <f t="shared" si="148"/>
        <v>0</v>
      </c>
      <c r="CK211" s="13">
        <f t="shared" si="149"/>
        <v>0</v>
      </c>
      <c r="CL211" s="13">
        <f t="shared" si="150"/>
        <v>0</v>
      </c>
      <c r="CM211" s="13">
        <f t="shared" si="151"/>
        <v>0</v>
      </c>
      <c r="CN211" s="13">
        <f t="shared" si="152"/>
        <v>0</v>
      </c>
      <c r="CO211" s="13">
        <f t="shared" si="153"/>
        <v>0</v>
      </c>
      <c r="CP211" s="13">
        <f t="shared" si="154"/>
        <v>0</v>
      </c>
      <c r="CQ211" s="13">
        <f t="shared" si="155"/>
        <v>0</v>
      </c>
      <c r="CR211" s="13">
        <f t="shared" si="156"/>
        <v>0</v>
      </c>
      <c r="CS211" s="13">
        <f t="shared" si="157"/>
        <v>0.69314718055994529</v>
      </c>
      <c r="CT211" s="13">
        <f t="shared" si="158"/>
        <v>0.69314718055994529</v>
      </c>
      <c r="CU211" s="13">
        <f t="shared" si="159"/>
        <v>0</v>
      </c>
      <c r="CV211" s="13">
        <f t="shared" si="160"/>
        <v>0</v>
      </c>
      <c r="CW211" s="13">
        <f t="shared" si="161"/>
        <v>0</v>
      </c>
      <c r="CX211" s="13">
        <f t="shared" si="162"/>
        <v>0</v>
      </c>
      <c r="CY211" s="13">
        <f t="shared" si="163"/>
        <v>0</v>
      </c>
      <c r="CZ211" s="13">
        <f t="shared" si="164"/>
        <v>0</v>
      </c>
      <c r="DA211" s="13">
        <f t="shared" si="165"/>
        <v>0</v>
      </c>
      <c r="DB211" s="13">
        <f t="shared" si="166"/>
        <v>0</v>
      </c>
      <c r="DC211" s="13">
        <f t="shared" si="167"/>
        <v>0</v>
      </c>
      <c r="DD211" s="13">
        <f t="shared" si="168"/>
        <v>0</v>
      </c>
      <c r="DE211" s="13">
        <f t="shared" si="169"/>
        <v>0</v>
      </c>
      <c r="DF211" s="13">
        <f t="shared" si="170"/>
        <v>0</v>
      </c>
      <c r="DG211" s="13">
        <f t="shared" si="171"/>
        <v>0</v>
      </c>
      <c r="DH211" s="13"/>
      <c r="DI211" s="13"/>
      <c r="DJ211" s="13"/>
      <c r="DL211"/>
      <c r="DM211"/>
      <c r="DN211"/>
      <c r="DO211"/>
      <c r="DP211" s="31"/>
    </row>
    <row r="212" spans="1:120">
      <c r="A212" t="s">
        <v>135</v>
      </c>
      <c r="B212" t="s">
        <v>183</v>
      </c>
      <c r="C212" t="s">
        <v>45</v>
      </c>
      <c r="D212" s="13" t="s">
        <v>320</v>
      </c>
      <c r="E212" s="13" t="s">
        <v>91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32">
        <v>0</v>
      </c>
      <c r="AB212" s="32">
        <v>0</v>
      </c>
      <c r="AC212" s="32">
        <v>0</v>
      </c>
      <c r="AD212" s="13">
        <v>1</v>
      </c>
      <c r="AE212" s="32">
        <v>0</v>
      </c>
      <c r="AF212" s="32">
        <v>0</v>
      </c>
      <c r="AG212" s="32">
        <v>0</v>
      </c>
      <c r="AH212" s="13">
        <v>1</v>
      </c>
      <c r="AI212" s="32">
        <v>0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32">
        <v>0</v>
      </c>
      <c r="AW212" s="32">
        <v>0</v>
      </c>
      <c r="AX212" s="32">
        <v>0</v>
      </c>
      <c r="AY212" s="32">
        <v>0</v>
      </c>
      <c r="AZ212" s="32">
        <v>0</v>
      </c>
      <c r="BA212" s="32">
        <v>0</v>
      </c>
      <c r="BB212" s="32">
        <v>0</v>
      </c>
      <c r="BC212" s="13">
        <v>1</v>
      </c>
      <c r="BD212" s="32">
        <v>0</v>
      </c>
      <c r="BE212" s="32">
        <v>0</v>
      </c>
      <c r="BF212" s="32">
        <v>0</v>
      </c>
      <c r="BG212" s="32">
        <v>0</v>
      </c>
      <c r="BH212" s="32">
        <v>0</v>
      </c>
      <c r="BI212" s="32">
        <v>0</v>
      </c>
      <c r="BJ212" s="32">
        <v>0</v>
      </c>
      <c r="BK212" s="32">
        <v>0</v>
      </c>
      <c r="BL212" s="32">
        <v>0</v>
      </c>
      <c r="BM212" s="32">
        <v>0</v>
      </c>
      <c r="BN212" s="32">
        <v>0</v>
      </c>
      <c r="BO212">
        <f t="shared" si="175"/>
        <v>3</v>
      </c>
      <c r="BP212" s="13">
        <f t="shared" si="176"/>
        <v>3</v>
      </c>
      <c r="BQ212" s="13">
        <f>[1]!shannonweaver(K212:BL212)</f>
        <v>1.0986122886681096</v>
      </c>
      <c r="BR212">
        <f t="shared" si="172"/>
        <v>0</v>
      </c>
      <c r="BS212">
        <f t="shared" si="173"/>
        <v>2</v>
      </c>
      <c r="BT212">
        <f t="shared" si="174"/>
        <v>1</v>
      </c>
      <c r="BU212">
        <f t="shared" si="134"/>
        <v>0</v>
      </c>
      <c r="BV212" s="13">
        <f t="shared" si="135"/>
        <v>0</v>
      </c>
      <c r="BW212" s="13">
        <f t="shared" si="136"/>
        <v>1</v>
      </c>
      <c r="BX212" s="13">
        <f t="shared" si="137"/>
        <v>0</v>
      </c>
      <c r="BY212" s="13">
        <f t="shared" si="138"/>
        <v>1</v>
      </c>
      <c r="BZ212" s="13">
        <f t="shared" si="139"/>
        <v>0</v>
      </c>
      <c r="CA212" s="13">
        <f t="shared" si="140"/>
        <v>2</v>
      </c>
      <c r="CB212" s="13">
        <f t="shared" si="141"/>
        <v>1</v>
      </c>
      <c r="CC212" s="13">
        <f t="shared" si="142"/>
        <v>0</v>
      </c>
      <c r="CD212" s="13">
        <f t="shared" si="143"/>
        <v>1.7320508075688772</v>
      </c>
      <c r="CE212" s="13">
        <f t="shared" si="144"/>
        <v>1.7320508075688772</v>
      </c>
      <c r="CF212" s="13">
        <f t="shared" si="145"/>
        <v>1.0481470739682048</v>
      </c>
      <c r="CG212" s="13">
        <f t="shared" si="146"/>
        <v>0</v>
      </c>
      <c r="CH212" s="13">
        <f t="shared" si="147"/>
        <v>1.4142135623730951</v>
      </c>
      <c r="CI212" s="13">
        <f t="shared" si="148"/>
        <v>1</v>
      </c>
      <c r="CJ212" s="13">
        <f t="shared" si="148"/>
        <v>0</v>
      </c>
      <c r="CK212" s="13">
        <f t="shared" si="149"/>
        <v>0</v>
      </c>
      <c r="CL212" s="13">
        <f t="shared" si="150"/>
        <v>1</v>
      </c>
      <c r="CM212" s="13">
        <f t="shared" si="151"/>
        <v>0</v>
      </c>
      <c r="CN212" s="13">
        <f t="shared" si="152"/>
        <v>1</v>
      </c>
      <c r="CO212" s="13">
        <f t="shared" si="153"/>
        <v>0</v>
      </c>
      <c r="CP212" s="13">
        <f t="shared" si="154"/>
        <v>1.4142135623730951</v>
      </c>
      <c r="CQ212" s="13">
        <f t="shared" si="155"/>
        <v>1</v>
      </c>
      <c r="CR212" s="13">
        <f t="shared" si="156"/>
        <v>0</v>
      </c>
      <c r="CS212" s="13">
        <f t="shared" si="157"/>
        <v>1.3862943611198906</v>
      </c>
      <c r="CT212" s="13">
        <f t="shared" si="158"/>
        <v>1.3862943611198906</v>
      </c>
      <c r="CU212" s="13">
        <f t="shared" si="159"/>
        <v>0.74127631137501515</v>
      </c>
      <c r="CV212" s="13">
        <f t="shared" si="160"/>
        <v>0</v>
      </c>
      <c r="CW212" s="13">
        <f t="shared" si="161"/>
        <v>1.0986122886681098</v>
      </c>
      <c r="CX212" s="13">
        <f t="shared" si="162"/>
        <v>0.69314718055994529</v>
      </c>
      <c r="CY212" s="13">
        <f t="shared" si="163"/>
        <v>0</v>
      </c>
      <c r="CZ212" s="13">
        <f t="shared" si="164"/>
        <v>0</v>
      </c>
      <c r="DA212" s="13">
        <f t="shared" si="165"/>
        <v>0.69314718055994529</v>
      </c>
      <c r="DB212" s="13">
        <f t="shared" si="166"/>
        <v>0</v>
      </c>
      <c r="DC212" s="13">
        <f t="shared" si="167"/>
        <v>0.69314718055994529</v>
      </c>
      <c r="DD212" s="13">
        <f t="shared" si="168"/>
        <v>0</v>
      </c>
      <c r="DE212" s="13">
        <f t="shared" si="169"/>
        <v>1.0986122886681098</v>
      </c>
      <c r="DF212" s="13">
        <f t="shared" si="170"/>
        <v>0.69314718055994529</v>
      </c>
      <c r="DG212" s="13">
        <f t="shared" si="171"/>
        <v>0</v>
      </c>
      <c r="DH212" s="13"/>
      <c r="DI212" s="13"/>
      <c r="DJ212" s="13"/>
      <c r="DL212"/>
      <c r="DM212"/>
      <c r="DN212"/>
      <c r="DO212"/>
      <c r="DP212" s="31"/>
    </row>
    <row r="213" spans="1:120">
      <c r="A213" t="s">
        <v>136</v>
      </c>
      <c r="B213" t="s">
        <v>183</v>
      </c>
      <c r="C213" t="s">
        <v>45</v>
      </c>
      <c r="D213" s="13" t="s">
        <v>320</v>
      </c>
      <c r="E213" s="13" t="s">
        <v>91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32">
        <v>0</v>
      </c>
      <c r="S213" s="32">
        <v>0</v>
      </c>
      <c r="T213" s="32">
        <v>0</v>
      </c>
      <c r="U213" s="13">
        <v>1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32">
        <v>0</v>
      </c>
      <c r="AE213" s="32">
        <v>0</v>
      </c>
      <c r="AF213" s="32">
        <v>0</v>
      </c>
      <c r="AG213" s="13">
        <v>1</v>
      </c>
      <c r="AH213" s="13">
        <v>1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 s="32">
        <v>0</v>
      </c>
      <c r="BD213" s="32">
        <v>0</v>
      </c>
      <c r="BE213" s="32">
        <v>0</v>
      </c>
      <c r="BF213" s="32">
        <v>0</v>
      </c>
      <c r="BG213" s="32">
        <v>0</v>
      </c>
      <c r="BH213" s="32">
        <v>0</v>
      </c>
      <c r="BI213" s="13">
        <v>1</v>
      </c>
      <c r="BJ213" s="32">
        <v>0</v>
      </c>
      <c r="BK213" s="32">
        <v>0</v>
      </c>
      <c r="BL213" s="32">
        <v>0</v>
      </c>
      <c r="BM213" s="32">
        <v>0</v>
      </c>
      <c r="BN213" s="32">
        <v>0</v>
      </c>
      <c r="BO213">
        <f t="shared" si="175"/>
        <v>4</v>
      </c>
      <c r="BP213" s="13">
        <f t="shared" si="176"/>
        <v>4</v>
      </c>
      <c r="BQ213" s="13">
        <f>[1]!shannonweaver(K213:BL213)</f>
        <v>1.3862943611198906</v>
      </c>
      <c r="BR213">
        <f t="shared" si="172"/>
        <v>1</v>
      </c>
      <c r="BS213">
        <f t="shared" si="173"/>
        <v>2</v>
      </c>
      <c r="BT213">
        <f t="shared" si="174"/>
        <v>0</v>
      </c>
      <c r="BU213">
        <f t="shared" si="134"/>
        <v>0</v>
      </c>
      <c r="BV213" s="13">
        <f t="shared" si="135"/>
        <v>1</v>
      </c>
      <c r="BW213" s="13">
        <f t="shared" si="136"/>
        <v>0</v>
      </c>
      <c r="BX213" s="13">
        <f t="shared" si="137"/>
        <v>0</v>
      </c>
      <c r="BY213" s="13">
        <f t="shared" si="138"/>
        <v>0</v>
      </c>
      <c r="BZ213" s="13">
        <f t="shared" si="139"/>
        <v>1</v>
      </c>
      <c r="CA213" s="13">
        <f t="shared" si="140"/>
        <v>2</v>
      </c>
      <c r="CB213" s="13">
        <f t="shared" si="141"/>
        <v>0</v>
      </c>
      <c r="CC213" s="13">
        <f t="shared" si="142"/>
        <v>0</v>
      </c>
      <c r="CD213" s="13">
        <f t="shared" si="143"/>
        <v>2</v>
      </c>
      <c r="CE213" s="13">
        <f t="shared" si="144"/>
        <v>2</v>
      </c>
      <c r="CF213" s="13">
        <f t="shared" si="145"/>
        <v>1.1774100225154747</v>
      </c>
      <c r="CG213" s="13">
        <f t="shared" si="146"/>
        <v>1</v>
      </c>
      <c r="CH213" s="13">
        <f t="shared" si="147"/>
        <v>1.4142135623730951</v>
      </c>
      <c r="CI213" s="13">
        <f t="shared" si="148"/>
        <v>0</v>
      </c>
      <c r="CJ213" s="13">
        <f t="shared" si="148"/>
        <v>0</v>
      </c>
      <c r="CK213" s="13">
        <f t="shared" si="149"/>
        <v>1</v>
      </c>
      <c r="CL213" s="13">
        <f t="shared" si="150"/>
        <v>0</v>
      </c>
      <c r="CM213" s="13">
        <f t="shared" si="151"/>
        <v>0</v>
      </c>
      <c r="CN213" s="13">
        <f t="shared" si="152"/>
        <v>0</v>
      </c>
      <c r="CO213" s="13">
        <f t="shared" si="153"/>
        <v>1</v>
      </c>
      <c r="CP213" s="13">
        <f t="shared" si="154"/>
        <v>1.4142135623730951</v>
      </c>
      <c r="CQ213" s="13">
        <f t="shared" si="155"/>
        <v>0</v>
      </c>
      <c r="CR213" s="13">
        <f t="shared" si="156"/>
        <v>0</v>
      </c>
      <c r="CS213" s="13">
        <f t="shared" si="157"/>
        <v>1.6094379124341003</v>
      </c>
      <c r="CT213" s="13">
        <f t="shared" si="158"/>
        <v>1.6094379124341003</v>
      </c>
      <c r="CU213" s="13">
        <f t="shared" si="159"/>
        <v>0.86974168619194392</v>
      </c>
      <c r="CV213" s="13">
        <f t="shared" si="160"/>
        <v>0.69314718055994529</v>
      </c>
      <c r="CW213" s="13">
        <f t="shared" si="161"/>
        <v>1.0986122886681098</v>
      </c>
      <c r="CX213" s="13">
        <f t="shared" si="162"/>
        <v>0</v>
      </c>
      <c r="CY213" s="13">
        <f t="shared" si="163"/>
        <v>0</v>
      </c>
      <c r="CZ213" s="13">
        <f t="shared" si="164"/>
        <v>0.69314718055994529</v>
      </c>
      <c r="DA213" s="13">
        <f t="shared" si="165"/>
        <v>0</v>
      </c>
      <c r="DB213" s="13">
        <f t="shared" si="166"/>
        <v>0</v>
      </c>
      <c r="DC213" s="13">
        <f t="shared" si="167"/>
        <v>0</v>
      </c>
      <c r="DD213" s="13">
        <f t="shared" si="168"/>
        <v>0.69314718055994529</v>
      </c>
      <c r="DE213" s="13">
        <f t="shared" si="169"/>
        <v>1.0986122886681098</v>
      </c>
      <c r="DF213" s="13">
        <f t="shared" si="170"/>
        <v>0</v>
      </c>
      <c r="DG213" s="13">
        <f t="shared" si="171"/>
        <v>0</v>
      </c>
      <c r="DH213" s="13"/>
      <c r="DI213" s="13"/>
      <c r="DJ213" s="13"/>
      <c r="DL213"/>
      <c r="DM213"/>
      <c r="DN213"/>
      <c r="DO213"/>
      <c r="DP213" s="31"/>
    </row>
    <row r="214" spans="1:120">
      <c r="A214" t="s">
        <v>194</v>
      </c>
      <c r="B214" t="s">
        <v>183</v>
      </c>
      <c r="C214" t="s">
        <v>45</v>
      </c>
      <c r="D214" s="13" t="s">
        <v>320</v>
      </c>
      <c r="E214" s="13" t="s">
        <v>91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32">
        <v>0</v>
      </c>
      <c r="AC214" s="32">
        <v>0</v>
      </c>
      <c r="AD214" s="32">
        <v>0</v>
      </c>
      <c r="AE214" s="13">
        <v>1</v>
      </c>
      <c r="AF214" s="32">
        <v>0</v>
      </c>
      <c r="AG214" s="32">
        <v>0</v>
      </c>
      <c r="AH214" s="32">
        <v>0</v>
      </c>
      <c r="AI214" s="32">
        <v>0</v>
      </c>
      <c r="AJ214" s="32">
        <v>0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32">
        <v>0</v>
      </c>
      <c r="AX214" s="32">
        <v>0</v>
      </c>
      <c r="AY214" s="32">
        <v>0</v>
      </c>
      <c r="AZ214" s="32">
        <v>0</v>
      </c>
      <c r="BA214" s="32">
        <v>0</v>
      </c>
      <c r="BB214" s="32">
        <v>0</v>
      </c>
      <c r="BC214" s="13">
        <v>3</v>
      </c>
      <c r="BD214" s="32">
        <v>0</v>
      </c>
      <c r="BE214" s="32">
        <v>0</v>
      </c>
      <c r="BF214" s="32">
        <v>0</v>
      </c>
      <c r="BG214" s="32">
        <v>0</v>
      </c>
      <c r="BH214" s="32">
        <v>0</v>
      </c>
      <c r="BI214" s="13">
        <v>1</v>
      </c>
      <c r="BJ214" s="13">
        <v>1</v>
      </c>
      <c r="BK214" s="32">
        <v>0</v>
      </c>
      <c r="BL214" s="32">
        <v>0</v>
      </c>
      <c r="BM214" s="32">
        <v>0</v>
      </c>
      <c r="BN214" s="32">
        <v>0</v>
      </c>
      <c r="BO214">
        <f t="shared" si="175"/>
        <v>4</v>
      </c>
      <c r="BP214" s="13">
        <f t="shared" si="176"/>
        <v>6</v>
      </c>
      <c r="BQ214" s="13">
        <f>[1]!shannonweaver(K214:BL214)</f>
        <v>1.242453324894</v>
      </c>
      <c r="BR214">
        <f t="shared" si="172"/>
        <v>0</v>
      </c>
      <c r="BS214">
        <f t="shared" si="173"/>
        <v>1</v>
      </c>
      <c r="BT214">
        <f t="shared" si="174"/>
        <v>1</v>
      </c>
      <c r="BU214">
        <f t="shared" si="134"/>
        <v>0</v>
      </c>
      <c r="BV214" s="13">
        <f t="shared" si="135"/>
        <v>0</v>
      </c>
      <c r="BW214" s="13">
        <f t="shared" si="136"/>
        <v>0</v>
      </c>
      <c r="BX214" s="13">
        <f t="shared" si="137"/>
        <v>1</v>
      </c>
      <c r="BY214" s="13">
        <f t="shared" si="138"/>
        <v>1</v>
      </c>
      <c r="BZ214" s="13">
        <f t="shared" si="139"/>
        <v>0</v>
      </c>
      <c r="CA214" s="13">
        <f t="shared" si="140"/>
        <v>1</v>
      </c>
      <c r="CB214" s="13">
        <f t="shared" si="141"/>
        <v>3</v>
      </c>
      <c r="CC214" s="13">
        <f t="shared" si="142"/>
        <v>0</v>
      </c>
      <c r="CD214" s="13">
        <f t="shared" si="143"/>
        <v>2</v>
      </c>
      <c r="CE214" s="13">
        <f t="shared" si="144"/>
        <v>2.4494897427831779</v>
      </c>
      <c r="CF214" s="13">
        <f t="shared" si="145"/>
        <v>1.1146539036373577</v>
      </c>
      <c r="CG214" s="13">
        <f t="shared" si="146"/>
        <v>0</v>
      </c>
      <c r="CH214" s="13">
        <f t="shared" si="147"/>
        <v>1</v>
      </c>
      <c r="CI214" s="13">
        <f t="shared" si="148"/>
        <v>1</v>
      </c>
      <c r="CJ214" s="13">
        <f t="shared" si="148"/>
        <v>0</v>
      </c>
      <c r="CK214" s="13">
        <f t="shared" si="149"/>
        <v>0</v>
      </c>
      <c r="CL214" s="13">
        <f t="shared" si="150"/>
        <v>0</v>
      </c>
      <c r="CM214" s="13">
        <f t="shared" si="151"/>
        <v>1</v>
      </c>
      <c r="CN214" s="13">
        <f t="shared" si="152"/>
        <v>1</v>
      </c>
      <c r="CO214" s="13">
        <f t="shared" si="153"/>
        <v>0</v>
      </c>
      <c r="CP214" s="13">
        <f t="shared" si="154"/>
        <v>1</v>
      </c>
      <c r="CQ214" s="13">
        <f t="shared" si="155"/>
        <v>1.7320508075688772</v>
      </c>
      <c r="CR214" s="13">
        <f t="shared" si="156"/>
        <v>0</v>
      </c>
      <c r="CS214" s="13">
        <f t="shared" si="157"/>
        <v>1.6094379124341003</v>
      </c>
      <c r="CT214" s="13">
        <f t="shared" si="158"/>
        <v>1.9459101490553132</v>
      </c>
      <c r="CU214" s="13">
        <f t="shared" si="159"/>
        <v>0.80757050086307647</v>
      </c>
      <c r="CV214" s="13">
        <f t="shared" si="160"/>
        <v>0</v>
      </c>
      <c r="CW214" s="13">
        <f t="shared" si="161"/>
        <v>0.69314718055994529</v>
      </c>
      <c r="CX214" s="13">
        <f t="shared" si="162"/>
        <v>0.69314718055994529</v>
      </c>
      <c r="CY214" s="13">
        <f t="shared" si="163"/>
        <v>0</v>
      </c>
      <c r="CZ214" s="13">
        <f t="shared" si="164"/>
        <v>0</v>
      </c>
      <c r="DA214" s="13">
        <f t="shared" si="165"/>
        <v>0</v>
      </c>
      <c r="DB214" s="13">
        <f t="shared" si="166"/>
        <v>0.69314718055994529</v>
      </c>
      <c r="DC214" s="13">
        <f t="shared" si="167"/>
        <v>0.69314718055994529</v>
      </c>
      <c r="DD214" s="13">
        <f t="shared" si="168"/>
        <v>0</v>
      </c>
      <c r="DE214" s="13">
        <f t="shared" si="169"/>
        <v>0.69314718055994529</v>
      </c>
      <c r="DF214" s="13">
        <f t="shared" si="170"/>
        <v>1.3862943611198906</v>
      </c>
      <c r="DG214" s="13">
        <f t="shared" si="171"/>
        <v>0</v>
      </c>
      <c r="DH214" s="13"/>
      <c r="DI214" s="13"/>
      <c r="DJ214" s="13"/>
      <c r="DL214"/>
      <c r="DM214"/>
      <c r="DN214"/>
      <c r="DO214"/>
      <c r="DP214" s="31"/>
    </row>
    <row r="215" spans="1:120">
      <c r="A215" t="s">
        <v>195</v>
      </c>
      <c r="B215" t="s">
        <v>183</v>
      </c>
      <c r="C215" t="s">
        <v>45</v>
      </c>
      <c r="D215" s="13" t="s">
        <v>320</v>
      </c>
      <c r="E215" s="13" t="s">
        <v>91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 s="32">
        <v>0</v>
      </c>
      <c r="BD215" s="32">
        <v>0</v>
      </c>
      <c r="BE215" s="32">
        <v>0</v>
      </c>
      <c r="BF215" s="32">
        <v>0</v>
      </c>
      <c r="BG215" s="32">
        <v>0</v>
      </c>
      <c r="BH215" s="32">
        <v>0</v>
      </c>
      <c r="BI215" s="32">
        <v>0</v>
      </c>
      <c r="BJ215" s="32">
        <v>0</v>
      </c>
      <c r="BK215" s="32">
        <v>0</v>
      </c>
      <c r="BL215" s="32">
        <v>0</v>
      </c>
      <c r="BM215" s="32">
        <v>0</v>
      </c>
      <c r="BN215" s="32">
        <v>0</v>
      </c>
      <c r="BO215">
        <f t="shared" si="175"/>
        <v>0</v>
      </c>
      <c r="BP215" s="13">
        <f t="shared" si="176"/>
        <v>0</v>
      </c>
      <c r="BQ215" s="13">
        <v>0</v>
      </c>
      <c r="BR215">
        <f t="shared" si="172"/>
        <v>0</v>
      </c>
      <c r="BS215">
        <f t="shared" si="173"/>
        <v>0</v>
      </c>
      <c r="BT215">
        <f t="shared" si="174"/>
        <v>0</v>
      </c>
      <c r="BU215">
        <f t="shared" si="134"/>
        <v>0</v>
      </c>
      <c r="BV215" s="13">
        <f t="shared" si="135"/>
        <v>0</v>
      </c>
      <c r="BW215" s="13">
        <f t="shared" si="136"/>
        <v>0</v>
      </c>
      <c r="BX215" s="13">
        <f t="shared" si="137"/>
        <v>0</v>
      </c>
      <c r="BY215" s="13">
        <f t="shared" si="138"/>
        <v>0</v>
      </c>
      <c r="BZ215" s="13">
        <f t="shared" si="139"/>
        <v>0</v>
      </c>
      <c r="CA215" s="13">
        <f t="shared" si="140"/>
        <v>0</v>
      </c>
      <c r="CB215" s="13">
        <f t="shared" si="141"/>
        <v>0</v>
      </c>
      <c r="CC215" s="13">
        <f t="shared" si="142"/>
        <v>0</v>
      </c>
      <c r="CD215" s="13">
        <f t="shared" si="143"/>
        <v>0</v>
      </c>
      <c r="CE215" s="13">
        <f t="shared" si="144"/>
        <v>0</v>
      </c>
      <c r="CF215" s="13">
        <f t="shared" si="145"/>
        <v>0</v>
      </c>
      <c r="CG215" s="13">
        <f t="shared" si="146"/>
        <v>0</v>
      </c>
      <c r="CH215" s="13">
        <f t="shared" si="147"/>
        <v>0</v>
      </c>
      <c r="CI215" s="13">
        <f t="shared" si="148"/>
        <v>0</v>
      </c>
      <c r="CJ215" s="13">
        <f t="shared" si="148"/>
        <v>0</v>
      </c>
      <c r="CK215" s="13">
        <f t="shared" si="149"/>
        <v>0</v>
      </c>
      <c r="CL215" s="13">
        <f t="shared" si="150"/>
        <v>0</v>
      </c>
      <c r="CM215" s="13">
        <f t="shared" si="151"/>
        <v>0</v>
      </c>
      <c r="CN215" s="13">
        <f t="shared" si="152"/>
        <v>0</v>
      </c>
      <c r="CO215" s="13">
        <f t="shared" si="153"/>
        <v>0</v>
      </c>
      <c r="CP215" s="13">
        <f t="shared" si="154"/>
        <v>0</v>
      </c>
      <c r="CQ215" s="13">
        <f t="shared" si="155"/>
        <v>0</v>
      </c>
      <c r="CR215" s="13">
        <f t="shared" si="156"/>
        <v>0</v>
      </c>
      <c r="CS215" s="13">
        <f t="shared" si="157"/>
        <v>0</v>
      </c>
      <c r="CT215" s="13">
        <f t="shared" si="158"/>
        <v>0</v>
      </c>
      <c r="CU215" s="13">
        <f t="shared" si="159"/>
        <v>0</v>
      </c>
      <c r="CV215" s="13">
        <f t="shared" si="160"/>
        <v>0</v>
      </c>
      <c r="CW215" s="13">
        <f t="shared" si="161"/>
        <v>0</v>
      </c>
      <c r="CX215" s="13">
        <f t="shared" si="162"/>
        <v>0</v>
      </c>
      <c r="CY215" s="13">
        <f t="shared" si="163"/>
        <v>0</v>
      </c>
      <c r="CZ215" s="13">
        <f t="shared" si="164"/>
        <v>0</v>
      </c>
      <c r="DA215" s="13">
        <f t="shared" si="165"/>
        <v>0</v>
      </c>
      <c r="DB215" s="13">
        <f t="shared" si="166"/>
        <v>0</v>
      </c>
      <c r="DC215" s="13">
        <f t="shared" si="167"/>
        <v>0</v>
      </c>
      <c r="DD215" s="13">
        <f t="shared" si="168"/>
        <v>0</v>
      </c>
      <c r="DE215" s="13">
        <f t="shared" si="169"/>
        <v>0</v>
      </c>
      <c r="DF215" s="13">
        <f t="shared" si="170"/>
        <v>0</v>
      </c>
      <c r="DG215" s="13">
        <f t="shared" si="171"/>
        <v>0</v>
      </c>
      <c r="DH215" s="13"/>
      <c r="DI215" s="13"/>
      <c r="DJ215" s="13"/>
      <c r="DL215"/>
      <c r="DM215"/>
      <c r="DN215"/>
      <c r="DO215"/>
      <c r="DP215" s="31"/>
    </row>
    <row r="216" spans="1:120">
      <c r="A216" t="s">
        <v>196</v>
      </c>
      <c r="B216" t="s">
        <v>183</v>
      </c>
      <c r="C216" t="s">
        <v>45</v>
      </c>
      <c r="D216" s="13" t="s">
        <v>320</v>
      </c>
      <c r="E216" s="13" t="s">
        <v>91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32">
        <v>0</v>
      </c>
      <c r="T216" s="32">
        <v>0</v>
      </c>
      <c r="U216" s="32">
        <v>0</v>
      </c>
      <c r="V216" s="13">
        <v>1</v>
      </c>
      <c r="W216" s="32">
        <v>0</v>
      </c>
      <c r="X216" s="13">
        <v>1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">
        <v>0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0</v>
      </c>
      <c r="AX216" s="32">
        <v>0</v>
      </c>
      <c r="AY216" s="32">
        <v>0</v>
      </c>
      <c r="AZ216" s="32">
        <v>0</v>
      </c>
      <c r="BA216" s="32">
        <v>0</v>
      </c>
      <c r="BB216" s="32">
        <v>0</v>
      </c>
      <c r="BC216" s="32">
        <v>0</v>
      </c>
      <c r="BD216" s="32">
        <v>0</v>
      </c>
      <c r="BE216" s="32">
        <v>0</v>
      </c>
      <c r="BF216" s="32">
        <v>0</v>
      </c>
      <c r="BG216" s="32">
        <v>0</v>
      </c>
      <c r="BH216" s="32">
        <v>0</v>
      </c>
      <c r="BI216" s="32">
        <v>0</v>
      </c>
      <c r="BJ216" s="13">
        <v>2</v>
      </c>
      <c r="BK216" s="32">
        <v>0</v>
      </c>
      <c r="BL216" s="32">
        <v>0</v>
      </c>
      <c r="BM216" s="32">
        <v>0</v>
      </c>
      <c r="BN216" s="32">
        <v>0</v>
      </c>
      <c r="BO216">
        <f t="shared" si="175"/>
        <v>3</v>
      </c>
      <c r="BP216" s="13">
        <f t="shared" si="176"/>
        <v>4</v>
      </c>
      <c r="BQ216" s="13">
        <f>[1]!shannonweaver(K216:BL216)</f>
        <v>1.0397207708399179</v>
      </c>
      <c r="BR216">
        <f t="shared" si="172"/>
        <v>1</v>
      </c>
      <c r="BS216">
        <f t="shared" si="173"/>
        <v>1</v>
      </c>
      <c r="BT216">
        <f t="shared" si="174"/>
        <v>0</v>
      </c>
      <c r="BU216">
        <f t="shared" si="134"/>
        <v>0</v>
      </c>
      <c r="BV216" s="13">
        <f t="shared" si="135"/>
        <v>1</v>
      </c>
      <c r="BW216" s="13">
        <f t="shared" si="136"/>
        <v>0</v>
      </c>
      <c r="BX216" s="13">
        <f t="shared" si="137"/>
        <v>0</v>
      </c>
      <c r="BY216" s="13">
        <f t="shared" si="138"/>
        <v>0</v>
      </c>
      <c r="BZ216" s="13">
        <f t="shared" si="139"/>
        <v>0</v>
      </c>
      <c r="CA216" s="13">
        <f t="shared" si="140"/>
        <v>1</v>
      </c>
      <c r="CB216" s="13">
        <f t="shared" si="141"/>
        <v>0</v>
      </c>
      <c r="CC216" s="13">
        <f t="shared" si="142"/>
        <v>0</v>
      </c>
      <c r="CD216" s="13">
        <f t="shared" si="143"/>
        <v>1.7320508075688772</v>
      </c>
      <c r="CE216" s="13">
        <f t="shared" si="144"/>
        <v>2</v>
      </c>
      <c r="CF216" s="13">
        <f t="shared" si="145"/>
        <v>1.0196669901688089</v>
      </c>
      <c r="CG216" s="13">
        <f t="shared" si="146"/>
        <v>1</v>
      </c>
      <c r="CH216" s="13">
        <f t="shared" si="147"/>
        <v>1</v>
      </c>
      <c r="CI216" s="13">
        <f t="shared" si="148"/>
        <v>0</v>
      </c>
      <c r="CJ216" s="13">
        <f t="shared" si="148"/>
        <v>0</v>
      </c>
      <c r="CK216" s="13">
        <f t="shared" si="149"/>
        <v>1</v>
      </c>
      <c r="CL216" s="13">
        <f t="shared" si="150"/>
        <v>0</v>
      </c>
      <c r="CM216" s="13">
        <f t="shared" si="151"/>
        <v>0</v>
      </c>
      <c r="CN216" s="13">
        <f t="shared" si="152"/>
        <v>0</v>
      </c>
      <c r="CO216" s="13">
        <f t="shared" si="153"/>
        <v>0</v>
      </c>
      <c r="CP216" s="13">
        <f t="shared" si="154"/>
        <v>1</v>
      </c>
      <c r="CQ216" s="13">
        <f t="shared" si="155"/>
        <v>0</v>
      </c>
      <c r="CR216" s="13">
        <f t="shared" si="156"/>
        <v>0</v>
      </c>
      <c r="CS216" s="13">
        <f t="shared" si="157"/>
        <v>1.3862943611198906</v>
      </c>
      <c r="CT216" s="13">
        <f t="shared" si="158"/>
        <v>1.6094379124341003</v>
      </c>
      <c r="CU216" s="13">
        <f t="shared" si="159"/>
        <v>0.7128129214483524</v>
      </c>
      <c r="CV216" s="13">
        <f t="shared" si="160"/>
        <v>0.69314718055994529</v>
      </c>
      <c r="CW216" s="13">
        <f t="shared" si="161"/>
        <v>0.69314718055994529</v>
      </c>
      <c r="CX216" s="13">
        <f t="shared" si="162"/>
        <v>0</v>
      </c>
      <c r="CY216" s="13">
        <f t="shared" si="163"/>
        <v>0</v>
      </c>
      <c r="CZ216" s="13">
        <f t="shared" si="164"/>
        <v>0.69314718055994529</v>
      </c>
      <c r="DA216" s="13">
        <f t="shared" si="165"/>
        <v>0</v>
      </c>
      <c r="DB216" s="13">
        <f t="shared" si="166"/>
        <v>0</v>
      </c>
      <c r="DC216" s="13">
        <f t="shared" si="167"/>
        <v>0</v>
      </c>
      <c r="DD216" s="13">
        <f t="shared" si="168"/>
        <v>0</v>
      </c>
      <c r="DE216" s="13">
        <f t="shared" si="169"/>
        <v>0.69314718055994529</v>
      </c>
      <c r="DF216" s="13">
        <f t="shared" si="170"/>
        <v>0</v>
      </c>
      <c r="DG216" s="13">
        <f t="shared" si="171"/>
        <v>0</v>
      </c>
      <c r="DH216" s="13"/>
      <c r="DI216" s="13"/>
      <c r="DJ216" s="13"/>
      <c r="DL216"/>
      <c r="DM216"/>
      <c r="DN216"/>
      <c r="DO216"/>
      <c r="DP216" s="31"/>
    </row>
    <row r="217" spans="1:120">
      <c r="A217" t="s">
        <v>197</v>
      </c>
      <c r="B217" t="s">
        <v>183</v>
      </c>
      <c r="C217" t="s">
        <v>45</v>
      </c>
      <c r="D217" s="13" t="s">
        <v>320</v>
      </c>
      <c r="E217" s="13" t="s">
        <v>91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0</v>
      </c>
      <c r="AB217" s="32">
        <v>0</v>
      </c>
      <c r="AC217" s="32">
        <v>0</v>
      </c>
      <c r="AD217" s="32">
        <v>0</v>
      </c>
      <c r="AE217" s="32">
        <v>0</v>
      </c>
      <c r="AF217" s="32">
        <v>0</v>
      </c>
      <c r="AG217" s="32">
        <v>0</v>
      </c>
      <c r="AH217" s="32">
        <v>0</v>
      </c>
      <c r="AI217" s="32">
        <v>0</v>
      </c>
      <c r="AJ217" s="32">
        <v>0</v>
      </c>
      <c r="AK217" s="32">
        <v>0</v>
      </c>
      <c r="AL217" s="32">
        <v>0</v>
      </c>
      <c r="AM217" s="13">
        <v>1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0</v>
      </c>
      <c r="AV217" s="32">
        <v>0</v>
      </c>
      <c r="AW217" s="32">
        <v>0</v>
      </c>
      <c r="AX217" s="32">
        <v>0</v>
      </c>
      <c r="AY217" s="32">
        <v>0</v>
      </c>
      <c r="AZ217" s="32">
        <v>0</v>
      </c>
      <c r="BA217" s="32">
        <v>0</v>
      </c>
      <c r="BB217" s="32">
        <v>0</v>
      </c>
      <c r="BC217" s="13">
        <v>2</v>
      </c>
      <c r="BD217" s="32">
        <v>0</v>
      </c>
      <c r="BE217" s="32">
        <v>0</v>
      </c>
      <c r="BF217" s="32">
        <v>0</v>
      </c>
      <c r="BG217" s="32">
        <v>0</v>
      </c>
      <c r="BH217" s="32">
        <v>0</v>
      </c>
      <c r="BI217" s="13">
        <v>1</v>
      </c>
      <c r="BJ217" s="13">
        <v>0</v>
      </c>
      <c r="BK217" s="32">
        <v>0</v>
      </c>
      <c r="BL217" s="32">
        <v>0</v>
      </c>
      <c r="BM217" s="32">
        <v>0</v>
      </c>
      <c r="BN217" s="32">
        <v>0</v>
      </c>
      <c r="BO217">
        <f t="shared" si="175"/>
        <v>3</v>
      </c>
      <c r="BP217" s="13">
        <f t="shared" si="176"/>
        <v>4</v>
      </c>
      <c r="BQ217" s="13">
        <f>[1]!shannonweaver(K217:BL217)</f>
        <v>1.0397207708399179</v>
      </c>
      <c r="BR217">
        <f t="shared" si="172"/>
        <v>0</v>
      </c>
      <c r="BS217">
        <f t="shared" si="173"/>
        <v>1</v>
      </c>
      <c r="BT217">
        <f t="shared" si="174"/>
        <v>1</v>
      </c>
      <c r="BU217">
        <f t="shared" si="134"/>
        <v>0</v>
      </c>
      <c r="BV217" s="13">
        <f t="shared" si="135"/>
        <v>0</v>
      </c>
      <c r="BW217" s="13">
        <f t="shared" si="136"/>
        <v>0</v>
      </c>
      <c r="BX217" s="13">
        <f t="shared" si="137"/>
        <v>0</v>
      </c>
      <c r="BY217" s="13">
        <f t="shared" si="138"/>
        <v>0</v>
      </c>
      <c r="BZ217" s="13">
        <f t="shared" si="139"/>
        <v>0</v>
      </c>
      <c r="CA217" s="13">
        <f t="shared" si="140"/>
        <v>1</v>
      </c>
      <c r="CB217" s="13">
        <f t="shared" si="141"/>
        <v>2</v>
      </c>
      <c r="CC217" s="13">
        <f t="shared" si="142"/>
        <v>0</v>
      </c>
      <c r="CD217" s="13">
        <f t="shared" si="143"/>
        <v>1.7320508075688772</v>
      </c>
      <c r="CE217" s="13">
        <f t="shared" si="144"/>
        <v>2</v>
      </c>
      <c r="CF217" s="13">
        <f t="shared" si="145"/>
        <v>1.0196669901688089</v>
      </c>
      <c r="CG217" s="13">
        <f t="shared" si="146"/>
        <v>0</v>
      </c>
      <c r="CH217" s="13">
        <f t="shared" si="147"/>
        <v>1</v>
      </c>
      <c r="CI217" s="13">
        <f t="shared" si="148"/>
        <v>1</v>
      </c>
      <c r="CJ217" s="13">
        <f t="shared" si="148"/>
        <v>0</v>
      </c>
      <c r="CK217" s="13">
        <f t="shared" si="149"/>
        <v>0</v>
      </c>
      <c r="CL217" s="13">
        <f t="shared" si="150"/>
        <v>0</v>
      </c>
      <c r="CM217" s="13">
        <f t="shared" si="151"/>
        <v>0</v>
      </c>
      <c r="CN217" s="13">
        <f t="shared" si="152"/>
        <v>0</v>
      </c>
      <c r="CO217" s="13">
        <f t="shared" si="153"/>
        <v>0</v>
      </c>
      <c r="CP217" s="13">
        <f t="shared" si="154"/>
        <v>1</v>
      </c>
      <c r="CQ217" s="13">
        <f t="shared" si="155"/>
        <v>1.4142135623730951</v>
      </c>
      <c r="CR217" s="13">
        <f t="shared" si="156"/>
        <v>0</v>
      </c>
      <c r="CS217" s="13">
        <f t="shared" si="157"/>
        <v>1.3862943611198906</v>
      </c>
      <c r="CT217" s="13">
        <f t="shared" si="158"/>
        <v>1.6094379124341003</v>
      </c>
      <c r="CU217" s="13">
        <f t="shared" si="159"/>
        <v>0.7128129214483524</v>
      </c>
      <c r="CV217" s="13">
        <f t="shared" si="160"/>
        <v>0</v>
      </c>
      <c r="CW217" s="13">
        <f t="shared" si="161"/>
        <v>0.69314718055994529</v>
      </c>
      <c r="CX217" s="13">
        <f t="shared" si="162"/>
        <v>0.69314718055994529</v>
      </c>
      <c r="CY217" s="13">
        <f t="shared" si="163"/>
        <v>0</v>
      </c>
      <c r="CZ217" s="13">
        <f t="shared" si="164"/>
        <v>0</v>
      </c>
      <c r="DA217" s="13">
        <f t="shared" si="165"/>
        <v>0</v>
      </c>
      <c r="DB217" s="13">
        <f t="shared" si="166"/>
        <v>0</v>
      </c>
      <c r="DC217" s="13">
        <f t="shared" si="167"/>
        <v>0</v>
      </c>
      <c r="DD217" s="13">
        <f t="shared" si="168"/>
        <v>0</v>
      </c>
      <c r="DE217" s="13">
        <f t="shared" si="169"/>
        <v>0.69314718055994529</v>
      </c>
      <c r="DF217" s="13">
        <f t="shared" si="170"/>
        <v>1.0986122886681098</v>
      </c>
      <c r="DG217" s="13">
        <f t="shared" si="171"/>
        <v>0</v>
      </c>
      <c r="DH217" s="13"/>
      <c r="DI217" s="13"/>
      <c r="DJ217" s="13"/>
      <c r="DL217"/>
      <c r="DM217"/>
      <c r="DN217"/>
      <c r="DO217"/>
      <c r="DP217" s="31"/>
    </row>
    <row r="218" spans="1:120">
      <c r="DL218"/>
      <c r="DM218"/>
      <c r="DN218"/>
      <c r="DO218"/>
      <c r="DP218" s="31"/>
    </row>
    <row r="219" spans="1:120">
      <c r="DL219"/>
      <c r="DM219"/>
      <c r="DN219"/>
      <c r="DO219"/>
      <c r="DP219" s="31"/>
    </row>
    <row r="220" spans="1:120">
      <c r="DL220"/>
      <c r="DM220"/>
      <c r="DN220"/>
      <c r="DO220"/>
      <c r="DP220" s="31"/>
    </row>
    <row r="221" spans="1:120">
      <c r="DL221"/>
      <c r="DM221"/>
      <c r="DN221"/>
      <c r="DO221"/>
      <c r="DP221" s="31"/>
    </row>
    <row r="222" spans="1:120">
      <c r="DL222"/>
      <c r="DM222"/>
      <c r="DN222"/>
      <c r="DO222"/>
      <c r="DP222" s="31"/>
    </row>
    <row r="223" spans="1:120">
      <c r="DL223"/>
      <c r="DM223"/>
      <c r="DN223"/>
      <c r="DO223"/>
      <c r="DP223" s="31"/>
    </row>
    <row r="224" spans="1:120">
      <c r="DL224"/>
      <c r="DM224"/>
      <c r="DN224"/>
      <c r="DO224"/>
      <c r="DP224" s="31"/>
    </row>
    <row r="225" spans="116:120">
      <c r="DL225"/>
      <c r="DM225"/>
      <c r="DN225"/>
      <c r="DO225"/>
      <c r="DP225" s="31"/>
    </row>
    <row r="226" spans="116:120">
      <c r="DL226"/>
      <c r="DM226"/>
      <c r="DN226"/>
      <c r="DO226"/>
      <c r="DP226" s="31"/>
    </row>
    <row r="227" spans="116:120">
      <c r="DL227"/>
      <c r="DM227"/>
      <c r="DN227"/>
      <c r="DO227"/>
      <c r="DP227" s="31"/>
    </row>
    <row r="228" spans="116:120">
      <c r="DL228"/>
      <c r="DM228"/>
      <c r="DN228"/>
      <c r="DO228"/>
      <c r="DP228" s="31"/>
    </row>
    <row r="229" spans="116:120">
      <c r="DL229"/>
      <c r="DM229"/>
      <c r="DN229"/>
      <c r="DO229"/>
      <c r="DP229" s="31"/>
    </row>
    <row r="230" spans="116:120">
      <c r="DL230"/>
      <c r="DM230"/>
      <c r="DN230"/>
      <c r="DO230"/>
      <c r="DP230" s="31"/>
    </row>
    <row r="231" spans="116:120">
      <c r="DL231"/>
      <c r="DM231"/>
      <c r="DN231"/>
      <c r="DO231"/>
      <c r="DP231" s="31"/>
    </row>
    <row r="232" spans="116:120">
      <c r="DL232"/>
      <c r="DM232"/>
      <c r="DN232"/>
      <c r="DO232"/>
      <c r="DP232" s="31"/>
    </row>
    <row r="233" spans="116:120">
      <c r="DL233"/>
      <c r="DM233"/>
      <c r="DN233"/>
      <c r="DO233"/>
      <c r="DP233" s="31"/>
    </row>
    <row r="234" spans="116:120">
      <c r="DL234"/>
      <c r="DM234"/>
      <c r="DN234"/>
      <c r="DO234"/>
      <c r="DP234" s="31"/>
    </row>
    <row r="235" spans="116:120">
      <c r="DL235"/>
      <c r="DM235"/>
      <c r="DN235"/>
      <c r="DO235"/>
      <c r="DP235" s="31"/>
    </row>
    <row r="236" spans="116:120">
      <c r="DL236"/>
      <c r="DM236"/>
      <c r="DN236"/>
      <c r="DO236"/>
      <c r="DP236" s="31"/>
    </row>
    <row r="237" spans="116:120">
      <c r="DL237"/>
      <c r="DM237"/>
      <c r="DN237"/>
      <c r="DO237"/>
      <c r="DP237" s="31"/>
    </row>
    <row r="238" spans="116:120">
      <c r="DL238"/>
      <c r="DM238"/>
      <c r="DN238"/>
      <c r="DO238"/>
      <c r="DP238" s="31"/>
    </row>
    <row r="239" spans="116:120">
      <c r="DL239"/>
      <c r="DM239"/>
      <c r="DN239"/>
      <c r="DO239"/>
      <c r="DP239" s="31"/>
    </row>
    <row r="240" spans="116:120">
      <c r="DL240"/>
      <c r="DM240"/>
      <c r="DN240"/>
      <c r="DO240"/>
      <c r="DP240" s="31"/>
    </row>
    <row r="241" spans="116:120">
      <c r="DL241"/>
      <c r="DM241"/>
      <c r="DN241"/>
      <c r="DO241"/>
      <c r="DP241" s="31"/>
    </row>
    <row r="242" spans="116:120">
      <c r="DL242"/>
      <c r="DM242"/>
      <c r="DN242"/>
      <c r="DO242"/>
      <c r="DP242" s="31"/>
    </row>
    <row r="243" spans="116:120">
      <c r="DL243"/>
      <c r="DM243"/>
      <c r="DN243"/>
      <c r="DO243"/>
      <c r="DP243" s="31"/>
    </row>
    <row r="244" spans="116:120">
      <c r="DL244"/>
      <c r="DM244"/>
      <c r="DN244"/>
      <c r="DO244"/>
      <c r="DP244" s="31"/>
    </row>
    <row r="245" spans="116:120">
      <c r="DL245"/>
      <c r="DM245"/>
      <c r="DN245"/>
      <c r="DO245"/>
      <c r="DP245" s="31"/>
    </row>
    <row r="246" spans="116:120">
      <c r="DL246"/>
      <c r="DM246"/>
      <c r="DN246"/>
      <c r="DO246"/>
      <c r="DP246" s="31"/>
    </row>
    <row r="247" spans="116:120">
      <c r="DL247"/>
      <c r="DM247"/>
      <c r="DN247"/>
      <c r="DO247"/>
      <c r="DP247" s="31"/>
    </row>
    <row r="248" spans="116:120">
      <c r="DL248"/>
      <c r="DM248"/>
      <c r="DN248"/>
      <c r="DO248"/>
      <c r="DP248" s="31"/>
    </row>
    <row r="249" spans="116:120">
      <c r="DL249"/>
      <c r="DM249"/>
      <c r="DN249"/>
      <c r="DO249"/>
      <c r="DP249" s="31"/>
    </row>
    <row r="250" spans="116:120">
      <c r="DL250"/>
      <c r="DM250"/>
      <c r="DN250"/>
      <c r="DO250"/>
      <c r="DP250" s="31"/>
    </row>
    <row r="251" spans="116:120">
      <c r="DL251"/>
      <c r="DM251"/>
      <c r="DN251"/>
      <c r="DO251"/>
      <c r="DP251" s="31"/>
    </row>
    <row r="252" spans="116:120">
      <c r="DL252"/>
      <c r="DM252"/>
      <c r="DN252"/>
      <c r="DO252"/>
      <c r="DP252" s="31"/>
    </row>
    <row r="253" spans="116:120">
      <c r="DL253"/>
      <c r="DM253"/>
      <c r="DN253"/>
      <c r="DO253"/>
      <c r="DP253" s="31"/>
    </row>
    <row r="254" spans="116:120">
      <c r="DL254"/>
      <c r="DM254"/>
      <c r="DN254"/>
      <c r="DO254"/>
      <c r="DP254" s="31"/>
    </row>
    <row r="255" spans="116:120">
      <c r="DL255"/>
      <c r="DM255"/>
      <c r="DN255"/>
      <c r="DO255"/>
      <c r="DP255" s="31"/>
    </row>
    <row r="256" spans="116:120">
      <c r="DL256"/>
      <c r="DM256"/>
      <c r="DN256"/>
      <c r="DO256"/>
      <c r="DP256" s="31"/>
    </row>
    <row r="257" spans="116:120">
      <c r="DL257"/>
      <c r="DM257"/>
      <c r="DN257"/>
      <c r="DO257"/>
      <c r="DP257" s="31"/>
    </row>
    <row r="258" spans="116:120">
      <c r="DL258"/>
      <c r="DM258"/>
      <c r="DN258"/>
      <c r="DO258"/>
      <c r="DP258" s="31"/>
    </row>
    <row r="259" spans="116:120">
      <c r="DL259"/>
      <c r="DM259"/>
      <c r="DN259"/>
      <c r="DO259"/>
      <c r="DP259" s="31"/>
    </row>
    <row r="260" spans="116:120">
      <c r="DL260"/>
      <c r="DM260"/>
      <c r="DN260"/>
      <c r="DO260"/>
      <c r="DP260" s="31"/>
    </row>
    <row r="261" spans="116:120">
      <c r="DL261"/>
      <c r="DM261"/>
      <c r="DN261"/>
      <c r="DO261"/>
      <c r="DP261" s="31"/>
    </row>
    <row r="262" spans="116:120">
      <c r="DL262"/>
      <c r="DM262"/>
      <c r="DN262"/>
      <c r="DO262"/>
      <c r="DP262" s="31"/>
    </row>
    <row r="263" spans="116:120">
      <c r="DL263"/>
      <c r="DM263"/>
      <c r="DN263"/>
      <c r="DO263"/>
      <c r="DP263" s="31"/>
    </row>
    <row r="264" spans="116:120">
      <c r="DL264"/>
      <c r="DM264"/>
      <c r="DN264"/>
      <c r="DO264"/>
      <c r="DP264" s="31"/>
    </row>
    <row r="265" spans="116:120">
      <c r="DL265"/>
      <c r="DM265"/>
      <c r="DN265"/>
      <c r="DO265"/>
      <c r="DP265" s="31"/>
    </row>
    <row r="266" spans="116:120">
      <c r="DL266"/>
      <c r="DM266"/>
      <c r="DN266"/>
      <c r="DO266"/>
      <c r="DP266" s="31"/>
    </row>
    <row r="267" spans="116:120">
      <c r="DL267"/>
      <c r="DM267"/>
      <c r="DN267"/>
      <c r="DO267"/>
      <c r="DP267" s="31"/>
    </row>
    <row r="268" spans="116:120">
      <c r="DL268"/>
      <c r="DM268"/>
      <c r="DN268"/>
      <c r="DO268"/>
      <c r="DP268" s="31"/>
    </row>
    <row r="269" spans="116:120">
      <c r="DL269"/>
      <c r="DM269"/>
      <c r="DN269"/>
      <c r="DO269"/>
      <c r="DP269" s="31"/>
    </row>
    <row r="270" spans="116:120">
      <c r="DL270"/>
      <c r="DM270"/>
      <c r="DN270"/>
      <c r="DO270"/>
      <c r="DP270" s="31"/>
    </row>
    <row r="271" spans="116:120">
      <c r="DL271"/>
      <c r="DM271"/>
      <c r="DN271"/>
      <c r="DO271"/>
      <c r="DP271" s="31"/>
    </row>
    <row r="272" spans="116:120">
      <c r="DL272"/>
      <c r="DM272"/>
      <c r="DN272"/>
      <c r="DO272"/>
      <c r="DP272" s="31"/>
    </row>
    <row r="273" spans="116:120">
      <c r="DL273"/>
      <c r="DM273"/>
      <c r="DN273"/>
      <c r="DO273"/>
      <c r="DP273" s="31"/>
    </row>
    <row r="274" spans="116:120">
      <c r="DL274"/>
      <c r="DM274"/>
      <c r="DN274"/>
      <c r="DO274"/>
      <c r="DP274" s="31"/>
    </row>
    <row r="275" spans="116:120">
      <c r="DL275"/>
      <c r="DM275"/>
      <c r="DN275"/>
      <c r="DO275"/>
      <c r="DP275" s="31"/>
    </row>
    <row r="276" spans="116:120">
      <c r="DL276"/>
      <c r="DM276"/>
      <c r="DN276"/>
      <c r="DO276"/>
      <c r="DP276" s="31"/>
    </row>
    <row r="277" spans="116:120">
      <c r="DL277"/>
      <c r="DM277"/>
      <c r="DN277"/>
      <c r="DO277"/>
      <c r="DP277" s="31"/>
    </row>
    <row r="278" spans="116:120">
      <c r="DL278"/>
      <c r="DM278"/>
      <c r="DN278"/>
      <c r="DO278"/>
      <c r="DP278" s="31"/>
    </row>
    <row r="279" spans="116:120">
      <c r="DL279"/>
      <c r="DM279"/>
      <c r="DN279"/>
      <c r="DO279"/>
      <c r="DP279" s="31"/>
    </row>
  </sheetData>
  <phoneticPr fontId="5"/>
  <pageMargins left="0.75" right="0.75" top="1" bottom="1" header="0.5" footer="0.5"/>
  <pageSetup paperSize="0" orientation="portrait" horizontalDpi="4294967292" verticalDpi="4294967292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17"/>
  <sheetViews>
    <sheetView zoomScale="11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BE4" sqref="BE4"/>
    </sheetView>
  </sheetViews>
  <sheetFormatPr baseColWidth="10" defaultRowHeight="13" x14ac:dyDescent="0"/>
  <cols>
    <col min="1" max="1" width="14.7109375" style="13" customWidth="1"/>
    <col min="2" max="2" width="2.7109375" style="13" bestFit="1" customWidth="1"/>
    <col min="3" max="3" width="4.140625" style="13" bestFit="1" customWidth="1"/>
    <col min="4" max="4" width="4.140625" style="13" customWidth="1"/>
    <col min="5" max="5" width="4.7109375" style="13" customWidth="1"/>
    <col min="6" max="6" width="2.7109375" style="13" bestFit="1" customWidth="1"/>
    <col min="7" max="11" width="2.7109375" style="13" customWidth="1"/>
    <col min="12" max="12" width="3" style="13" bestFit="1" customWidth="1"/>
    <col min="13" max="16" width="3" style="13" customWidth="1"/>
    <col min="17" max="17" width="2.7109375" style="13" customWidth="1"/>
    <col min="18" max="18" width="2.7109375" style="13" bestFit="1" customWidth="1"/>
    <col min="19" max="24" width="2.7109375" style="13" customWidth="1"/>
    <col min="25" max="25" width="3" style="13" bestFit="1" customWidth="1"/>
    <col min="26" max="27" width="3" style="13" customWidth="1"/>
    <col min="28" max="28" width="3" style="13" bestFit="1" customWidth="1"/>
    <col min="29" max="33" width="2.7109375" style="13" bestFit="1" customWidth="1"/>
    <col min="34" max="34" width="2.7109375" style="13" customWidth="1"/>
    <col min="35" max="35" width="2.7109375" style="13" bestFit="1" customWidth="1"/>
    <col min="36" max="38" width="2.7109375" style="13" customWidth="1"/>
    <col min="39" max="43" width="2.7109375" style="13" bestFit="1" customWidth="1"/>
    <col min="44" max="46" width="2.7109375" style="13" customWidth="1"/>
    <col min="47" max="50" width="2.7109375" style="13" bestFit="1" customWidth="1"/>
    <col min="51" max="51" width="2.7109375" style="13" customWidth="1"/>
    <col min="52" max="52" width="2.7109375" style="13" bestFit="1" customWidth="1"/>
    <col min="53" max="54" width="2.7109375" style="13" customWidth="1"/>
    <col min="55" max="55" width="3" style="13" bestFit="1" customWidth="1"/>
    <col min="56" max="56" width="11.85546875" style="13" customWidth="1"/>
    <col min="57" max="16384" width="10.7109375" style="11"/>
  </cols>
  <sheetData>
    <row r="1" spans="1:57" s="1" customFormat="1" ht="108" customHeight="1">
      <c r="A1" s="1" t="s">
        <v>278</v>
      </c>
      <c r="B1" s="2" t="s">
        <v>76</v>
      </c>
      <c r="C1" s="2" t="s">
        <v>77</v>
      </c>
      <c r="D1" s="2" t="s">
        <v>318</v>
      </c>
      <c r="E1" s="1" t="s">
        <v>279</v>
      </c>
      <c r="F1" s="3" t="s">
        <v>78</v>
      </c>
      <c r="G1" s="3" t="s">
        <v>27</v>
      </c>
      <c r="H1" s="3" t="s">
        <v>179</v>
      </c>
      <c r="I1" s="3" t="s">
        <v>330</v>
      </c>
      <c r="J1" s="3" t="s">
        <v>223</v>
      </c>
      <c r="K1" s="4" t="s">
        <v>149</v>
      </c>
      <c r="L1" s="4" t="s">
        <v>38</v>
      </c>
      <c r="M1" s="4" t="s">
        <v>222</v>
      </c>
      <c r="N1" s="4" t="s">
        <v>198</v>
      </c>
      <c r="O1" s="4" t="s">
        <v>171</v>
      </c>
      <c r="P1" s="4" t="s">
        <v>172</v>
      </c>
      <c r="Q1" s="4" t="s">
        <v>285</v>
      </c>
      <c r="R1" s="4" t="s">
        <v>37</v>
      </c>
      <c r="S1" s="4" t="s">
        <v>143</v>
      </c>
      <c r="T1" s="4" t="s">
        <v>276</v>
      </c>
      <c r="U1" s="5" t="s">
        <v>277</v>
      </c>
      <c r="V1" s="5" t="s">
        <v>117</v>
      </c>
      <c r="W1" s="5" t="s">
        <v>310</v>
      </c>
      <c r="X1" s="5" t="s">
        <v>18</v>
      </c>
      <c r="Y1" s="5" t="s">
        <v>303</v>
      </c>
      <c r="Z1" s="5" t="s">
        <v>59</v>
      </c>
      <c r="AA1" s="5" t="s">
        <v>325</v>
      </c>
      <c r="AB1" s="5" t="s">
        <v>304</v>
      </c>
      <c r="AC1" s="5" t="s">
        <v>306</v>
      </c>
      <c r="AD1" s="5" t="s">
        <v>307</v>
      </c>
      <c r="AE1" s="5" t="s">
        <v>308</v>
      </c>
      <c r="AF1" s="5" t="s">
        <v>248</v>
      </c>
      <c r="AG1" s="5" t="s">
        <v>309</v>
      </c>
      <c r="AH1" s="5" t="s">
        <v>317</v>
      </c>
      <c r="AI1" s="5" t="s">
        <v>311</v>
      </c>
      <c r="AJ1" s="5" t="s">
        <v>254</v>
      </c>
      <c r="AK1" s="5" t="s">
        <v>299</v>
      </c>
      <c r="AL1" s="6" t="s">
        <v>286</v>
      </c>
      <c r="AM1" s="6" t="s">
        <v>237</v>
      </c>
      <c r="AN1" s="6" t="s">
        <v>239</v>
      </c>
      <c r="AO1" s="6" t="s">
        <v>51</v>
      </c>
      <c r="AP1" s="6" t="s">
        <v>52</v>
      </c>
      <c r="AQ1" s="6" t="s">
        <v>53</v>
      </c>
      <c r="AR1" s="6" t="s">
        <v>199</v>
      </c>
      <c r="AS1" s="6" t="s">
        <v>328</v>
      </c>
      <c r="AT1" s="6" t="s">
        <v>101</v>
      </c>
      <c r="AU1" s="7" t="s">
        <v>54</v>
      </c>
      <c r="AV1" s="7" t="s">
        <v>61</v>
      </c>
      <c r="AW1" s="8" t="s">
        <v>62</v>
      </c>
      <c r="AX1" s="8" t="s">
        <v>63</v>
      </c>
      <c r="AY1" s="12" t="s">
        <v>25</v>
      </c>
      <c r="AZ1" s="9" t="s">
        <v>64</v>
      </c>
      <c r="BA1" s="9" t="s">
        <v>242</v>
      </c>
      <c r="BB1" s="9" t="s">
        <v>246</v>
      </c>
      <c r="BC1" s="1" t="s">
        <v>335</v>
      </c>
      <c r="BD1" s="1" t="s">
        <v>336</v>
      </c>
      <c r="BE1" s="1" t="s">
        <v>334</v>
      </c>
    </row>
    <row r="2" spans="1:57">
      <c r="A2" s="13" t="s">
        <v>280</v>
      </c>
      <c r="B2" s="13" t="s">
        <v>281</v>
      </c>
      <c r="C2" s="13" t="s">
        <v>282</v>
      </c>
      <c r="D2" s="13" t="s">
        <v>319</v>
      </c>
      <c r="E2" s="13" t="s">
        <v>283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2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1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>
        <f t="shared" ref="BC2:BC65" si="0">COUNTIF(J2:BB2, "&gt;0")</f>
        <v>2</v>
      </c>
      <c r="BD2" s="13">
        <f>[1]!shannonweaver(J2:BB2)</f>
        <v>0.63651416829481278</v>
      </c>
    </row>
    <row r="3" spans="1:57">
      <c r="A3" s="13" t="s">
        <v>284</v>
      </c>
      <c r="B3" s="13" t="s">
        <v>281</v>
      </c>
      <c r="C3" s="13" t="s">
        <v>282</v>
      </c>
      <c r="D3" s="13" t="s">
        <v>319</v>
      </c>
      <c r="E3" s="13" t="s">
        <v>283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1</v>
      </c>
      <c r="V3" s="13">
        <v>0</v>
      </c>
      <c r="W3" s="13">
        <v>0</v>
      </c>
      <c r="X3" s="13">
        <v>0</v>
      </c>
      <c r="Y3" s="13">
        <v>3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2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>
        <f t="shared" si="0"/>
        <v>3</v>
      </c>
      <c r="BD3" s="13">
        <f>[1]!shannonweaver(J3:BB3)</f>
        <v>1.0114042647073518</v>
      </c>
    </row>
    <row r="4" spans="1:57">
      <c r="A4" s="13" t="s">
        <v>287</v>
      </c>
      <c r="B4" s="13" t="s">
        <v>281</v>
      </c>
      <c r="C4" s="13" t="s">
        <v>282</v>
      </c>
      <c r="D4" s="13" t="s">
        <v>319</v>
      </c>
      <c r="E4" s="13" t="s">
        <v>283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1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>
        <f t="shared" si="0"/>
        <v>1</v>
      </c>
      <c r="BD4" s="13">
        <f>[1]!shannonweaver(J4:BB4)</f>
        <v>0</v>
      </c>
    </row>
    <row r="5" spans="1:57">
      <c r="A5" s="13" t="s">
        <v>288</v>
      </c>
      <c r="B5" s="13" t="s">
        <v>281</v>
      </c>
      <c r="C5" s="13" t="s">
        <v>282</v>
      </c>
      <c r="D5" s="13" t="s">
        <v>319</v>
      </c>
      <c r="E5" s="13" t="s">
        <v>283</v>
      </c>
      <c r="F5" s="13">
        <v>0</v>
      </c>
      <c r="G5" s="13">
        <v>0</v>
      </c>
      <c r="H5" s="13">
        <v>0</v>
      </c>
      <c r="I5" s="13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13">
        <v>2</v>
      </c>
      <c r="Z5" s="13">
        <v>0</v>
      </c>
      <c r="AA5" s="13">
        <v>0</v>
      </c>
      <c r="AB5" s="13">
        <v>2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>
        <f t="shared" si="0"/>
        <v>2</v>
      </c>
      <c r="BD5" s="13">
        <f>[1]!shannonweaver(J5:BB5)</f>
        <v>0.69314718055994529</v>
      </c>
    </row>
    <row r="6" spans="1:57">
      <c r="A6" s="13" t="s">
        <v>289</v>
      </c>
      <c r="B6" s="13" t="s">
        <v>281</v>
      </c>
      <c r="C6" s="13" t="s">
        <v>282</v>
      </c>
      <c r="D6" s="13" t="s">
        <v>319</v>
      </c>
      <c r="E6" s="13" t="s">
        <v>283</v>
      </c>
      <c r="F6" s="13">
        <v>0</v>
      </c>
      <c r="G6" s="13">
        <v>0</v>
      </c>
      <c r="H6" s="13">
        <v>0</v>
      </c>
      <c r="I6" s="13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13">
        <v>1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>
        <f t="shared" si="0"/>
        <v>1</v>
      </c>
      <c r="BD6" s="13">
        <f>[1]!shannonweaver(J6:BB6)</f>
        <v>0</v>
      </c>
    </row>
    <row r="7" spans="1:57">
      <c r="A7" s="13" t="s">
        <v>290</v>
      </c>
      <c r="B7" s="13" t="s">
        <v>281</v>
      </c>
      <c r="C7" s="13" t="s">
        <v>282</v>
      </c>
      <c r="D7" s="13" t="s">
        <v>319</v>
      </c>
      <c r="E7" s="13" t="s">
        <v>283</v>
      </c>
      <c r="F7" s="13">
        <v>0</v>
      </c>
      <c r="G7" s="13">
        <v>0</v>
      </c>
      <c r="H7" s="13">
        <v>0</v>
      </c>
      <c r="I7" s="13">
        <v>0</v>
      </c>
      <c r="J7" s="32">
        <v>0</v>
      </c>
      <c r="K7" s="32">
        <v>0</v>
      </c>
      <c r="L7" s="13">
        <v>1</v>
      </c>
      <c r="M7" s="32">
        <v>0</v>
      </c>
      <c r="N7" s="32">
        <v>0</v>
      </c>
      <c r="O7" s="13">
        <v>1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13">
        <v>1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>
        <f t="shared" si="0"/>
        <v>3</v>
      </c>
      <c r="BD7" s="13">
        <f>[1]!shannonweaver(J7:BB7)</f>
        <v>1.0986122886681096</v>
      </c>
    </row>
    <row r="8" spans="1:57">
      <c r="A8" s="13" t="s">
        <v>292</v>
      </c>
      <c r="B8" s="13" t="s">
        <v>281</v>
      </c>
      <c r="C8" s="13" t="s">
        <v>293</v>
      </c>
      <c r="D8" s="13" t="s">
        <v>319</v>
      </c>
      <c r="E8" s="13" t="s">
        <v>283</v>
      </c>
      <c r="F8" s="13">
        <v>0</v>
      </c>
      <c r="G8" s="13">
        <v>0</v>
      </c>
      <c r="H8" s="13">
        <v>0</v>
      </c>
      <c r="I8" s="13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13">
        <v>2</v>
      </c>
      <c r="Z8" s="32">
        <v>0</v>
      </c>
      <c r="AA8" s="32">
        <v>0</v>
      </c>
      <c r="AB8" s="32">
        <v>0</v>
      </c>
      <c r="AC8" s="32">
        <v>0</v>
      </c>
      <c r="AD8" s="13">
        <v>0</v>
      </c>
      <c r="AE8" s="13">
        <v>0</v>
      </c>
      <c r="AF8" s="13">
        <v>0</v>
      </c>
      <c r="AG8" s="13">
        <v>2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>
        <f t="shared" si="0"/>
        <v>2</v>
      </c>
      <c r="BD8" s="13">
        <f>[1]!shannonweaver(J8:BB8)</f>
        <v>0.69314718055994529</v>
      </c>
    </row>
    <row r="9" spans="1:57">
      <c r="A9" t="s">
        <v>294</v>
      </c>
      <c r="B9" s="13" t="s">
        <v>281</v>
      </c>
      <c r="C9" s="13" t="s">
        <v>293</v>
      </c>
      <c r="D9" s="13" t="s">
        <v>319</v>
      </c>
      <c r="E9" s="13" t="s">
        <v>283</v>
      </c>
      <c r="F9" s="13">
        <v>0</v>
      </c>
      <c r="G9" s="13">
        <v>0</v>
      </c>
      <c r="H9" s="13">
        <v>0</v>
      </c>
      <c r="I9" s="13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13">
        <v>1</v>
      </c>
      <c r="X9" s="32">
        <v>0</v>
      </c>
      <c r="Y9" s="32">
        <v>0</v>
      </c>
      <c r="Z9" s="32">
        <v>0</v>
      </c>
      <c r="AA9" s="13">
        <v>1</v>
      </c>
      <c r="AB9" s="32">
        <v>0</v>
      </c>
      <c r="AC9" s="32">
        <v>0</v>
      </c>
      <c r="AD9" s="13">
        <v>0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>
        <f t="shared" si="0"/>
        <v>3</v>
      </c>
      <c r="BD9" s="13">
        <f>[1]!shannonweaver(J9:BB9)</f>
        <v>1.0986122886681096</v>
      </c>
    </row>
    <row r="10" spans="1:57">
      <c r="A10" s="13" t="s">
        <v>295</v>
      </c>
      <c r="B10" s="13" t="s">
        <v>281</v>
      </c>
      <c r="C10" s="13" t="s">
        <v>293</v>
      </c>
      <c r="D10" s="13" t="s">
        <v>319</v>
      </c>
      <c r="E10" s="13" t="s">
        <v>283</v>
      </c>
      <c r="F10" s="13">
        <v>0</v>
      </c>
      <c r="G10" s="13">
        <v>0</v>
      </c>
      <c r="H10" s="13">
        <v>0</v>
      </c>
      <c r="I10" s="13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13">
        <v>0</v>
      </c>
      <c r="AE10" s="13">
        <v>0</v>
      </c>
      <c r="AF10" s="13">
        <v>0</v>
      </c>
      <c r="AG10" s="13">
        <v>2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>
        <f t="shared" si="0"/>
        <v>1</v>
      </c>
      <c r="BD10" s="13">
        <f>[1]!shannonweaver(J10:BB10)</f>
        <v>0</v>
      </c>
    </row>
    <row r="11" spans="1:57">
      <c r="A11" s="13" t="s">
        <v>296</v>
      </c>
      <c r="B11" s="13" t="s">
        <v>281</v>
      </c>
      <c r="C11" s="13" t="s">
        <v>293</v>
      </c>
      <c r="D11" s="13" t="s">
        <v>319</v>
      </c>
      <c r="E11" s="13" t="s">
        <v>283</v>
      </c>
      <c r="F11" s="13">
        <v>0</v>
      </c>
      <c r="G11" s="13">
        <v>0</v>
      </c>
      <c r="H11" s="13">
        <v>0</v>
      </c>
      <c r="I11" s="13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13">
        <v>2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13">
        <v>1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>
        <f t="shared" si="0"/>
        <v>2</v>
      </c>
      <c r="BD11" s="13">
        <f>[1]!shannonweaver(J11:BB11)</f>
        <v>0.63651416829481278</v>
      </c>
    </row>
    <row r="12" spans="1:57">
      <c r="A12" s="13" t="s">
        <v>297</v>
      </c>
      <c r="B12" s="13" t="s">
        <v>281</v>
      </c>
      <c r="C12" s="13" t="s">
        <v>293</v>
      </c>
      <c r="D12" s="13" t="s">
        <v>319</v>
      </c>
      <c r="E12" s="13" t="s">
        <v>283</v>
      </c>
      <c r="F12" s="13">
        <v>0</v>
      </c>
      <c r="G12" s="13">
        <v>0</v>
      </c>
      <c r="H12" s="13">
        <v>0</v>
      </c>
      <c r="I12" s="13">
        <v>0</v>
      </c>
      <c r="J12" s="32">
        <v>0</v>
      </c>
      <c r="K12" s="32">
        <v>0</v>
      </c>
      <c r="L12" s="13">
        <v>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13">
        <v>2</v>
      </c>
      <c r="V12" s="32">
        <v>0</v>
      </c>
      <c r="W12" s="32">
        <v>0</v>
      </c>
      <c r="X12" s="32">
        <v>0</v>
      </c>
      <c r="Y12" s="13">
        <v>1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13">
        <v>2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>
        <f t="shared" si="0"/>
        <v>4</v>
      </c>
      <c r="BD12" s="13">
        <f>[1]!shannonweaver(J12:BB12)</f>
        <v>1.3296613488547582</v>
      </c>
    </row>
    <row r="13" spans="1:57">
      <c r="A13" s="13" t="s">
        <v>298</v>
      </c>
      <c r="B13" s="13" t="s">
        <v>281</v>
      </c>
      <c r="C13" s="13" t="s">
        <v>293</v>
      </c>
      <c r="D13" s="13" t="s">
        <v>319</v>
      </c>
      <c r="E13" s="13" t="s">
        <v>283</v>
      </c>
      <c r="F13" s="13">
        <v>0</v>
      </c>
      <c r="G13" s="13">
        <v>0</v>
      </c>
      <c r="H13" s="13">
        <v>0</v>
      </c>
      <c r="I13" s="13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13">
        <v>1</v>
      </c>
      <c r="AE13" s="32">
        <v>0</v>
      </c>
      <c r="AF13" s="13">
        <v>1</v>
      </c>
      <c r="AG13" s="13">
        <v>2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>
        <f t="shared" si="0"/>
        <v>3</v>
      </c>
      <c r="BD13" s="13">
        <f>[1]!shannonweaver(J13:BB13)</f>
        <v>1.0397207708399179</v>
      </c>
    </row>
    <row r="14" spans="1:57">
      <c r="A14" s="13" t="s">
        <v>300</v>
      </c>
      <c r="B14" s="13" t="s">
        <v>281</v>
      </c>
      <c r="C14" s="13" t="s">
        <v>301</v>
      </c>
      <c r="D14" s="13" t="s">
        <v>319</v>
      </c>
      <c r="E14" s="13" t="s">
        <v>283</v>
      </c>
      <c r="F14" s="13">
        <v>0</v>
      </c>
      <c r="G14" s="13">
        <v>0</v>
      </c>
      <c r="H14" s="13">
        <v>0</v>
      </c>
      <c r="I14" s="13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13">
        <v>2</v>
      </c>
      <c r="Z14" s="32">
        <v>0</v>
      </c>
      <c r="AA14" s="32">
        <v>0</v>
      </c>
      <c r="AB14" s="13">
        <v>1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>
        <f t="shared" si="0"/>
        <v>2</v>
      </c>
      <c r="BD14" s="13">
        <f>[1]!shannonweaver(J14:BB14)</f>
        <v>0.63651416829481278</v>
      </c>
    </row>
    <row r="15" spans="1:57">
      <c r="A15" s="14" t="s">
        <v>302</v>
      </c>
      <c r="B15" s="13" t="s">
        <v>281</v>
      </c>
      <c r="C15" s="13" t="s">
        <v>301</v>
      </c>
      <c r="D15" s="13" t="s">
        <v>319</v>
      </c>
      <c r="E15" s="13" t="s">
        <v>283</v>
      </c>
      <c r="F15" s="13">
        <v>0</v>
      </c>
      <c r="G15" s="13">
        <v>0</v>
      </c>
      <c r="H15" s="13">
        <v>0</v>
      </c>
      <c r="I15" s="13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13">
        <v>2</v>
      </c>
      <c r="Z15" s="32">
        <v>0</v>
      </c>
      <c r="AA15" s="13">
        <v>3</v>
      </c>
      <c r="AB15" s="13">
        <v>0</v>
      </c>
      <c r="AC15" s="32">
        <v>0</v>
      </c>
      <c r="AD15" s="32">
        <v>0</v>
      </c>
      <c r="AE15" s="32">
        <v>0</v>
      </c>
      <c r="AF15" s="32">
        <v>0</v>
      </c>
      <c r="AG15" s="13">
        <v>1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32">
        <v>0</v>
      </c>
      <c r="BB15" s="32">
        <v>0</v>
      </c>
      <c r="BC15">
        <f t="shared" si="0"/>
        <v>3</v>
      </c>
      <c r="BD15" s="13">
        <f>[1]!shannonweaver(J15:BB15)</f>
        <v>1.0114042647073516</v>
      </c>
    </row>
    <row r="16" spans="1:57">
      <c r="A16" s="13" t="s">
        <v>120</v>
      </c>
      <c r="B16" s="13" t="s">
        <v>281</v>
      </c>
      <c r="C16" s="13" t="s">
        <v>301</v>
      </c>
      <c r="D16" s="13" t="s">
        <v>319</v>
      </c>
      <c r="E16" s="13" t="s">
        <v>283</v>
      </c>
      <c r="F16" s="13">
        <v>0</v>
      </c>
      <c r="G16" s="13">
        <v>0</v>
      </c>
      <c r="H16" s="13">
        <v>0</v>
      </c>
      <c r="I16" s="13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13">
        <v>1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13">
        <v>2</v>
      </c>
      <c r="Z16" s="32">
        <v>0</v>
      </c>
      <c r="AA16" s="32">
        <v>0</v>
      </c>
      <c r="AB16" s="13">
        <v>1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>
        <f t="shared" si="0"/>
        <v>3</v>
      </c>
      <c r="BD16" s="13">
        <f>[1]!shannonweaver(J16:BB16)</f>
        <v>1.0397207708399179</v>
      </c>
    </row>
    <row r="17" spans="1:56">
      <c r="A17" s="13" t="s">
        <v>312</v>
      </c>
      <c r="B17" s="13" t="s">
        <v>281</v>
      </c>
      <c r="C17" s="13" t="s">
        <v>301</v>
      </c>
      <c r="D17" s="13" t="s">
        <v>319</v>
      </c>
      <c r="E17" s="13" t="s">
        <v>283</v>
      </c>
      <c r="F17" s="13">
        <v>0</v>
      </c>
      <c r="G17" s="13">
        <v>0</v>
      </c>
      <c r="H17" s="13">
        <v>0</v>
      </c>
      <c r="I17" s="13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13">
        <v>1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13">
        <v>1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>
        <f t="shared" si="0"/>
        <v>2</v>
      </c>
      <c r="BD17" s="13">
        <f>[1]!shannonweaver(J17:BB17)</f>
        <v>0.69314718055994529</v>
      </c>
    </row>
    <row r="18" spans="1:56">
      <c r="A18" s="13" t="s">
        <v>313</v>
      </c>
      <c r="B18" s="13" t="s">
        <v>281</v>
      </c>
      <c r="C18" s="13" t="s">
        <v>301</v>
      </c>
      <c r="D18" s="13" t="s">
        <v>319</v>
      </c>
      <c r="E18" s="13" t="s">
        <v>283</v>
      </c>
      <c r="F18" s="13">
        <v>0</v>
      </c>
      <c r="G18" s="13">
        <v>0</v>
      </c>
      <c r="H18" s="13">
        <v>0</v>
      </c>
      <c r="I18" s="13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13">
        <v>4</v>
      </c>
      <c r="Z18" s="32">
        <v>0</v>
      </c>
      <c r="AA18" s="32">
        <v>0</v>
      </c>
      <c r="AB18" s="13">
        <v>1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>
        <f t="shared" si="0"/>
        <v>2</v>
      </c>
      <c r="BD18" s="13">
        <f>[1]!shannonweaver(J18:BB18)</f>
        <v>0.50040242353818787</v>
      </c>
    </row>
    <row r="19" spans="1:56">
      <c r="A19" s="13" t="s">
        <v>314</v>
      </c>
      <c r="B19" s="13" t="s">
        <v>281</v>
      </c>
      <c r="C19" s="13" t="s">
        <v>301</v>
      </c>
      <c r="D19" s="13" t="s">
        <v>319</v>
      </c>
      <c r="E19" s="13" t="s">
        <v>283</v>
      </c>
      <c r="F19" s="13">
        <v>0</v>
      </c>
      <c r="G19" s="13">
        <v>0</v>
      </c>
      <c r="H19" s="13">
        <v>0</v>
      </c>
      <c r="I19" s="13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13">
        <v>1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>
        <f t="shared" si="0"/>
        <v>1</v>
      </c>
      <c r="BD19" s="13">
        <f>[1]!shannonweaver(J19:BB19)</f>
        <v>0</v>
      </c>
    </row>
    <row r="20" spans="1:56">
      <c r="A20" s="13" t="s">
        <v>315</v>
      </c>
      <c r="B20" s="13" t="s">
        <v>281</v>
      </c>
      <c r="C20" s="13">
        <v>4</v>
      </c>
      <c r="D20" s="13" t="s">
        <v>320</v>
      </c>
      <c r="E20" s="13" t="s">
        <v>283</v>
      </c>
      <c r="F20" s="13">
        <v>0</v>
      </c>
      <c r="G20" s="13">
        <v>0</v>
      </c>
      <c r="H20" s="13">
        <v>0</v>
      </c>
      <c r="I20" s="13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13">
        <v>1</v>
      </c>
      <c r="R20" s="32">
        <v>0</v>
      </c>
      <c r="S20" s="32">
        <v>0</v>
      </c>
      <c r="T20" s="32">
        <v>0</v>
      </c>
      <c r="U20" s="13">
        <v>1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13">
        <v>2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>
        <f t="shared" si="0"/>
        <v>3</v>
      </c>
      <c r="BD20" s="13">
        <f>[1]!shannonweaver(J20:BB20)</f>
        <v>1.0397207708399179</v>
      </c>
    </row>
    <row r="21" spans="1:56">
      <c r="A21" t="s">
        <v>316</v>
      </c>
      <c r="B21" s="13" t="s">
        <v>281</v>
      </c>
      <c r="C21" s="13">
        <v>4</v>
      </c>
      <c r="D21" s="13" t="s">
        <v>320</v>
      </c>
      <c r="E21" s="13" t="s">
        <v>283</v>
      </c>
      <c r="F21" s="13">
        <v>0</v>
      </c>
      <c r="G21" s="13">
        <v>0</v>
      </c>
      <c r="H21" s="13">
        <v>0</v>
      </c>
      <c r="I21" s="13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13">
        <v>2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32">
        <v>0</v>
      </c>
      <c r="AO21" s="13">
        <v>1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>
        <f t="shared" si="0"/>
        <v>2</v>
      </c>
      <c r="BD21" s="13">
        <f>[1]!shannonweaver(J21:BB21)</f>
        <v>0.63651416829481278</v>
      </c>
    </row>
    <row r="22" spans="1:56">
      <c r="A22" s="13" t="s">
        <v>321</v>
      </c>
      <c r="B22" s="13" t="s">
        <v>281</v>
      </c>
      <c r="C22" s="13">
        <v>4</v>
      </c>
      <c r="D22" s="13" t="s">
        <v>320</v>
      </c>
      <c r="E22" s="13" t="s">
        <v>283</v>
      </c>
      <c r="F22" s="13">
        <v>0</v>
      </c>
      <c r="G22" s="13">
        <v>0</v>
      </c>
      <c r="H22" s="13">
        <v>0</v>
      </c>
      <c r="I22" s="13">
        <v>0</v>
      </c>
      <c r="J22" s="13">
        <v>1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13">
        <v>1</v>
      </c>
      <c r="R22" s="13">
        <v>1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>
        <f t="shared" si="0"/>
        <v>3</v>
      </c>
      <c r="BD22" s="13">
        <f>[1]!shannonweaver(J22:BB22)</f>
        <v>1.0986122886681096</v>
      </c>
    </row>
    <row r="23" spans="1:56">
      <c r="A23" s="13" t="s">
        <v>322</v>
      </c>
      <c r="B23" s="13" t="s">
        <v>281</v>
      </c>
      <c r="C23" s="13">
        <v>4</v>
      </c>
      <c r="D23" s="13" t="s">
        <v>320</v>
      </c>
      <c r="E23" s="13" t="s">
        <v>283</v>
      </c>
      <c r="F23" s="13">
        <v>0</v>
      </c>
      <c r="G23" s="13">
        <v>0</v>
      </c>
      <c r="H23" s="13">
        <v>0</v>
      </c>
      <c r="I23" s="13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>
        <f t="shared" si="0"/>
        <v>0</v>
      </c>
      <c r="BD23" s="13" t="e">
        <f>[1]!shannonweaver(J23:BB23)</f>
        <v>#VALUE!</v>
      </c>
    </row>
    <row r="24" spans="1:56">
      <c r="A24" s="13" t="s">
        <v>326</v>
      </c>
      <c r="B24" s="13" t="s">
        <v>281</v>
      </c>
      <c r="C24" s="13">
        <v>4</v>
      </c>
      <c r="D24" s="13" t="s">
        <v>320</v>
      </c>
      <c r="E24" s="13" t="s">
        <v>283</v>
      </c>
      <c r="F24" s="13">
        <v>0</v>
      </c>
      <c r="G24" s="13">
        <v>0</v>
      </c>
      <c r="H24" s="13">
        <v>0</v>
      </c>
      <c r="I24" s="13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32">
        <v>0</v>
      </c>
      <c r="AK24" s="13">
        <v>2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>
        <f t="shared" si="0"/>
        <v>1</v>
      </c>
      <c r="BD24" s="13">
        <f>[1]!shannonweaver(J24:BB24)</f>
        <v>0</v>
      </c>
    </row>
    <row r="25" spans="1:56">
      <c r="A25" s="13" t="s">
        <v>327</v>
      </c>
      <c r="B25" s="13" t="s">
        <v>281</v>
      </c>
      <c r="C25" s="13">
        <v>4</v>
      </c>
      <c r="D25" s="13" t="s">
        <v>320</v>
      </c>
      <c r="E25" s="13" t="s">
        <v>283</v>
      </c>
      <c r="F25" s="13">
        <v>0</v>
      </c>
      <c r="G25" s="13">
        <v>0</v>
      </c>
      <c r="H25" s="13">
        <v>0</v>
      </c>
      <c r="I25" s="13">
        <v>0</v>
      </c>
      <c r="J25" s="13">
        <v>1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13">
        <v>1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>
        <v>0</v>
      </c>
      <c r="AS25" s="13">
        <v>1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>
        <f t="shared" si="0"/>
        <v>3</v>
      </c>
      <c r="BD25" s="13">
        <f>[1]!shannonweaver(J25:BB25)</f>
        <v>1.0986122886681096</v>
      </c>
    </row>
    <row r="26" spans="1:56">
      <c r="A26" t="s">
        <v>329</v>
      </c>
      <c r="B26" t="s">
        <v>281</v>
      </c>
      <c r="C26">
        <v>5</v>
      </c>
      <c r="D26" s="13" t="s">
        <v>320</v>
      </c>
      <c r="E26" t="s">
        <v>283</v>
      </c>
      <c r="F26" s="13">
        <v>0</v>
      </c>
      <c r="G26" s="13">
        <v>0</v>
      </c>
      <c r="H26" s="13">
        <v>0</v>
      </c>
      <c r="I26" s="13">
        <v>1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>
        <f t="shared" si="0"/>
        <v>0</v>
      </c>
      <c r="BD26" s="13">
        <v>0</v>
      </c>
    </row>
    <row r="27" spans="1:56">
      <c r="A27" t="s">
        <v>331</v>
      </c>
      <c r="B27" t="s">
        <v>281</v>
      </c>
      <c r="C27">
        <v>5</v>
      </c>
      <c r="D27" s="13" t="s">
        <v>320</v>
      </c>
      <c r="E27" t="s">
        <v>283</v>
      </c>
      <c r="F27" s="13">
        <v>0</v>
      </c>
      <c r="G27" s="13">
        <v>0</v>
      </c>
      <c r="H27" s="13">
        <v>0</v>
      </c>
      <c r="I27" s="13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>
        <f t="shared" si="0"/>
        <v>0</v>
      </c>
      <c r="BD27" s="13" t="e">
        <f>[1]!shannonweaver(J27:BB27)</f>
        <v>#VALUE!</v>
      </c>
    </row>
    <row r="28" spans="1:56">
      <c r="A28" t="s">
        <v>249</v>
      </c>
      <c r="B28" t="s">
        <v>281</v>
      </c>
      <c r="C28">
        <v>5</v>
      </c>
      <c r="D28" s="13" t="s">
        <v>320</v>
      </c>
      <c r="E28" t="s">
        <v>283</v>
      </c>
      <c r="F28" s="13">
        <v>0</v>
      </c>
      <c r="G28" s="13">
        <v>0</v>
      </c>
      <c r="H28" s="13">
        <v>0</v>
      </c>
      <c r="I28" s="13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>
        <f t="shared" si="0"/>
        <v>0</v>
      </c>
      <c r="BD28" s="13">
        <v>0</v>
      </c>
    </row>
    <row r="29" spans="1:56">
      <c r="A29" t="s">
        <v>250</v>
      </c>
      <c r="B29" t="s">
        <v>281</v>
      </c>
      <c r="C29">
        <v>5</v>
      </c>
      <c r="D29" s="13" t="s">
        <v>320</v>
      </c>
      <c r="E29" t="s">
        <v>283</v>
      </c>
      <c r="F29" s="13">
        <v>0</v>
      </c>
      <c r="G29" s="13">
        <v>0</v>
      </c>
      <c r="H29" s="13">
        <v>0</v>
      </c>
      <c r="I29" s="13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>
        <f t="shared" si="0"/>
        <v>0</v>
      </c>
      <c r="BD29" s="13" t="e">
        <f>[1]!shannonweaver(J29:BB29)</f>
        <v>#VALUE!</v>
      </c>
    </row>
    <row r="30" spans="1:56">
      <c r="A30" t="s">
        <v>82</v>
      </c>
      <c r="B30" t="s">
        <v>281</v>
      </c>
      <c r="C30">
        <v>5</v>
      </c>
      <c r="D30" s="13" t="s">
        <v>320</v>
      </c>
      <c r="E30" t="s">
        <v>283</v>
      </c>
      <c r="F30" s="13">
        <v>0</v>
      </c>
      <c r="G30" s="13">
        <v>0</v>
      </c>
      <c r="H30" s="13">
        <v>0</v>
      </c>
      <c r="I30" s="13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13">
        <v>1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>
        <f t="shared" si="0"/>
        <v>1</v>
      </c>
      <c r="BD30" s="13">
        <f>[1]!shannonweaver(J30:BB30)</f>
        <v>0</v>
      </c>
    </row>
    <row r="31" spans="1:56">
      <c r="A31" t="s">
        <v>83</v>
      </c>
      <c r="B31" t="s">
        <v>281</v>
      </c>
      <c r="C31">
        <v>5</v>
      </c>
      <c r="D31" s="13" t="s">
        <v>320</v>
      </c>
      <c r="E31" t="s">
        <v>283</v>
      </c>
      <c r="F31" s="13">
        <v>0</v>
      </c>
      <c r="G31" s="13">
        <v>0</v>
      </c>
      <c r="H31" s="13">
        <v>0</v>
      </c>
      <c r="I31" s="13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13">
        <v>1</v>
      </c>
      <c r="R31" s="32">
        <v>0</v>
      </c>
      <c r="S31" s="13">
        <v>1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32">
        <v>0</v>
      </c>
      <c r="AV31" s="13">
        <v>1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>
        <f t="shared" si="0"/>
        <v>3</v>
      </c>
      <c r="BD31" s="13">
        <f>[1]!shannonweaver(J31:BB31)</f>
        <v>1.0986122886681096</v>
      </c>
    </row>
    <row r="32" spans="1:56">
      <c r="A32" s="13" t="s">
        <v>84</v>
      </c>
      <c r="B32" t="s">
        <v>281</v>
      </c>
      <c r="C32">
        <v>7</v>
      </c>
      <c r="D32" s="13" t="s">
        <v>320</v>
      </c>
      <c r="E32" t="s">
        <v>283</v>
      </c>
      <c r="F32" s="13">
        <v>0</v>
      </c>
      <c r="G32" s="13">
        <v>0</v>
      </c>
      <c r="H32" s="13">
        <v>0</v>
      </c>
      <c r="I32" s="13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13">
        <v>1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32">
        <v>0</v>
      </c>
      <c r="BB32" s="32">
        <v>0</v>
      </c>
      <c r="BC32">
        <f t="shared" si="0"/>
        <v>1</v>
      </c>
      <c r="BD32" s="13">
        <f>[1]!shannonweaver(J32:BB32)</f>
        <v>0</v>
      </c>
    </row>
    <row r="33" spans="1:56">
      <c r="A33" s="13" t="s">
        <v>85</v>
      </c>
      <c r="B33" t="s">
        <v>281</v>
      </c>
      <c r="C33">
        <v>7</v>
      </c>
      <c r="D33" s="13" t="s">
        <v>320</v>
      </c>
      <c r="E33" t="s">
        <v>283</v>
      </c>
      <c r="F33" s="13">
        <v>0</v>
      </c>
      <c r="G33" s="13">
        <v>0</v>
      </c>
      <c r="H33" s="13">
        <v>0</v>
      </c>
      <c r="I33" s="13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>
        <f t="shared" si="0"/>
        <v>0</v>
      </c>
      <c r="BD33" s="13" t="e">
        <f>[1]!shannonweaver(J33:BB33)</f>
        <v>#VALUE!</v>
      </c>
    </row>
    <row r="34" spans="1:56">
      <c r="A34" s="13" t="s">
        <v>86</v>
      </c>
      <c r="B34" t="s">
        <v>281</v>
      </c>
      <c r="C34">
        <v>7</v>
      </c>
      <c r="D34" s="13" t="s">
        <v>320</v>
      </c>
      <c r="E34" t="s">
        <v>283</v>
      </c>
      <c r="F34" s="13">
        <v>0</v>
      </c>
      <c r="G34" s="13">
        <v>0</v>
      </c>
      <c r="H34" s="13">
        <v>0</v>
      </c>
      <c r="I34" s="13">
        <v>0</v>
      </c>
      <c r="J34" s="13">
        <v>2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13">
        <v>1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>
        <f t="shared" si="0"/>
        <v>2</v>
      </c>
      <c r="BD34" s="13">
        <f>[1]!shannonweaver(J34:BB34)</f>
        <v>0.63651416829481278</v>
      </c>
    </row>
    <row r="35" spans="1:56">
      <c r="A35" s="13" t="s">
        <v>87</v>
      </c>
      <c r="B35" t="s">
        <v>281</v>
      </c>
      <c r="C35">
        <v>7</v>
      </c>
      <c r="D35" s="13" t="s">
        <v>320</v>
      </c>
      <c r="E35" t="s">
        <v>283</v>
      </c>
      <c r="F35" s="13">
        <v>0</v>
      </c>
      <c r="G35" s="13">
        <v>0</v>
      </c>
      <c r="H35" s="13">
        <v>0</v>
      </c>
      <c r="I35" s="13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13">
        <v>1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>
        <f t="shared" si="0"/>
        <v>1</v>
      </c>
      <c r="BD35" s="13">
        <f>[1]!shannonweaver(J35:BB35)</f>
        <v>0</v>
      </c>
    </row>
    <row r="36" spans="1:56">
      <c r="A36" s="13" t="s">
        <v>88</v>
      </c>
      <c r="B36" t="s">
        <v>281</v>
      </c>
      <c r="C36">
        <v>7</v>
      </c>
      <c r="D36" s="13" t="s">
        <v>320</v>
      </c>
      <c r="E36" t="s">
        <v>283</v>
      </c>
      <c r="F36" s="13">
        <v>0</v>
      </c>
      <c r="G36" s="13">
        <v>0</v>
      </c>
      <c r="H36" s="13">
        <v>0</v>
      </c>
      <c r="I36" s="13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13">
        <v>1</v>
      </c>
      <c r="P36" s="32">
        <v>0</v>
      </c>
      <c r="Q36" s="32">
        <v>0</v>
      </c>
      <c r="R36" s="13">
        <v>2</v>
      </c>
      <c r="S36" s="13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>
        <f t="shared" si="0"/>
        <v>2</v>
      </c>
      <c r="BD36" s="13">
        <f>[1]!shannonweaver(J36:BB36)</f>
        <v>0.63651416829481278</v>
      </c>
    </row>
    <row r="37" spans="1:56">
      <c r="A37" s="13" t="s">
        <v>89</v>
      </c>
      <c r="B37" t="s">
        <v>281</v>
      </c>
      <c r="C37">
        <v>7</v>
      </c>
      <c r="D37" s="13" t="s">
        <v>320</v>
      </c>
      <c r="E37" t="s">
        <v>283</v>
      </c>
      <c r="F37" s="13">
        <v>0</v>
      </c>
      <c r="G37" s="13">
        <v>0</v>
      </c>
      <c r="H37" s="13">
        <v>0</v>
      </c>
      <c r="I37" s="13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>
        <f t="shared" si="0"/>
        <v>0</v>
      </c>
      <c r="BD37" s="13" t="e">
        <f>[1]!shannonweaver(J37:BB37)</f>
        <v>#VALUE!</v>
      </c>
    </row>
    <row r="38" spans="1:56">
      <c r="A38" t="s">
        <v>90</v>
      </c>
      <c r="B38" t="s">
        <v>281</v>
      </c>
      <c r="C38" t="s">
        <v>282</v>
      </c>
      <c r="D38" s="13" t="s">
        <v>319</v>
      </c>
      <c r="E38" s="13" t="s">
        <v>91</v>
      </c>
      <c r="F38" s="13">
        <v>0</v>
      </c>
      <c r="G38" s="13">
        <v>0</v>
      </c>
      <c r="H38" s="13">
        <v>0</v>
      </c>
      <c r="I38" s="13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13">
        <v>1</v>
      </c>
      <c r="R38" s="13">
        <v>1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13">
        <v>2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13">
        <v>1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>
        <f t="shared" si="0"/>
        <v>4</v>
      </c>
      <c r="BD38" s="13">
        <f>[1]!shannonweaver(J38:BB38)</f>
        <v>1.3321790402101223</v>
      </c>
    </row>
    <row r="39" spans="1:56">
      <c r="A39" s="13" t="s">
        <v>92</v>
      </c>
      <c r="B39" t="s">
        <v>281</v>
      </c>
      <c r="C39" t="s">
        <v>282</v>
      </c>
      <c r="D39" s="13" t="s">
        <v>319</v>
      </c>
      <c r="E39" s="13" t="s">
        <v>91</v>
      </c>
      <c r="F39" s="13">
        <v>0</v>
      </c>
      <c r="G39" s="13">
        <v>0</v>
      </c>
      <c r="H39" s="13">
        <v>0</v>
      </c>
      <c r="I39" s="13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13">
        <v>2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13">
        <v>2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32">
        <v>0</v>
      </c>
      <c r="AW39" s="13">
        <v>3</v>
      </c>
      <c r="AX39" s="32">
        <v>0</v>
      </c>
      <c r="AY39" s="32">
        <v>0</v>
      </c>
      <c r="AZ39" s="32">
        <v>0</v>
      </c>
      <c r="BA39" s="32">
        <v>0</v>
      </c>
      <c r="BB39" s="32">
        <v>0</v>
      </c>
      <c r="BC39">
        <f t="shared" si="0"/>
        <v>3</v>
      </c>
      <c r="BD39" s="13">
        <f>[1]!shannonweaver(J39:BB39)</f>
        <v>1.0789922078775833</v>
      </c>
    </row>
    <row r="40" spans="1:56">
      <c r="A40" s="13" t="s">
        <v>270</v>
      </c>
      <c r="B40" t="s">
        <v>281</v>
      </c>
      <c r="C40" t="s">
        <v>282</v>
      </c>
      <c r="D40" s="13" t="s">
        <v>319</v>
      </c>
      <c r="E40" s="13" t="s">
        <v>91</v>
      </c>
      <c r="F40" s="13">
        <v>0</v>
      </c>
      <c r="G40" s="13">
        <v>0</v>
      </c>
      <c r="H40" s="13">
        <v>0</v>
      </c>
      <c r="I40" s="13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13">
        <v>1</v>
      </c>
      <c r="R40" s="32">
        <v>0</v>
      </c>
      <c r="S40" s="32">
        <v>0</v>
      </c>
      <c r="T40" s="32">
        <v>0</v>
      </c>
      <c r="U40" s="13">
        <v>1</v>
      </c>
      <c r="V40" s="32">
        <v>0</v>
      </c>
      <c r="W40" s="32">
        <v>0</v>
      </c>
      <c r="X40" s="32">
        <v>0</v>
      </c>
      <c r="Y40" s="13">
        <v>4</v>
      </c>
      <c r="Z40" s="32">
        <v>0</v>
      </c>
      <c r="AA40" s="32">
        <v>0</v>
      </c>
      <c r="AB40" s="13">
        <v>3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13">
        <v>1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>
        <f t="shared" si="0"/>
        <v>5</v>
      </c>
      <c r="BD40" s="13">
        <f>[1]!shannonweaver(J40:BB40)</f>
        <v>1.4184836619456564</v>
      </c>
    </row>
    <row r="41" spans="1:56">
      <c r="A41" s="13" t="s">
        <v>271</v>
      </c>
      <c r="B41" t="s">
        <v>281</v>
      </c>
      <c r="C41" t="s">
        <v>282</v>
      </c>
      <c r="D41" s="13" t="s">
        <v>319</v>
      </c>
      <c r="E41" s="13" t="s">
        <v>91</v>
      </c>
      <c r="F41" s="13">
        <v>0</v>
      </c>
      <c r="G41" s="13">
        <v>0</v>
      </c>
      <c r="H41" s="13">
        <v>0</v>
      </c>
      <c r="I41" s="13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13">
        <v>1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13">
        <v>3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>
        <f t="shared" si="0"/>
        <v>2</v>
      </c>
      <c r="BD41" s="13">
        <f>[1]!shannonweaver(J41:BB41)</f>
        <v>0.56233514461880829</v>
      </c>
    </row>
    <row r="42" spans="1:56">
      <c r="A42" s="13" t="s">
        <v>272</v>
      </c>
      <c r="B42" t="s">
        <v>281</v>
      </c>
      <c r="C42" t="s">
        <v>282</v>
      </c>
      <c r="D42" s="13" t="s">
        <v>319</v>
      </c>
      <c r="E42" s="13" t="s">
        <v>91</v>
      </c>
      <c r="F42" s="13">
        <v>0</v>
      </c>
      <c r="G42" s="13">
        <v>0</v>
      </c>
      <c r="H42" s="13">
        <v>0</v>
      </c>
      <c r="I42" s="13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13">
        <v>3</v>
      </c>
      <c r="Z42" s="32">
        <v>0</v>
      </c>
      <c r="AA42" s="32">
        <v>0</v>
      </c>
      <c r="AB42" s="13">
        <v>1</v>
      </c>
      <c r="AC42" s="32">
        <v>0</v>
      </c>
      <c r="AD42" s="32">
        <v>0</v>
      </c>
      <c r="AE42" s="32">
        <v>0</v>
      </c>
      <c r="AF42" s="32">
        <v>0</v>
      </c>
      <c r="AG42" s="13">
        <v>1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32">
        <v>0</v>
      </c>
      <c r="AY42" s="32">
        <v>0</v>
      </c>
      <c r="AZ42" s="13">
        <v>1</v>
      </c>
      <c r="BA42" s="32">
        <v>0</v>
      </c>
      <c r="BB42" s="32">
        <v>0</v>
      </c>
      <c r="BC42">
        <f t="shared" si="0"/>
        <v>4</v>
      </c>
      <c r="BD42" s="13">
        <f>[1]!shannonweaver(J42:BB42)</f>
        <v>1.242453324894</v>
      </c>
    </row>
    <row r="43" spans="1:56">
      <c r="A43" s="13" t="s">
        <v>273</v>
      </c>
      <c r="B43" t="s">
        <v>281</v>
      </c>
      <c r="C43" t="s">
        <v>282</v>
      </c>
      <c r="D43" s="13" t="s">
        <v>319</v>
      </c>
      <c r="E43" s="13" t="s">
        <v>91</v>
      </c>
      <c r="F43" s="13">
        <v>0</v>
      </c>
      <c r="G43" s="13">
        <v>0</v>
      </c>
      <c r="H43" s="13">
        <v>0</v>
      </c>
      <c r="I43" s="13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13">
        <v>1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13">
        <v>2</v>
      </c>
      <c r="Z43" s="32">
        <v>0</v>
      </c>
      <c r="AA43" s="13">
        <v>1</v>
      </c>
      <c r="AB43" s="13">
        <v>0</v>
      </c>
      <c r="AC43" s="32">
        <v>0</v>
      </c>
      <c r="AD43" s="13">
        <v>1</v>
      </c>
      <c r="AE43" s="32">
        <v>0</v>
      </c>
      <c r="AF43" s="13">
        <v>2</v>
      </c>
      <c r="AG43" s="13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32">
        <v>0</v>
      </c>
      <c r="AY43" s="32">
        <v>0</v>
      </c>
      <c r="AZ43" s="13">
        <v>1</v>
      </c>
      <c r="BA43" s="32">
        <v>0</v>
      </c>
      <c r="BB43" s="32">
        <v>0</v>
      </c>
      <c r="BC43">
        <f t="shared" si="0"/>
        <v>6</v>
      </c>
      <c r="BD43" s="13">
        <f>[1]!shannonweaver(J43:BB43)</f>
        <v>1.7328679513998633</v>
      </c>
    </row>
    <row r="44" spans="1:56">
      <c r="A44" s="13" t="s">
        <v>141</v>
      </c>
      <c r="B44" t="s">
        <v>281</v>
      </c>
      <c r="C44" t="s">
        <v>293</v>
      </c>
      <c r="D44" s="13" t="s">
        <v>319</v>
      </c>
      <c r="E44" s="13" t="s">
        <v>91</v>
      </c>
      <c r="F44" s="13">
        <v>0</v>
      </c>
      <c r="G44" s="13">
        <v>0</v>
      </c>
      <c r="H44" s="13">
        <v>0</v>
      </c>
      <c r="I44" s="13">
        <v>0</v>
      </c>
      <c r="J44" s="32">
        <v>0</v>
      </c>
      <c r="K44" s="32">
        <v>0</v>
      </c>
      <c r="L44" s="13">
        <v>1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13">
        <v>1</v>
      </c>
      <c r="V44" s="32">
        <v>0</v>
      </c>
      <c r="W44" s="32">
        <v>0</v>
      </c>
      <c r="X44" s="32">
        <v>0</v>
      </c>
      <c r="Y44" s="13">
        <v>3</v>
      </c>
      <c r="Z44" s="32">
        <v>0</v>
      </c>
      <c r="AA44" s="13">
        <v>1</v>
      </c>
      <c r="AB44" s="13">
        <v>0</v>
      </c>
      <c r="AC44" s="32">
        <v>0</v>
      </c>
      <c r="AD44" s="13">
        <v>0</v>
      </c>
      <c r="AE44" s="32">
        <v>0</v>
      </c>
      <c r="AF44" s="32">
        <v>0</v>
      </c>
      <c r="AG44" s="13">
        <v>1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32">
        <v>0</v>
      </c>
      <c r="AS44" s="13">
        <v>3</v>
      </c>
      <c r="AT44" s="32">
        <v>0</v>
      </c>
      <c r="AU44" s="32">
        <v>0</v>
      </c>
      <c r="AV44" s="13">
        <v>1</v>
      </c>
      <c r="AW44" s="32">
        <v>0</v>
      </c>
      <c r="AX44" s="32">
        <v>0</v>
      </c>
      <c r="AY44" s="32">
        <v>0</v>
      </c>
      <c r="AZ44" s="32">
        <v>0</v>
      </c>
      <c r="BA44" s="32">
        <v>0</v>
      </c>
      <c r="BB44" s="32">
        <v>0</v>
      </c>
      <c r="BC44">
        <f t="shared" si="0"/>
        <v>7</v>
      </c>
      <c r="BD44" s="13">
        <f>[1]!shannonweaver(J44:BB44)</f>
        <v>1.7986522062521288</v>
      </c>
    </row>
    <row r="45" spans="1:56">
      <c r="A45" s="13" t="s">
        <v>142</v>
      </c>
      <c r="B45" t="s">
        <v>281</v>
      </c>
      <c r="C45" t="s">
        <v>293</v>
      </c>
      <c r="D45" s="13" t="s">
        <v>319</v>
      </c>
      <c r="E45" s="13" t="s">
        <v>91</v>
      </c>
      <c r="F45" s="13">
        <v>0</v>
      </c>
      <c r="G45" s="13">
        <v>0</v>
      </c>
      <c r="H45" s="13">
        <v>0</v>
      </c>
      <c r="I45" s="13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13">
        <v>1</v>
      </c>
      <c r="R45" s="32">
        <v>0</v>
      </c>
      <c r="S45" s="13">
        <v>1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13">
        <v>1</v>
      </c>
      <c r="Z45" s="32">
        <v>0</v>
      </c>
      <c r="AA45" s="32">
        <v>0</v>
      </c>
      <c r="AB45" s="13">
        <v>2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32">
        <v>0</v>
      </c>
      <c r="AS45" s="13">
        <v>1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>
        <f t="shared" si="0"/>
        <v>5</v>
      </c>
      <c r="BD45" s="13">
        <f>[1]!shannonweaver(J45:BB45)</f>
        <v>1.5607104090414063</v>
      </c>
    </row>
    <row r="46" spans="1:56">
      <c r="A46" s="13" t="s">
        <v>144</v>
      </c>
      <c r="B46" t="s">
        <v>281</v>
      </c>
      <c r="C46" t="s">
        <v>293</v>
      </c>
      <c r="D46" s="13" t="s">
        <v>319</v>
      </c>
      <c r="E46" s="13" t="s">
        <v>91</v>
      </c>
      <c r="F46" s="13">
        <v>0</v>
      </c>
      <c r="G46" s="13">
        <v>0</v>
      </c>
      <c r="H46" s="13">
        <v>0</v>
      </c>
      <c r="I46" s="13">
        <v>0</v>
      </c>
      <c r="J46" s="32">
        <v>0</v>
      </c>
      <c r="K46" s="32">
        <v>0</v>
      </c>
      <c r="L46" s="13">
        <v>5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13">
        <v>1</v>
      </c>
      <c r="V46" s="32">
        <v>0</v>
      </c>
      <c r="W46" s="32">
        <v>0</v>
      </c>
      <c r="X46" s="32">
        <v>0</v>
      </c>
      <c r="Y46" s="13">
        <v>1</v>
      </c>
      <c r="Z46" s="32">
        <v>0</v>
      </c>
      <c r="AA46" s="13">
        <v>3</v>
      </c>
      <c r="AB46" s="13">
        <v>4</v>
      </c>
      <c r="AC46" s="32">
        <v>0</v>
      </c>
      <c r="AD46" s="32">
        <v>0</v>
      </c>
      <c r="AE46" s="32">
        <v>0</v>
      </c>
      <c r="AF46" s="32">
        <v>0</v>
      </c>
      <c r="AG46" s="13">
        <v>1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>
        <f t="shared" si="0"/>
        <v>6</v>
      </c>
      <c r="BD46" s="13">
        <f>[1]!shannonweaver(J46:BB46)</f>
        <v>1.5821699429252505</v>
      </c>
    </row>
    <row r="47" spans="1:56">
      <c r="A47" s="13" t="s">
        <v>145</v>
      </c>
      <c r="B47" t="s">
        <v>281</v>
      </c>
      <c r="C47" t="s">
        <v>293</v>
      </c>
      <c r="D47" s="13" t="s">
        <v>319</v>
      </c>
      <c r="E47" s="13" t="s">
        <v>91</v>
      </c>
      <c r="F47" s="13">
        <v>0</v>
      </c>
      <c r="G47" s="13">
        <v>0</v>
      </c>
      <c r="H47" s="13">
        <v>0</v>
      </c>
      <c r="I47" s="13">
        <v>0</v>
      </c>
      <c r="J47" s="32">
        <v>0</v>
      </c>
      <c r="K47" s="32">
        <v>0</v>
      </c>
      <c r="L47" s="13">
        <v>3</v>
      </c>
      <c r="M47" s="32">
        <v>0</v>
      </c>
      <c r="N47" s="32">
        <v>0</v>
      </c>
      <c r="O47" s="13">
        <v>1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13">
        <v>2</v>
      </c>
      <c r="Z47" s="32">
        <v>0</v>
      </c>
      <c r="AA47" s="32">
        <v>0</v>
      </c>
      <c r="AB47" s="13">
        <v>1</v>
      </c>
      <c r="AC47" s="32">
        <v>0</v>
      </c>
      <c r="AD47" s="32">
        <v>0</v>
      </c>
      <c r="AE47" s="32">
        <v>0</v>
      </c>
      <c r="AF47" s="32">
        <v>0</v>
      </c>
      <c r="AG47" s="13">
        <v>2</v>
      </c>
      <c r="AH47" s="32">
        <v>0</v>
      </c>
      <c r="AI47" s="32">
        <v>0</v>
      </c>
      <c r="AJ47" s="32">
        <v>0</v>
      </c>
      <c r="AK47" s="13">
        <v>1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>
        <f t="shared" si="0"/>
        <v>6</v>
      </c>
      <c r="BD47" s="13">
        <f>[1]!shannonweaver(J47:BB47)</f>
        <v>1.6957425341696346</v>
      </c>
    </row>
    <row r="48" spans="1:56">
      <c r="A48" s="13" t="s">
        <v>146</v>
      </c>
      <c r="B48" t="s">
        <v>281</v>
      </c>
      <c r="C48" t="s">
        <v>293</v>
      </c>
      <c r="D48" s="13" t="s">
        <v>319</v>
      </c>
      <c r="E48" s="13" t="s">
        <v>91</v>
      </c>
      <c r="F48" s="13">
        <v>1</v>
      </c>
      <c r="G48" s="13">
        <v>0</v>
      </c>
      <c r="H48" s="13">
        <v>0</v>
      </c>
      <c r="I48" s="13">
        <v>0</v>
      </c>
      <c r="J48" s="32">
        <v>0</v>
      </c>
      <c r="K48" s="32">
        <v>0</v>
      </c>
      <c r="L48" s="13">
        <v>1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13">
        <v>2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>
        <f t="shared" si="0"/>
        <v>2</v>
      </c>
      <c r="BD48" s="13">
        <f>[1]!shannonweaver(J48:BB48)</f>
        <v>0.63651416829481278</v>
      </c>
    </row>
    <row r="49" spans="1:56">
      <c r="A49" s="13" t="s">
        <v>147</v>
      </c>
      <c r="B49" t="s">
        <v>281</v>
      </c>
      <c r="C49" t="s">
        <v>293</v>
      </c>
      <c r="D49" s="13" t="s">
        <v>319</v>
      </c>
      <c r="E49" s="13" t="s">
        <v>91</v>
      </c>
      <c r="F49" s="13">
        <v>0</v>
      </c>
      <c r="G49" s="13">
        <v>0</v>
      </c>
      <c r="H49" s="13">
        <v>0</v>
      </c>
      <c r="I49" s="13">
        <v>0</v>
      </c>
      <c r="J49" s="32">
        <v>0</v>
      </c>
      <c r="K49" s="32">
        <v>0</v>
      </c>
      <c r="L49" s="13">
        <v>1</v>
      </c>
      <c r="M49" s="13">
        <v>1</v>
      </c>
      <c r="N49" s="32">
        <v>0</v>
      </c>
      <c r="O49" s="32">
        <v>0</v>
      </c>
      <c r="P49" s="32">
        <v>0</v>
      </c>
      <c r="Q49" s="13">
        <v>1</v>
      </c>
      <c r="R49" s="32">
        <v>0</v>
      </c>
      <c r="S49" s="13">
        <v>3</v>
      </c>
      <c r="T49" s="32">
        <v>0</v>
      </c>
      <c r="U49" s="13">
        <v>1</v>
      </c>
      <c r="V49" s="32">
        <v>0</v>
      </c>
      <c r="W49" s="32">
        <v>0</v>
      </c>
      <c r="X49" s="32">
        <v>0</v>
      </c>
      <c r="Y49" s="13">
        <v>1</v>
      </c>
      <c r="Z49" s="32">
        <v>0</v>
      </c>
      <c r="AA49" s="32">
        <v>0</v>
      </c>
      <c r="AB49" s="13">
        <v>2</v>
      </c>
      <c r="AC49" s="32">
        <v>0</v>
      </c>
      <c r="AD49" s="32">
        <v>0</v>
      </c>
      <c r="AE49" s="32">
        <v>0</v>
      </c>
      <c r="AF49" s="32">
        <v>0</v>
      </c>
      <c r="AG49" s="13">
        <v>3</v>
      </c>
      <c r="AH49" s="32">
        <v>0</v>
      </c>
      <c r="AI49" s="32">
        <v>0</v>
      </c>
      <c r="AJ49" s="32">
        <v>0</v>
      </c>
      <c r="AK49" s="13">
        <v>2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>
        <f t="shared" si="0"/>
        <v>9</v>
      </c>
      <c r="BD49" s="13">
        <f>[1]!shannonweaver(J49:BB49)</f>
        <v>2.0837660374856477</v>
      </c>
    </row>
    <row r="50" spans="1:56">
      <c r="A50" s="13" t="s">
        <v>148</v>
      </c>
      <c r="B50" t="s">
        <v>281</v>
      </c>
      <c r="C50" t="s">
        <v>301</v>
      </c>
      <c r="D50" s="13" t="s">
        <v>319</v>
      </c>
      <c r="E50" s="13" t="s">
        <v>91</v>
      </c>
      <c r="F50" s="13">
        <v>0</v>
      </c>
      <c r="G50" s="13">
        <v>0</v>
      </c>
      <c r="H50" s="13">
        <v>0</v>
      </c>
      <c r="I50" s="13">
        <v>0</v>
      </c>
      <c r="J50" s="32">
        <v>0</v>
      </c>
      <c r="K50" s="13">
        <v>1</v>
      </c>
      <c r="L50" s="13">
        <v>1</v>
      </c>
      <c r="M50" s="1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13">
        <v>2</v>
      </c>
      <c r="Z50" s="32">
        <v>0</v>
      </c>
      <c r="AA50" s="32">
        <v>0</v>
      </c>
      <c r="AB50" s="13">
        <v>8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>
        <f t="shared" si="0"/>
        <v>4</v>
      </c>
      <c r="BD50" s="13">
        <f>[1]!shannonweaver(J50:BB50)</f>
        <v>0.98308775857478548</v>
      </c>
    </row>
    <row r="51" spans="1:56">
      <c r="A51" s="13" t="s">
        <v>21</v>
      </c>
      <c r="B51" t="s">
        <v>281</v>
      </c>
      <c r="C51" t="s">
        <v>301</v>
      </c>
      <c r="D51" s="13" t="s">
        <v>319</v>
      </c>
      <c r="E51" s="13" t="s">
        <v>91</v>
      </c>
      <c r="F51" s="13">
        <v>0</v>
      </c>
      <c r="G51" s="13">
        <v>0</v>
      </c>
      <c r="H51" s="13">
        <v>0</v>
      </c>
      <c r="I51" s="13">
        <v>0</v>
      </c>
      <c r="J51" s="32">
        <v>0</v>
      </c>
      <c r="K51" s="32">
        <v>0</v>
      </c>
      <c r="L51" s="13">
        <v>2</v>
      </c>
      <c r="M51" s="1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13">
        <v>1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13">
        <v>2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32">
        <v>0</v>
      </c>
      <c r="AK51" s="13">
        <v>2</v>
      </c>
      <c r="AL51" s="32">
        <v>0</v>
      </c>
      <c r="AM51" s="32">
        <v>0</v>
      </c>
      <c r="AN51" s="32">
        <v>0</v>
      </c>
      <c r="AO51" s="13">
        <v>1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>
        <f t="shared" si="0"/>
        <v>5</v>
      </c>
      <c r="BD51" s="13">
        <f>[1]!shannonweaver(J51:BB51)</f>
        <v>1.5595811562598769</v>
      </c>
    </row>
    <row r="52" spans="1:56">
      <c r="A52" s="13" t="s">
        <v>22</v>
      </c>
      <c r="B52" t="s">
        <v>281</v>
      </c>
      <c r="C52" t="s">
        <v>301</v>
      </c>
      <c r="D52" s="13" t="s">
        <v>319</v>
      </c>
      <c r="E52" s="13" t="s">
        <v>91</v>
      </c>
      <c r="F52" s="13">
        <v>0</v>
      </c>
      <c r="G52" s="13">
        <v>0</v>
      </c>
      <c r="H52" s="13">
        <v>0</v>
      </c>
      <c r="I52" s="13">
        <v>0</v>
      </c>
      <c r="J52" s="32">
        <v>0</v>
      </c>
      <c r="K52" s="32">
        <v>0</v>
      </c>
      <c r="L52" s="13">
        <v>1</v>
      </c>
      <c r="M52" s="13">
        <v>0</v>
      </c>
      <c r="N52" s="32">
        <v>0</v>
      </c>
      <c r="O52" s="32">
        <v>0</v>
      </c>
      <c r="P52" s="32">
        <v>0</v>
      </c>
      <c r="Q52" s="32">
        <v>0</v>
      </c>
      <c r="R52" s="13">
        <v>1</v>
      </c>
      <c r="S52" s="32">
        <v>0</v>
      </c>
      <c r="T52" s="32">
        <v>0</v>
      </c>
      <c r="U52" s="32">
        <v>0</v>
      </c>
      <c r="V52" s="32">
        <v>0</v>
      </c>
      <c r="W52" s="13">
        <v>1</v>
      </c>
      <c r="X52" s="32">
        <v>0</v>
      </c>
      <c r="Y52" s="13">
        <v>3</v>
      </c>
      <c r="Z52" s="32">
        <v>0</v>
      </c>
      <c r="AA52" s="32">
        <v>0</v>
      </c>
      <c r="AB52" s="13">
        <v>6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>
        <f t="shared" si="0"/>
        <v>5</v>
      </c>
      <c r="BD52" s="13">
        <f>[1]!shannonweaver(J52:BB52)</f>
        <v>1.3143738430069454</v>
      </c>
    </row>
    <row r="53" spans="1:56">
      <c r="A53" s="13" t="s">
        <v>23</v>
      </c>
      <c r="B53" t="s">
        <v>281</v>
      </c>
      <c r="C53" t="s">
        <v>301</v>
      </c>
      <c r="D53" s="13" t="s">
        <v>319</v>
      </c>
      <c r="E53" s="13" t="s">
        <v>91</v>
      </c>
      <c r="F53" s="13">
        <v>0</v>
      </c>
      <c r="G53" s="13">
        <v>0</v>
      </c>
      <c r="H53" s="13">
        <v>0</v>
      </c>
      <c r="I53" s="13">
        <v>0</v>
      </c>
      <c r="J53" s="32">
        <v>0</v>
      </c>
      <c r="K53" s="32">
        <v>0</v>
      </c>
      <c r="L53" s="13">
        <v>1</v>
      </c>
      <c r="M53" s="13">
        <v>0</v>
      </c>
      <c r="N53" s="32">
        <v>0</v>
      </c>
      <c r="O53" s="32">
        <v>0</v>
      </c>
      <c r="P53" s="32">
        <v>0</v>
      </c>
      <c r="Q53" s="13">
        <v>1</v>
      </c>
      <c r="R53" s="13">
        <v>0</v>
      </c>
      <c r="S53" s="32">
        <v>0</v>
      </c>
      <c r="T53" s="32">
        <v>0</v>
      </c>
      <c r="U53" s="13">
        <v>1</v>
      </c>
      <c r="V53" s="32">
        <v>0</v>
      </c>
      <c r="W53" s="32">
        <v>0</v>
      </c>
      <c r="X53" s="32">
        <v>0</v>
      </c>
      <c r="Y53" s="13">
        <v>5</v>
      </c>
      <c r="Z53" s="32">
        <v>0</v>
      </c>
      <c r="AA53" s="32">
        <v>0</v>
      </c>
      <c r="AB53" s="13">
        <v>4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32">
        <v>0</v>
      </c>
      <c r="AK53" s="13">
        <v>2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32">
        <v>0</v>
      </c>
      <c r="AY53" s="32">
        <v>0</v>
      </c>
      <c r="AZ53" s="13">
        <v>2</v>
      </c>
      <c r="BA53" s="32">
        <v>0</v>
      </c>
      <c r="BB53" s="32">
        <v>0</v>
      </c>
      <c r="BC53">
        <f t="shared" si="0"/>
        <v>7</v>
      </c>
      <c r="BD53" s="13">
        <f>[1]!shannonweaver(J53:BB53)</f>
        <v>1.749778989184166</v>
      </c>
    </row>
    <row r="54" spans="1:56">
      <c r="A54" s="13" t="s">
        <v>24</v>
      </c>
      <c r="B54" t="s">
        <v>281</v>
      </c>
      <c r="C54" t="s">
        <v>301</v>
      </c>
      <c r="D54" s="13" t="s">
        <v>319</v>
      </c>
      <c r="E54" s="13" t="s">
        <v>91</v>
      </c>
      <c r="F54" s="13">
        <v>0</v>
      </c>
      <c r="G54" s="13">
        <v>0</v>
      </c>
      <c r="H54" s="13">
        <v>0</v>
      </c>
      <c r="I54" s="13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13">
        <v>1</v>
      </c>
      <c r="R54" s="13">
        <v>3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13">
        <v>3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13">
        <v>1</v>
      </c>
      <c r="AZ54" s="13">
        <v>1</v>
      </c>
      <c r="BA54" s="32">
        <v>0</v>
      </c>
      <c r="BB54" s="32">
        <v>0</v>
      </c>
      <c r="BC54">
        <f t="shared" si="0"/>
        <v>5</v>
      </c>
      <c r="BD54" s="13">
        <f>[1]!shannonweaver(J54:BB54)</f>
        <v>1.4648163848908129</v>
      </c>
    </row>
    <row r="55" spans="1:56">
      <c r="A55" s="13" t="s">
        <v>26</v>
      </c>
      <c r="B55" t="s">
        <v>281</v>
      </c>
      <c r="C55" t="s">
        <v>301</v>
      </c>
      <c r="D55" s="13" t="s">
        <v>319</v>
      </c>
      <c r="E55" s="13" t="s">
        <v>91</v>
      </c>
      <c r="F55" s="13">
        <v>0</v>
      </c>
      <c r="G55" s="13">
        <v>1</v>
      </c>
      <c r="H55" s="13">
        <v>0</v>
      </c>
      <c r="I55" s="13">
        <v>0</v>
      </c>
      <c r="J55" s="32">
        <v>0</v>
      </c>
      <c r="K55" s="32">
        <v>0</v>
      </c>
      <c r="L55" s="13">
        <v>2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13">
        <v>1</v>
      </c>
      <c r="Z55" s="32">
        <v>0</v>
      </c>
      <c r="AA55" s="32">
        <v>0</v>
      </c>
      <c r="AB55" s="13">
        <v>1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32">
        <v>0</v>
      </c>
      <c r="AK55" s="13">
        <v>1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>
        <f t="shared" si="0"/>
        <v>4</v>
      </c>
      <c r="BD55" s="13">
        <f>[1]!shannonweaver(J55:BB55)</f>
        <v>1.3321790402101223</v>
      </c>
    </row>
    <row r="56" spans="1:56">
      <c r="A56" s="13" t="s">
        <v>28</v>
      </c>
      <c r="B56" t="s">
        <v>281</v>
      </c>
      <c r="C56">
        <v>4</v>
      </c>
      <c r="D56" s="13" t="s">
        <v>320</v>
      </c>
      <c r="E56" s="13" t="s">
        <v>91</v>
      </c>
      <c r="F56" s="13">
        <v>0</v>
      </c>
      <c r="G56" s="13">
        <v>0</v>
      </c>
      <c r="H56" s="13">
        <v>0</v>
      </c>
      <c r="I56" s="13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>
        <f t="shared" si="0"/>
        <v>0</v>
      </c>
      <c r="BD56" s="13" t="e">
        <f>[1]!shannonweaver(J56:BB56)</f>
        <v>#VALUE!</v>
      </c>
    </row>
    <row r="57" spans="1:56">
      <c r="A57" s="13" t="s">
        <v>29</v>
      </c>
      <c r="B57" t="s">
        <v>281</v>
      </c>
      <c r="C57">
        <v>4</v>
      </c>
      <c r="D57" s="13" t="s">
        <v>320</v>
      </c>
      <c r="E57" s="13" t="s">
        <v>91</v>
      </c>
      <c r="F57" s="13">
        <v>0</v>
      </c>
      <c r="G57" s="13">
        <v>0</v>
      </c>
      <c r="H57" s="13">
        <v>0</v>
      </c>
      <c r="I57" s="13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13">
        <v>1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>
        <f t="shared" si="0"/>
        <v>1</v>
      </c>
      <c r="BD57" s="13">
        <f>[1]!shannonweaver(J57:BB57)</f>
        <v>0</v>
      </c>
    </row>
    <row r="58" spans="1:56">
      <c r="A58" s="13" t="s">
        <v>30</v>
      </c>
      <c r="B58" t="s">
        <v>281</v>
      </c>
      <c r="C58">
        <v>4</v>
      </c>
      <c r="D58" s="13" t="s">
        <v>320</v>
      </c>
      <c r="E58" s="13" t="s">
        <v>91</v>
      </c>
      <c r="F58" s="13">
        <v>0</v>
      </c>
      <c r="G58" s="13">
        <v>0</v>
      </c>
      <c r="H58" s="13">
        <v>0</v>
      </c>
      <c r="I58" s="13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13">
        <v>2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>
        <f t="shared" si="0"/>
        <v>1</v>
      </c>
      <c r="BD58" s="13">
        <f>[1]!shannonweaver(J58:BB58)</f>
        <v>0</v>
      </c>
    </row>
    <row r="59" spans="1:56">
      <c r="A59" s="13" t="s">
        <v>31</v>
      </c>
      <c r="B59" t="s">
        <v>281</v>
      </c>
      <c r="C59">
        <v>4</v>
      </c>
      <c r="D59" s="13" t="s">
        <v>320</v>
      </c>
      <c r="E59" s="13" t="s">
        <v>91</v>
      </c>
      <c r="F59" s="13">
        <v>0</v>
      </c>
      <c r="G59" s="13">
        <v>0</v>
      </c>
      <c r="H59" s="13">
        <v>0</v>
      </c>
      <c r="I59" s="13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0</v>
      </c>
      <c r="AV59" s="32">
        <v>0</v>
      </c>
      <c r="AW59" s="32">
        <v>0</v>
      </c>
      <c r="AX59" s="32">
        <v>0</v>
      </c>
      <c r="AY59" s="32">
        <v>0</v>
      </c>
      <c r="AZ59" s="32">
        <v>0</v>
      </c>
      <c r="BA59" s="32">
        <v>0</v>
      </c>
      <c r="BB59" s="32">
        <v>0</v>
      </c>
      <c r="BC59">
        <f t="shared" si="0"/>
        <v>0</v>
      </c>
      <c r="BD59" s="13" t="e">
        <f>[1]!shannonweaver(J59:BB59)</f>
        <v>#VALUE!</v>
      </c>
    </row>
    <row r="60" spans="1:56">
      <c r="A60" s="13" t="s">
        <v>32</v>
      </c>
      <c r="B60" t="s">
        <v>281</v>
      </c>
      <c r="C60">
        <v>4</v>
      </c>
      <c r="D60" s="13" t="s">
        <v>320</v>
      </c>
      <c r="E60" s="13" t="s">
        <v>91</v>
      </c>
      <c r="F60" s="13">
        <v>0</v>
      </c>
      <c r="G60" s="13">
        <v>0</v>
      </c>
      <c r="H60" s="13">
        <v>0</v>
      </c>
      <c r="I60" s="13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13">
        <v>1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32">
        <v>0</v>
      </c>
      <c r="AV60" s="13">
        <v>1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32">
        <v>0</v>
      </c>
      <c r="BC60">
        <f t="shared" si="0"/>
        <v>2</v>
      </c>
      <c r="BD60" s="13">
        <f>[1]!shannonweaver(J60:BB60)</f>
        <v>0.69314718055994529</v>
      </c>
    </row>
    <row r="61" spans="1:56">
      <c r="A61" s="13" t="s">
        <v>33</v>
      </c>
      <c r="B61" t="s">
        <v>281</v>
      </c>
      <c r="C61">
        <v>4</v>
      </c>
      <c r="D61" s="13" t="s">
        <v>320</v>
      </c>
      <c r="E61" s="13" t="s">
        <v>91</v>
      </c>
      <c r="F61" s="13">
        <v>0</v>
      </c>
      <c r="G61" s="13">
        <v>0</v>
      </c>
      <c r="H61" s="13">
        <v>0</v>
      </c>
      <c r="I61" s="13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>
        <f t="shared" si="0"/>
        <v>0</v>
      </c>
      <c r="BD61" s="13" t="e">
        <f>[1]!shannonweaver(J61:BB61)</f>
        <v>#VALUE!</v>
      </c>
    </row>
    <row r="62" spans="1:56">
      <c r="A62" s="13" t="s">
        <v>34</v>
      </c>
      <c r="B62" t="s">
        <v>281</v>
      </c>
      <c r="C62">
        <v>5</v>
      </c>
      <c r="D62" s="13" t="s">
        <v>320</v>
      </c>
      <c r="E62" t="s">
        <v>91</v>
      </c>
      <c r="F62" s="13">
        <v>0</v>
      </c>
      <c r="G62" s="13">
        <v>0</v>
      </c>
      <c r="H62" s="13">
        <v>0</v>
      </c>
      <c r="I62" s="13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>
        <f t="shared" si="0"/>
        <v>0</v>
      </c>
      <c r="BD62" s="13" t="e">
        <f>[1]!shannonweaver(J62:BB62)</f>
        <v>#VALUE!</v>
      </c>
    </row>
    <row r="63" spans="1:56">
      <c r="A63" s="13" t="s">
        <v>290</v>
      </c>
      <c r="B63" t="s">
        <v>281</v>
      </c>
      <c r="C63">
        <v>5</v>
      </c>
      <c r="D63" s="13" t="s">
        <v>320</v>
      </c>
      <c r="E63" t="s">
        <v>91</v>
      </c>
      <c r="F63" s="13">
        <v>0</v>
      </c>
      <c r="G63" s="13">
        <v>0</v>
      </c>
      <c r="H63" s="13">
        <v>0</v>
      </c>
      <c r="I63" s="13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>
        <f t="shared" si="0"/>
        <v>0</v>
      </c>
      <c r="BD63" s="13" t="e">
        <f>[1]!shannonweaver(J63:BB63)</f>
        <v>#VALUE!</v>
      </c>
    </row>
    <row r="64" spans="1:56">
      <c r="A64" s="13" t="s">
        <v>228</v>
      </c>
      <c r="B64" t="s">
        <v>281</v>
      </c>
      <c r="C64">
        <v>5</v>
      </c>
      <c r="D64" s="13" t="s">
        <v>320</v>
      </c>
      <c r="E64" t="s">
        <v>91</v>
      </c>
      <c r="F64" s="13">
        <v>0</v>
      </c>
      <c r="G64" s="13">
        <v>0</v>
      </c>
      <c r="H64" s="13">
        <v>0</v>
      </c>
      <c r="I64" s="13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>
        <f t="shared" si="0"/>
        <v>0</v>
      </c>
      <c r="BD64" s="13" t="e">
        <f>[1]!shannonweaver(J64:BB64)</f>
        <v>#VALUE!</v>
      </c>
    </row>
    <row r="65" spans="1:56">
      <c r="A65" s="13" t="s">
        <v>229</v>
      </c>
      <c r="B65" t="s">
        <v>281</v>
      </c>
      <c r="C65">
        <v>5</v>
      </c>
      <c r="D65" s="13" t="s">
        <v>320</v>
      </c>
      <c r="E65" t="s">
        <v>91</v>
      </c>
      <c r="F65" s="13">
        <v>0</v>
      </c>
      <c r="G65" s="13">
        <v>0</v>
      </c>
      <c r="H65" s="13">
        <v>0</v>
      </c>
      <c r="I65" s="13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13">
        <v>1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13">
        <v>2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>
        <f t="shared" si="0"/>
        <v>2</v>
      </c>
      <c r="BD65" s="13">
        <f>[1]!shannonweaver(J65:BB65)</f>
        <v>0.63651416829481278</v>
      </c>
    </row>
    <row r="66" spans="1:56">
      <c r="A66" s="13" t="s">
        <v>230</v>
      </c>
      <c r="B66" t="s">
        <v>281</v>
      </c>
      <c r="C66">
        <v>5</v>
      </c>
      <c r="D66" s="13" t="s">
        <v>320</v>
      </c>
      <c r="E66" t="s">
        <v>91</v>
      </c>
      <c r="F66" s="13">
        <v>0</v>
      </c>
      <c r="G66" s="13">
        <v>0</v>
      </c>
      <c r="H66" s="13">
        <v>0</v>
      </c>
      <c r="I66" s="13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0</v>
      </c>
      <c r="AA66" s="13">
        <v>1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>
        <f t="shared" ref="BC66:BC129" si="1">COUNTIF(J66:BB66, "&gt;0")</f>
        <v>1</v>
      </c>
      <c r="BD66" s="13">
        <f>[1]!shannonweaver(J66:BB66)</f>
        <v>0</v>
      </c>
    </row>
    <row r="67" spans="1:56">
      <c r="A67" s="13" t="s">
        <v>231</v>
      </c>
      <c r="B67" t="s">
        <v>281</v>
      </c>
      <c r="C67">
        <v>5</v>
      </c>
      <c r="D67" s="13" t="s">
        <v>320</v>
      </c>
      <c r="E67" t="s">
        <v>91</v>
      </c>
      <c r="F67" s="13">
        <v>0</v>
      </c>
      <c r="G67" s="13">
        <v>0</v>
      </c>
      <c r="H67" s="13">
        <v>0</v>
      </c>
      <c r="I67" s="13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13">
        <v>1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>
        <f t="shared" si="1"/>
        <v>1</v>
      </c>
      <c r="BD67" s="13">
        <f>[1]!shannonweaver(J67:BB67)</f>
        <v>0</v>
      </c>
    </row>
    <row r="68" spans="1:56">
      <c r="A68" t="s">
        <v>232</v>
      </c>
      <c r="B68" t="s">
        <v>281</v>
      </c>
      <c r="C68">
        <v>7</v>
      </c>
      <c r="D68" s="13" t="s">
        <v>320</v>
      </c>
      <c r="E68" s="13" t="s">
        <v>91</v>
      </c>
      <c r="F68" s="13">
        <v>0</v>
      </c>
      <c r="G68" s="13">
        <v>0</v>
      </c>
      <c r="H68" s="13">
        <v>0</v>
      </c>
      <c r="I68" s="13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13">
        <v>2</v>
      </c>
      <c r="R68" s="13">
        <v>1</v>
      </c>
      <c r="S68" s="13">
        <v>1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13">
        <v>2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>
        <f t="shared" si="1"/>
        <v>4</v>
      </c>
      <c r="BD68" s="13">
        <f>[1]!shannonweaver(J68:BB68)</f>
        <v>1.3296613488547582</v>
      </c>
    </row>
    <row r="69" spans="1:56">
      <c r="A69" t="s">
        <v>233</v>
      </c>
      <c r="B69" t="s">
        <v>281</v>
      </c>
      <c r="C69">
        <v>7</v>
      </c>
      <c r="D69" s="13" t="s">
        <v>320</v>
      </c>
      <c r="E69" s="13" t="s">
        <v>91</v>
      </c>
      <c r="F69" s="13">
        <v>0</v>
      </c>
      <c r="G69" s="13">
        <v>0</v>
      </c>
      <c r="H69" s="13">
        <v>0</v>
      </c>
      <c r="I69" s="13">
        <v>0</v>
      </c>
      <c r="J69" s="32">
        <v>0</v>
      </c>
      <c r="K69" s="32">
        <v>0</v>
      </c>
      <c r="L69" s="13">
        <v>1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13">
        <v>2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>
        <f t="shared" si="1"/>
        <v>2</v>
      </c>
      <c r="BD69" s="13">
        <f>[1]!shannonweaver(J69:BB69)</f>
        <v>0.63651416829481278</v>
      </c>
    </row>
    <row r="70" spans="1:56">
      <c r="A70" t="s">
        <v>234</v>
      </c>
      <c r="B70" t="s">
        <v>281</v>
      </c>
      <c r="C70">
        <v>7</v>
      </c>
      <c r="D70" s="13" t="s">
        <v>320</v>
      </c>
      <c r="E70" s="13" t="s">
        <v>91</v>
      </c>
      <c r="F70" s="13">
        <v>0</v>
      </c>
      <c r="G70" s="13">
        <v>0</v>
      </c>
      <c r="H70" s="13">
        <v>0</v>
      </c>
      <c r="I70" s="13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13">
        <v>1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13">
        <v>1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>
        <f t="shared" si="1"/>
        <v>2</v>
      </c>
      <c r="BD70" s="13">
        <f>[1]!shannonweaver(J70:BB70)</f>
        <v>0.69314718055994529</v>
      </c>
    </row>
    <row r="71" spans="1:56">
      <c r="A71" s="23" t="s">
        <v>235</v>
      </c>
      <c r="B71" t="s">
        <v>281</v>
      </c>
      <c r="C71">
        <v>7</v>
      </c>
      <c r="D71" s="13" t="s">
        <v>320</v>
      </c>
      <c r="E71" s="13" t="s">
        <v>91</v>
      </c>
      <c r="F71" s="13">
        <v>0</v>
      </c>
      <c r="G71" s="13">
        <v>0</v>
      </c>
      <c r="H71" s="13">
        <v>0</v>
      </c>
      <c r="I71" s="13">
        <v>0</v>
      </c>
      <c r="J71" s="13">
        <v>1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>
        <f t="shared" si="1"/>
        <v>1</v>
      </c>
      <c r="BD71" s="13">
        <f>[1]!shannonweaver(J71:BB71)</f>
        <v>0</v>
      </c>
    </row>
    <row r="72" spans="1:56">
      <c r="A72" t="s">
        <v>236</v>
      </c>
      <c r="B72" t="s">
        <v>281</v>
      </c>
      <c r="C72">
        <v>7</v>
      </c>
      <c r="D72" s="13" t="s">
        <v>320</v>
      </c>
      <c r="E72" s="13" t="s">
        <v>91</v>
      </c>
      <c r="F72" s="13">
        <v>0</v>
      </c>
      <c r="G72" s="13">
        <v>0</v>
      </c>
      <c r="H72" s="13">
        <v>0</v>
      </c>
      <c r="I72" s="13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13">
        <v>1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>
        <f t="shared" si="1"/>
        <v>1</v>
      </c>
      <c r="BD72" s="13">
        <f>[1]!shannonweaver(J72:BB72)</f>
        <v>0</v>
      </c>
    </row>
    <row r="73" spans="1:56">
      <c r="A73" t="s">
        <v>205</v>
      </c>
      <c r="B73" t="s">
        <v>281</v>
      </c>
      <c r="C73">
        <v>7</v>
      </c>
      <c r="D73" s="13" t="s">
        <v>320</v>
      </c>
      <c r="E73" s="13" t="s">
        <v>91</v>
      </c>
      <c r="F73" s="13">
        <v>0</v>
      </c>
      <c r="G73" s="13">
        <v>0</v>
      </c>
      <c r="H73" s="13">
        <v>0</v>
      </c>
      <c r="I73" s="13">
        <v>0</v>
      </c>
      <c r="J73" s="13">
        <v>1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13">
        <v>1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32">
        <v>0</v>
      </c>
      <c r="AS73" s="13">
        <v>2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>
        <f t="shared" si="1"/>
        <v>3</v>
      </c>
      <c r="BD73" s="13">
        <f>[1]!shannonweaver(J73:BB73)</f>
        <v>1.0397207708399179</v>
      </c>
    </row>
    <row r="74" spans="1:56">
      <c r="A74" t="s">
        <v>175</v>
      </c>
      <c r="B74" t="s">
        <v>176</v>
      </c>
      <c r="C74" t="s">
        <v>177</v>
      </c>
      <c r="D74" s="13" t="s">
        <v>319</v>
      </c>
      <c r="E74" s="13" t="s">
        <v>283</v>
      </c>
      <c r="F74" s="13">
        <v>0</v>
      </c>
      <c r="G74" s="13">
        <v>0</v>
      </c>
      <c r="H74" s="13">
        <v>0</v>
      </c>
      <c r="I74" s="13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13">
        <v>1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>
        <f t="shared" si="1"/>
        <v>1</v>
      </c>
      <c r="BD74" s="13">
        <f>[1]!shannonweaver(J74:BB74)</f>
        <v>0</v>
      </c>
    </row>
    <row r="75" spans="1:56">
      <c r="A75" t="s">
        <v>178</v>
      </c>
      <c r="B75" t="s">
        <v>176</v>
      </c>
      <c r="C75" t="s">
        <v>177</v>
      </c>
      <c r="D75" s="13" t="s">
        <v>319</v>
      </c>
      <c r="E75" s="13" t="s">
        <v>283</v>
      </c>
      <c r="F75" s="13">
        <v>0</v>
      </c>
      <c r="G75" s="13">
        <v>0</v>
      </c>
      <c r="H75" s="13">
        <v>0</v>
      </c>
      <c r="I75" s="13">
        <v>0</v>
      </c>
      <c r="J75" s="32">
        <v>0</v>
      </c>
      <c r="K75" s="32">
        <v>0</v>
      </c>
      <c r="L75" s="13">
        <v>1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0</v>
      </c>
      <c r="AA75" s="32">
        <v>0</v>
      </c>
      <c r="AB75" s="13">
        <v>2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32">
        <v>0</v>
      </c>
      <c r="AK75" s="13">
        <v>1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>
        <f t="shared" si="1"/>
        <v>3</v>
      </c>
      <c r="BD75" s="13">
        <f>[1]!shannonweaver(J75:BB75)</f>
        <v>1.0397207708399179</v>
      </c>
    </row>
    <row r="76" spans="1:56">
      <c r="A76" s="13" t="s">
        <v>200</v>
      </c>
      <c r="B76" t="s">
        <v>176</v>
      </c>
      <c r="C76" t="s">
        <v>177</v>
      </c>
      <c r="D76" s="13" t="s">
        <v>319</v>
      </c>
      <c r="E76" s="13" t="s">
        <v>283</v>
      </c>
      <c r="F76" s="13">
        <v>0</v>
      </c>
      <c r="G76" s="13">
        <v>0</v>
      </c>
      <c r="H76" s="13">
        <v>0</v>
      </c>
      <c r="I76" s="13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13">
        <v>1</v>
      </c>
      <c r="AB76" s="13">
        <v>1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0</v>
      </c>
      <c r="AJ76" s="32">
        <v>0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>
        <f t="shared" si="1"/>
        <v>2</v>
      </c>
      <c r="BD76" s="13">
        <f>[1]!shannonweaver(J76:BB76)</f>
        <v>0.69314718055994529</v>
      </c>
    </row>
    <row r="77" spans="1:56">
      <c r="A77" s="13" t="s">
        <v>201</v>
      </c>
      <c r="B77" t="s">
        <v>176</v>
      </c>
      <c r="C77" t="s">
        <v>177</v>
      </c>
      <c r="D77" s="13" t="s">
        <v>319</v>
      </c>
      <c r="E77" s="13" t="s">
        <v>283</v>
      </c>
      <c r="F77" s="13">
        <v>0</v>
      </c>
      <c r="G77" s="13">
        <v>0</v>
      </c>
      <c r="H77" s="13">
        <v>0</v>
      </c>
      <c r="I77" s="13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13">
        <v>1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v>0</v>
      </c>
      <c r="AY77" s="32">
        <v>0</v>
      </c>
      <c r="AZ77" s="32">
        <v>0</v>
      </c>
      <c r="BA77" s="32">
        <v>0</v>
      </c>
      <c r="BB77" s="32">
        <v>0</v>
      </c>
      <c r="BC77">
        <f t="shared" si="1"/>
        <v>1</v>
      </c>
      <c r="BD77" s="13">
        <f>[1]!shannonweaver(J77:BB77)</f>
        <v>0</v>
      </c>
    </row>
    <row r="78" spans="1:56">
      <c r="A78" s="13" t="s">
        <v>202</v>
      </c>
      <c r="B78" t="s">
        <v>176</v>
      </c>
      <c r="C78" t="s">
        <v>177</v>
      </c>
      <c r="D78" s="13" t="s">
        <v>319</v>
      </c>
      <c r="E78" s="13" t="s">
        <v>283</v>
      </c>
      <c r="F78" s="13">
        <v>0</v>
      </c>
      <c r="G78" s="13">
        <v>0</v>
      </c>
      <c r="H78" s="13">
        <v>0</v>
      </c>
      <c r="I78" s="13">
        <v>0</v>
      </c>
      <c r="J78" s="32">
        <v>0</v>
      </c>
      <c r="K78" s="32">
        <v>0</v>
      </c>
      <c r="L78" s="13">
        <v>1</v>
      </c>
      <c r="M78" s="13">
        <v>2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32">
        <v>0</v>
      </c>
      <c r="AW78" s="13">
        <v>1</v>
      </c>
      <c r="AX78" s="32">
        <v>0</v>
      </c>
      <c r="AY78" s="32">
        <v>0</v>
      </c>
      <c r="AZ78" s="32">
        <v>0</v>
      </c>
      <c r="BA78" s="32">
        <v>0</v>
      </c>
      <c r="BB78" s="32">
        <v>0</v>
      </c>
      <c r="BC78">
        <f t="shared" si="1"/>
        <v>3</v>
      </c>
      <c r="BD78" s="13">
        <f>[1]!shannonweaver(J78:BB78)</f>
        <v>1.0397207708399179</v>
      </c>
    </row>
    <row r="79" spans="1:56">
      <c r="A79" s="13" t="s">
        <v>203</v>
      </c>
      <c r="B79" t="s">
        <v>176</v>
      </c>
      <c r="C79" t="s">
        <v>177</v>
      </c>
      <c r="D79" s="13" t="s">
        <v>319</v>
      </c>
      <c r="E79" s="13" t="s">
        <v>283</v>
      </c>
      <c r="F79" s="13">
        <v>0</v>
      </c>
      <c r="G79" s="13">
        <v>0</v>
      </c>
      <c r="H79" s="13">
        <v>0</v>
      </c>
      <c r="I79" s="13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13">
        <v>1</v>
      </c>
      <c r="Z79" s="32">
        <v>0</v>
      </c>
      <c r="AA79" s="32">
        <v>0</v>
      </c>
      <c r="AB79" s="13">
        <v>1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>
        <f t="shared" si="1"/>
        <v>2</v>
      </c>
      <c r="BD79" s="13">
        <f>[1]!shannonweaver(J79:BB79)</f>
        <v>0.69314718055994529</v>
      </c>
    </row>
    <row r="80" spans="1:56">
      <c r="A80" s="13" t="s">
        <v>100</v>
      </c>
      <c r="B80" t="s">
        <v>176</v>
      </c>
      <c r="C80" t="s">
        <v>204</v>
      </c>
      <c r="D80" s="13" t="s">
        <v>319</v>
      </c>
      <c r="E80" s="13" t="s">
        <v>283</v>
      </c>
      <c r="F80" s="13">
        <v>0</v>
      </c>
      <c r="G80" s="13">
        <v>0</v>
      </c>
      <c r="H80" s="13">
        <v>0</v>
      </c>
      <c r="I80" s="13">
        <v>0</v>
      </c>
      <c r="J80" s="32">
        <v>0</v>
      </c>
      <c r="K80" s="32">
        <v>0</v>
      </c>
      <c r="L80" s="13">
        <v>3</v>
      </c>
      <c r="M80" s="13">
        <v>1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13">
        <v>1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13">
        <v>3</v>
      </c>
      <c r="Z80" s="32">
        <v>0</v>
      </c>
      <c r="AA80" s="13">
        <v>2</v>
      </c>
      <c r="AB80" s="13">
        <v>4</v>
      </c>
      <c r="AC80" s="32">
        <v>0</v>
      </c>
      <c r="AD80" s="13">
        <v>1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32">
        <v>0</v>
      </c>
      <c r="AT80" s="13">
        <v>1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32">
        <v>0</v>
      </c>
      <c r="BA80" s="32">
        <v>0</v>
      </c>
      <c r="BB80" s="32">
        <v>0</v>
      </c>
      <c r="BC80">
        <f t="shared" si="1"/>
        <v>8</v>
      </c>
      <c r="BD80" s="13">
        <f>[1]!shannonweaver(J80:BB80)</f>
        <v>1.9273921261392744</v>
      </c>
    </row>
    <row r="81" spans="1:56">
      <c r="A81" s="13" t="s">
        <v>99</v>
      </c>
      <c r="B81" t="s">
        <v>176</v>
      </c>
      <c r="C81" t="s">
        <v>204</v>
      </c>
      <c r="D81" s="13" t="s">
        <v>319</v>
      </c>
      <c r="E81" s="13" t="s">
        <v>283</v>
      </c>
      <c r="F81" s="13">
        <v>0</v>
      </c>
      <c r="G81" s="13">
        <v>0</v>
      </c>
      <c r="H81" s="13">
        <v>0</v>
      </c>
      <c r="I81" s="13">
        <v>0</v>
      </c>
      <c r="J81" s="32">
        <v>0</v>
      </c>
      <c r="K81" s="32">
        <v>0</v>
      </c>
      <c r="L81" s="13">
        <v>2</v>
      </c>
      <c r="M81" s="1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13">
        <v>1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13">
        <v>4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>
        <f t="shared" si="1"/>
        <v>3</v>
      </c>
      <c r="BD81" s="13">
        <f>[1]!shannonweaver(J81:BB81)</f>
        <v>0.95569989111253428</v>
      </c>
    </row>
    <row r="82" spans="1:56">
      <c r="A82" s="13" t="s">
        <v>102</v>
      </c>
      <c r="B82" t="s">
        <v>176</v>
      </c>
      <c r="C82" t="s">
        <v>204</v>
      </c>
      <c r="D82" s="13" t="s">
        <v>319</v>
      </c>
      <c r="E82" s="13" t="s">
        <v>283</v>
      </c>
      <c r="F82" s="13">
        <v>0</v>
      </c>
      <c r="G82" s="13">
        <v>0</v>
      </c>
      <c r="H82" s="13">
        <v>0</v>
      </c>
      <c r="I82" s="13">
        <v>0</v>
      </c>
      <c r="J82" s="32">
        <v>0</v>
      </c>
      <c r="K82" s="32">
        <v>0</v>
      </c>
      <c r="L82" s="13">
        <v>1</v>
      </c>
      <c r="M82" s="13">
        <v>1</v>
      </c>
      <c r="N82" s="32">
        <v>0</v>
      </c>
      <c r="O82" s="13">
        <v>1</v>
      </c>
      <c r="P82" s="32">
        <v>0</v>
      </c>
      <c r="Q82" s="13">
        <v>1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13">
        <v>1</v>
      </c>
      <c r="Z82" s="32">
        <v>0</v>
      </c>
      <c r="AA82" s="32">
        <v>0</v>
      </c>
      <c r="AB82" s="13">
        <v>1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>
        <f t="shared" si="1"/>
        <v>6</v>
      </c>
      <c r="BD82" s="13">
        <f>[1]!shannonweaver(J82:BB82)</f>
        <v>1.7917594692280547</v>
      </c>
    </row>
    <row r="83" spans="1:56">
      <c r="A83" s="13" t="s">
        <v>118</v>
      </c>
      <c r="B83" t="s">
        <v>176</v>
      </c>
      <c r="C83" t="s">
        <v>204</v>
      </c>
      <c r="D83" s="13" t="s">
        <v>319</v>
      </c>
      <c r="E83" s="13" t="s">
        <v>283</v>
      </c>
      <c r="F83" s="13">
        <v>0</v>
      </c>
      <c r="G83" s="13">
        <v>0</v>
      </c>
      <c r="H83" s="13">
        <v>0</v>
      </c>
      <c r="I83" s="13">
        <v>0</v>
      </c>
      <c r="J83" s="32">
        <v>0</v>
      </c>
      <c r="K83" s="32">
        <v>0</v>
      </c>
      <c r="L83" s="13">
        <v>1</v>
      </c>
      <c r="M83" s="1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13">
        <v>9</v>
      </c>
      <c r="AB83" s="13">
        <v>3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>
        <f t="shared" si="1"/>
        <v>3</v>
      </c>
      <c r="BD83" s="13">
        <f>[1]!shannonweaver(J83:BB83)</f>
        <v>0.79026796807459032</v>
      </c>
    </row>
    <row r="84" spans="1:56">
      <c r="A84" s="13" t="s">
        <v>119</v>
      </c>
      <c r="B84" t="s">
        <v>176</v>
      </c>
      <c r="C84" t="s">
        <v>204</v>
      </c>
      <c r="D84" s="13" t="s">
        <v>319</v>
      </c>
      <c r="E84" s="13" t="s">
        <v>283</v>
      </c>
      <c r="F84" s="13">
        <v>0</v>
      </c>
      <c r="G84" s="13">
        <v>0</v>
      </c>
      <c r="H84" s="13">
        <v>0</v>
      </c>
      <c r="I84" s="13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13">
        <v>1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13">
        <v>1</v>
      </c>
      <c r="AB84" s="13">
        <v>1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>
        <f t="shared" si="1"/>
        <v>3</v>
      </c>
      <c r="BD84" s="13">
        <f>[1]!shannonweaver(J84:BB84)</f>
        <v>1.0986122886681096</v>
      </c>
    </row>
    <row r="85" spans="1:56">
      <c r="A85" s="13" t="s">
        <v>137</v>
      </c>
      <c r="B85" t="s">
        <v>176</v>
      </c>
      <c r="C85" t="s">
        <v>204</v>
      </c>
      <c r="D85" s="13" t="s">
        <v>319</v>
      </c>
      <c r="E85" s="13" t="s">
        <v>283</v>
      </c>
      <c r="F85" s="13">
        <v>0</v>
      </c>
      <c r="G85" s="13">
        <v>0</v>
      </c>
      <c r="H85" s="13">
        <v>0</v>
      </c>
      <c r="I85" s="13">
        <v>0</v>
      </c>
      <c r="J85" s="32">
        <v>0</v>
      </c>
      <c r="K85" s="32">
        <v>0</v>
      </c>
      <c r="L85" s="13">
        <v>1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13">
        <v>1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32">
        <v>0</v>
      </c>
      <c r="BB85" s="32">
        <v>0</v>
      </c>
      <c r="BC85">
        <f t="shared" si="1"/>
        <v>2</v>
      </c>
      <c r="BD85" s="13">
        <f>[1]!shannonweaver(J85:BB85)</f>
        <v>0.69314718055994529</v>
      </c>
    </row>
    <row r="86" spans="1:56">
      <c r="A86" s="13" t="s">
        <v>139</v>
      </c>
      <c r="B86" t="s">
        <v>176</v>
      </c>
      <c r="C86" t="s">
        <v>138</v>
      </c>
      <c r="D86" s="13" t="s">
        <v>319</v>
      </c>
      <c r="E86" s="13" t="s">
        <v>283</v>
      </c>
      <c r="F86" s="13">
        <v>0</v>
      </c>
      <c r="G86" s="13">
        <v>0</v>
      </c>
      <c r="H86" s="13">
        <v>0</v>
      </c>
      <c r="I86" s="13">
        <v>0</v>
      </c>
      <c r="J86" s="32">
        <v>0</v>
      </c>
      <c r="K86" s="32">
        <v>0</v>
      </c>
      <c r="L86" s="13">
        <v>3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13">
        <v>1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13">
        <v>3</v>
      </c>
      <c r="Z86" s="32">
        <v>0</v>
      </c>
      <c r="AA86" s="13">
        <v>2</v>
      </c>
      <c r="AB86" s="13">
        <v>17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32">
        <v>0</v>
      </c>
      <c r="AK86" s="13">
        <v>1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>
        <f t="shared" si="1"/>
        <v>6</v>
      </c>
      <c r="BD86" s="13">
        <f>[1]!shannonweaver(J86:BB86)</f>
        <v>1.2164814977789875</v>
      </c>
    </row>
    <row r="87" spans="1:56">
      <c r="A87" s="13" t="s">
        <v>71</v>
      </c>
      <c r="B87" t="s">
        <v>176</v>
      </c>
      <c r="C87" t="s">
        <v>138</v>
      </c>
      <c r="D87" s="13" t="s">
        <v>319</v>
      </c>
      <c r="E87" s="13" t="s">
        <v>283</v>
      </c>
      <c r="F87" s="13">
        <v>0</v>
      </c>
      <c r="G87" s="13">
        <v>0</v>
      </c>
      <c r="H87" s="13">
        <v>0</v>
      </c>
      <c r="I87" s="13">
        <v>0</v>
      </c>
      <c r="J87" s="32">
        <v>0</v>
      </c>
      <c r="K87" s="32">
        <v>0</v>
      </c>
      <c r="L87" s="13">
        <v>6</v>
      </c>
      <c r="M87" s="13">
        <v>1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  <c r="Y87" s="13">
        <v>1</v>
      </c>
      <c r="Z87" s="32">
        <v>0</v>
      </c>
      <c r="AA87" s="13">
        <v>9</v>
      </c>
      <c r="AB87" s="13">
        <v>13</v>
      </c>
      <c r="AC87" s="32">
        <v>0</v>
      </c>
      <c r="AD87" s="32">
        <v>0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32">
        <v>0</v>
      </c>
      <c r="AK87" s="13">
        <v>2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32">
        <v>0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v>0</v>
      </c>
      <c r="AY87" s="32">
        <v>0</v>
      </c>
      <c r="AZ87" s="32">
        <v>0</v>
      </c>
      <c r="BA87" s="32">
        <v>0</v>
      </c>
      <c r="BB87" s="32">
        <v>0</v>
      </c>
      <c r="BC87">
        <f t="shared" si="1"/>
        <v>6</v>
      </c>
      <c r="BD87" s="13">
        <f>[1]!shannonweaver(J87:BB87)</f>
        <v>1.4264792146899086</v>
      </c>
    </row>
    <row r="88" spans="1:56">
      <c r="A88" s="13" t="s">
        <v>72</v>
      </c>
      <c r="B88" t="s">
        <v>176</v>
      </c>
      <c r="C88" t="s">
        <v>138</v>
      </c>
      <c r="D88" s="13" t="s">
        <v>319</v>
      </c>
      <c r="E88" s="13" t="s">
        <v>283</v>
      </c>
      <c r="F88" s="13">
        <v>0</v>
      </c>
      <c r="G88" s="13">
        <v>0</v>
      </c>
      <c r="H88" s="13">
        <v>0</v>
      </c>
      <c r="I88" s="13">
        <v>0</v>
      </c>
      <c r="J88" s="32">
        <v>0</v>
      </c>
      <c r="K88" s="32">
        <v>0</v>
      </c>
      <c r="L88" s="13">
        <v>4</v>
      </c>
      <c r="M88" s="13">
        <v>1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13">
        <v>1</v>
      </c>
      <c r="T88" s="32">
        <v>0</v>
      </c>
      <c r="U88" s="13">
        <v>1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13">
        <v>6</v>
      </c>
      <c r="AB88" s="13">
        <v>16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>
        <f t="shared" si="1"/>
        <v>6</v>
      </c>
      <c r="BD88" s="13">
        <f>[1]!shannonweaver(J88:BB88)</f>
        <v>1.2756698363421846</v>
      </c>
    </row>
    <row r="89" spans="1:56">
      <c r="A89" s="13" t="s">
        <v>73</v>
      </c>
      <c r="B89" t="s">
        <v>176</v>
      </c>
      <c r="C89" t="s">
        <v>138</v>
      </c>
      <c r="D89" s="13" t="s">
        <v>319</v>
      </c>
      <c r="E89" s="13" t="s">
        <v>283</v>
      </c>
      <c r="F89" s="13">
        <v>0</v>
      </c>
      <c r="G89" s="13">
        <v>0</v>
      </c>
      <c r="H89" s="13">
        <v>0</v>
      </c>
      <c r="I89" s="13">
        <v>0</v>
      </c>
      <c r="J89" s="32">
        <v>0</v>
      </c>
      <c r="K89" s="32">
        <v>0</v>
      </c>
      <c r="L89" s="13">
        <v>3</v>
      </c>
      <c r="M89" s="13">
        <v>0</v>
      </c>
      <c r="N89" s="32">
        <v>0</v>
      </c>
      <c r="O89" s="32">
        <v>0</v>
      </c>
      <c r="P89" s="13">
        <v>1</v>
      </c>
      <c r="Q89" s="13">
        <v>1</v>
      </c>
      <c r="R89" s="32">
        <v>0</v>
      </c>
      <c r="S89" s="13">
        <v>1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13">
        <v>3</v>
      </c>
      <c r="Z89" s="32">
        <v>0</v>
      </c>
      <c r="AA89" s="13">
        <v>2</v>
      </c>
      <c r="AB89" s="13">
        <v>8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>
        <f t="shared" si="1"/>
        <v>7</v>
      </c>
      <c r="BD89" s="13">
        <f>[1]!shannonweaver(J89:BB89)</f>
        <v>1.6489915882944808</v>
      </c>
    </row>
    <row r="90" spans="1:56">
      <c r="A90" s="13" t="s">
        <v>74</v>
      </c>
      <c r="B90" t="s">
        <v>176</v>
      </c>
      <c r="C90" t="s">
        <v>138</v>
      </c>
      <c r="D90" s="13" t="s">
        <v>319</v>
      </c>
      <c r="E90" s="13" t="s">
        <v>283</v>
      </c>
      <c r="F90" s="13">
        <v>0</v>
      </c>
      <c r="G90" s="13">
        <v>0</v>
      </c>
      <c r="H90" s="13">
        <v>0</v>
      </c>
      <c r="I90" s="13">
        <v>0</v>
      </c>
      <c r="J90" s="32">
        <v>0</v>
      </c>
      <c r="K90" s="32">
        <v>0</v>
      </c>
      <c r="L90" s="13">
        <v>3</v>
      </c>
      <c r="M90" s="24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13">
        <v>4</v>
      </c>
      <c r="W90" s="32">
        <v>0</v>
      </c>
      <c r="X90" s="32">
        <v>0</v>
      </c>
      <c r="Y90" s="13">
        <v>1</v>
      </c>
      <c r="Z90" s="32">
        <v>0</v>
      </c>
      <c r="AA90" s="13">
        <v>8</v>
      </c>
      <c r="AB90" s="13">
        <v>19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0</v>
      </c>
      <c r="BB90" s="32">
        <v>0</v>
      </c>
      <c r="BC90">
        <f t="shared" si="1"/>
        <v>5</v>
      </c>
      <c r="BD90" s="13">
        <f>[1]!shannonweaver(J90:BB90)</f>
        <v>1.2290369972584152</v>
      </c>
    </row>
    <row r="91" spans="1:56">
      <c r="A91" s="13" t="s">
        <v>75</v>
      </c>
      <c r="B91" t="s">
        <v>176</v>
      </c>
      <c r="C91" t="s">
        <v>138</v>
      </c>
      <c r="D91" s="13" t="s">
        <v>319</v>
      </c>
      <c r="E91" s="13" t="s">
        <v>283</v>
      </c>
      <c r="F91" s="13">
        <v>0</v>
      </c>
      <c r="G91" s="13">
        <v>0</v>
      </c>
      <c r="H91" s="13">
        <v>0</v>
      </c>
      <c r="I91" s="13">
        <v>0</v>
      </c>
      <c r="J91" s="32">
        <v>0</v>
      </c>
      <c r="K91" s="32">
        <v>0</v>
      </c>
      <c r="L91" s="13">
        <v>5</v>
      </c>
      <c r="M91" s="24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13">
        <v>1</v>
      </c>
      <c r="T91" s="13">
        <v>1</v>
      </c>
      <c r="U91" s="13">
        <v>1</v>
      </c>
      <c r="V91" s="13">
        <v>0</v>
      </c>
      <c r="W91" s="32">
        <v>0</v>
      </c>
      <c r="X91" s="32">
        <v>0</v>
      </c>
      <c r="Y91" s="32">
        <v>0</v>
      </c>
      <c r="Z91" s="32">
        <v>0</v>
      </c>
      <c r="AA91" s="13">
        <v>6</v>
      </c>
      <c r="AB91" s="13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>
        <f t="shared" si="1"/>
        <v>5</v>
      </c>
      <c r="BD91" s="13">
        <f>[1]!shannonweaver(J91:BB91)</f>
        <v>1.2963611597910563</v>
      </c>
    </row>
    <row r="92" spans="1:56">
      <c r="A92" t="s">
        <v>140</v>
      </c>
      <c r="B92" t="s">
        <v>176</v>
      </c>
      <c r="C92" t="s">
        <v>207</v>
      </c>
      <c r="D92" s="13" t="s">
        <v>320</v>
      </c>
      <c r="E92" s="13" t="s">
        <v>283</v>
      </c>
      <c r="F92" s="13">
        <v>0</v>
      </c>
      <c r="G92" s="13">
        <v>0</v>
      </c>
      <c r="H92" s="13">
        <v>0</v>
      </c>
      <c r="I92" s="13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13">
        <v>1</v>
      </c>
      <c r="AC92" s="32">
        <v>0</v>
      </c>
      <c r="AD92" s="32">
        <v>0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32">
        <v>0</v>
      </c>
      <c r="AV92" s="13">
        <v>1</v>
      </c>
      <c r="AW92" s="32">
        <v>0</v>
      </c>
      <c r="AX92" s="32">
        <v>0</v>
      </c>
      <c r="AY92" s="32">
        <v>0</v>
      </c>
      <c r="AZ92" s="32">
        <v>0</v>
      </c>
      <c r="BA92" s="32">
        <v>0</v>
      </c>
      <c r="BB92" s="32">
        <v>0</v>
      </c>
      <c r="BC92">
        <f t="shared" si="1"/>
        <v>2</v>
      </c>
      <c r="BD92" s="13">
        <f>[1]!shannonweaver(J92:BB92)</f>
        <v>0.69314718055994529</v>
      </c>
    </row>
    <row r="93" spans="1:56">
      <c r="A93" s="13" t="s">
        <v>208</v>
      </c>
      <c r="B93" t="s">
        <v>176</v>
      </c>
      <c r="C93" t="s">
        <v>207</v>
      </c>
      <c r="D93" s="13" t="s">
        <v>320</v>
      </c>
      <c r="E93" s="13" t="s">
        <v>283</v>
      </c>
      <c r="F93" s="13">
        <v>0</v>
      </c>
      <c r="G93" s="13">
        <v>0</v>
      </c>
      <c r="H93" s="13">
        <v>0</v>
      </c>
      <c r="I93" s="13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13">
        <v>5</v>
      </c>
      <c r="Z93" s="32">
        <v>0</v>
      </c>
      <c r="AA93" s="32">
        <v>0</v>
      </c>
      <c r="AB93" s="13">
        <v>6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13">
        <v>2</v>
      </c>
      <c r="AX93" s="32">
        <v>0</v>
      </c>
      <c r="AY93" s="32">
        <v>0</v>
      </c>
      <c r="AZ93" s="32">
        <v>0</v>
      </c>
      <c r="BA93" s="32">
        <v>0</v>
      </c>
      <c r="BB93" s="32">
        <v>0</v>
      </c>
      <c r="BC93">
        <f t="shared" si="1"/>
        <v>3</v>
      </c>
      <c r="BD93" s="13">
        <f>[1]!shannonweaver(J93:BB93)</f>
        <v>1.0123308391031736</v>
      </c>
    </row>
    <row r="94" spans="1:56">
      <c r="A94" s="13" t="s">
        <v>209</v>
      </c>
      <c r="B94" t="s">
        <v>176</v>
      </c>
      <c r="C94" t="s">
        <v>207</v>
      </c>
      <c r="D94" s="13" t="s">
        <v>320</v>
      </c>
      <c r="E94" s="13" t="s">
        <v>283</v>
      </c>
      <c r="F94" s="13">
        <v>0</v>
      </c>
      <c r="G94" s="13">
        <v>0</v>
      </c>
      <c r="H94" s="13">
        <v>0</v>
      </c>
      <c r="I94" s="13">
        <v>0</v>
      </c>
      <c r="J94" s="32">
        <v>0</v>
      </c>
      <c r="K94" s="32">
        <v>0</v>
      </c>
      <c r="L94" s="13">
        <v>1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13">
        <v>5</v>
      </c>
      <c r="Z94" s="32">
        <v>0</v>
      </c>
      <c r="AA94" s="13">
        <v>1</v>
      </c>
      <c r="AB94" s="13">
        <v>15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32">
        <v>0</v>
      </c>
      <c r="AK94" s="13">
        <v>2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2">
        <v>0</v>
      </c>
      <c r="AZ94" s="32">
        <v>0</v>
      </c>
      <c r="BA94" s="32">
        <v>0</v>
      </c>
      <c r="BB94" s="32">
        <v>0</v>
      </c>
      <c r="BC94">
        <f t="shared" si="1"/>
        <v>5</v>
      </c>
      <c r="BD94" s="13">
        <f>[1]!shannonweaver(J94:BB94)</f>
        <v>1.0924606245219648</v>
      </c>
    </row>
    <row r="95" spans="1:56">
      <c r="A95" s="13" t="s">
        <v>210</v>
      </c>
      <c r="B95" t="s">
        <v>176</v>
      </c>
      <c r="C95" t="s">
        <v>207</v>
      </c>
      <c r="D95" s="13" t="s">
        <v>320</v>
      </c>
      <c r="E95" s="13" t="s">
        <v>283</v>
      </c>
      <c r="F95" s="13">
        <v>0</v>
      </c>
      <c r="G95" s="13">
        <v>0</v>
      </c>
      <c r="H95" s="13">
        <v>0</v>
      </c>
      <c r="I95" s="13">
        <v>0</v>
      </c>
      <c r="J95" s="32">
        <v>0</v>
      </c>
      <c r="K95" s="32">
        <v>0</v>
      </c>
      <c r="L95" s="13">
        <v>2</v>
      </c>
      <c r="M95" s="32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13">
        <v>1</v>
      </c>
      <c r="Z95" s="32">
        <v>0</v>
      </c>
      <c r="AA95" s="32">
        <v>0</v>
      </c>
      <c r="AB95" s="13">
        <v>1</v>
      </c>
      <c r="AC95" s="32">
        <v>0</v>
      </c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2">
        <v>0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0</v>
      </c>
      <c r="AW95" s="32">
        <v>0</v>
      </c>
      <c r="AX95" s="32">
        <v>0</v>
      </c>
      <c r="AY95" s="32">
        <v>0</v>
      </c>
      <c r="AZ95" s="32">
        <v>0</v>
      </c>
      <c r="BA95" s="32">
        <v>0</v>
      </c>
      <c r="BB95" s="32">
        <v>0</v>
      </c>
      <c r="BC95">
        <f t="shared" si="1"/>
        <v>3</v>
      </c>
      <c r="BD95" s="13">
        <f>[1]!shannonweaver(J95:BB95)</f>
        <v>1.0397207708399179</v>
      </c>
    </row>
    <row r="96" spans="1:56">
      <c r="A96" s="13" t="s">
        <v>211</v>
      </c>
      <c r="B96" t="s">
        <v>176</v>
      </c>
      <c r="C96" t="s">
        <v>207</v>
      </c>
      <c r="D96" s="13" t="s">
        <v>320</v>
      </c>
      <c r="E96" s="13" t="s">
        <v>283</v>
      </c>
      <c r="F96" s="13">
        <v>0</v>
      </c>
      <c r="G96" s="13">
        <v>1</v>
      </c>
      <c r="H96" s="13">
        <v>0</v>
      </c>
      <c r="I96" s="13">
        <v>0</v>
      </c>
      <c r="J96" s="32">
        <v>0</v>
      </c>
      <c r="K96" s="32">
        <v>0</v>
      </c>
      <c r="L96" s="13">
        <v>1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13">
        <v>1</v>
      </c>
      <c r="V96" s="13">
        <v>2</v>
      </c>
      <c r="W96" s="32">
        <v>0</v>
      </c>
      <c r="X96" s="32">
        <v>0</v>
      </c>
      <c r="Y96" s="13">
        <v>1</v>
      </c>
      <c r="Z96" s="32">
        <v>0</v>
      </c>
      <c r="AA96" s="32">
        <v>0</v>
      </c>
      <c r="AB96" s="13">
        <v>3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v>0</v>
      </c>
      <c r="AY96" s="32">
        <v>0</v>
      </c>
      <c r="AZ96" s="32">
        <v>0</v>
      </c>
      <c r="BA96" s="32">
        <v>0</v>
      </c>
      <c r="BB96" s="32">
        <v>0</v>
      </c>
      <c r="BC96">
        <f t="shared" si="1"/>
        <v>5</v>
      </c>
      <c r="BD96" s="13">
        <f>[1]!shannonweaver(J96:BB96)</f>
        <v>1.4941751382893083</v>
      </c>
    </row>
    <row r="97" spans="1:56">
      <c r="A97" s="13" t="s">
        <v>212</v>
      </c>
      <c r="B97" t="s">
        <v>176</v>
      </c>
      <c r="C97" t="s">
        <v>207</v>
      </c>
      <c r="D97" s="13" t="s">
        <v>320</v>
      </c>
      <c r="E97" s="13" t="s">
        <v>283</v>
      </c>
      <c r="F97" s="13">
        <v>0</v>
      </c>
      <c r="G97" s="13">
        <v>0</v>
      </c>
      <c r="H97" s="13">
        <v>0</v>
      </c>
      <c r="I97" s="13">
        <v>0</v>
      </c>
      <c r="J97" s="32">
        <v>0</v>
      </c>
      <c r="K97" s="32">
        <v>0</v>
      </c>
      <c r="L97" s="13">
        <v>1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>
        <f t="shared" si="1"/>
        <v>1</v>
      </c>
      <c r="BD97" s="13">
        <f>[1]!shannonweaver(J97:BB97)</f>
        <v>0</v>
      </c>
    </row>
    <row r="98" spans="1:56">
      <c r="A98" s="13" t="s">
        <v>214</v>
      </c>
      <c r="B98" t="s">
        <v>176</v>
      </c>
      <c r="C98" t="s">
        <v>213</v>
      </c>
      <c r="D98" s="13" t="s">
        <v>320</v>
      </c>
      <c r="E98" s="13" t="s">
        <v>283</v>
      </c>
      <c r="F98" s="13">
        <v>0</v>
      </c>
      <c r="G98" s="13">
        <v>0</v>
      </c>
      <c r="H98" s="13">
        <v>0</v>
      </c>
      <c r="I98" s="13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13">
        <v>1</v>
      </c>
      <c r="U98" s="32">
        <v>0</v>
      </c>
      <c r="V98" s="32">
        <v>0</v>
      </c>
      <c r="W98" s="32">
        <v>0</v>
      </c>
      <c r="X98" s="32">
        <v>0</v>
      </c>
      <c r="Y98" s="13">
        <v>8</v>
      </c>
      <c r="Z98" s="32">
        <v>0</v>
      </c>
      <c r="AA98" s="13">
        <v>1</v>
      </c>
      <c r="AB98" s="13">
        <v>12</v>
      </c>
      <c r="AC98" s="32">
        <v>0</v>
      </c>
      <c r="AD98" s="13">
        <v>1</v>
      </c>
      <c r="AE98" s="32">
        <v>0</v>
      </c>
      <c r="AF98" s="32">
        <v>0</v>
      </c>
      <c r="AG98" s="13">
        <v>2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32">
        <v>0</v>
      </c>
      <c r="BB98" s="32">
        <v>0</v>
      </c>
      <c r="BC98">
        <f t="shared" si="1"/>
        <v>6</v>
      </c>
      <c r="BD98" s="13">
        <f>[1]!shannonweaver(J98:BB98)</f>
        <v>1.3052475651876174</v>
      </c>
    </row>
    <row r="99" spans="1:56">
      <c r="A99" s="13" t="s">
        <v>215</v>
      </c>
      <c r="B99" t="s">
        <v>176</v>
      </c>
      <c r="C99" t="s">
        <v>213</v>
      </c>
      <c r="D99" s="13" t="s">
        <v>320</v>
      </c>
      <c r="E99" s="13" t="s">
        <v>283</v>
      </c>
      <c r="F99" s="13">
        <v>0</v>
      </c>
      <c r="G99" s="13">
        <v>0</v>
      </c>
      <c r="H99" s="13">
        <v>0</v>
      </c>
      <c r="I99" s="13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13">
        <v>1</v>
      </c>
      <c r="V99" s="32">
        <v>0</v>
      </c>
      <c r="W99" s="32">
        <v>0</v>
      </c>
      <c r="X99" s="32">
        <v>0</v>
      </c>
      <c r="Y99" s="13">
        <v>8</v>
      </c>
      <c r="Z99" s="32">
        <v>0</v>
      </c>
      <c r="AA99" s="13">
        <v>2</v>
      </c>
      <c r="AB99" s="13">
        <v>11</v>
      </c>
      <c r="AC99" s="32">
        <v>0</v>
      </c>
      <c r="AD99" s="13">
        <v>1</v>
      </c>
      <c r="AE99" s="32">
        <v>0</v>
      </c>
      <c r="AF99" s="32">
        <v>0</v>
      </c>
      <c r="AG99" s="13">
        <v>2</v>
      </c>
      <c r="AH99" s="32">
        <v>0</v>
      </c>
      <c r="AI99" s="32">
        <v>0</v>
      </c>
      <c r="AJ99" s="32">
        <v>0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32">
        <v>0</v>
      </c>
      <c r="BB99" s="32">
        <v>0</v>
      </c>
      <c r="BC99">
        <f t="shared" si="1"/>
        <v>6</v>
      </c>
      <c r="BD99" s="13">
        <f>[1]!shannonweaver(J99:BB99)</f>
        <v>1.387477062609779</v>
      </c>
    </row>
    <row r="100" spans="1:56">
      <c r="A100" s="13" t="s">
        <v>216</v>
      </c>
      <c r="B100" t="s">
        <v>176</v>
      </c>
      <c r="C100" t="s">
        <v>213</v>
      </c>
      <c r="D100" s="13" t="s">
        <v>320</v>
      </c>
      <c r="E100" s="13" t="s">
        <v>283</v>
      </c>
      <c r="F100" s="13">
        <v>0</v>
      </c>
      <c r="G100" s="13">
        <v>0</v>
      </c>
      <c r="H100" s="13">
        <v>0</v>
      </c>
      <c r="I100" s="13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13">
        <v>1</v>
      </c>
      <c r="V100" s="32">
        <v>0</v>
      </c>
      <c r="W100" s="32">
        <v>0</v>
      </c>
      <c r="X100" s="32">
        <v>0</v>
      </c>
      <c r="Y100" s="13">
        <v>8</v>
      </c>
      <c r="Z100" s="32">
        <v>0</v>
      </c>
      <c r="AA100" s="13">
        <v>1</v>
      </c>
      <c r="AB100" s="13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>
        <f t="shared" si="1"/>
        <v>3</v>
      </c>
      <c r="BD100" s="13">
        <f>[1]!shannonweaver(J100:BB100)</f>
        <v>0.63903185965017695</v>
      </c>
    </row>
    <row r="101" spans="1:56">
      <c r="A101" s="13" t="s">
        <v>217</v>
      </c>
      <c r="B101" t="s">
        <v>176</v>
      </c>
      <c r="C101" t="s">
        <v>213</v>
      </c>
      <c r="D101" s="13" t="s">
        <v>320</v>
      </c>
      <c r="E101" s="13" t="s">
        <v>283</v>
      </c>
      <c r="F101" s="13">
        <v>0</v>
      </c>
      <c r="G101" s="13">
        <v>0</v>
      </c>
      <c r="H101" s="13">
        <v>0</v>
      </c>
      <c r="I101" s="13">
        <v>0</v>
      </c>
      <c r="J101" s="32">
        <v>0</v>
      </c>
      <c r="K101" s="32">
        <v>0</v>
      </c>
      <c r="L101" s="13">
        <v>5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13">
        <v>5</v>
      </c>
      <c r="Z101" s="32">
        <v>0</v>
      </c>
      <c r="AA101" s="13">
        <v>2</v>
      </c>
      <c r="AB101" s="13">
        <v>4</v>
      </c>
      <c r="AC101" s="32">
        <v>0</v>
      </c>
      <c r="AD101" s="32">
        <v>0</v>
      </c>
      <c r="AE101" s="32">
        <v>0</v>
      </c>
      <c r="AF101" s="32">
        <v>0</v>
      </c>
      <c r="AG101" s="13">
        <v>2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32">
        <v>0</v>
      </c>
      <c r="AY101" s="32">
        <v>0</v>
      </c>
      <c r="AZ101" s="13">
        <v>1</v>
      </c>
      <c r="BA101" s="32">
        <v>0</v>
      </c>
      <c r="BB101" s="32">
        <v>0</v>
      </c>
      <c r="BC101">
        <f t="shared" si="1"/>
        <v>6</v>
      </c>
      <c r="BD101" s="13">
        <f>[1]!shannonweaver(J101:BB101)</f>
        <v>1.6595892270053696</v>
      </c>
    </row>
    <row r="102" spans="1:56">
      <c r="A102" s="13" t="s">
        <v>218</v>
      </c>
      <c r="B102" t="s">
        <v>176</v>
      </c>
      <c r="C102" t="s">
        <v>213</v>
      </c>
      <c r="D102" s="13" t="s">
        <v>320</v>
      </c>
      <c r="E102" s="13" t="s">
        <v>283</v>
      </c>
      <c r="F102" s="13">
        <v>0</v>
      </c>
      <c r="G102" s="13">
        <v>0</v>
      </c>
      <c r="H102" s="13">
        <v>0</v>
      </c>
      <c r="I102" s="13">
        <v>0</v>
      </c>
      <c r="J102" s="32">
        <v>0</v>
      </c>
      <c r="K102" s="32">
        <v>0</v>
      </c>
      <c r="L102" s="13">
        <v>1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13">
        <v>1</v>
      </c>
      <c r="U102" s="13">
        <v>1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13">
        <v>3</v>
      </c>
      <c r="AB102" s="13">
        <v>10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32">
        <v>0</v>
      </c>
      <c r="AK102" s="13">
        <v>1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>
        <f t="shared" si="1"/>
        <v>6</v>
      </c>
      <c r="BD102" s="13">
        <f>[1]!shannonweaver(J102:BB102)</f>
        <v>1.28487876782417</v>
      </c>
    </row>
    <row r="103" spans="1:56">
      <c r="A103" s="13" t="s">
        <v>219</v>
      </c>
      <c r="B103" t="s">
        <v>176</v>
      </c>
      <c r="C103" t="s">
        <v>213</v>
      </c>
      <c r="D103" s="13" t="s">
        <v>320</v>
      </c>
      <c r="E103" s="13" t="s">
        <v>283</v>
      </c>
      <c r="F103" s="13">
        <v>0</v>
      </c>
      <c r="G103" s="13">
        <v>0</v>
      </c>
      <c r="H103" s="13">
        <v>0</v>
      </c>
      <c r="I103" s="13">
        <v>0</v>
      </c>
      <c r="J103" s="32">
        <v>0</v>
      </c>
      <c r="K103" s="32">
        <v>0</v>
      </c>
      <c r="L103" s="13">
        <v>1</v>
      </c>
      <c r="M103" s="13">
        <v>1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13">
        <v>3</v>
      </c>
      <c r="AB103" s="13">
        <v>12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>
        <f t="shared" si="1"/>
        <v>4</v>
      </c>
      <c r="BD103" s="13">
        <f>[1]!shannonweaver(J103:BB103)</f>
        <v>0.88528883444090234</v>
      </c>
    </row>
    <row r="104" spans="1:56">
      <c r="A104" s="13" t="s">
        <v>221</v>
      </c>
      <c r="B104" t="s">
        <v>176</v>
      </c>
      <c r="C104" t="s">
        <v>220</v>
      </c>
      <c r="D104" s="13" t="s">
        <v>320</v>
      </c>
      <c r="E104" s="13" t="s">
        <v>283</v>
      </c>
      <c r="F104" s="13">
        <v>0</v>
      </c>
      <c r="G104" s="13">
        <v>0</v>
      </c>
      <c r="H104" s="13">
        <v>0</v>
      </c>
      <c r="I104" s="13">
        <v>0</v>
      </c>
      <c r="J104" s="32">
        <v>0</v>
      </c>
      <c r="K104" s="32">
        <v>0</v>
      </c>
      <c r="L104" s="13">
        <v>2</v>
      </c>
      <c r="M104" s="1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13">
        <v>1</v>
      </c>
      <c r="Y104" s="13">
        <v>5</v>
      </c>
      <c r="Z104" s="32">
        <v>0</v>
      </c>
      <c r="AA104" s="13">
        <v>6</v>
      </c>
      <c r="AB104" s="13">
        <v>15</v>
      </c>
      <c r="AC104" s="32">
        <v>0</v>
      </c>
      <c r="AD104" s="32">
        <v>0</v>
      </c>
      <c r="AE104" s="32">
        <v>0</v>
      </c>
      <c r="AF104" s="32">
        <v>0</v>
      </c>
      <c r="AG104" s="13">
        <v>1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32">
        <v>0</v>
      </c>
      <c r="BB104" s="32">
        <v>0</v>
      </c>
      <c r="BC104">
        <f t="shared" si="1"/>
        <v>6</v>
      </c>
      <c r="BD104" s="13">
        <f>[1]!shannonweaver(J104:BB104)</f>
        <v>1.3743709231557595</v>
      </c>
    </row>
    <row r="105" spans="1:56">
      <c r="A105" s="13" t="s">
        <v>19</v>
      </c>
      <c r="B105" t="s">
        <v>176</v>
      </c>
      <c r="C105" t="s">
        <v>220</v>
      </c>
      <c r="D105" s="13" t="s">
        <v>320</v>
      </c>
      <c r="E105" s="13" t="s">
        <v>283</v>
      </c>
      <c r="F105" s="13">
        <v>0</v>
      </c>
      <c r="G105" s="13">
        <v>0</v>
      </c>
      <c r="H105" s="13">
        <v>0</v>
      </c>
      <c r="I105" s="13">
        <v>0</v>
      </c>
      <c r="J105" s="32">
        <v>0</v>
      </c>
      <c r="K105" s="32">
        <v>0</v>
      </c>
      <c r="L105" s="13">
        <v>2</v>
      </c>
      <c r="M105" s="1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13">
        <v>1</v>
      </c>
      <c r="U105" s="13">
        <v>1</v>
      </c>
      <c r="V105" s="32">
        <v>0</v>
      </c>
      <c r="W105" s="32">
        <v>0</v>
      </c>
      <c r="X105" s="32">
        <v>0</v>
      </c>
      <c r="Y105" s="13">
        <v>1</v>
      </c>
      <c r="Z105" s="32">
        <v>0</v>
      </c>
      <c r="AA105" s="13">
        <v>6</v>
      </c>
      <c r="AB105" s="13">
        <v>5</v>
      </c>
      <c r="AC105" s="32">
        <v>0</v>
      </c>
      <c r="AD105" s="32">
        <v>0</v>
      </c>
      <c r="AE105" s="32">
        <v>0</v>
      </c>
      <c r="AF105" s="32">
        <v>0</v>
      </c>
      <c r="AG105" s="13">
        <v>1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32">
        <v>0</v>
      </c>
      <c r="BB105" s="32">
        <v>0</v>
      </c>
      <c r="BC105">
        <f t="shared" si="1"/>
        <v>7</v>
      </c>
      <c r="BD105" s="13">
        <f>[1]!shannonweaver(J105:BB105)</f>
        <v>1.6459168300174678</v>
      </c>
    </row>
    <row r="106" spans="1:56">
      <c r="A106" s="13" t="s">
        <v>20</v>
      </c>
      <c r="B106" t="s">
        <v>176</v>
      </c>
      <c r="C106" t="s">
        <v>220</v>
      </c>
      <c r="D106" s="13" t="s">
        <v>320</v>
      </c>
      <c r="E106" s="13" t="s">
        <v>283</v>
      </c>
      <c r="F106" s="13">
        <v>0</v>
      </c>
      <c r="G106" s="13">
        <v>0</v>
      </c>
      <c r="H106" s="13">
        <v>0</v>
      </c>
      <c r="I106" s="13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13">
        <v>1</v>
      </c>
      <c r="AB106" s="13">
        <v>11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>
        <f t="shared" si="1"/>
        <v>2</v>
      </c>
      <c r="BD106" s="13">
        <f>[1]!shannonweaver(J106:BB106)</f>
        <v>0.2868359830561607</v>
      </c>
    </row>
    <row r="107" spans="1:56">
      <c r="A107" s="13" t="s">
        <v>68</v>
      </c>
      <c r="B107" t="s">
        <v>176</v>
      </c>
      <c r="C107" t="s">
        <v>220</v>
      </c>
      <c r="D107" s="13" t="s">
        <v>320</v>
      </c>
      <c r="E107" s="13" t="s">
        <v>283</v>
      </c>
      <c r="F107" s="13">
        <v>0</v>
      </c>
      <c r="G107" s="13">
        <v>0</v>
      </c>
      <c r="H107" s="13">
        <v>0</v>
      </c>
      <c r="I107" s="13">
        <v>0</v>
      </c>
      <c r="J107" s="32">
        <v>0</v>
      </c>
      <c r="K107" s="32">
        <v>0</v>
      </c>
      <c r="L107" s="13">
        <v>6</v>
      </c>
      <c r="M107" s="32">
        <v>0</v>
      </c>
      <c r="N107" s="32">
        <v>0</v>
      </c>
      <c r="O107" s="13">
        <v>1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13">
        <v>1</v>
      </c>
      <c r="Z107" s="32">
        <v>0</v>
      </c>
      <c r="AA107" s="13">
        <v>1</v>
      </c>
      <c r="AB107" s="13">
        <v>5</v>
      </c>
      <c r="AC107" s="32">
        <v>0</v>
      </c>
      <c r="AD107" s="32">
        <v>0</v>
      </c>
      <c r="AE107" s="32">
        <v>0</v>
      </c>
      <c r="AF107" s="32">
        <v>0</v>
      </c>
      <c r="AG107" s="13">
        <v>2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32">
        <v>0</v>
      </c>
      <c r="BB107" s="32">
        <v>0</v>
      </c>
      <c r="BC107">
        <f t="shared" si="1"/>
        <v>6</v>
      </c>
      <c r="BD107" s="13">
        <f>[1]!shannonweaver(J107:BB107)</f>
        <v>1.5110861760736112</v>
      </c>
    </row>
    <row r="108" spans="1:56">
      <c r="A108" s="13" t="s">
        <v>69</v>
      </c>
      <c r="B108" t="s">
        <v>176</v>
      </c>
      <c r="C108" t="s">
        <v>220</v>
      </c>
      <c r="D108" s="13" t="s">
        <v>320</v>
      </c>
      <c r="E108" s="13" t="s">
        <v>283</v>
      </c>
      <c r="F108" s="13">
        <v>0</v>
      </c>
      <c r="G108" s="13">
        <v>0</v>
      </c>
      <c r="H108" s="13">
        <v>0</v>
      </c>
      <c r="I108" s="13">
        <v>0</v>
      </c>
      <c r="J108" s="32">
        <v>0</v>
      </c>
      <c r="K108" s="32">
        <v>0</v>
      </c>
      <c r="L108" s="13">
        <v>2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13">
        <v>1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13">
        <v>4</v>
      </c>
      <c r="Z108" s="32">
        <v>0</v>
      </c>
      <c r="AA108" s="13">
        <v>2</v>
      </c>
      <c r="AB108" s="13">
        <v>14</v>
      </c>
      <c r="AC108" s="32">
        <v>0</v>
      </c>
      <c r="AD108" s="13">
        <v>1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32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>
        <f t="shared" si="1"/>
        <v>6</v>
      </c>
      <c r="BD108" s="13">
        <f>[1]!shannonweaver(J108:BB108)</f>
        <v>1.2920301311257385</v>
      </c>
    </row>
    <row r="109" spans="1:56">
      <c r="A109" s="13" t="s">
        <v>70</v>
      </c>
      <c r="B109" t="s">
        <v>176</v>
      </c>
      <c r="C109" t="s">
        <v>220</v>
      </c>
      <c r="D109" s="13" t="s">
        <v>320</v>
      </c>
      <c r="E109" s="13" t="s">
        <v>283</v>
      </c>
      <c r="F109" s="13">
        <v>0</v>
      </c>
      <c r="G109" s="13">
        <v>0</v>
      </c>
      <c r="H109" s="13">
        <v>0</v>
      </c>
      <c r="I109" s="13">
        <v>0</v>
      </c>
      <c r="J109" s="32">
        <v>0</v>
      </c>
      <c r="K109" s="32">
        <v>0</v>
      </c>
      <c r="L109" s="13">
        <v>2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2">
        <v>0</v>
      </c>
      <c r="Y109" s="13">
        <v>5</v>
      </c>
      <c r="Z109" s="32">
        <v>0</v>
      </c>
      <c r="AA109" s="13">
        <v>5</v>
      </c>
      <c r="AB109" s="13">
        <v>14</v>
      </c>
      <c r="AC109" s="32">
        <v>0</v>
      </c>
      <c r="AD109" s="32">
        <v>0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>
        <f t="shared" si="1"/>
        <v>4</v>
      </c>
      <c r="BD109" s="13">
        <f>[1]!shannonweaver(J109:BB109)</f>
        <v>1.1647320726340007</v>
      </c>
    </row>
    <row r="110" spans="1:56">
      <c r="A110" s="23" t="s">
        <v>103</v>
      </c>
      <c r="B110" t="s">
        <v>176</v>
      </c>
      <c r="C110" t="s">
        <v>177</v>
      </c>
      <c r="D110" s="13" t="s">
        <v>319</v>
      </c>
      <c r="E110" s="13" t="s">
        <v>91</v>
      </c>
      <c r="F110" s="13">
        <v>0</v>
      </c>
      <c r="G110" s="13">
        <v>0</v>
      </c>
      <c r="H110" s="13">
        <v>0</v>
      </c>
      <c r="I110" s="13">
        <v>0</v>
      </c>
      <c r="J110" s="13">
        <v>1</v>
      </c>
      <c r="K110" s="32">
        <v>0</v>
      </c>
      <c r="L110" s="13">
        <v>1</v>
      </c>
      <c r="M110" s="32">
        <v>0</v>
      </c>
      <c r="N110" s="32">
        <v>0</v>
      </c>
      <c r="O110" s="32">
        <v>0</v>
      </c>
      <c r="P110" s="32">
        <v>0</v>
      </c>
      <c r="Q110" s="32">
        <v>0</v>
      </c>
      <c r="R110" s="13">
        <v>1</v>
      </c>
      <c r="S110" s="13">
        <v>1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32">
        <v>0</v>
      </c>
      <c r="AK110" s="13">
        <v>1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>
        <f t="shared" si="1"/>
        <v>5</v>
      </c>
      <c r="BD110" s="13">
        <f>[1]!shannonweaver(J110:BB110)</f>
        <v>1.6094379124341005</v>
      </c>
    </row>
    <row r="111" spans="1:56">
      <c r="A111" t="s">
        <v>104</v>
      </c>
      <c r="B111" t="s">
        <v>176</v>
      </c>
      <c r="C111" t="s">
        <v>177</v>
      </c>
      <c r="D111" s="13" t="s">
        <v>319</v>
      </c>
      <c r="E111" s="13" t="s">
        <v>91</v>
      </c>
      <c r="F111" s="13">
        <v>0</v>
      </c>
      <c r="G111" s="13">
        <v>0</v>
      </c>
      <c r="H111" s="13">
        <v>0</v>
      </c>
      <c r="I111" s="13">
        <v>0</v>
      </c>
      <c r="J111" s="32">
        <v>0</v>
      </c>
      <c r="K111" s="32">
        <v>0</v>
      </c>
      <c r="L111" s="13">
        <v>1</v>
      </c>
      <c r="M111" s="32">
        <v>0</v>
      </c>
      <c r="N111" s="32">
        <v>0</v>
      </c>
      <c r="O111" s="32">
        <v>0</v>
      </c>
      <c r="P111" s="32">
        <v>0</v>
      </c>
      <c r="Q111" s="32">
        <v>0</v>
      </c>
      <c r="R111" s="32">
        <v>0</v>
      </c>
      <c r="S111" s="13">
        <v>1</v>
      </c>
      <c r="T111" s="32">
        <v>0</v>
      </c>
      <c r="U111" s="32">
        <v>0</v>
      </c>
      <c r="V111" s="32">
        <v>0</v>
      </c>
      <c r="W111" s="32">
        <v>0</v>
      </c>
      <c r="X111" s="32">
        <v>0</v>
      </c>
      <c r="Y111" s="32">
        <v>0</v>
      </c>
      <c r="Z111" s="32">
        <v>0</v>
      </c>
      <c r="AA111" s="13">
        <v>1</v>
      </c>
      <c r="AB111" s="13">
        <v>3</v>
      </c>
      <c r="AC111" s="32">
        <v>0</v>
      </c>
      <c r="AD111" s="32">
        <v>0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>
        <f t="shared" si="1"/>
        <v>4</v>
      </c>
      <c r="BD111" s="13">
        <f>[1]!shannonweaver(J111:BB111)</f>
        <v>1.2424533248940002</v>
      </c>
    </row>
    <row r="112" spans="1:56">
      <c r="A112" s="13" t="s">
        <v>105</v>
      </c>
      <c r="B112" t="s">
        <v>176</v>
      </c>
      <c r="C112" t="s">
        <v>177</v>
      </c>
      <c r="D112" s="13" t="s">
        <v>319</v>
      </c>
      <c r="E112" s="13" t="s">
        <v>91</v>
      </c>
      <c r="F112" s="13">
        <v>0</v>
      </c>
      <c r="G112" s="13">
        <v>0</v>
      </c>
      <c r="H112" s="13">
        <v>0</v>
      </c>
      <c r="I112" s="13">
        <v>0</v>
      </c>
      <c r="J112" s="32">
        <v>0</v>
      </c>
      <c r="K112" s="32">
        <v>0</v>
      </c>
      <c r="L112" s="13">
        <v>3</v>
      </c>
      <c r="M112" s="32">
        <v>0</v>
      </c>
      <c r="N112" s="32">
        <v>0</v>
      </c>
      <c r="O112" s="13">
        <v>1</v>
      </c>
      <c r="P112" s="32">
        <v>0</v>
      </c>
      <c r="Q112" s="32">
        <v>0</v>
      </c>
      <c r="R112" s="32">
        <v>0</v>
      </c>
      <c r="S112" s="13">
        <v>4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13">
        <v>1</v>
      </c>
      <c r="Z112" s="32">
        <v>0</v>
      </c>
      <c r="AA112" s="32">
        <v>0</v>
      </c>
      <c r="AB112" s="13">
        <v>3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32">
        <v>0</v>
      </c>
      <c r="AK112" s="13">
        <v>1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>
        <f t="shared" si="1"/>
        <v>6</v>
      </c>
      <c r="BD112" s="13">
        <f>[1]!shannonweaver(J112:BB112)</f>
        <v>1.6313454208085969</v>
      </c>
    </row>
    <row r="113" spans="1:56">
      <c r="A113" s="13" t="s">
        <v>106</v>
      </c>
      <c r="B113" t="s">
        <v>176</v>
      </c>
      <c r="C113" t="s">
        <v>177</v>
      </c>
      <c r="D113" s="13" t="s">
        <v>319</v>
      </c>
      <c r="E113" s="13" t="s">
        <v>91</v>
      </c>
      <c r="F113" s="13">
        <v>0</v>
      </c>
      <c r="G113" s="13">
        <v>0</v>
      </c>
      <c r="H113" s="13">
        <v>0</v>
      </c>
      <c r="I113" s="13">
        <v>0</v>
      </c>
      <c r="J113" s="32">
        <v>0</v>
      </c>
      <c r="K113" s="32">
        <v>0</v>
      </c>
      <c r="L113" s="13">
        <v>1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13">
        <v>1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13">
        <v>3</v>
      </c>
      <c r="AC113" s="32">
        <v>0</v>
      </c>
      <c r="AD113" s="13">
        <v>1</v>
      </c>
      <c r="AE113" s="32">
        <v>0</v>
      </c>
      <c r="AF113" s="32">
        <v>0</v>
      </c>
      <c r="AG113" s="13">
        <v>1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32">
        <v>0</v>
      </c>
      <c r="BB113" s="32">
        <v>0</v>
      </c>
      <c r="BC113">
        <f t="shared" si="1"/>
        <v>5</v>
      </c>
      <c r="BD113" s="13">
        <f>[1]!shannonweaver(J113:BB113)</f>
        <v>1.4750763110546947</v>
      </c>
    </row>
    <row r="114" spans="1:56">
      <c r="A114" s="13" t="s">
        <v>107</v>
      </c>
      <c r="B114" t="s">
        <v>176</v>
      </c>
      <c r="C114" t="s">
        <v>177</v>
      </c>
      <c r="D114" s="13" t="s">
        <v>319</v>
      </c>
      <c r="E114" s="13" t="s">
        <v>91</v>
      </c>
      <c r="F114" s="13">
        <v>0</v>
      </c>
      <c r="G114" s="13">
        <v>0</v>
      </c>
      <c r="H114" s="13">
        <v>0</v>
      </c>
      <c r="I114" s="13">
        <v>0</v>
      </c>
      <c r="J114" s="32">
        <v>0</v>
      </c>
      <c r="K114" s="32">
        <v>0</v>
      </c>
      <c r="L114" s="13">
        <v>1</v>
      </c>
      <c r="M114" s="32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13">
        <v>1</v>
      </c>
      <c r="T114" s="32">
        <v>0</v>
      </c>
      <c r="U114" s="13">
        <v>1</v>
      </c>
      <c r="V114" s="32">
        <v>0</v>
      </c>
      <c r="W114" s="32">
        <v>0</v>
      </c>
      <c r="X114" s="32">
        <v>0</v>
      </c>
      <c r="Y114" s="13">
        <v>2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>
        <f t="shared" si="1"/>
        <v>4</v>
      </c>
      <c r="BD114" s="13">
        <f>[1]!shannonweaver(J114:BB114)</f>
        <v>1.3321790402101223</v>
      </c>
    </row>
    <row r="115" spans="1:56">
      <c r="A115" s="13" t="s">
        <v>108</v>
      </c>
      <c r="B115" t="s">
        <v>176</v>
      </c>
      <c r="C115" t="s">
        <v>177</v>
      </c>
      <c r="D115" s="13" t="s">
        <v>319</v>
      </c>
      <c r="E115" s="13" t="s">
        <v>91</v>
      </c>
      <c r="F115" s="13">
        <v>0</v>
      </c>
      <c r="G115" s="13">
        <v>0</v>
      </c>
      <c r="H115" s="13">
        <v>0</v>
      </c>
      <c r="I115" s="13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13">
        <v>1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>
        <f t="shared" si="1"/>
        <v>1</v>
      </c>
      <c r="BD115" s="13">
        <f>[1]!shannonweaver(J115:BB115)</f>
        <v>0</v>
      </c>
    </row>
    <row r="116" spans="1:56">
      <c r="A116" s="13" t="s">
        <v>109</v>
      </c>
      <c r="B116" t="s">
        <v>176</v>
      </c>
      <c r="C116" t="s">
        <v>204</v>
      </c>
      <c r="D116" s="13" t="s">
        <v>319</v>
      </c>
      <c r="E116" s="13" t="s">
        <v>91</v>
      </c>
      <c r="F116" s="13">
        <v>0</v>
      </c>
      <c r="G116" s="13">
        <v>0</v>
      </c>
      <c r="H116" s="13">
        <v>0</v>
      </c>
      <c r="I116" s="13">
        <v>0</v>
      </c>
      <c r="J116" s="32">
        <v>0</v>
      </c>
      <c r="K116" s="32">
        <v>0</v>
      </c>
      <c r="L116" s="13">
        <v>3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13">
        <v>4</v>
      </c>
      <c r="Z116" s="32">
        <v>0</v>
      </c>
      <c r="AA116" s="13">
        <v>1</v>
      </c>
      <c r="AB116" s="13">
        <v>1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32">
        <v>0</v>
      </c>
      <c r="AS116" s="13">
        <v>1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>
        <f t="shared" si="1"/>
        <v>5</v>
      </c>
      <c r="BD116" s="13">
        <f>[1]!shannonweaver(J116:BB116)</f>
        <v>1.4184836619456564</v>
      </c>
    </row>
    <row r="117" spans="1:56">
      <c r="A117" s="13" t="s">
        <v>110</v>
      </c>
      <c r="B117" t="s">
        <v>176</v>
      </c>
      <c r="C117" t="s">
        <v>204</v>
      </c>
      <c r="D117" s="13" t="s">
        <v>319</v>
      </c>
      <c r="E117" s="13" t="s">
        <v>91</v>
      </c>
      <c r="F117" s="13">
        <v>0</v>
      </c>
      <c r="G117" s="13">
        <v>0</v>
      </c>
      <c r="H117" s="13">
        <v>0</v>
      </c>
      <c r="I117" s="13">
        <v>0</v>
      </c>
      <c r="J117" s="32">
        <v>0</v>
      </c>
      <c r="K117" s="32">
        <v>0</v>
      </c>
      <c r="L117" s="13">
        <v>1</v>
      </c>
      <c r="M117" s="32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13">
        <v>5</v>
      </c>
      <c r="Z117" s="32">
        <v>0</v>
      </c>
      <c r="AA117" s="13">
        <v>4</v>
      </c>
      <c r="AB117" s="13">
        <v>1</v>
      </c>
      <c r="AC117" s="32">
        <v>0</v>
      </c>
      <c r="AD117" s="13">
        <v>1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>
        <f t="shared" si="1"/>
        <v>5</v>
      </c>
      <c r="BD117" s="13">
        <f>[1]!shannonweaver(J117:BB117)</f>
        <v>1.3522093992338284</v>
      </c>
    </row>
    <row r="118" spans="1:56">
      <c r="A118" s="13" t="s">
        <v>111</v>
      </c>
      <c r="B118" t="s">
        <v>176</v>
      </c>
      <c r="C118" t="s">
        <v>204</v>
      </c>
      <c r="D118" s="13" t="s">
        <v>319</v>
      </c>
      <c r="E118" s="13" t="s">
        <v>91</v>
      </c>
      <c r="F118" s="13">
        <v>0</v>
      </c>
      <c r="G118" s="13">
        <v>0</v>
      </c>
      <c r="H118" s="13">
        <v>0</v>
      </c>
      <c r="I118" s="13">
        <v>0</v>
      </c>
      <c r="J118" s="32">
        <v>0</v>
      </c>
      <c r="K118" s="32">
        <v>0</v>
      </c>
      <c r="L118" s="13">
        <v>1</v>
      </c>
      <c r="M118" s="13">
        <v>1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13">
        <v>2</v>
      </c>
      <c r="Z118" s="32">
        <v>0</v>
      </c>
      <c r="AA118" s="13">
        <v>2</v>
      </c>
      <c r="AB118" s="13">
        <v>9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>
        <f t="shared" si="1"/>
        <v>5</v>
      </c>
      <c r="BD118" s="13">
        <f>[1]!shannonweaver(J118:BB118)</f>
        <v>1.2048762065511598</v>
      </c>
    </row>
    <row r="119" spans="1:56">
      <c r="A119" s="13" t="s">
        <v>112</v>
      </c>
      <c r="B119" t="s">
        <v>176</v>
      </c>
      <c r="C119" t="s">
        <v>204</v>
      </c>
      <c r="D119" s="13" t="s">
        <v>319</v>
      </c>
      <c r="E119" s="13" t="s">
        <v>91</v>
      </c>
      <c r="F119" s="13">
        <v>0</v>
      </c>
      <c r="G119" s="13">
        <v>0</v>
      </c>
      <c r="H119" s="13">
        <v>0</v>
      </c>
      <c r="I119" s="13">
        <v>0</v>
      </c>
      <c r="J119" s="32">
        <v>0</v>
      </c>
      <c r="K119" s="32">
        <v>0</v>
      </c>
      <c r="L119" s="13">
        <v>3</v>
      </c>
      <c r="M119" s="13">
        <v>0</v>
      </c>
      <c r="N119" s="32">
        <v>0</v>
      </c>
      <c r="O119" s="32">
        <v>0</v>
      </c>
      <c r="P119" s="32">
        <v>0</v>
      </c>
      <c r="Q119" s="13">
        <v>1</v>
      </c>
      <c r="R119" s="32">
        <v>0</v>
      </c>
      <c r="S119" s="13">
        <v>1</v>
      </c>
      <c r="T119" s="32">
        <v>0</v>
      </c>
      <c r="U119" s="13">
        <v>1</v>
      </c>
      <c r="V119" s="32">
        <v>0</v>
      </c>
      <c r="W119" s="32">
        <v>0</v>
      </c>
      <c r="X119" s="32">
        <v>0</v>
      </c>
      <c r="Y119" s="13">
        <v>4</v>
      </c>
      <c r="Z119" s="32">
        <v>0</v>
      </c>
      <c r="AA119" s="13">
        <v>11</v>
      </c>
      <c r="AB119" s="13">
        <v>5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>
        <f t="shared" si="1"/>
        <v>7</v>
      </c>
      <c r="BD119" s="13">
        <f>[1]!shannonweaver(J119:BB119)</f>
        <v>1.5940560813508486</v>
      </c>
    </row>
    <row r="120" spans="1:56">
      <c r="A120" s="13" t="s">
        <v>113</v>
      </c>
      <c r="B120" t="s">
        <v>176</v>
      </c>
      <c r="C120" t="s">
        <v>204</v>
      </c>
      <c r="D120" s="13" t="s">
        <v>319</v>
      </c>
      <c r="E120" s="13" t="s">
        <v>91</v>
      </c>
      <c r="F120" s="13">
        <v>0</v>
      </c>
      <c r="G120" s="13">
        <v>0</v>
      </c>
      <c r="H120" s="13">
        <v>0</v>
      </c>
      <c r="I120" s="13">
        <v>0</v>
      </c>
      <c r="J120" s="32">
        <v>0</v>
      </c>
      <c r="K120" s="32">
        <v>0</v>
      </c>
      <c r="L120" s="13">
        <v>5</v>
      </c>
      <c r="M120" s="1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13">
        <v>1</v>
      </c>
      <c r="Y120" s="13">
        <v>0</v>
      </c>
      <c r="Z120" s="32">
        <v>0</v>
      </c>
      <c r="AA120" s="13">
        <v>4</v>
      </c>
      <c r="AB120" s="13">
        <v>1</v>
      </c>
      <c r="AC120" s="32">
        <v>0</v>
      </c>
      <c r="AD120" s="32">
        <v>0</v>
      </c>
      <c r="AE120" s="32">
        <v>0</v>
      </c>
      <c r="AF120" s="32">
        <v>0</v>
      </c>
      <c r="AG120" s="13">
        <v>1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32">
        <v>0</v>
      </c>
      <c r="BB120" s="32">
        <v>0</v>
      </c>
      <c r="BC120">
        <f t="shared" si="1"/>
        <v>5</v>
      </c>
      <c r="BD120" s="13">
        <f>[1]!shannonweaver(J120:BB120)</f>
        <v>1.3522093992338284</v>
      </c>
    </row>
    <row r="121" spans="1:56">
      <c r="A121" s="13" t="s">
        <v>114</v>
      </c>
      <c r="B121" t="s">
        <v>176</v>
      </c>
      <c r="C121" t="s">
        <v>204</v>
      </c>
      <c r="D121" s="13" t="s">
        <v>319</v>
      </c>
      <c r="E121" s="13" t="s">
        <v>91</v>
      </c>
      <c r="F121" s="13">
        <v>0</v>
      </c>
      <c r="G121" s="13">
        <v>0</v>
      </c>
      <c r="H121" s="13">
        <v>0</v>
      </c>
      <c r="I121" s="13">
        <v>0</v>
      </c>
      <c r="J121" s="32">
        <v>0</v>
      </c>
      <c r="K121" s="32">
        <v>0</v>
      </c>
      <c r="L121" s="13">
        <v>3</v>
      </c>
      <c r="M121" s="13">
        <v>0</v>
      </c>
      <c r="N121" s="32">
        <v>0</v>
      </c>
      <c r="O121" s="13">
        <v>1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13">
        <v>4</v>
      </c>
      <c r="AB121" s="13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>
        <f t="shared" si="1"/>
        <v>3</v>
      </c>
      <c r="BD121" s="13">
        <f>[1]!shannonweaver(J121:BB121)</f>
        <v>0.97431475286934943</v>
      </c>
    </row>
    <row r="122" spans="1:56">
      <c r="A122" s="13" t="s">
        <v>115</v>
      </c>
      <c r="B122" t="s">
        <v>176</v>
      </c>
      <c r="C122" t="s">
        <v>138</v>
      </c>
      <c r="D122" s="13" t="s">
        <v>319</v>
      </c>
      <c r="E122" s="13" t="s">
        <v>91</v>
      </c>
      <c r="F122" s="13">
        <v>0</v>
      </c>
      <c r="G122" s="13">
        <v>0</v>
      </c>
      <c r="H122" s="13">
        <v>0</v>
      </c>
      <c r="I122" s="13">
        <v>0</v>
      </c>
      <c r="J122" s="32">
        <v>0</v>
      </c>
      <c r="K122" s="32">
        <v>0</v>
      </c>
      <c r="L122" s="13">
        <v>7</v>
      </c>
      <c r="M122" s="1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13">
        <v>1</v>
      </c>
      <c r="Z122" s="32">
        <v>0</v>
      </c>
      <c r="AA122" s="13">
        <v>8</v>
      </c>
      <c r="AB122" s="13">
        <v>13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>
        <f t="shared" si="1"/>
        <v>4</v>
      </c>
      <c r="BD122" s="13">
        <f>[1]!shannonweaver(J122:BB122)</f>
        <v>1.1741494498545479</v>
      </c>
    </row>
    <row r="123" spans="1:56">
      <c r="A123" s="13" t="s">
        <v>116</v>
      </c>
      <c r="B123" t="s">
        <v>176</v>
      </c>
      <c r="C123" t="s">
        <v>138</v>
      </c>
      <c r="D123" s="13" t="s">
        <v>319</v>
      </c>
      <c r="E123" s="13" t="s">
        <v>91</v>
      </c>
      <c r="F123" s="13">
        <v>0</v>
      </c>
      <c r="G123" s="13">
        <v>0</v>
      </c>
      <c r="H123" s="13">
        <v>0</v>
      </c>
      <c r="I123" s="13">
        <v>0</v>
      </c>
      <c r="J123" s="32">
        <v>0</v>
      </c>
      <c r="K123" s="32">
        <v>0</v>
      </c>
      <c r="L123" s="13">
        <v>5</v>
      </c>
      <c r="M123" s="13">
        <v>0</v>
      </c>
      <c r="N123" s="32">
        <v>0</v>
      </c>
      <c r="O123" s="32">
        <v>0</v>
      </c>
      <c r="P123" s="32">
        <v>0</v>
      </c>
      <c r="Q123" s="32">
        <v>0</v>
      </c>
      <c r="R123" s="13">
        <v>1</v>
      </c>
      <c r="S123" s="32">
        <v>0</v>
      </c>
      <c r="T123" s="32">
        <v>0</v>
      </c>
      <c r="U123" s="13">
        <v>1</v>
      </c>
      <c r="V123" s="13">
        <v>3</v>
      </c>
      <c r="W123" s="32">
        <v>0</v>
      </c>
      <c r="X123" s="32">
        <v>0</v>
      </c>
      <c r="Y123" s="32">
        <v>0</v>
      </c>
      <c r="Z123" s="32">
        <v>0</v>
      </c>
      <c r="AA123" s="13">
        <v>1</v>
      </c>
      <c r="AB123" s="13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>
        <f t="shared" si="1"/>
        <v>5</v>
      </c>
      <c r="BD123" s="13">
        <f>[1]!shannonweaver(J123:BB123)</f>
        <v>1.3667110520552042</v>
      </c>
    </row>
    <row r="124" spans="1:56">
      <c r="A124" s="23" t="s">
        <v>35</v>
      </c>
      <c r="B124" t="s">
        <v>176</v>
      </c>
      <c r="C124" t="s">
        <v>138</v>
      </c>
      <c r="D124" s="13" t="s">
        <v>319</v>
      </c>
      <c r="E124" s="13" t="s">
        <v>91</v>
      </c>
      <c r="F124" s="13">
        <v>0</v>
      </c>
      <c r="G124" s="13">
        <v>0</v>
      </c>
      <c r="H124" s="13">
        <v>0</v>
      </c>
      <c r="I124" s="13">
        <v>0</v>
      </c>
      <c r="J124" s="32">
        <v>0</v>
      </c>
      <c r="K124" s="32">
        <v>0</v>
      </c>
      <c r="L124" s="13">
        <v>9</v>
      </c>
      <c r="M124" s="13">
        <v>0</v>
      </c>
      <c r="N124" s="32">
        <v>0</v>
      </c>
      <c r="O124" s="32">
        <v>0</v>
      </c>
      <c r="P124" s="32">
        <v>0</v>
      </c>
      <c r="Q124" s="32">
        <v>0</v>
      </c>
      <c r="R124" s="13">
        <v>1</v>
      </c>
      <c r="S124" s="32">
        <v>0</v>
      </c>
      <c r="T124" s="32">
        <v>0</v>
      </c>
      <c r="U124" s="13">
        <v>2</v>
      </c>
      <c r="V124" s="13">
        <v>1</v>
      </c>
      <c r="W124" s="32">
        <v>0</v>
      </c>
      <c r="X124" s="13">
        <v>1</v>
      </c>
      <c r="Y124" s="13">
        <v>1</v>
      </c>
      <c r="Z124" s="32">
        <v>0</v>
      </c>
      <c r="AA124" s="13">
        <v>4</v>
      </c>
      <c r="AB124" s="13">
        <v>5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>
        <f t="shared" si="1"/>
        <v>8</v>
      </c>
      <c r="BD124" s="13">
        <f>[1]!shannonweaver(J124:BB124)</f>
        <v>1.7299837235231152</v>
      </c>
    </row>
    <row r="125" spans="1:56">
      <c r="A125" s="13" t="s">
        <v>225</v>
      </c>
      <c r="B125" t="s">
        <v>176</v>
      </c>
      <c r="C125" t="s">
        <v>138</v>
      </c>
      <c r="D125" s="13" t="s">
        <v>319</v>
      </c>
      <c r="E125" s="13" t="s">
        <v>91</v>
      </c>
      <c r="F125" s="13">
        <v>0</v>
      </c>
      <c r="G125" s="13">
        <v>0</v>
      </c>
      <c r="H125" s="13">
        <v>0</v>
      </c>
      <c r="I125" s="13">
        <v>0</v>
      </c>
      <c r="J125" s="32">
        <v>0</v>
      </c>
      <c r="K125" s="32">
        <v>0</v>
      </c>
      <c r="L125" s="13">
        <v>9</v>
      </c>
      <c r="M125" s="13">
        <v>1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13">
        <v>2</v>
      </c>
      <c r="T125" s="32">
        <v>0</v>
      </c>
      <c r="U125" s="13">
        <v>1</v>
      </c>
      <c r="V125" s="13">
        <v>0</v>
      </c>
      <c r="W125" s="32">
        <v>0</v>
      </c>
      <c r="X125" s="32">
        <v>0</v>
      </c>
      <c r="Y125" s="32">
        <v>0</v>
      </c>
      <c r="Z125" s="32">
        <v>0</v>
      </c>
      <c r="AA125" s="13">
        <v>7</v>
      </c>
      <c r="AB125" s="13">
        <v>3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32">
        <v>0</v>
      </c>
      <c r="AK125" s="13">
        <v>1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>
        <f t="shared" si="1"/>
        <v>7</v>
      </c>
      <c r="BD125" s="13">
        <f>[1]!shannonweaver(J125:BB125)</f>
        <v>1.5914486859088879</v>
      </c>
    </row>
    <row r="126" spans="1:56">
      <c r="A126" s="13" t="s">
        <v>226</v>
      </c>
      <c r="B126" t="s">
        <v>176</v>
      </c>
      <c r="C126" t="s">
        <v>138</v>
      </c>
      <c r="D126" s="13" t="s">
        <v>319</v>
      </c>
      <c r="E126" s="13" t="s">
        <v>91</v>
      </c>
      <c r="F126" s="13">
        <v>0</v>
      </c>
      <c r="G126" s="13">
        <v>0</v>
      </c>
      <c r="H126" s="13">
        <v>0</v>
      </c>
      <c r="I126" s="13">
        <v>0</v>
      </c>
      <c r="J126" s="32">
        <v>0</v>
      </c>
      <c r="K126" s="32">
        <v>0</v>
      </c>
      <c r="L126" s="13">
        <v>8</v>
      </c>
      <c r="M126" s="13">
        <v>0</v>
      </c>
      <c r="N126" s="32">
        <v>0</v>
      </c>
      <c r="O126" s="32">
        <v>0</v>
      </c>
      <c r="P126" s="32">
        <v>0</v>
      </c>
      <c r="Q126" s="32">
        <v>0</v>
      </c>
      <c r="R126" s="13">
        <v>1</v>
      </c>
      <c r="S126" s="13">
        <v>3</v>
      </c>
      <c r="T126" s="32">
        <v>0</v>
      </c>
      <c r="U126" s="13">
        <v>1</v>
      </c>
      <c r="V126" s="13">
        <v>0</v>
      </c>
      <c r="W126" s="32">
        <v>0</v>
      </c>
      <c r="X126" s="32">
        <v>0</v>
      </c>
      <c r="Y126" s="13">
        <v>2</v>
      </c>
      <c r="Z126" s="32">
        <v>0</v>
      </c>
      <c r="AA126" s="13">
        <v>7</v>
      </c>
      <c r="AB126" s="13">
        <v>7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32">
        <v>0</v>
      </c>
      <c r="AY126" s="32">
        <v>0</v>
      </c>
      <c r="AZ126" s="13">
        <v>1</v>
      </c>
      <c r="BA126" s="32">
        <v>0</v>
      </c>
      <c r="BB126" s="32">
        <v>0</v>
      </c>
      <c r="BC126">
        <f t="shared" si="1"/>
        <v>8</v>
      </c>
      <c r="BD126" s="13">
        <f>[1]!shannonweaver(J126:BB126)</f>
        <v>1.7825171934175787</v>
      </c>
    </row>
    <row r="127" spans="1:56">
      <c r="A127" s="13" t="s">
        <v>227</v>
      </c>
      <c r="B127" t="s">
        <v>176</v>
      </c>
      <c r="C127" t="s">
        <v>138</v>
      </c>
      <c r="D127" s="13" t="s">
        <v>319</v>
      </c>
      <c r="E127" s="13" t="s">
        <v>91</v>
      </c>
      <c r="F127" s="13">
        <v>0</v>
      </c>
      <c r="G127" s="13">
        <v>0</v>
      </c>
      <c r="H127" s="13">
        <v>0</v>
      </c>
      <c r="I127" s="13">
        <v>0</v>
      </c>
      <c r="J127" s="32">
        <v>0</v>
      </c>
      <c r="K127" s="32">
        <v>0</v>
      </c>
      <c r="L127" s="13">
        <v>10</v>
      </c>
      <c r="M127" s="1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13">
        <v>1</v>
      </c>
      <c r="T127" s="13">
        <v>1</v>
      </c>
      <c r="U127" s="13">
        <v>0</v>
      </c>
      <c r="V127" s="13">
        <v>0</v>
      </c>
      <c r="W127" s="32">
        <v>0</v>
      </c>
      <c r="X127" s="32">
        <v>0</v>
      </c>
      <c r="Y127" s="13">
        <v>3</v>
      </c>
      <c r="Z127" s="32">
        <v>0</v>
      </c>
      <c r="AA127" s="13">
        <v>6</v>
      </c>
      <c r="AB127" s="13">
        <v>5</v>
      </c>
      <c r="AC127" s="32">
        <v>0</v>
      </c>
      <c r="AD127" s="13">
        <v>2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>
        <v>0</v>
      </c>
      <c r="AS127" s="13">
        <v>1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>
        <f t="shared" si="1"/>
        <v>8</v>
      </c>
      <c r="BD127" s="13">
        <f>[1]!shannonweaver(J127:BB127)</f>
        <v>1.7636500184484221</v>
      </c>
    </row>
    <row r="128" spans="1:56">
      <c r="A128" t="s">
        <v>251</v>
      </c>
      <c r="B128" t="s">
        <v>176</v>
      </c>
      <c r="C128" t="s">
        <v>207</v>
      </c>
      <c r="D128" s="13" t="s">
        <v>320</v>
      </c>
      <c r="E128" s="13" t="s">
        <v>91</v>
      </c>
      <c r="F128" s="13">
        <v>0</v>
      </c>
      <c r="G128" s="13">
        <v>0</v>
      </c>
      <c r="H128" s="13">
        <v>0</v>
      </c>
      <c r="I128" s="13">
        <v>0</v>
      </c>
      <c r="J128" s="32">
        <v>0</v>
      </c>
      <c r="K128" s="32">
        <v>0</v>
      </c>
      <c r="L128" s="13">
        <v>2</v>
      </c>
      <c r="M128" s="13">
        <v>0</v>
      </c>
      <c r="N128" s="32">
        <v>0</v>
      </c>
      <c r="O128" s="32">
        <v>0</v>
      </c>
      <c r="P128" s="32">
        <v>0</v>
      </c>
      <c r="Q128" s="32">
        <v>0</v>
      </c>
      <c r="R128" s="13">
        <v>1</v>
      </c>
      <c r="S128" s="13">
        <v>0</v>
      </c>
      <c r="T128" s="13">
        <v>0</v>
      </c>
      <c r="U128" s="13">
        <v>0</v>
      </c>
      <c r="V128" s="13">
        <v>0</v>
      </c>
      <c r="W128" s="32">
        <v>0</v>
      </c>
      <c r="X128" s="32">
        <v>0</v>
      </c>
      <c r="Y128" s="13">
        <v>3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32">
        <v>0</v>
      </c>
      <c r="AW128" s="13">
        <v>4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>
        <f t="shared" si="1"/>
        <v>4</v>
      </c>
      <c r="BD128" s="13">
        <f>[1]!shannonweaver(J128:BB128)</f>
        <v>1.2798542258336676</v>
      </c>
    </row>
    <row r="129" spans="1:56">
      <c r="A129" s="13" t="s">
        <v>252</v>
      </c>
      <c r="B129" t="s">
        <v>176</v>
      </c>
      <c r="C129" t="s">
        <v>207</v>
      </c>
      <c r="D129" s="13" t="s">
        <v>320</v>
      </c>
      <c r="E129" s="13" t="s">
        <v>91</v>
      </c>
      <c r="F129" s="13">
        <v>0</v>
      </c>
      <c r="G129" s="13">
        <v>0</v>
      </c>
      <c r="H129" s="13">
        <v>0</v>
      </c>
      <c r="I129" s="13">
        <v>0</v>
      </c>
      <c r="J129" s="32">
        <v>0</v>
      </c>
      <c r="K129" s="32">
        <v>0</v>
      </c>
      <c r="L129" s="13">
        <v>3</v>
      </c>
      <c r="M129" s="1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13">
        <v>1</v>
      </c>
      <c r="V129" s="13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32">
        <v>0</v>
      </c>
      <c r="AM129" s="13">
        <v>1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>
        <f t="shared" si="1"/>
        <v>3</v>
      </c>
      <c r="BD129" s="13">
        <f>[1]!shannonweaver(J129:BB129)</f>
        <v>0.95027053923323468</v>
      </c>
    </row>
    <row r="130" spans="1:56">
      <c r="A130" s="13" t="s">
        <v>253</v>
      </c>
      <c r="B130" t="s">
        <v>176</v>
      </c>
      <c r="C130" t="s">
        <v>207</v>
      </c>
      <c r="D130" s="13" t="s">
        <v>320</v>
      </c>
      <c r="E130" s="13" t="s">
        <v>91</v>
      </c>
      <c r="F130" s="13">
        <v>0</v>
      </c>
      <c r="G130" s="13">
        <v>0</v>
      </c>
      <c r="H130" s="13">
        <v>0</v>
      </c>
      <c r="I130" s="13">
        <v>0</v>
      </c>
      <c r="J130" s="32">
        <v>0</v>
      </c>
      <c r="K130" s="32">
        <v>0</v>
      </c>
      <c r="L130" s="13">
        <v>1</v>
      </c>
      <c r="M130" s="13">
        <v>0</v>
      </c>
      <c r="N130" s="32">
        <v>0</v>
      </c>
      <c r="O130" s="13">
        <v>1</v>
      </c>
      <c r="P130" s="32">
        <v>0</v>
      </c>
      <c r="Q130" s="32">
        <v>0</v>
      </c>
      <c r="R130" s="13">
        <v>1</v>
      </c>
      <c r="S130" s="32">
        <v>0</v>
      </c>
      <c r="T130" s="32">
        <v>0</v>
      </c>
      <c r="U130" s="13">
        <v>1</v>
      </c>
      <c r="V130" s="13">
        <v>0</v>
      </c>
      <c r="W130" s="32">
        <v>0</v>
      </c>
      <c r="X130" s="32">
        <v>0</v>
      </c>
      <c r="Y130" s="13">
        <v>6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32">
        <v>0</v>
      </c>
      <c r="AJ130" s="13">
        <v>1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>
        <f t="shared" ref="BC130:BC193" si="2">COUNTIF(J130:BB130, "&gt;0")</f>
        <v>6</v>
      </c>
      <c r="BD130" s="13">
        <f>[1]!shannonweaver(J130:BB130)</f>
        <v>1.4205719259467045</v>
      </c>
    </row>
    <row r="131" spans="1:56">
      <c r="A131" s="13" t="s">
        <v>55</v>
      </c>
      <c r="B131" t="s">
        <v>176</v>
      </c>
      <c r="C131" t="s">
        <v>207</v>
      </c>
      <c r="D131" s="13" t="s">
        <v>320</v>
      </c>
      <c r="E131" s="13" t="s">
        <v>91</v>
      </c>
      <c r="F131" s="13">
        <v>0</v>
      </c>
      <c r="G131" s="13">
        <v>0</v>
      </c>
      <c r="H131" s="13">
        <v>0</v>
      </c>
      <c r="I131" s="13">
        <v>0</v>
      </c>
      <c r="J131" s="32">
        <v>0</v>
      </c>
      <c r="K131" s="32">
        <v>0</v>
      </c>
      <c r="L131" s="13">
        <v>1</v>
      </c>
      <c r="M131" s="1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13">
        <v>1</v>
      </c>
      <c r="T131" s="13">
        <v>1</v>
      </c>
      <c r="U131" s="13">
        <v>0</v>
      </c>
      <c r="V131" s="13">
        <v>0</v>
      </c>
      <c r="W131" s="32">
        <v>0</v>
      </c>
      <c r="X131" s="32">
        <v>0</v>
      </c>
      <c r="Y131" s="13">
        <v>2</v>
      </c>
      <c r="Z131" s="32">
        <v>0</v>
      </c>
      <c r="AA131" s="13">
        <v>1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32">
        <v>0</v>
      </c>
      <c r="AW131" s="13">
        <v>1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>
        <f t="shared" si="2"/>
        <v>6</v>
      </c>
      <c r="BD131" s="13">
        <f>[1]!shannonweaver(J131:BB131)</f>
        <v>1.7478680974667573</v>
      </c>
    </row>
    <row r="132" spans="1:56">
      <c r="A132" s="13" t="s">
        <v>56</v>
      </c>
      <c r="B132" t="s">
        <v>176</v>
      </c>
      <c r="C132" t="s">
        <v>207</v>
      </c>
      <c r="D132" s="13" t="s">
        <v>320</v>
      </c>
      <c r="E132" s="13" t="s">
        <v>91</v>
      </c>
      <c r="F132" s="13">
        <v>0</v>
      </c>
      <c r="G132" s="13">
        <v>0</v>
      </c>
      <c r="H132" s="13">
        <v>0</v>
      </c>
      <c r="I132" s="13">
        <v>0</v>
      </c>
      <c r="J132" s="32">
        <v>0</v>
      </c>
      <c r="K132" s="32">
        <v>0</v>
      </c>
      <c r="L132" s="13">
        <v>1</v>
      </c>
      <c r="M132" s="1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13">
        <v>1</v>
      </c>
      <c r="Y132" s="13">
        <v>2</v>
      </c>
      <c r="Z132" s="32">
        <v>0</v>
      </c>
      <c r="AA132" s="13">
        <v>2</v>
      </c>
      <c r="AB132" s="13">
        <v>1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32">
        <v>0</v>
      </c>
      <c r="AW132" s="13">
        <v>1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>
        <f t="shared" si="2"/>
        <v>6</v>
      </c>
      <c r="BD132" s="13">
        <f>[1]!shannonweaver(J132:BB132)</f>
        <v>1.7328679513998633</v>
      </c>
    </row>
    <row r="133" spans="1:56">
      <c r="A133" s="13" t="s">
        <v>57</v>
      </c>
      <c r="B133" t="s">
        <v>176</v>
      </c>
      <c r="C133" t="s">
        <v>207</v>
      </c>
      <c r="D133" s="13" t="s">
        <v>320</v>
      </c>
      <c r="E133" s="13" t="s">
        <v>91</v>
      </c>
      <c r="F133" s="13">
        <v>0</v>
      </c>
      <c r="G133" s="13">
        <v>0</v>
      </c>
      <c r="H133" s="13">
        <v>0</v>
      </c>
      <c r="I133" s="13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13">
        <v>1</v>
      </c>
      <c r="R133" s="32">
        <v>0</v>
      </c>
      <c r="S133" s="32">
        <v>0</v>
      </c>
      <c r="T133" s="13">
        <v>2</v>
      </c>
      <c r="U133" s="32">
        <v>0</v>
      </c>
      <c r="V133" s="32">
        <v>0</v>
      </c>
      <c r="W133" s="32">
        <v>0</v>
      </c>
      <c r="X133" s="32">
        <v>0</v>
      </c>
      <c r="Y133" s="13">
        <v>4</v>
      </c>
      <c r="Z133" s="32">
        <v>0</v>
      </c>
      <c r="AA133" s="13">
        <v>1</v>
      </c>
      <c r="AB133" s="13">
        <v>4</v>
      </c>
      <c r="AC133" s="32">
        <v>0</v>
      </c>
      <c r="AD133" s="13">
        <v>2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32">
        <v>0</v>
      </c>
      <c r="AW133" s="13">
        <v>1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>
        <f t="shared" si="2"/>
        <v>7</v>
      </c>
      <c r="BD133" s="13">
        <f>[1]!shannonweaver(J133:BB133)</f>
        <v>1.7838539603556165</v>
      </c>
    </row>
    <row r="134" spans="1:56">
      <c r="A134" s="13" t="s">
        <v>58</v>
      </c>
      <c r="B134" t="s">
        <v>176</v>
      </c>
      <c r="C134" t="s">
        <v>213</v>
      </c>
      <c r="D134" s="13" t="s">
        <v>320</v>
      </c>
      <c r="E134" s="13" t="s">
        <v>91</v>
      </c>
      <c r="F134" s="13">
        <v>0</v>
      </c>
      <c r="G134" s="13">
        <v>0</v>
      </c>
      <c r="H134" s="13">
        <v>0</v>
      </c>
      <c r="I134" s="13">
        <v>0</v>
      </c>
      <c r="J134" s="32">
        <v>0</v>
      </c>
      <c r="K134" s="32">
        <v>0</v>
      </c>
      <c r="L134" s="13">
        <v>3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13">
        <v>5</v>
      </c>
      <c r="Z134" s="32">
        <v>0</v>
      </c>
      <c r="AA134" s="13">
        <v>13</v>
      </c>
      <c r="AB134" s="13">
        <v>6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32">
        <v>0</v>
      </c>
      <c r="AK134" s="13">
        <v>1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>
        <f t="shared" si="2"/>
        <v>5</v>
      </c>
      <c r="BD134" s="13">
        <f>[1]!shannonweaver(J134:BB134)</f>
        <v>1.3522786212272346</v>
      </c>
    </row>
    <row r="135" spans="1:56">
      <c r="A135" s="13" t="s">
        <v>60</v>
      </c>
      <c r="B135" t="s">
        <v>176</v>
      </c>
      <c r="C135" t="s">
        <v>213</v>
      </c>
      <c r="D135" s="13" t="s">
        <v>320</v>
      </c>
      <c r="E135" s="13" t="s">
        <v>91</v>
      </c>
      <c r="F135" s="13">
        <v>0</v>
      </c>
      <c r="G135" s="13">
        <v>0</v>
      </c>
      <c r="H135" s="13">
        <v>0</v>
      </c>
      <c r="I135" s="13">
        <v>0</v>
      </c>
      <c r="J135" s="32">
        <v>0</v>
      </c>
      <c r="K135" s="32">
        <v>0</v>
      </c>
      <c r="L135" s="13">
        <v>4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13">
        <v>1</v>
      </c>
      <c r="T135" s="32">
        <v>0</v>
      </c>
      <c r="U135" s="13">
        <v>1</v>
      </c>
      <c r="V135" s="32">
        <v>0</v>
      </c>
      <c r="W135" s="32">
        <v>0</v>
      </c>
      <c r="X135" s="32">
        <v>0</v>
      </c>
      <c r="Y135" s="13">
        <v>4</v>
      </c>
      <c r="Z135" s="32">
        <v>0</v>
      </c>
      <c r="AA135" s="13">
        <v>3</v>
      </c>
      <c r="AB135" s="13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>
        <f t="shared" si="2"/>
        <v>5</v>
      </c>
      <c r="BD135" s="13">
        <f>[1]!shannonweaver(J135:BB135)</f>
        <v>1.458319222464348</v>
      </c>
    </row>
    <row r="136" spans="1:56">
      <c r="A136" s="13" t="s">
        <v>79</v>
      </c>
      <c r="B136" t="s">
        <v>176</v>
      </c>
      <c r="C136" t="s">
        <v>213</v>
      </c>
      <c r="D136" s="13" t="s">
        <v>320</v>
      </c>
      <c r="E136" s="13" t="s">
        <v>91</v>
      </c>
      <c r="F136" s="13">
        <v>0</v>
      </c>
      <c r="G136" s="13">
        <v>0</v>
      </c>
      <c r="H136" s="13">
        <v>0</v>
      </c>
      <c r="I136" s="13">
        <v>0</v>
      </c>
      <c r="J136" s="32">
        <v>0</v>
      </c>
      <c r="K136" s="32">
        <v>0</v>
      </c>
      <c r="L136" s="13">
        <v>1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13">
        <v>1</v>
      </c>
      <c r="U136" s="13">
        <v>0</v>
      </c>
      <c r="V136" s="32">
        <v>0</v>
      </c>
      <c r="W136" s="32">
        <v>0</v>
      </c>
      <c r="X136" s="32">
        <v>0</v>
      </c>
      <c r="Y136" s="13">
        <v>1</v>
      </c>
      <c r="Z136" s="32">
        <v>0</v>
      </c>
      <c r="AA136" s="13">
        <v>6</v>
      </c>
      <c r="AB136" s="13">
        <v>3</v>
      </c>
      <c r="AC136" s="32">
        <v>0</v>
      </c>
      <c r="AD136" s="32">
        <v>0</v>
      </c>
      <c r="AE136" s="32">
        <v>0</v>
      </c>
      <c r="AF136" s="32">
        <v>0</v>
      </c>
      <c r="AG136" s="13">
        <v>1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32">
        <v>0</v>
      </c>
      <c r="BB136" s="32">
        <v>0</v>
      </c>
      <c r="BC136">
        <f t="shared" si="2"/>
        <v>6</v>
      </c>
      <c r="BD136" s="13">
        <f>[1]!shannonweaver(J136:BB136)</f>
        <v>1.4844575358174861</v>
      </c>
    </row>
    <row r="137" spans="1:56">
      <c r="A137" s="13" t="s">
        <v>80</v>
      </c>
      <c r="B137" t="s">
        <v>176</v>
      </c>
      <c r="C137" t="s">
        <v>213</v>
      </c>
      <c r="D137" s="13" t="s">
        <v>320</v>
      </c>
      <c r="E137" s="13" t="s">
        <v>91</v>
      </c>
      <c r="F137" s="13">
        <v>0</v>
      </c>
      <c r="G137" s="13">
        <v>0</v>
      </c>
      <c r="H137" s="13">
        <v>0</v>
      </c>
      <c r="I137" s="13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13">
        <v>1</v>
      </c>
      <c r="T137" s="13">
        <v>0</v>
      </c>
      <c r="U137" s="13">
        <v>0</v>
      </c>
      <c r="V137" s="32">
        <v>0</v>
      </c>
      <c r="W137" s="32">
        <v>0</v>
      </c>
      <c r="X137" s="32">
        <v>0</v>
      </c>
      <c r="Y137" s="13">
        <v>4</v>
      </c>
      <c r="Z137" s="32">
        <v>0</v>
      </c>
      <c r="AA137" s="13">
        <v>9</v>
      </c>
      <c r="AB137" s="13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>
        <f t="shared" si="2"/>
        <v>3</v>
      </c>
      <c r="BD137" s="13">
        <f>[1]!shannonweaver(J137:BB137)</f>
        <v>0.8304717124362917</v>
      </c>
    </row>
    <row r="138" spans="1:56">
      <c r="A138" s="14" t="s">
        <v>16</v>
      </c>
      <c r="B138" t="s">
        <v>176</v>
      </c>
      <c r="C138" t="s">
        <v>213</v>
      </c>
      <c r="D138" s="13" t="s">
        <v>320</v>
      </c>
      <c r="E138" s="13" t="s">
        <v>91</v>
      </c>
      <c r="F138" s="13">
        <v>0</v>
      </c>
      <c r="G138" s="13">
        <v>0</v>
      </c>
      <c r="H138" s="13">
        <v>0</v>
      </c>
      <c r="I138" s="13">
        <v>0</v>
      </c>
      <c r="J138" s="32">
        <v>0</v>
      </c>
      <c r="K138" s="32">
        <v>0</v>
      </c>
      <c r="L138" s="13">
        <v>3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13">
        <v>7</v>
      </c>
      <c r="Z138" s="32">
        <v>0</v>
      </c>
      <c r="AA138" s="32">
        <v>0</v>
      </c>
      <c r="AB138" s="13">
        <v>11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>
        <f t="shared" si="2"/>
        <v>3</v>
      </c>
      <c r="BD138" s="13">
        <f>[1]!shannonweaver(J138:BB138)</f>
        <v>0.98290072771515646</v>
      </c>
    </row>
    <row r="139" spans="1:56">
      <c r="A139" s="13" t="s">
        <v>81</v>
      </c>
      <c r="B139" t="s">
        <v>176</v>
      </c>
      <c r="C139" t="s">
        <v>213</v>
      </c>
      <c r="D139" s="13" t="s">
        <v>320</v>
      </c>
      <c r="E139" s="13" t="s">
        <v>91</v>
      </c>
      <c r="F139" s="13">
        <v>0</v>
      </c>
      <c r="G139" s="13">
        <v>0</v>
      </c>
      <c r="H139" s="13">
        <v>0</v>
      </c>
      <c r="I139" s="13">
        <v>0</v>
      </c>
      <c r="J139" s="32">
        <v>0</v>
      </c>
      <c r="K139" s="32">
        <v>0</v>
      </c>
      <c r="L139" s="13">
        <v>1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13">
        <v>1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13">
        <v>7</v>
      </c>
      <c r="Z139" s="32">
        <v>0</v>
      </c>
      <c r="AA139" s="13">
        <v>8</v>
      </c>
      <c r="AB139" s="13">
        <v>5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>
        <f t="shared" si="2"/>
        <v>5</v>
      </c>
      <c r="BD139" s="13">
        <f>[1]!shannonweaver(J139:BB139)</f>
        <v>1.3499473197675713</v>
      </c>
    </row>
    <row r="140" spans="1:56">
      <c r="A140" s="13" t="s">
        <v>240</v>
      </c>
      <c r="B140" t="s">
        <v>176</v>
      </c>
      <c r="C140" t="s">
        <v>220</v>
      </c>
      <c r="D140" s="13" t="s">
        <v>320</v>
      </c>
      <c r="E140" s="13" t="s">
        <v>91</v>
      </c>
      <c r="F140" s="13">
        <v>0</v>
      </c>
      <c r="G140" s="13">
        <v>0</v>
      </c>
      <c r="H140" s="13">
        <v>0</v>
      </c>
      <c r="I140" s="13">
        <v>0</v>
      </c>
      <c r="J140" s="32">
        <v>0</v>
      </c>
      <c r="K140" s="32">
        <v>0</v>
      </c>
      <c r="L140" s="13">
        <v>2</v>
      </c>
      <c r="M140" s="32">
        <v>0</v>
      </c>
      <c r="N140" s="32">
        <v>0</v>
      </c>
      <c r="O140" s="13">
        <v>1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13">
        <v>4</v>
      </c>
      <c r="Z140" s="32">
        <v>0</v>
      </c>
      <c r="AA140" s="13">
        <v>3</v>
      </c>
      <c r="AB140" s="13">
        <v>3</v>
      </c>
      <c r="AC140" s="32">
        <v>0</v>
      </c>
      <c r="AD140" s="32">
        <v>0</v>
      </c>
      <c r="AE140" s="32">
        <v>0</v>
      </c>
      <c r="AF140" s="13">
        <v>1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>
        <f t="shared" si="2"/>
        <v>6</v>
      </c>
      <c r="BD140" s="13">
        <f>[1]!shannonweaver(J140:BB140)</f>
        <v>1.6731183626432509</v>
      </c>
    </row>
    <row r="141" spans="1:56">
      <c r="A141" s="13" t="s">
        <v>241</v>
      </c>
      <c r="B141" t="s">
        <v>176</v>
      </c>
      <c r="C141" t="s">
        <v>220</v>
      </c>
      <c r="D141" s="13" t="s">
        <v>320</v>
      </c>
      <c r="E141" s="13" t="s">
        <v>91</v>
      </c>
      <c r="F141" s="13">
        <v>0</v>
      </c>
      <c r="G141" s="13">
        <v>0</v>
      </c>
      <c r="H141" s="13">
        <v>0</v>
      </c>
      <c r="I141" s="13">
        <v>0</v>
      </c>
      <c r="J141" s="32">
        <v>0</v>
      </c>
      <c r="K141" s="32">
        <v>0</v>
      </c>
      <c r="L141" s="13">
        <v>3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13">
        <v>1</v>
      </c>
      <c r="U141" s="32">
        <v>0</v>
      </c>
      <c r="V141" s="32">
        <v>0</v>
      </c>
      <c r="W141" s="32">
        <v>0</v>
      </c>
      <c r="X141" s="13">
        <v>2</v>
      </c>
      <c r="Y141" s="13">
        <v>1</v>
      </c>
      <c r="Z141" s="32">
        <v>0</v>
      </c>
      <c r="AA141" s="13">
        <v>2</v>
      </c>
      <c r="AB141" s="13">
        <v>5</v>
      </c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32">
        <v>0</v>
      </c>
      <c r="AZ141" s="32">
        <v>0</v>
      </c>
      <c r="BA141" s="13">
        <v>1</v>
      </c>
      <c r="BB141" s="32">
        <v>0</v>
      </c>
      <c r="BC141">
        <f t="shared" si="2"/>
        <v>7</v>
      </c>
      <c r="BD141" s="13">
        <f>[1]!shannonweaver(J141:BB141)</f>
        <v>1.7670091910745693</v>
      </c>
    </row>
    <row r="142" spans="1:56">
      <c r="A142" s="13" t="s">
        <v>243</v>
      </c>
      <c r="B142" t="s">
        <v>176</v>
      </c>
      <c r="C142" t="s">
        <v>220</v>
      </c>
      <c r="D142" s="13" t="s">
        <v>320</v>
      </c>
      <c r="E142" s="13" t="s">
        <v>91</v>
      </c>
      <c r="F142" s="13">
        <v>0</v>
      </c>
      <c r="G142" s="13">
        <v>0</v>
      </c>
      <c r="H142" s="13">
        <v>0</v>
      </c>
      <c r="I142" s="13">
        <v>0</v>
      </c>
      <c r="J142" s="32">
        <v>0</v>
      </c>
      <c r="K142" s="32">
        <v>0</v>
      </c>
      <c r="L142" s="13">
        <v>1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13">
        <v>1</v>
      </c>
      <c r="T142" s="13">
        <v>0</v>
      </c>
      <c r="U142" s="32">
        <v>0</v>
      </c>
      <c r="V142" s="13">
        <v>1</v>
      </c>
      <c r="W142" s="32">
        <v>0</v>
      </c>
      <c r="X142" s="32">
        <v>0</v>
      </c>
      <c r="Y142" s="13">
        <v>8</v>
      </c>
      <c r="Z142" s="32">
        <v>0</v>
      </c>
      <c r="AA142" s="13">
        <v>6</v>
      </c>
      <c r="AB142" s="13">
        <v>13</v>
      </c>
      <c r="AC142" s="32">
        <v>0</v>
      </c>
      <c r="AD142" s="32">
        <v>0</v>
      </c>
      <c r="AE142" s="32">
        <v>0</v>
      </c>
      <c r="AF142" s="32">
        <v>0</v>
      </c>
      <c r="AG142" s="13">
        <v>1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32">
        <v>0</v>
      </c>
      <c r="BB142" s="32">
        <v>0</v>
      </c>
      <c r="BC142">
        <f t="shared" si="2"/>
        <v>7</v>
      </c>
      <c r="BD142" s="13">
        <f>[1]!shannonweaver(J142:BB142)</f>
        <v>1.4749410497816946</v>
      </c>
    </row>
    <row r="143" spans="1:56">
      <c r="A143" s="13" t="s">
        <v>244</v>
      </c>
      <c r="B143" t="s">
        <v>176</v>
      </c>
      <c r="C143" t="s">
        <v>220</v>
      </c>
      <c r="D143" s="13" t="s">
        <v>320</v>
      </c>
      <c r="E143" s="13" t="s">
        <v>91</v>
      </c>
      <c r="F143" s="13">
        <v>0</v>
      </c>
      <c r="G143" s="13">
        <v>0</v>
      </c>
      <c r="H143" s="13">
        <v>0</v>
      </c>
      <c r="I143" s="13">
        <v>0</v>
      </c>
      <c r="J143" s="32">
        <v>0</v>
      </c>
      <c r="K143" s="32">
        <v>0</v>
      </c>
      <c r="L143" s="13">
        <v>1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13">
        <v>2</v>
      </c>
      <c r="Z143" s="32">
        <v>0</v>
      </c>
      <c r="AA143" s="13">
        <v>2</v>
      </c>
      <c r="AB143" s="13">
        <v>14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>
        <f t="shared" si="2"/>
        <v>4</v>
      </c>
      <c r="BD143" s="13">
        <f>[1]!shannonweaver(J143:BB143)</f>
        <v>0.85394469827941943</v>
      </c>
    </row>
    <row r="144" spans="1:56">
      <c r="A144" s="13" t="s">
        <v>245</v>
      </c>
      <c r="B144" t="s">
        <v>176</v>
      </c>
      <c r="C144" t="s">
        <v>220</v>
      </c>
      <c r="D144" s="13" t="s">
        <v>320</v>
      </c>
      <c r="E144" s="13" t="s">
        <v>91</v>
      </c>
      <c r="F144" s="13">
        <v>0</v>
      </c>
      <c r="G144" s="13">
        <v>0</v>
      </c>
      <c r="H144" s="13">
        <v>0</v>
      </c>
      <c r="I144" s="13">
        <v>0</v>
      </c>
      <c r="J144" s="32">
        <v>0</v>
      </c>
      <c r="K144" s="32">
        <v>0</v>
      </c>
      <c r="L144" s="13">
        <v>1</v>
      </c>
      <c r="M144" s="32">
        <v>0</v>
      </c>
      <c r="N144" s="32">
        <v>0</v>
      </c>
      <c r="O144" s="13">
        <v>1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13">
        <v>8</v>
      </c>
      <c r="Z144" s="32">
        <v>0</v>
      </c>
      <c r="AA144" s="13">
        <v>2</v>
      </c>
      <c r="AB144" s="13">
        <v>4</v>
      </c>
      <c r="AC144" s="32">
        <v>0</v>
      </c>
      <c r="AD144" s="32">
        <v>0</v>
      </c>
      <c r="AE144" s="32">
        <v>0</v>
      </c>
      <c r="AF144" s="32">
        <v>0</v>
      </c>
      <c r="AG144" s="13">
        <v>1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v>0</v>
      </c>
      <c r="AY144" s="32">
        <v>0</v>
      </c>
      <c r="AZ144" s="32">
        <v>0</v>
      </c>
      <c r="BA144" s="32">
        <v>0</v>
      </c>
      <c r="BB144" s="13">
        <v>1</v>
      </c>
      <c r="BC144">
        <f t="shared" si="2"/>
        <v>7</v>
      </c>
      <c r="BD144" s="13">
        <f>[1]!shannonweaver(J144:BB144)</f>
        <v>1.5810937501718234</v>
      </c>
    </row>
    <row r="145" spans="1:56">
      <c r="A145" s="13" t="s">
        <v>247</v>
      </c>
      <c r="B145" t="s">
        <v>176</v>
      </c>
      <c r="C145" t="s">
        <v>220</v>
      </c>
      <c r="D145" s="13" t="s">
        <v>320</v>
      </c>
      <c r="E145" s="13" t="s">
        <v>91</v>
      </c>
      <c r="F145" s="13">
        <v>0</v>
      </c>
      <c r="G145" s="13">
        <v>0</v>
      </c>
      <c r="H145" s="13">
        <v>0</v>
      </c>
      <c r="I145" s="13">
        <v>0</v>
      </c>
      <c r="J145" s="32">
        <v>0</v>
      </c>
      <c r="K145" s="32">
        <v>0</v>
      </c>
      <c r="L145" s="13">
        <v>1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13">
        <v>4</v>
      </c>
      <c r="Z145" s="32">
        <v>0</v>
      </c>
      <c r="AA145" s="13">
        <v>1</v>
      </c>
      <c r="AB145" s="13">
        <v>3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>
        <f t="shared" si="2"/>
        <v>4</v>
      </c>
      <c r="BD145" s="13">
        <f>[1]!shannonweaver(J145:BB145)</f>
        <v>1.2148896539491205</v>
      </c>
    </row>
    <row r="146" spans="1:56">
      <c r="A146" t="s">
        <v>182</v>
      </c>
      <c r="B146" t="s">
        <v>183</v>
      </c>
      <c r="C146" t="s">
        <v>184</v>
      </c>
      <c r="D146" s="13" t="s">
        <v>319</v>
      </c>
      <c r="E146" s="13" t="s">
        <v>283</v>
      </c>
      <c r="F146" s="13">
        <v>0</v>
      </c>
      <c r="G146" s="13">
        <v>0</v>
      </c>
      <c r="H146" s="13">
        <v>0</v>
      </c>
      <c r="I146" s="13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13">
        <v>1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13">
        <v>2</v>
      </c>
      <c r="AC146" s="32">
        <v>0</v>
      </c>
      <c r="AD146" s="32">
        <v>0</v>
      </c>
      <c r="AE146" s="32">
        <v>0</v>
      </c>
      <c r="AF146" s="32">
        <v>0</v>
      </c>
      <c r="AG146" s="13">
        <v>3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32">
        <v>0</v>
      </c>
      <c r="BB146" s="32">
        <v>0</v>
      </c>
      <c r="BC146">
        <f t="shared" si="2"/>
        <v>3</v>
      </c>
      <c r="BD146" s="13">
        <f>[1]!shannonweaver(J146:BB146)</f>
        <v>1.0114042647073518</v>
      </c>
    </row>
    <row r="147" spans="1:56">
      <c r="A147" t="s">
        <v>185</v>
      </c>
      <c r="B147" t="s">
        <v>183</v>
      </c>
      <c r="C147" t="s">
        <v>184</v>
      </c>
      <c r="D147" s="13" t="s">
        <v>319</v>
      </c>
      <c r="E147" s="13" t="s">
        <v>283</v>
      </c>
      <c r="F147" s="13">
        <v>0</v>
      </c>
      <c r="G147" s="13">
        <v>0</v>
      </c>
      <c r="H147" s="13">
        <v>0</v>
      </c>
      <c r="I147" s="13">
        <v>0</v>
      </c>
      <c r="J147" s="13">
        <v>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13">
        <v>2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>
        <f t="shared" si="2"/>
        <v>2</v>
      </c>
      <c r="BD147" s="13">
        <f>[1]!shannonweaver(J147:BB147)</f>
        <v>0.63651416829481278</v>
      </c>
    </row>
    <row r="148" spans="1:56">
      <c r="A148" t="s">
        <v>186</v>
      </c>
      <c r="B148" t="s">
        <v>183</v>
      </c>
      <c r="C148" t="s">
        <v>184</v>
      </c>
      <c r="D148" s="13" t="s">
        <v>319</v>
      </c>
      <c r="E148" s="13" t="s">
        <v>283</v>
      </c>
      <c r="F148" s="13">
        <v>0</v>
      </c>
      <c r="G148" s="13">
        <v>0</v>
      </c>
      <c r="H148" s="13">
        <v>0</v>
      </c>
      <c r="I148" s="13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>
        <f t="shared" si="2"/>
        <v>0</v>
      </c>
      <c r="BD148" s="13" t="e">
        <f>[1]!shannonweaver(J148:BB148)</f>
        <v>#VALUE!</v>
      </c>
    </row>
    <row r="149" spans="1:56">
      <c r="A149" t="s">
        <v>187</v>
      </c>
      <c r="B149" t="s">
        <v>183</v>
      </c>
      <c r="C149" t="s">
        <v>184</v>
      </c>
      <c r="D149" s="13" t="s">
        <v>319</v>
      </c>
      <c r="E149" s="13" t="s">
        <v>283</v>
      </c>
      <c r="F149" s="13">
        <v>0</v>
      </c>
      <c r="G149" s="13">
        <v>0</v>
      </c>
      <c r="H149" s="13">
        <v>0</v>
      </c>
      <c r="I149" s="13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13">
        <v>2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13">
        <v>1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32">
        <v>0</v>
      </c>
      <c r="BB149" s="32">
        <v>0</v>
      </c>
      <c r="BC149">
        <f t="shared" si="2"/>
        <v>2</v>
      </c>
      <c r="BD149" s="13">
        <f>[1]!shannonweaver(J149:BB149)</f>
        <v>0.63651416829481278</v>
      </c>
    </row>
    <row r="150" spans="1:56">
      <c r="A150" t="s">
        <v>188</v>
      </c>
      <c r="B150" t="s">
        <v>183</v>
      </c>
      <c r="C150" t="s">
        <v>184</v>
      </c>
      <c r="D150" s="13" t="s">
        <v>319</v>
      </c>
      <c r="E150" s="13" t="s">
        <v>283</v>
      </c>
      <c r="F150" s="13">
        <v>0</v>
      </c>
      <c r="G150" s="13">
        <v>0</v>
      </c>
      <c r="H150" s="13">
        <v>0</v>
      </c>
      <c r="I150" s="13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13">
        <v>1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>
        <f t="shared" si="2"/>
        <v>1</v>
      </c>
      <c r="BD150" s="13">
        <f>[1]!shannonweaver(J150:BB150)</f>
        <v>0</v>
      </c>
    </row>
    <row r="151" spans="1:56">
      <c r="A151" t="s">
        <v>189</v>
      </c>
      <c r="B151" t="s">
        <v>183</v>
      </c>
      <c r="C151" t="s">
        <v>184</v>
      </c>
      <c r="D151" s="13" t="s">
        <v>319</v>
      </c>
      <c r="E151" s="13" t="s">
        <v>283</v>
      </c>
      <c r="F151" s="13">
        <v>0</v>
      </c>
      <c r="G151" s="13">
        <v>0</v>
      </c>
      <c r="H151" s="13">
        <v>0</v>
      </c>
      <c r="I151" s="13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13">
        <v>4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32">
        <v>0</v>
      </c>
      <c r="AW151" s="13">
        <v>1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>
        <f t="shared" si="2"/>
        <v>2</v>
      </c>
      <c r="BD151" s="13">
        <f>[1]!shannonweaver(J151:BB151)</f>
        <v>0.50040242353818787</v>
      </c>
    </row>
    <row r="152" spans="1:56">
      <c r="A152" t="s">
        <v>190</v>
      </c>
      <c r="B152" t="s">
        <v>183</v>
      </c>
      <c r="C152" t="s">
        <v>191</v>
      </c>
      <c r="D152" s="13" t="s">
        <v>319</v>
      </c>
      <c r="E152" s="13" t="s">
        <v>283</v>
      </c>
      <c r="F152" s="13">
        <v>0</v>
      </c>
      <c r="G152" s="13">
        <v>0</v>
      </c>
      <c r="H152" s="13">
        <v>0</v>
      </c>
      <c r="I152" s="13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>
        <f t="shared" si="2"/>
        <v>0</v>
      </c>
      <c r="BD152" s="13">
        <v>0</v>
      </c>
    </row>
    <row r="153" spans="1:56">
      <c r="A153" t="s">
        <v>192</v>
      </c>
      <c r="B153" t="s">
        <v>183</v>
      </c>
      <c r="C153" t="s">
        <v>191</v>
      </c>
      <c r="D153" s="13" t="s">
        <v>319</v>
      </c>
      <c r="E153" s="13" t="s">
        <v>283</v>
      </c>
      <c r="F153" s="13">
        <v>0</v>
      </c>
      <c r="G153" s="13">
        <v>0</v>
      </c>
      <c r="H153" s="13">
        <v>0</v>
      </c>
      <c r="I153" s="13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>
        <f t="shared" si="2"/>
        <v>0</v>
      </c>
      <c r="BD153" s="13" t="e">
        <f>[1]!shannonweaver(J153:BB153)</f>
        <v>#VALUE!</v>
      </c>
    </row>
    <row r="154" spans="1:56">
      <c r="A154" t="s">
        <v>193</v>
      </c>
      <c r="B154" t="s">
        <v>183</v>
      </c>
      <c r="C154" t="s">
        <v>191</v>
      </c>
      <c r="D154" s="13" t="s">
        <v>319</v>
      </c>
      <c r="E154" s="13" t="s">
        <v>283</v>
      </c>
      <c r="F154" s="13">
        <v>0</v>
      </c>
      <c r="G154" s="13">
        <v>0</v>
      </c>
      <c r="H154" s="13">
        <v>0</v>
      </c>
      <c r="I154" s="13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32">
        <v>0</v>
      </c>
      <c r="AU154" s="13">
        <v>1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>
        <f t="shared" si="2"/>
        <v>1</v>
      </c>
      <c r="BD154" s="13">
        <f>[1]!shannonweaver(J154:BB154)</f>
        <v>0</v>
      </c>
    </row>
    <row r="155" spans="1:56">
      <c r="A155" t="s">
        <v>12</v>
      </c>
      <c r="B155" t="s">
        <v>183</v>
      </c>
      <c r="C155" t="s">
        <v>191</v>
      </c>
      <c r="D155" s="13" t="s">
        <v>319</v>
      </c>
      <c r="E155" s="13" t="s">
        <v>283</v>
      </c>
      <c r="F155" s="13">
        <v>0</v>
      </c>
      <c r="G155" s="13">
        <v>0</v>
      </c>
      <c r="H155" s="13">
        <v>0</v>
      </c>
      <c r="I155" s="13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13">
        <v>1</v>
      </c>
      <c r="U155" s="32">
        <v>0</v>
      </c>
      <c r="V155" s="13">
        <v>1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13">
        <v>1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>
        <f t="shared" si="2"/>
        <v>3</v>
      </c>
      <c r="BD155" s="13">
        <f>[1]!shannonweaver(J155:BB155)</f>
        <v>1.0986122886681096</v>
      </c>
    </row>
    <row r="156" spans="1:56">
      <c r="A156" t="s">
        <v>13</v>
      </c>
      <c r="B156" t="s">
        <v>183</v>
      </c>
      <c r="C156" t="s">
        <v>191</v>
      </c>
      <c r="D156" s="13" t="s">
        <v>319</v>
      </c>
      <c r="E156" s="13" t="s">
        <v>283</v>
      </c>
      <c r="F156" s="13">
        <v>0</v>
      </c>
      <c r="G156" s="13">
        <v>0</v>
      </c>
      <c r="H156" s="13">
        <v>0</v>
      </c>
      <c r="I156" s="13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13">
        <v>1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13">
        <v>3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>
        <f t="shared" si="2"/>
        <v>2</v>
      </c>
      <c r="BD156" s="13">
        <f>[1]!shannonweaver(J156:BB156)</f>
        <v>0.56233514461880829</v>
      </c>
    </row>
    <row r="157" spans="1:56">
      <c r="A157" t="s">
        <v>14</v>
      </c>
      <c r="B157" t="s">
        <v>183</v>
      </c>
      <c r="C157" t="s">
        <v>191</v>
      </c>
      <c r="D157" s="13" t="s">
        <v>319</v>
      </c>
      <c r="E157" s="13" t="s">
        <v>283</v>
      </c>
      <c r="F157" s="13">
        <v>0</v>
      </c>
      <c r="G157" s="13">
        <v>0</v>
      </c>
      <c r="H157" s="13">
        <v>0</v>
      </c>
      <c r="I157" s="13">
        <v>0</v>
      </c>
      <c r="J157" s="32">
        <v>0</v>
      </c>
      <c r="K157" s="32">
        <v>0</v>
      </c>
      <c r="L157" s="32">
        <v>0</v>
      </c>
      <c r="M157" s="32">
        <v>0</v>
      </c>
      <c r="N157" s="13">
        <v>1</v>
      </c>
      <c r="O157" s="32">
        <v>0</v>
      </c>
      <c r="P157" s="32">
        <v>0</v>
      </c>
      <c r="Q157" s="32">
        <v>0</v>
      </c>
      <c r="R157" s="32">
        <v>0</v>
      </c>
      <c r="S157" s="13">
        <v>1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32">
        <v>0</v>
      </c>
      <c r="AP157" s="13">
        <v>1</v>
      </c>
      <c r="AQ157" s="32">
        <v>0</v>
      </c>
      <c r="AR157" s="32">
        <v>0</v>
      </c>
      <c r="AS157" s="13">
        <v>1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>
        <f t="shared" si="2"/>
        <v>4</v>
      </c>
      <c r="BD157" s="13">
        <f>[1]!shannonweaver(J157:BB157)</f>
        <v>1.3862943611198906</v>
      </c>
    </row>
    <row r="158" spans="1:56">
      <c r="A158" t="s">
        <v>15</v>
      </c>
      <c r="B158" t="s">
        <v>183</v>
      </c>
      <c r="C158" t="s">
        <v>255</v>
      </c>
      <c r="D158" s="13" t="s">
        <v>319</v>
      </c>
      <c r="E158" s="13" t="s">
        <v>283</v>
      </c>
      <c r="F158" s="13">
        <v>0</v>
      </c>
      <c r="G158" s="13">
        <v>0</v>
      </c>
      <c r="H158" s="13">
        <v>0</v>
      </c>
      <c r="I158" s="13">
        <v>0</v>
      </c>
      <c r="J158" s="32">
        <v>0</v>
      </c>
      <c r="K158" s="32">
        <v>0</v>
      </c>
      <c r="L158" s="13">
        <v>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13">
        <v>1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32">
        <v>0</v>
      </c>
      <c r="AX158" s="13">
        <v>1</v>
      </c>
      <c r="AY158" s="32">
        <v>0</v>
      </c>
      <c r="AZ158" s="32">
        <v>0</v>
      </c>
      <c r="BA158" s="32">
        <v>0</v>
      </c>
      <c r="BB158" s="32">
        <v>0</v>
      </c>
      <c r="BC158">
        <f t="shared" si="2"/>
        <v>3</v>
      </c>
      <c r="BD158" s="13">
        <f>[1]!shannonweaver(J158:BB158)</f>
        <v>1.0986122886681096</v>
      </c>
    </row>
    <row r="159" spans="1:56">
      <c r="A159" t="s">
        <v>256</v>
      </c>
      <c r="B159" t="s">
        <v>183</v>
      </c>
      <c r="C159" t="s">
        <v>255</v>
      </c>
      <c r="D159" s="13" t="s">
        <v>319</v>
      </c>
      <c r="E159" s="13" t="s">
        <v>283</v>
      </c>
      <c r="F159" s="13">
        <v>0</v>
      </c>
      <c r="G159" s="13">
        <v>0</v>
      </c>
      <c r="H159" s="13">
        <v>0</v>
      </c>
      <c r="I159" s="13">
        <v>0</v>
      </c>
      <c r="J159" s="32">
        <v>0</v>
      </c>
      <c r="K159" s="32">
        <v>0</v>
      </c>
      <c r="L159" s="13">
        <v>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>
        <f t="shared" si="2"/>
        <v>1</v>
      </c>
      <c r="BD159" s="13">
        <f>[1]!shannonweaver(J159:BB159)</f>
        <v>0</v>
      </c>
    </row>
    <row r="160" spans="1:56">
      <c r="A160" t="s">
        <v>257</v>
      </c>
      <c r="B160" t="s">
        <v>183</v>
      </c>
      <c r="C160" t="s">
        <v>255</v>
      </c>
      <c r="D160" s="13" t="s">
        <v>319</v>
      </c>
      <c r="E160" s="13" t="s">
        <v>283</v>
      </c>
      <c r="F160" s="13">
        <v>0</v>
      </c>
      <c r="G160" s="13">
        <v>0</v>
      </c>
      <c r="H160" s="13">
        <v>0</v>
      </c>
      <c r="I160" s="13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>
        <f t="shared" si="2"/>
        <v>0</v>
      </c>
      <c r="BD160" s="13">
        <v>0</v>
      </c>
    </row>
    <row r="161" spans="1:56">
      <c r="A161" t="s">
        <v>258</v>
      </c>
      <c r="B161" t="s">
        <v>183</v>
      </c>
      <c r="C161" t="s">
        <v>255</v>
      </c>
      <c r="D161" s="13" t="s">
        <v>319</v>
      </c>
      <c r="E161" s="13" t="s">
        <v>283</v>
      </c>
      <c r="F161" s="13">
        <v>0</v>
      </c>
      <c r="G161" s="13">
        <v>0</v>
      </c>
      <c r="H161" s="13">
        <v>0</v>
      </c>
      <c r="I161" s="13">
        <v>0</v>
      </c>
      <c r="J161" s="32">
        <v>0</v>
      </c>
      <c r="K161" s="32">
        <v>0</v>
      </c>
      <c r="L161" s="13">
        <v>1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>
        <f t="shared" si="2"/>
        <v>1</v>
      </c>
      <c r="BD161" s="13">
        <f>[1]!shannonweaver(J161:BB161)</f>
        <v>0</v>
      </c>
    </row>
    <row r="162" spans="1:56">
      <c r="A162" t="s">
        <v>259</v>
      </c>
      <c r="B162" t="s">
        <v>183</v>
      </c>
      <c r="C162" t="s">
        <v>255</v>
      </c>
      <c r="D162" s="13" t="s">
        <v>319</v>
      </c>
      <c r="E162" s="13" t="s">
        <v>283</v>
      </c>
      <c r="F162" s="13">
        <v>0</v>
      </c>
      <c r="G162" s="13">
        <v>0</v>
      </c>
      <c r="H162" s="13">
        <v>0</v>
      </c>
      <c r="I162" s="13">
        <v>0</v>
      </c>
      <c r="J162" s="32">
        <v>0</v>
      </c>
      <c r="K162" s="32">
        <v>0</v>
      </c>
      <c r="L162" s="13">
        <v>1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2">
        <v>0</v>
      </c>
      <c r="AU162" s="32">
        <v>0</v>
      </c>
      <c r="AV162" s="32">
        <v>0</v>
      </c>
      <c r="AW162" s="32">
        <v>0</v>
      </c>
      <c r="AX162" s="32">
        <v>0</v>
      </c>
      <c r="AY162" s="32">
        <v>0</v>
      </c>
      <c r="AZ162" s="32">
        <v>0</v>
      </c>
      <c r="BA162" s="32">
        <v>0</v>
      </c>
      <c r="BB162" s="32">
        <v>0</v>
      </c>
      <c r="BC162">
        <f t="shared" si="2"/>
        <v>1</v>
      </c>
      <c r="BD162" s="13">
        <f>[1]!shannonweaver(J162:BB162)</f>
        <v>0</v>
      </c>
    </row>
    <row r="163" spans="1:56">
      <c r="A163" t="s">
        <v>260</v>
      </c>
      <c r="B163" t="s">
        <v>183</v>
      </c>
      <c r="C163" t="s">
        <v>255</v>
      </c>
      <c r="D163" s="13" t="s">
        <v>319</v>
      </c>
      <c r="E163" s="13" t="s">
        <v>283</v>
      </c>
      <c r="F163" s="13">
        <v>0</v>
      </c>
      <c r="G163" s="13">
        <v>0</v>
      </c>
      <c r="H163" s="13">
        <v>0</v>
      </c>
      <c r="I163" s="13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32">
        <v>0</v>
      </c>
      <c r="AW163" s="13">
        <v>1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>
        <f t="shared" si="2"/>
        <v>1</v>
      </c>
      <c r="BD163" s="13">
        <f>[1]!shannonweaver(J163:BB163)</f>
        <v>0</v>
      </c>
    </row>
    <row r="164" spans="1:56">
      <c r="A164" t="s">
        <v>261</v>
      </c>
      <c r="B164" t="s">
        <v>183</v>
      </c>
      <c r="C164" t="s">
        <v>262</v>
      </c>
      <c r="D164" s="13" t="s">
        <v>320</v>
      </c>
      <c r="E164" s="13" t="s">
        <v>283</v>
      </c>
      <c r="F164" s="13">
        <v>0</v>
      </c>
      <c r="G164" s="13">
        <v>0</v>
      </c>
      <c r="H164" s="13">
        <v>0</v>
      </c>
      <c r="I164" s="13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0</v>
      </c>
      <c r="AB164" s="13">
        <v>1</v>
      </c>
      <c r="AC164" s="32">
        <v>0</v>
      </c>
      <c r="AD164" s="32">
        <v>0</v>
      </c>
      <c r="AE164" s="32">
        <v>0</v>
      </c>
      <c r="AF164" s="32">
        <v>0</v>
      </c>
      <c r="AG164" s="32">
        <v>0</v>
      </c>
      <c r="AH164" s="32">
        <v>0</v>
      </c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2">
        <v>0</v>
      </c>
      <c r="AX164" s="32">
        <v>0</v>
      </c>
      <c r="AY164" s="32">
        <v>0</v>
      </c>
      <c r="AZ164" s="32">
        <v>0</v>
      </c>
      <c r="BA164" s="32">
        <v>0</v>
      </c>
      <c r="BB164" s="32">
        <v>0</v>
      </c>
      <c r="BC164">
        <f t="shared" si="2"/>
        <v>1</v>
      </c>
      <c r="BD164" s="13">
        <f>[1]!shannonweaver(J164:BB164)</f>
        <v>0</v>
      </c>
    </row>
    <row r="165" spans="1:56">
      <c r="A165" t="s">
        <v>263</v>
      </c>
      <c r="B165" t="s">
        <v>183</v>
      </c>
      <c r="C165" t="s">
        <v>262</v>
      </c>
      <c r="D165" s="13" t="s">
        <v>320</v>
      </c>
      <c r="E165" s="13" t="s">
        <v>283</v>
      </c>
      <c r="F165" s="13">
        <v>0</v>
      </c>
      <c r="G165" s="13">
        <v>0</v>
      </c>
      <c r="H165" s="13">
        <v>0</v>
      </c>
      <c r="I165" s="13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0</v>
      </c>
      <c r="AF165" s="32">
        <v>0</v>
      </c>
      <c r="AG165" s="13">
        <v>1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32">
        <v>0</v>
      </c>
      <c r="BB165" s="32">
        <v>0</v>
      </c>
      <c r="BC165">
        <f t="shared" si="2"/>
        <v>1</v>
      </c>
      <c r="BD165" s="13">
        <f>[1]!shannonweaver(J165:BB165)</f>
        <v>0</v>
      </c>
    </row>
    <row r="166" spans="1:56">
      <c r="A166" t="s">
        <v>264</v>
      </c>
      <c r="B166" t="s">
        <v>183</v>
      </c>
      <c r="C166" t="s">
        <v>262</v>
      </c>
      <c r="D166" s="13" t="s">
        <v>320</v>
      </c>
      <c r="E166" s="13" t="s">
        <v>283</v>
      </c>
      <c r="F166" s="13">
        <v>0</v>
      </c>
      <c r="G166" s="13">
        <v>0</v>
      </c>
      <c r="H166" s="13">
        <v>0</v>
      </c>
      <c r="I166" s="13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>
        <f t="shared" si="2"/>
        <v>0</v>
      </c>
      <c r="BD166" s="13">
        <v>0</v>
      </c>
    </row>
    <row r="167" spans="1:56">
      <c r="A167" t="s">
        <v>265</v>
      </c>
      <c r="B167" t="s">
        <v>183</v>
      </c>
      <c r="C167" t="s">
        <v>262</v>
      </c>
      <c r="D167" s="13" t="s">
        <v>320</v>
      </c>
      <c r="E167" s="13" t="s">
        <v>283</v>
      </c>
      <c r="F167" s="13">
        <v>0</v>
      </c>
      <c r="G167" s="13">
        <v>0</v>
      </c>
      <c r="H167" s="13">
        <v>0</v>
      </c>
      <c r="I167" s="13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0</v>
      </c>
      <c r="AB167" s="32">
        <v>0</v>
      </c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32">
        <v>0</v>
      </c>
      <c r="AK167" s="13">
        <v>1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2">
        <v>0</v>
      </c>
      <c r="BA167" s="32">
        <v>0</v>
      </c>
      <c r="BB167" s="32">
        <v>0</v>
      </c>
      <c r="BC167">
        <f t="shared" si="2"/>
        <v>1</v>
      </c>
      <c r="BD167" s="13">
        <f>[1]!shannonweaver(J167:BB167)</f>
        <v>0</v>
      </c>
    </row>
    <row r="168" spans="1:56">
      <c r="A168" t="s">
        <v>266</v>
      </c>
      <c r="B168" t="s">
        <v>183</v>
      </c>
      <c r="C168" t="s">
        <v>262</v>
      </c>
      <c r="D168" s="13" t="s">
        <v>320</v>
      </c>
      <c r="E168" s="13" t="s">
        <v>283</v>
      </c>
      <c r="F168" s="13">
        <v>0</v>
      </c>
      <c r="G168" s="13">
        <v>0</v>
      </c>
      <c r="H168" s="13">
        <v>0</v>
      </c>
      <c r="I168" s="13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13">
        <v>2</v>
      </c>
      <c r="Z168" s="32">
        <v>0</v>
      </c>
      <c r="AA168" s="32">
        <v>0</v>
      </c>
      <c r="AB168" s="13">
        <v>1</v>
      </c>
      <c r="AC168" s="32">
        <v>0</v>
      </c>
      <c r="AD168" s="32">
        <v>0</v>
      </c>
      <c r="AE168" s="32">
        <v>0</v>
      </c>
      <c r="AF168" s="32">
        <v>0</v>
      </c>
      <c r="AG168" s="32">
        <v>0</v>
      </c>
      <c r="AH168" s="32">
        <v>0</v>
      </c>
      <c r="AI168" s="32">
        <v>0</v>
      </c>
      <c r="AJ168" s="32">
        <v>0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2">
        <v>0</v>
      </c>
      <c r="BA168" s="32">
        <v>0</v>
      </c>
      <c r="BB168" s="32">
        <v>0</v>
      </c>
      <c r="BC168">
        <f t="shared" si="2"/>
        <v>2</v>
      </c>
      <c r="BD168" s="13">
        <f>[1]!shannonweaver(J168:BB168)</f>
        <v>0.63651416829481278</v>
      </c>
    </row>
    <row r="169" spans="1:56">
      <c r="A169" t="s">
        <v>267</v>
      </c>
      <c r="B169" t="s">
        <v>183</v>
      </c>
      <c r="C169" t="s">
        <v>262</v>
      </c>
      <c r="D169" s="13" t="s">
        <v>320</v>
      </c>
      <c r="E169" s="13" t="s">
        <v>283</v>
      </c>
      <c r="F169" s="13">
        <v>0</v>
      </c>
      <c r="G169" s="13">
        <v>0</v>
      </c>
      <c r="H169" s="13">
        <v>0</v>
      </c>
      <c r="I169" s="13">
        <v>0</v>
      </c>
      <c r="J169" s="32">
        <v>0</v>
      </c>
      <c r="K169" s="32">
        <v>0</v>
      </c>
      <c r="L169" s="13">
        <v>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>
        <v>0</v>
      </c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2">
        <v>0</v>
      </c>
      <c r="BA169" s="32">
        <v>0</v>
      </c>
      <c r="BB169" s="32">
        <v>0</v>
      </c>
      <c r="BC169">
        <f t="shared" si="2"/>
        <v>1</v>
      </c>
      <c r="BD169" s="13">
        <f>[1]!shannonweaver(J169:BB169)</f>
        <v>0</v>
      </c>
    </row>
    <row r="170" spans="1:56">
      <c r="A170" t="s">
        <v>268</v>
      </c>
      <c r="B170" t="s">
        <v>183</v>
      </c>
      <c r="C170" t="s">
        <v>269</v>
      </c>
      <c r="D170" s="13" t="s">
        <v>320</v>
      </c>
      <c r="E170" s="13" t="s">
        <v>283</v>
      </c>
      <c r="F170" s="13">
        <v>0</v>
      </c>
      <c r="G170" s="13">
        <v>0</v>
      </c>
      <c r="H170" s="13">
        <v>0</v>
      </c>
      <c r="I170" s="13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  <c r="AD170" s="32">
        <v>0</v>
      </c>
      <c r="AE170" s="32">
        <v>0</v>
      </c>
      <c r="AF170" s="32">
        <v>0</v>
      </c>
      <c r="AG170" s="32">
        <v>0</v>
      </c>
      <c r="AH170" s="32">
        <v>0</v>
      </c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2">
        <v>0</v>
      </c>
      <c r="BA170" s="32">
        <v>0</v>
      </c>
      <c r="BB170" s="32">
        <v>0</v>
      </c>
      <c r="BC170">
        <f t="shared" si="2"/>
        <v>0</v>
      </c>
      <c r="BD170" s="13" t="e">
        <f>[1]!shannonweaver(J170:BB170)</f>
        <v>#VALUE!</v>
      </c>
    </row>
    <row r="171" spans="1:56">
      <c r="A171" t="s">
        <v>39</v>
      </c>
      <c r="B171" t="s">
        <v>183</v>
      </c>
      <c r="C171" t="s">
        <v>269</v>
      </c>
      <c r="D171" s="13" t="s">
        <v>320</v>
      </c>
      <c r="E171" s="13" t="s">
        <v>283</v>
      </c>
      <c r="F171" s="13">
        <v>0</v>
      </c>
      <c r="G171" s="13">
        <v>0</v>
      </c>
      <c r="H171" s="13">
        <v>0</v>
      </c>
      <c r="I171" s="13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13">
        <v>1</v>
      </c>
      <c r="U171" s="32">
        <v>0</v>
      </c>
      <c r="V171" s="32">
        <v>0</v>
      </c>
      <c r="W171" s="32">
        <v>0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2">
        <v>0</v>
      </c>
      <c r="BA171" s="32">
        <v>0</v>
      </c>
      <c r="BB171" s="32">
        <v>0</v>
      </c>
      <c r="BC171">
        <f t="shared" si="2"/>
        <v>1</v>
      </c>
      <c r="BD171" s="13">
        <f>[1]!shannonweaver(J171:BB171)</f>
        <v>0</v>
      </c>
    </row>
    <row r="172" spans="1:56">
      <c r="A172" t="s">
        <v>40</v>
      </c>
      <c r="B172" t="s">
        <v>183</v>
      </c>
      <c r="C172" t="s">
        <v>269</v>
      </c>
      <c r="D172" s="13" t="s">
        <v>320</v>
      </c>
      <c r="E172" s="13" t="s">
        <v>283</v>
      </c>
      <c r="F172" s="13">
        <v>0</v>
      </c>
      <c r="G172" s="13">
        <v>0</v>
      </c>
      <c r="H172" s="13">
        <v>0</v>
      </c>
      <c r="I172" s="13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>
        <f t="shared" si="2"/>
        <v>0</v>
      </c>
      <c r="BD172" s="13" t="e">
        <f>[1]!shannonweaver(J172:BB172)</f>
        <v>#VALUE!</v>
      </c>
    </row>
    <row r="173" spans="1:56">
      <c r="A173" t="s">
        <v>41</v>
      </c>
      <c r="B173" t="s">
        <v>183</v>
      </c>
      <c r="C173" t="s">
        <v>269</v>
      </c>
      <c r="D173" s="13" t="s">
        <v>320</v>
      </c>
      <c r="E173" s="13" t="s">
        <v>283</v>
      </c>
      <c r="F173" s="13">
        <v>0</v>
      </c>
      <c r="G173" s="13">
        <v>0</v>
      </c>
      <c r="H173" s="13">
        <v>0</v>
      </c>
      <c r="I173" s="13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>
        <f t="shared" si="2"/>
        <v>0</v>
      </c>
      <c r="BD173" s="13" t="e">
        <f>[1]!shannonweaver(J173:BB173)</f>
        <v>#VALUE!</v>
      </c>
    </row>
    <row r="174" spans="1:56">
      <c r="A174" t="s">
        <v>42</v>
      </c>
      <c r="B174" t="s">
        <v>183</v>
      </c>
      <c r="C174" t="s">
        <v>269</v>
      </c>
      <c r="D174" s="13" t="s">
        <v>320</v>
      </c>
      <c r="E174" s="13" t="s">
        <v>283</v>
      </c>
      <c r="F174" s="13">
        <v>0</v>
      </c>
      <c r="G174" s="13">
        <v>0</v>
      </c>
      <c r="H174" s="13">
        <v>0</v>
      </c>
      <c r="I174" s="13">
        <v>0</v>
      </c>
      <c r="J174" s="32">
        <v>0</v>
      </c>
      <c r="K174" s="32">
        <v>0</v>
      </c>
      <c r="L174" s="13">
        <v>1</v>
      </c>
      <c r="M174" s="32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>
        <v>0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>
        <f t="shared" si="2"/>
        <v>1</v>
      </c>
      <c r="BD174" s="13">
        <f>[1]!shannonweaver(J174:BB174)</f>
        <v>0</v>
      </c>
    </row>
    <row r="175" spans="1:56">
      <c r="A175" t="s">
        <v>43</v>
      </c>
      <c r="B175" t="s">
        <v>183</v>
      </c>
      <c r="C175" t="s">
        <v>269</v>
      </c>
      <c r="D175" s="13" t="s">
        <v>320</v>
      </c>
      <c r="E175" s="13" t="s">
        <v>283</v>
      </c>
      <c r="F175" s="13">
        <v>0</v>
      </c>
      <c r="G175" s="13">
        <v>0</v>
      </c>
      <c r="H175" s="13">
        <v>0</v>
      </c>
      <c r="I175" s="13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>
        <f t="shared" si="2"/>
        <v>0</v>
      </c>
      <c r="BD175" s="13">
        <v>0</v>
      </c>
    </row>
    <row r="176" spans="1:56">
      <c r="A176" t="s">
        <v>44</v>
      </c>
      <c r="B176" t="s">
        <v>183</v>
      </c>
      <c r="C176" t="s">
        <v>45</v>
      </c>
      <c r="D176" s="13" t="s">
        <v>320</v>
      </c>
      <c r="E176" s="13" t="s">
        <v>283</v>
      </c>
      <c r="F176" s="13">
        <v>0</v>
      </c>
      <c r="G176" s="13">
        <v>0</v>
      </c>
      <c r="H176" s="13">
        <v>0</v>
      </c>
      <c r="I176" s="13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>
        <f t="shared" si="2"/>
        <v>0</v>
      </c>
      <c r="BD176" s="13">
        <v>0</v>
      </c>
    </row>
    <row r="177" spans="1:56">
      <c r="A177" t="s">
        <v>46</v>
      </c>
      <c r="B177" t="s">
        <v>183</v>
      </c>
      <c r="C177" t="s">
        <v>45</v>
      </c>
      <c r="D177" s="13" t="s">
        <v>320</v>
      </c>
      <c r="E177" s="13" t="s">
        <v>283</v>
      </c>
      <c r="F177" s="13">
        <v>0</v>
      </c>
      <c r="G177" s="13">
        <v>0</v>
      </c>
      <c r="H177" s="13">
        <v>0</v>
      </c>
      <c r="I177" s="13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13">
        <v>1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0</v>
      </c>
      <c r="AQ177" s="32">
        <v>0</v>
      </c>
      <c r="AR177" s="13">
        <v>1</v>
      </c>
      <c r="AS177" s="32">
        <v>0</v>
      </c>
      <c r="AT177" s="32">
        <v>0</v>
      </c>
      <c r="AU177" s="32">
        <v>0</v>
      </c>
      <c r="AV177" s="32">
        <v>0</v>
      </c>
      <c r="AW177" s="32">
        <v>0</v>
      </c>
      <c r="AX177" s="32">
        <v>0</v>
      </c>
      <c r="AY177" s="32">
        <v>0</v>
      </c>
      <c r="AZ177" s="32">
        <v>0</v>
      </c>
      <c r="BA177" s="32">
        <v>0</v>
      </c>
      <c r="BB177" s="32">
        <v>0</v>
      </c>
      <c r="BC177">
        <f t="shared" si="2"/>
        <v>2</v>
      </c>
      <c r="BD177" s="13">
        <f>[1]!shannonweaver(J177:BB177)</f>
        <v>0.69314718055994529</v>
      </c>
    </row>
    <row r="178" spans="1:56">
      <c r="A178" t="s">
        <v>47</v>
      </c>
      <c r="B178" t="s">
        <v>183</v>
      </c>
      <c r="C178" t="s">
        <v>45</v>
      </c>
      <c r="D178" s="13" t="s">
        <v>320</v>
      </c>
      <c r="E178" s="13" t="s">
        <v>283</v>
      </c>
      <c r="F178" s="13">
        <v>0</v>
      </c>
      <c r="G178" s="13">
        <v>0</v>
      </c>
      <c r="H178" s="13">
        <v>0</v>
      </c>
      <c r="I178" s="13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32">
        <v>0</v>
      </c>
      <c r="AI178" s="13">
        <v>1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>
        <f t="shared" si="2"/>
        <v>1</v>
      </c>
      <c r="BD178" s="13">
        <f>[1]!shannonweaver(J178:BB178)</f>
        <v>0</v>
      </c>
    </row>
    <row r="179" spans="1:56">
      <c r="A179" t="s">
        <v>48</v>
      </c>
      <c r="B179" t="s">
        <v>183</v>
      </c>
      <c r="C179" t="s">
        <v>45</v>
      </c>
      <c r="D179" s="13" t="s">
        <v>320</v>
      </c>
      <c r="E179" s="13" t="s">
        <v>283</v>
      </c>
      <c r="F179" s="13">
        <v>0</v>
      </c>
      <c r="G179" s="13">
        <v>0</v>
      </c>
      <c r="H179" s="13">
        <v>0</v>
      </c>
      <c r="I179" s="13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0</v>
      </c>
      <c r="AD179" s="32">
        <v>0</v>
      </c>
      <c r="AE179" s="32">
        <v>0</v>
      </c>
      <c r="AF179" s="32">
        <v>0</v>
      </c>
      <c r="AG179" s="32">
        <v>0</v>
      </c>
      <c r="AH179" s="32">
        <v>0</v>
      </c>
      <c r="AI179" s="32">
        <v>0</v>
      </c>
      <c r="AJ179" s="32">
        <v>0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0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>
        <f t="shared" si="2"/>
        <v>0</v>
      </c>
      <c r="BD179" s="13">
        <v>0</v>
      </c>
    </row>
    <row r="180" spans="1:56">
      <c r="A180" t="s">
        <v>49</v>
      </c>
      <c r="B180" t="s">
        <v>183</v>
      </c>
      <c r="C180" t="s">
        <v>45</v>
      </c>
      <c r="D180" s="13" t="s">
        <v>320</v>
      </c>
      <c r="E180" s="13" t="s">
        <v>283</v>
      </c>
      <c r="F180" s="13">
        <v>0</v>
      </c>
      <c r="G180" s="13">
        <v>0</v>
      </c>
      <c r="H180" s="13">
        <v>0</v>
      </c>
      <c r="I180" s="13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>
        <f t="shared" si="2"/>
        <v>0</v>
      </c>
      <c r="BD180" s="13" t="e">
        <f>[1]!shannonweaver(J180:BB180)</f>
        <v>#VALUE!</v>
      </c>
    </row>
    <row r="181" spans="1:56">
      <c r="A181" t="s">
        <v>50</v>
      </c>
      <c r="B181" t="s">
        <v>183</v>
      </c>
      <c r="C181" t="s">
        <v>45</v>
      </c>
      <c r="D181" s="13" t="s">
        <v>320</v>
      </c>
      <c r="E181" s="13" t="s">
        <v>283</v>
      </c>
      <c r="F181" s="13">
        <v>0</v>
      </c>
      <c r="G181" s="13">
        <v>0</v>
      </c>
      <c r="H181" s="13">
        <v>0</v>
      </c>
      <c r="I181" s="13">
        <v>0</v>
      </c>
      <c r="J181" s="32">
        <v>0</v>
      </c>
      <c r="K181" s="32">
        <v>0</v>
      </c>
      <c r="L181" s="32">
        <v>0</v>
      </c>
      <c r="M181" s="32">
        <v>0</v>
      </c>
      <c r="N181" s="13">
        <v>1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  <c r="AD181" s="32">
        <v>0</v>
      </c>
      <c r="AE181" s="32">
        <v>0</v>
      </c>
      <c r="AF181" s="32">
        <v>0</v>
      </c>
      <c r="AG181" s="32">
        <v>0</v>
      </c>
      <c r="AH181" s="32">
        <v>0</v>
      </c>
      <c r="AI181" s="32">
        <v>0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2">
        <v>0</v>
      </c>
      <c r="AX181" s="32">
        <v>0</v>
      </c>
      <c r="AY181" s="32">
        <v>0</v>
      </c>
      <c r="AZ181" s="32">
        <v>0</v>
      </c>
      <c r="BA181" s="32">
        <v>0</v>
      </c>
      <c r="BB181" s="32">
        <v>0</v>
      </c>
      <c r="BC181">
        <f t="shared" si="2"/>
        <v>1</v>
      </c>
      <c r="BD181" s="13">
        <f>[1]!shannonweaver(J181:BB181)</f>
        <v>0</v>
      </c>
    </row>
    <row r="182" spans="1:56">
      <c r="A182" t="s">
        <v>152</v>
      </c>
      <c r="B182" t="s">
        <v>183</v>
      </c>
      <c r="C182" t="s">
        <v>184</v>
      </c>
      <c r="D182" s="13" t="s">
        <v>319</v>
      </c>
      <c r="E182" s="13" t="s">
        <v>91</v>
      </c>
      <c r="F182" s="13">
        <v>0</v>
      </c>
      <c r="G182" s="13">
        <v>0</v>
      </c>
      <c r="H182" s="13">
        <v>0</v>
      </c>
      <c r="I182" s="13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>
        <f t="shared" si="2"/>
        <v>0</v>
      </c>
      <c r="BD182" s="13">
        <v>0</v>
      </c>
    </row>
    <row r="183" spans="1:56">
      <c r="A183" t="s">
        <v>153</v>
      </c>
      <c r="B183" t="s">
        <v>183</v>
      </c>
      <c r="C183" t="s">
        <v>184</v>
      </c>
      <c r="D183" s="13" t="s">
        <v>319</v>
      </c>
      <c r="E183" s="13" t="s">
        <v>91</v>
      </c>
      <c r="F183" s="13">
        <v>0</v>
      </c>
      <c r="G183" s="13">
        <v>0</v>
      </c>
      <c r="H183" s="13">
        <v>0</v>
      </c>
      <c r="I183" s="13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  <c r="X183" s="32">
        <v>0</v>
      </c>
      <c r="Y183" s="32">
        <v>0</v>
      </c>
      <c r="Z183" s="32">
        <v>0</v>
      </c>
      <c r="AA183" s="13">
        <v>1</v>
      </c>
      <c r="AB183" s="13">
        <v>1</v>
      </c>
      <c r="AC183" s="32">
        <v>0</v>
      </c>
      <c r="AD183" s="32">
        <v>0</v>
      </c>
      <c r="AE183" s="32">
        <v>0</v>
      </c>
      <c r="AF183" s="32">
        <v>0</v>
      </c>
      <c r="AG183" s="32">
        <v>0</v>
      </c>
      <c r="AH183" s="32">
        <v>0</v>
      </c>
      <c r="AI183" s="32">
        <v>0</v>
      </c>
      <c r="AJ183" s="32">
        <v>0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2">
        <v>0</v>
      </c>
      <c r="AX183" s="32">
        <v>0</v>
      </c>
      <c r="AY183" s="32">
        <v>0</v>
      </c>
      <c r="AZ183" s="32">
        <v>0</v>
      </c>
      <c r="BA183" s="32">
        <v>0</v>
      </c>
      <c r="BB183" s="32">
        <v>0</v>
      </c>
      <c r="BC183">
        <f t="shared" si="2"/>
        <v>2</v>
      </c>
      <c r="BD183" s="13">
        <f>[1]!shannonweaver(J183:BB183)</f>
        <v>0.69314718055994529</v>
      </c>
    </row>
    <row r="184" spans="1:56">
      <c r="A184" t="s">
        <v>154</v>
      </c>
      <c r="B184" t="s">
        <v>183</v>
      </c>
      <c r="C184" t="s">
        <v>184</v>
      </c>
      <c r="D184" s="13" t="s">
        <v>319</v>
      </c>
      <c r="E184" s="13" t="s">
        <v>91</v>
      </c>
      <c r="F184" s="13">
        <v>0</v>
      </c>
      <c r="G184" s="13">
        <v>0</v>
      </c>
      <c r="H184" s="13">
        <v>0</v>
      </c>
      <c r="I184" s="13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13">
        <v>1</v>
      </c>
      <c r="T184" s="32">
        <v>0</v>
      </c>
      <c r="U184" s="32">
        <v>0</v>
      </c>
      <c r="V184" s="32">
        <v>0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13">
        <v>1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>
        <f t="shared" si="2"/>
        <v>2</v>
      </c>
      <c r="BD184" s="13">
        <f>[1]!shannonweaver(J184:BB184)</f>
        <v>0.69314718055994529</v>
      </c>
    </row>
    <row r="185" spans="1:56">
      <c r="A185" t="s">
        <v>155</v>
      </c>
      <c r="B185" t="s">
        <v>183</v>
      </c>
      <c r="C185" t="s">
        <v>184</v>
      </c>
      <c r="D185" s="13" t="s">
        <v>319</v>
      </c>
      <c r="E185" s="13" t="s">
        <v>91</v>
      </c>
      <c r="F185" s="13">
        <v>0</v>
      </c>
      <c r="G185" s="13">
        <v>0</v>
      </c>
      <c r="H185" s="13">
        <v>0</v>
      </c>
      <c r="I185" s="13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0</v>
      </c>
      <c r="AD185" s="32">
        <v>0</v>
      </c>
      <c r="AE185" s="32">
        <v>0</v>
      </c>
      <c r="AF185" s="32">
        <v>0</v>
      </c>
      <c r="AG185" s="32">
        <v>0</v>
      </c>
      <c r="AH185" s="32">
        <v>0</v>
      </c>
      <c r="AI185" s="32">
        <v>0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2">
        <v>0</v>
      </c>
      <c r="AX185" s="32">
        <v>0</v>
      </c>
      <c r="AY185" s="32">
        <v>0</v>
      </c>
      <c r="AZ185" s="32">
        <v>0</v>
      </c>
      <c r="BA185" s="32">
        <v>0</v>
      </c>
      <c r="BB185" s="32">
        <v>0</v>
      </c>
      <c r="BC185">
        <f t="shared" si="2"/>
        <v>0</v>
      </c>
      <c r="BD185" s="13" t="e">
        <f>[1]!shannonweaver(J185:BB185)</f>
        <v>#VALUE!</v>
      </c>
    </row>
    <row r="186" spans="1:56">
      <c r="A186" t="s">
        <v>156</v>
      </c>
      <c r="B186" t="s">
        <v>183</v>
      </c>
      <c r="C186" t="s">
        <v>184</v>
      </c>
      <c r="D186" s="13" t="s">
        <v>319</v>
      </c>
      <c r="E186" s="13" t="s">
        <v>91</v>
      </c>
      <c r="F186" s="13">
        <v>0</v>
      </c>
      <c r="G186" s="13">
        <v>0</v>
      </c>
      <c r="H186" s="13">
        <v>0</v>
      </c>
      <c r="I186" s="13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13">
        <v>1</v>
      </c>
      <c r="T186" s="32">
        <v>0</v>
      </c>
      <c r="U186" s="32">
        <v>0</v>
      </c>
      <c r="V186" s="32">
        <v>0</v>
      </c>
      <c r="W186" s="32">
        <v>0</v>
      </c>
      <c r="X186" s="32">
        <v>0</v>
      </c>
      <c r="Y186" s="13">
        <v>2</v>
      </c>
      <c r="Z186" s="32">
        <v>0</v>
      </c>
      <c r="AA186" s="13">
        <v>1</v>
      </c>
      <c r="AB186" s="32">
        <v>0</v>
      </c>
      <c r="AC186" s="32">
        <v>0</v>
      </c>
      <c r="AD186" s="32">
        <v>0</v>
      </c>
      <c r="AE186" s="32">
        <v>0</v>
      </c>
      <c r="AF186" s="32">
        <v>0</v>
      </c>
      <c r="AG186" s="32">
        <v>0</v>
      </c>
      <c r="AH186" s="32">
        <v>0</v>
      </c>
      <c r="AI186" s="32">
        <v>0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v>0</v>
      </c>
      <c r="AY186" s="32">
        <v>0</v>
      </c>
      <c r="AZ186" s="32">
        <v>0</v>
      </c>
      <c r="BA186" s="32">
        <v>0</v>
      </c>
      <c r="BB186" s="32">
        <v>0</v>
      </c>
      <c r="BC186">
        <f t="shared" si="2"/>
        <v>3</v>
      </c>
      <c r="BD186" s="13">
        <f>[1]!shannonweaver(J186:BB186)</f>
        <v>1.0397207708399179</v>
      </c>
    </row>
    <row r="187" spans="1:56">
      <c r="A187" t="s">
        <v>157</v>
      </c>
      <c r="B187" t="s">
        <v>183</v>
      </c>
      <c r="C187" t="s">
        <v>184</v>
      </c>
      <c r="D187" s="13" t="s">
        <v>319</v>
      </c>
      <c r="E187" s="13" t="s">
        <v>91</v>
      </c>
      <c r="F187" s="13">
        <v>0</v>
      </c>
      <c r="G187" s="13">
        <v>0</v>
      </c>
      <c r="H187" s="13">
        <v>0</v>
      </c>
      <c r="I187" s="13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13">
        <v>1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13">
        <v>1</v>
      </c>
      <c r="Z187" s="32">
        <v>0</v>
      </c>
      <c r="AA187" s="32">
        <v>0</v>
      </c>
      <c r="AB187" s="32">
        <v>0</v>
      </c>
      <c r="AC187" s="32">
        <v>0</v>
      </c>
      <c r="AD187" s="32">
        <v>0</v>
      </c>
      <c r="AE187" s="32">
        <v>0</v>
      </c>
      <c r="AF187" s="32">
        <v>0</v>
      </c>
      <c r="AG187" s="32">
        <v>0</v>
      </c>
      <c r="AH187" s="32">
        <v>0</v>
      </c>
      <c r="AI187" s="32">
        <v>0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32">
        <v>0</v>
      </c>
      <c r="AW187" s="13">
        <v>2</v>
      </c>
      <c r="AX187" s="32">
        <v>0</v>
      </c>
      <c r="AY187" s="32">
        <v>0</v>
      </c>
      <c r="AZ187" s="32">
        <v>0</v>
      </c>
      <c r="BA187" s="32">
        <v>0</v>
      </c>
      <c r="BB187" s="32">
        <v>0</v>
      </c>
      <c r="BC187">
        <f t="shared" si="2"/>
        <v>3</v>
      </c>
      <c r="BD187" s="13">
        <f>[1]!shannonweaver(J187:BB187)</f>
        <v>1.0397207708399179</v>
      </c>
    </row>
    <row r="188" spans="1:56">
      <c r="A188" t="s">
        <v>158</v>
      </c>
      <c r="B188" t="s">
        <v>183</v>
      </c>
      <c r="C188" t="s">
        <v>191</v>
      </c>
      <c r="D188" s="13" t="s">
        <v>319</v>
      </c>
      <c r="E188" s="13" t="s">
        <v>91</v>
      </c>
      <c r="F188" s="13">
        <v>0</v>
      </c>
      <c r="G188" s="13">
        <v>0</v>
      </c>
      <c r="H188" s="13">
        <v>0</v>
      </c>
      <c r="I188" s="13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13">
        <v>1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0</v>
      </c>
      <c r="AF188" s="32">
        <v>0</v>
      </c>
      <c r="AG188" s="32">
        <v>0</v>
      </c>
      <c r="AH188" s="32">
        <v>0</v>
      </c>
      <c r="AI188" s="32">
        <v>0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0</v>
      </c>
      <c r="AX188" s="32">
        <v>0</v>
      </c>
      <c r="AY188" s="32">
        <v>0</v>
      </c>
      <c r="AZ188" s="13">
        <v>1</v>
      </c>
      <c r="BA188" s="32">
        <v>0</v>
      </c>
      <c r="BB188" s="32">
        <v>0</v>
      </c>
      <c r="BC188">
        <f t="shared" si="2"/>
        <v>2</v>
      </c>
      <c r="BD188" s="13">
        <f>[1]!shannonweaver(J188:BB188)</f>
        <v>0.69314718055994529</v>
      </c>
    </row>
    <row r="189" spans="1:56">
      <c r="A189" t="s">
        <v>159</v>
      </c>
      <c r="B189" t="s">
        <v>183</v>
      </c>
      <c r="C189" t="s">
        <v>191</v>
      </c>
      <c r="D189" s="13" t="s">
        <v>319</v>
      </c>
      <c r="E189" s="13" t="s">
        <v>91</v>
      </c>
      <c r="F189" s="13">
        <v>0</v>
      </c>
      <c r="G189" s="13">
        <v>0</v>
      </c>
      <c r="H189" s="13">
        <v>0</v>
      </c>
      <c r="I189" s="13">
        <v>0</v>
      </c>
      <c r="J189" s="32">
        <v>0</v>
      </c>
      <c r="K189" s="32">
        <v>0</v>
      </c>
      <c r="L189" s="13">
        <v>1</v>
      </c>
      <c r="M189" s="32">
        <v>0</v>
      </c>
      <c r="N189" s="32">
        <v>0</v>
      </c>
      <c r="O189" s="32">
        <v>0</v>
      </c>
      <c r="P189" s="13">
        <v>1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13">
        <v>2</v>
      </c>
      <c r="Z189" s="32">
        <v>0</v>
      </c>
      <c r="AA189" s="32">
        <v>0</v>
      </c>
      <c r="AB189" s="32">
        <v>0</v>
      </c>
      <c r="AC189" s="32">
        <v>0</v>
      </c>
      <c r="AD189" s="32">
        <v>0</v>
      </c>
      <c r="AE189" s="32">
        <v>0</v>
      </c>
      <c r="AF189" s="32">
        <v>0</v>
      </c>
      <c r="AG189" s="32">
        <v>0</v>
      </c>
      <c r="AH189" s="32">
        <v>0</v>
      </c>
      <c r="AI189" s="32">
        <v>0</v>
      </c>
      <c r="AJ189" s="32">
        <v>0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0</v>
      </c>
      <c r="AV189" s="32">
        <v>0</v>
      </c>
      <c r="AW189" s="32">
        <v>0</v>
      </c>
      <c r="AX189" s="32">
        <v>0</v>
      </c>
      <c r="AY189" s="32">
        <v>0</v>
      </c>
      <c r="AZ189" s="32">
        <v>0</v>
      </c>
      <c r="BA189" s="32">
        <v>0</v>
      </c>
      <c r="BB189" s="32">
        <v>0</v>
      </c>
      <c r="BC189">
        <f t="shared" si="2"/>
        <v>3</v>
      </c>
      <c r="BD189" s="13">
        <f>[1]!shannonweaver(J189:BB189)</f>
        <v>1.0397207708399179</v>
      </c>
    </row>
    <row r="190" spans="1:56">
      <c r="A190" t="s">
        <v>160</v>
      </c>
      <c r="B190" t="s">
        <v>183</v>
      </c>
      <c r="C190" t="s">
        <v>191</v>
      </c>
      <c r="D190" s="13" t="s">
        <v>319</v>
      </c>
      <c r="E190" s="13" t="s">
        <v>91</v>
      </c>
      <c r="F190" s="13">
        <v>0</v>
      </c>
      <c r="G190" s="13">
        <v>0</v>
      </c>
      <c r="H190" s="13">
        <v>0</v>
      </c>
      <c r="I190" s="13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13">
        <v>1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13">
        <v>2</v>
      </c>
      <c r="Z190" s="32">
        <v>0</v>
      </c>
      <c r="AA190" s="32">
        <v>0</v>
      </c>
      <c r="AB190" s="32">
        <v>0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32">
        <v>0</v>
      </c>
      <c r="AI190" s="13">
        <v>1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v>0</v>
      </c>
      <c r="AY190" s="32">
        <v>0</v>
      </c>
      <c r="AZ190" s="32">
        <v>0</v>
      </c>
      <c r="BA190" s="32">
        <v>0</v>
      </c>
      <c r="BB190" s="32">
        <v>0</v>
      </c>
      <c r="BC190">
        <f t="shared" si="2"/>
        <v>3</v>
      </c>
      <c r="BD190" s="13">
        <f>[1]!shannonweaver(J190:BB190)</f>
        <v>1.0397207708399179</v>
      </c>
    </row>
    <row r="191" spans="1:56">
      <c r="A191" t="s">
        <v>161</v>
      </c>
      <c r="B191" t="s">
        <v>183</v>
      </c>
      <c r="C191" t="s">
        <v>191</v>
      </c>
      <c r="D191" s="13" t="s">
        <v>319</v>
      </c>
      <c r="E191" s="13" t="s">
        <v>91</v>
      </c>
      <c r="F191" s="13">
        <v>0</v>
      </c>
      <c r="G191" s="13">
        <v>0</v>
      </c>
      <c r="H191" s="13">
        <v>0</v>
      </c>
      <c r="I191" s="13">
        <v>0</v>
      </c>
      <c r="J191" s="32">
        <v>0</v>
      </c>
      <c r="K191" s="32">
        <v>0</v>
      </c>
      <c r="L191" s="13">
        <v>2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0</v>
      </c>
      <c r="AB191" s="32">
        <v>0</v>
      </c>
      <c r="AC191" s="32">
        <v>0</v>
      </c>
      <c r="AD191" s="13">
        <v>1</v>
      </c>
      <c r="AE191" s="32">
        <v>0</v>
      </c>
      <c r="AF191" s="32">
        <v>0</v>
      </c>
      <c r="AG191" s="32">
        <v>0</v>
      </c>
      <c r="AH191" s="32">
        <v>0</v>
      </c>
      <c r="AI191" s="32">
        <v>0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>
        <v>0</v>
      </c>
      <c r="AQ191" s="32">
        <v>0</v>
      </c>
      <c r="AR191" s="13">
        <v>1</v>
      </c>
      <c r="AS191" s="32">
        <v>0</v>
      </c>
      <c r="AT191" s="32">
        <v>0</v>
      </c>
      <c r="AU191" s="32">
        <v>0</v>
      </c>
      <c r="AV191" s="32">
        <v>0</v>
      </c>
      <c r="AW191" s="32">
        <v>0</v>
      </c>
      <c r="AX191" s="32">
        <v>0</v>
      </c>
      <c r="AY191" s="32">
        <v>0</v>
      </c>
      <c r="AZ191" s="32">
        <v>0</v>
      </c>
      <c r="BA191" s="32">
        <v>0</v>
      </c>
      <c r="BB191" s="32">
        <v>0</v>
      </c>
      <c r="BC191">
        <f t="shared" si="2"/>
        <v>3</v>
      </c>
      <c r="BD191" s="13">
        <f>[1]!shannonweaver(J191:BB191)</f>
        <v>1.0397207708399179</v>
      </c>
    </row>
    <row r="192" spans="1:56">
      <c r="A192" t="s">
        <v>162</v>
      </c>
      <c r="B192" t="s">
        <v>183</v>
      </c>
      <c r="C192" t="s">
        <v>191</v>
      </c>
      <c r="D192" s="13" t="s">
        <v>319</v>
      </c>
      <c r="E192" s="13" t="s">
        <v>91</v>
      </c>
      <c r="F192" s="13">
        <v>0</v>
      </c>
      <c r="G192" s="13">
        <v>0</v>
      </c>
      <c r="H192" s="13">
        <v>0</v>
      </c>
      <c r="I192" s="13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13">
        <v>2</v>
      </c>
      <c r="AB192" s="32">
        <v>0</v>
      </c>
      <c r="AC192" s="32">
        <v>0</v>
      </c>
      <c r="AD192" s="13">
        <v>2</v>
      </c>
      <c r="AE192" s="32">
        <v>0</v>
      </c>
      <c r="AF192" s="32">
        <v>0</v>
      </c>
      <c r="AG192" s="32">
        <v>0</v>
      </c>
      <c r="AH192" s="32">
        <v>0</v>
      </c>
      <c r="AI192" s="32">
        <v>0</v>
      </c>
      <c r="AJ192" s="32">
        <v>0</v>
      </c>
      <c r="AK192" s="13">
        <v>1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v>0</v>
      </c>
      <c r="AY192" s="32">
        <v>0</v>
      </c>
      <c r="AZ192" s="32">
        <v>0</v>
      </c>
      <c r="BA192" s="32">
        <v>0</v>
      </c>
      <c r="BB192" s="32">
        <v>0</v>
      </c>
      <c r="BC192">
        <f t="shared" si="2"/>
        <v>3</v>
      </c>
      <c r="BD192" s="13">
        <f>[1]!shannonweaver(J192:BB192)</f>
        <v>1.0549201679861442</v>
      </c>
    </row>
    <row r="193" spans="1:56">
      <c r="A193" t="s">
        <v>163</v>
      </c>
      <c r="B193" t="s">
        <v>183</v>
      </c>
      <c r="C193" t="s">
        <v>191</v>
      </c>
      <c r="D193" s="13" t="s">
        <v>319</v>
      </c>
      <c r="E193" s="13" t="s">
        <v>91</v>
      </c>
      <c r="F193" s="13">
        <v>0</v>
      </c>
      <c r="G193" s="13">
        <v>0</v>
      </c>
      <c r="H193" s="13">
        <v>0</v>
      </c>
      <c r="I193" s="13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13">
        <v>1</v>
      </c>
      <c r="AB193" s="32">
        <v>0</v>
      </c>
      <c r="AC193" s="32">
        <v>0</v>
      </c>
      <c r="AD193" s="13">
        <v>2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>
        <f t="shared" si="2"/>
        <v>2</v>
      </c>
      <c r="BD193" s="13">
        <f>[1]!shannonweaver(J193:BB193)</f>
        <v>0.63651416829481278</v>
      </c>
    </row>
    <row r="194" spans="1:56">
      <c r="A194" t="s">
        <v>164</v>
      </c>
      <c r="B194" t="s">
        <v>183</v>
      </c>
      <c r="C194" t="s">
        <v>255</v>
      </c>
      <c r="D194" s="13" t="s">
        <v>319</v>
      </c>
      <c r="E194" s="13" t="s">
        <v>91</v>
      </c>
      <c r="F194" s="13">
        <v>0</v>
      </c>
      <c r="G194" s="13">
        <v>0</v>
      </c>
      <c r="H194" s="13">
        <v>0</v>
      </c>
      <c r="I194" s="13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13">
        <v>1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13">
        <v>1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>
        <f t="shared" ref="BC194:BC257" si="3">COUNTIF(J194:BB194, "&gt;0")</f>
        <v>2</v>
      </c>
      <c r="BD194" s="13">
        <f>[1]!shannonweaver(J194:BB194)</f>
        <v>0.69314718055994529</v>
      </c>
    </row>
    <row r="195" spans="1:56">
      <c r="A195" t="s">
        <v>165</v>
      </c>
      <c r="B195" t="s">
        <v>183</v>
      </c>
      <c r="C195" t="s">
        <v>255</v>
      </c>
      <c r="D195" s="13" t="s">
        <v>319</v>
      </c>
      <c r="E195" s="13" t="s">
        <v>91</v>
      </c>
      <c r="F195" s="13">
        <v>0</v>
      </c>
      <c r="G195" s="13">
        <v>0</v>
      </c>
      <c r="H195" s="13">
        <v>0</v>
      </c>
      <c r="I195" s="13">
        <v>0</v>
      </c>
      <c r="J195" s="32">
        <v>0</v>
      </c>
      <c r="K195" s="32">
        <v>0</v>
      </c>
      <c r="L195" s="32">
        <v>0</v>
      </c>
      <c r="M195" s="13">
        <v>1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13">
        <v>1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>
        <f t="shared" si="3"/>
        <v>2</v>
      </c>
      <c r="BD195" s="13">
        <f>[1]!shannonweaver(J195:BB195)</f>
        <v>0.69314718055994529</v>
      </c>
    </row>
    <row r="196" spans="1:56">
      <c r="A196" t="s">
        <v>166</v>
      </c>
      <c r="B196" t="s">
        <v>183</v>
      </c>
      <c r="C196" t="s">
        <v>255</v>
      </c>
      <c r="D196" s="13" t="s">
        <v>319</v>
      </c>
      <c r="E196" s="13" t="s">
        <v>91</v>
      </c>
      <c r="F196" s="13">
        <v>0</v>
      </c>
      <c r="G196" s="13">
        <v>0</v>
      </c>
      <c r="H196" s="13">
        <v>0</v>
      </c>
      <c r="I196" s="13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13">
        <v>1</v>
      </c>
      <c r="Z196" s="32">
        <v>0</v>
      </c>
      <c r="AA196" s="13">
        <v>1</v>
      </c>
      <c r="AB196" s="32">
        <v>0</v>
      </c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>
        <f t="shared" si="3"/>
        <v>2</v>
      </c>
      <c r="BD196" s="13">
        <f>[1]!shannonweaver(J196:BB196)</f>
        <v>0.69314718055994529</v>
      </c>
    </row>
    <row r="197" spans="1:56">
      <c r="A197" t="s">
        <v>167</v>
      </c>
      <c r="B197" t="s">
        <v>183</v>
      </c>
      <c r="C197" t="s">
        <v>255</v>
      </c>
      <c r="D197" s="13" t="s">
        <v>319</v>
      </c>
      <c r="E197" s="13" t="s">
        <v>91</v>
      </c>
      <c r="F197" s="13">
        <v>0</v>
      </c>
      <c r="G197" s="13">
        <v>0</v>
      </c>
      <c r="H197" s="13">
        <v>0</v>
      </c>
      <c r="I197" s="13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13">
        <v>1</v>
      </c>
      <c r="P197" s="32">
        <v>0</v>
      </c>
      <c r="Q197" s="32">
        <v>0</v>
      </c>
      <c r="R197" s="32">
        <v>0</v>
      </c>
      <c r="S197" s="32">
        <v>0</v>
      </c>
      <c r="T197" s="13">
        <v>1</v>
      </c>
      <c r="U197" s="32">
        <v>0</v>
      </c>
      <c r="V197" s="32">
        <v>0</v>
      </c>
      <c r="W197" s="32">
        <v>0</v>
      </c>
      <c r="X197" s="32">
        <v>0</v>
      </c>
      <c r="Y197" s="13">
        <v>1</v>
      </c>
      <c r="Z197" s="32">
        <v>0</v>
      </c>
      <c r="AA197" s="32">
        <v>0</v>
      </c>
      <c r="AB197" s="32">
        <v>0</v>
      </c>
      <c r="AC197" s="32">
        <v>0</v>
      </c>
      <c r="AD197" s="32">
        <v>0</v>
      </c>
      <c r="AE197" s="32">
        <v>0</v>
      </c>
      <c r="AF197" s="32">
        <v>0</v>
      </c>
      <c r="AG197" s="32">
        <v>0</v>
      </c>
      <c r="AH197" s="32">
        <v>0</v>
      </c>
      <c r="AI197" s="32">
        <v>0</v>
      </c>
      <c r="AJ197" s="32">
        <v>0</v>
      </c>
      <c r="AK197" s="32">
        <v>0</v>
      </c>
      <c r="AL197" s="32">
        <v>0</v>
      </c>
      <c r="AM197" s="32">
        <v>0</v>
      </c>
      <c r="AN197" s="32">
        <v>0</v>
      </c>
      <c r="AO197" s="32">
        <v>0</v>
      </c>
      <c r="AP197" s="32">
        <v>0</v>
      </c>
      <c r="AQ197" s="32">
        <v>0</v>
      </c>
      <c r="AR197" s="32">
        <v>0</v>
      </c>
      <c r="AS197" s="32">
        <v>0</v>
      </c>
      <c r="AT197" s="32">
        <v>0</v>
      </c>
      <c r="AU197" s="32">
        <v>0</v>
      </c>
      <c r="AV197" s="32">
        <v>0</v>
      </c>
      <c r="AW197" s="13">
        <v>1</v>
      </c>
      <c r="AX197" s="32">
        <v>0</v>
      </c>
      <c r="AY197" s="32">
        <v>0</v>
      </c>
      <c r="AZ197" s="32">
        <v>0</v>
      </c>
      <c r="BA197" s="32">
        <v>0</v>
      </c>
      <c r="BB197" s="32">
        <v>0</v>
      </c>
      <c r="BC197">
        <f t="shared" si="3"/>
        <v>4</v>
      </c>
      <c r="BD197" s="13">
        <f>[1]!shannonweaver(J197:BB197)</f>
        <v>1.3862943611198906</v>
      </c>
    </row>
    <row r="198" spans="1:56">
      <c r="A198" t="s">
        <v>168</v>
      </c>
      <c r="B198" t="s">
        <v>183</v>
      </c>
      <c r="C198" t="s">
        <v>255</v>
      </c>
      <c r="D198" s="13" t="s">
        <v>319</v>
      </c>
      <c r="E198" s="13" t="s">
        <v>91</v>
      </c>
      <c r="F198" s="13">
        <v>0</v>
      </c>
      <c r="G198" s="13">
        <v>0</v>
      </c>
      <c r="H198" s="13">
        <v>0</v>
      </c>
      <c r="I198" s="13">
        <v>0</v>
      </c>
      <c r="J198" s="32">
        <v>0</v>
      </c>
      <c r="K198" s="32">
        <v>0</v>
      </c>
      <c r="L198" s="13">
        <v>1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32">
        <v>0</v>
      </c>
      <c r="AI198" s="32">
        <v>0</v>
      </c>
      <c r="AJ198" s="32">
        <v>0</v>
      </c>
      <c r="AK198" s="32">
        <v>0</v>
      </c>
      <c r="AL198" s="32">
        <v>0</v>
      </c>
      <c r="AM198" s="32">
        <v>0</v>
      </c>
      <c r="AN198" s="32">
        <v>0</v>
      </c>
      <c r="AO198" s="32">
        <v>0</v>
      </c>
      <c r="AP198" s="32">
        <v>0</v>
      </c>
      <c r="AQ198" s="32">
        <v>0</v>
      </c>
      <c r="AR198" s="32">
        <v>0</v>
      </c>
      <c r="AS198" s="32">
        <v>0</v>
      </c>
      <c r="AT198" s="32">
        <v>0</v>
      </c>
      <c r="AU198" s="32">
        <v>0</v>
      </c>
      <c r="AV198" s="32">
        <v>0</v>
      </c>
      <c r="AW198" s="32">
        <v>0</v>
      </c>
      <c r="AX198" s="32">
        <v>0</v>
      </c>
      <c r="AY198" s="32">
        <v>0</v>
      </c>
      <c r="AZ198" s="32">
        <v>0</v>
      </c>
      <c r="BA198" s="32">
        <v>0</v>
      </c>
      <c r="BB198" s="32">
        <v>0</v>
      </c>
      <c r="BC198">
        <f t="shared" si="3"/>
        <v>1</v>
      </c>
      <c r="BD198" s="13">
        <f>[1]!shannonweaver(J198:BB198)</f>
        <v>0</v>
      </c>
    </row>
    <row r="199" spans="1:56">
      <c r="A199" t="s">
        <v>169</v>
      </c>
      <c r="B199" t="s">
        <v>183</v>
      </c>
      <c r="C199" t="s">
        <v>255</v>
      </c>
      <c r="D199" s="13" t="s">
        <v>319</v>
      </c>
      <c r="E199" s="13" t="s">
        <v>91</v>
      </c>
      <c r="F199" s="13">
        <v>0</v>
      </c>
      <c r="G199" s="13">
        <v>0</v>
      </c>
      <c r="H199" s="13">
        <v>0</v>
      </c>
      <c r="I199" s="13">
        <v>0</v>
      </c>
      <c r="J199" s="32">
        <v>0</v>
      </c>
      <c r="K199" s="32">
        <v>0</v>
      </c>
      <c r="L199" s="13">
        <v>2</v>
      </c>
      <c r="M199" s="13">
        <v>1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  <c r="Z199" s="13">
        <v>1</v>
      </c>
      <c r="AA199" s="13">
        <v>1</v>
      </c>
      <c r="AB199" s="32">
        <v>0</v>
      </c>
      <c r="AC199" s="32">
        <v>0</v>
      </c>
      <c r="AD199" s="32">
        <v>0</v>
      </c>
      <c r="AE199" s="32">
        <v>0</v>
      </c>
      <c r="AF199" s="32">
        <v>0</v>
      </c>
      <c r="AG199" s="32">
        <v>0</v>
      </c>
      <c r="AH199" s="32">
        <v>0</v>
      </c>
      <c r="AI199" s="32">
        <v>0</v>
      </c>
      <c r="AJ199" s="32">
        <v>0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v>0</v>
      </c>
      <c r="AY199" s="32">
        <v>0</v>
      </c>
      <c r="AZ199" s="32">
        <v>0</v>
      </c>
      <c r="BA199" s="13">
        <v>1</v>
      </c>
      <c r="BB199" s="32">
        <v>0</v>
      </c>
      <c r="BC199">
        <f t="shared" si="3"/>
        <v>5</v>
      </c>
      <c r="BD199" s="13">
        <f>[1]!shannonweaver(J199:BB199)</f>
        <v>1.5607104090414063</v>
      </c>
    </row>
    <row r="200" spans="1:56">
      <c r="A200" t="s">
        <v>170</v>
      </c>
      <c r="B200" t="s">
        <v>183</v>
      </c>
      <c r="C200" t="s">
        <v>262</v>
      </c>
      <c r="D200" s="13" t="s">
        <v>320</v>
      </c>
      <c r="E200" s="13" t="s">
        <v>91</v>
      </c>
      <c r="F200" s="13">
        <v>0</v>
      </c>
      <c r="G200" s="13">
        <v>0</v>
      </c>
      <c r="H200" s="13">
        <v>0</v>
      </c>
      <c r="I200" s="13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13">
        <v>1</v>
      </c>
      <c r="Z200" s="13">
        <v>0</v>
      </c>
      <c r="AA200" s="13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32">
        <v>0</v>
      </c>
      <c r="AK200" s="13">
        <v>3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0</v>
      </c>
      <c r="BA200" s="32">
        <v>0</v>
      </c>
      <c r="BB200" s="32">
        <v>0</v>
      </c>
      <c r="BC200">
        <f t="shared" si="3"/>
        <v>2</v>
      </c>
      <c r="BD200" s="13">
        <f>[1]!shannonweaver(J200:BB200)</f>
        <v>0.56233514461880829</v>
      </c>
    </row>
    <row r="201" spans="1:56">
      <c r="A201" t="s">
        <v>125</v>
      </c>
      <c r="B201" t="s">
        <v>183</v>
      </c>
      <c r="C201" t="s">
        <v>262</v>
      </c>
      <c r="D201" s="13" t="s">
        <v>320</v>
      </c>
      <c r="E201" s="13" t="s">
        <v>91</v>
      </c>
      <c r="F201" s="13">
        <v>0</v>
      </c>
      <c r="G201" s="13">
        <v>0</v>
      </c>
      <c r="H201" s="13">
        <v>1</v>
      </c>
      <c r="I201" s="13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0</v>
      </c>
      <c r="AC201" s="32">
        <v>0</v>
      </c>
      <c r="AD201" s="32">
        <v>0</v>
      </c>
      <c r="AE201" s="32">
        <v>0</v>
      </c>
      <c r="AF201" s="32">
        <v>0</v>
      </c>
      <c r="AG201" s="13">
        <v>1</v>
      </c>
      <c r="AH201" s="32">
        <v>0</v>
      </c>
      <c r="AI201" s="32">
        <v>0</v>
      </c>
      <c r="AJ201" s="32">
        <v>0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2">
        <v>0</v>
      </c>
      <c r="AZ201" s="32">
        <v>0</v>
      </c>
      <c r="BA201" s="32">
        <v>0</v>
      </c>
      <c r="BB201" s="32">
        <v>0</v>
      </c>
      <c r="BC201">
        <f t="shared" si="3"/>
        <v>1</v>
      </c>
      <c r="BD201" s="13">
        <f>[1]!shannonweaver(J201:BB201)</f>
        <v>0</v>
      </c>
    </row>
    <row r="202" spans="1:56">
      <c r="A202" t="s">
        <v>126</v>
      </c>
      <c r="B202" t="s">
        <v>183</v>
      </c>
      <c r="C202" t="s">
        <v>262</v>
      </c>
      <c r="D202" s="13" t="s">
        <v>320</v>
      </c>
      <c r="E202" s="13" t="s">
        <v>91</v>
      </c>
      <c r="F202" s="13">
        <v>0</v>
      </c>
      <c r="G202" s="13">
        <v>0</v>
      </c>
      <c r="H202" s="13">
        <v>0</v>
      </c>
      <c r="I202" s="13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13">
        <v>1</v>
      </c>
      <c r="Z202" s="32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13">
        <v>1</v>
      </c>
      <c r="AH202" s="32">
        <v>0</v>
      </c>
      <c r="AI202" s="32">
        <v>0</v>
      </c>
      <c r="AJ202" s="32">
        <v>0</v>
      </c>
      <c r="AK202" s="13">
        <v>1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32">
        <v>0</v>
      </c>
      <c r="BB202" s="32">
        <v>0</v>
      </c>
      <c r="BC202">
        <f t="shared" si="3"/>
        <v>3</v>
      </c>
      <c r="BD202" s="13">
        <f>[1]!shannonweaver(J202:BB202)</f>
        <v>1.0986122886681096</v>
      </c>
    </row>
    <row r="203" spans="1:56">
      <c r="A203" t="s">
        <v>127</v>
      </c>
      <c r="B203" t="s">
        <v>183</v>
      </c>
      <c r="C203" t="s">
        <v>262</v>
      </c>
      <c r="D203" s="13" t="s">
        <v>320</v>
      </c>
      <c r="E203" s="13" t="s">
        <v>91</v>
      </c>
      <c r="F203" s="13">
        <v>0</v>
      </c>
      <c r="G203" s="13">
        <v>0</v>
      </c>
      <c r="H203" s="13">
        <v>0</v>
      </c>
      <c r="I203" s="13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0</v>
      </c>
      <c r="AB203" s="32">
        <v>0</v>
      </c>
      <c r="AC203" s="32">
        <v>0</v>
      </c>
      <c r="AD203" s="32">
        <v>0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>
        <v>0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>
        <v>0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v>0</v>
      </c>
      <c r="AY203" s="32">
        <v>0</v>
      </c>
      <c r="AZ203" s="32">
        <v>0</v>
      </c>
      <c r="BA203" s="32">
        <v>0</v>
      </c>
      <c r="BB203" s="32">
        <v>0</v>
      </c>
      <c r="BC203">
        <f t="shared" si="3"/>
        <v>0</v>
      </c>
      <c r="BD203" s="13">
        <v>0</v>
      </c>
    </row>
    <row r="204" spans="1:56">
      <c r="A204" t="s">
        <v>128</v>
      </c>
      <c r="B204" t="s">
        <v>183</v>
      </c>
      <c r="C204" t="s">
        <v>262</v>
      </c>
      <c r="D204" s="13" t="s">
        <v>320</v>
      </c>
      <c r="E204" s="13" t="s">
        <v>91</v>
      </c>
      <c r="F204" s="13">
        <v>0</v>
      </c>
      <c r="G204" s="13">
        <v>0</v>
      </c>
      <c r="H204" s="13">
        <v>0</v>
      </c>
      <c r="I204" s="13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0</v>
      </c>
      <c r="AB204" s="32">
        <v>0</v>
      </c>
      <c r="AC204" s="32">
        <v>0</v>
      </c>
      <c r="AD204" s="32">
        <v>0</v>
      </c>
      <c r="AE204" s="32">
        <v>0</v>
      </c>
      <c r="AF204" s="32">
        <v>0</v>
      </c>
      <c r="AG204" s="32">
        <v>0</v>
      </c>
      <c r="AH204" s="32">
        <v>0</v>
      </c>
      <c r="AI204" s="32">
        <v>0</v>
      </c>
      <c r="AJ204" s="32">
        <v>0</v>
      </c>
      <c r="AK204" s="32">
        <v>0</v>
      </c>
      <c r="AL204" s="32">
        <v>0</v>
      </c>
      <c r="AM204" s="32">
        <v>0</v>
      </c>
      <c r="AN204" s="32">
        <v>0</v>
      </c>
      <c r="AO204" s="32">
        <v>0</v>
      </c>
      <c r="AP204" s="32">
        <v>0</v>
      </c>
      <c r="AQ204" s="32">
        <v>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v>0</v>
      </c>
      <c r="AY204" s="32">
        <v>0</v>
      </c>
      <c r="AZ204" s="32">
        <v>0</v>
      </c>
      <c r="BA204" s="32">
        <v>0</v>
      </c>
      <c r="BB204" s="32">
        <v>0</v>
      </c>
      <c r="BC204">
        <f t="shared" si="3"/>
        <v>0</v>
      </c>
      <c r="BD204" s="13" t="e">
        <f>[1]!shannonweaver(J204:BB204)</f>
        <v>#VALUE!</v>
      </c>
    </row>
    <row r="205" spans="1:56">
      <c r="A205" t="s">
        <v>129</v>
      </c>
      <c r="B205" t="s">
        <v>183</v>
      </c>
      <c r="C205" t="s">
        <v>262</v>
      </c>
      <c r="D205" s="13" t="s">
        <v>320</v>
      </c>
      <c r="E205" s="13" t="s">
        <v>91</v>
      </c>
      <c r="F205" s="13">
        <v>0</v>
      </c>
      <c r="G205" s="13">
        <v>0</v>
      </c>
      <c r="H205" s="13">
        <v>0</v>
      </c>
      <c r="I205" s="13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2">
        <v>0</v>
      </c>
      <c r="Z205" s="32">
        <v>0</v>
      </c>
      <c r="AA205" s="32">
        <v>0</v>
      </c>
      <c r="AB205" s="32">
        <v>0</v>
      </c>
      <c r="AC205" s="32">
        <v>0</v>
      </c>
      <c r="AD205" s="13">
        <v>1</v>
      </c>
      <c r="AE205" s="32">
        <v>0</v>
      </c>
      <c r="AF205" s="32">
        <v>0</v>
      </c>
      <c r="AG205" s="32">
        <v>0</v>
      </c>
      <c r="AH205" s="32">
        <v>0</v>
      </c>
      <c r="AI205" s="32">
        <v>0</v>
      </c>
      <c r="AJ205" s="32">
        <v>0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32">
        <v>0</v>
      </c>
      <c r="AX205" s="32">
        <v>0</v>
      </c>
      <c r="AY205" s="32">
        <v>0</v>
      </c>
      <c r="AZ205" s="32">
        <v>0</v>
      </c>
      <c r="BA205" s="32">
        <v>0</v>
      </c>
      <c r="BB205" s="32">
        <v>0</v>
      </c>
      <c r="BC205">
        <f t="shared" si="3"/>
        <v>1</v>
      </c>
      <c r="BD205" s="13">
        <f>[1]!shannonweaver(J205:BB205)</f>
        <v>0</v>
      </c>
    </row>
    <row r="206" spans="1:56">
      <c r="A206" t="s">
        <v>180</v>
      </c>
      <c r="B206" t="s">
        <v>183</v>
      </c>
      <c r="C206" t="s">
        <v>269</v>
      </c>
      <c r="D206" s="13" t="s">
        <v>320</v>
      </c>
      <c r="E206" s="13" t="s">
        <v>91</v>
      </c>
      <c r="F206" s="13">
        <v>0</v>
      </c>
      <c r="G206" s="13">
        <v>0</v>
      </c>
      <c r="H206" s="13">
        <v>0</v>
      </c>
      <c r="I206" s="13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13">
        <v>1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2">
        <v>0</v>
      </c>
      <c r="AX206" s="32">
        <v>0</v>
      </c>
      <c r="AY206" s="32">
        <v>0</v>
      </c>
      <c r="AZ206" s="32">
        <v>0</v>
      </c>
      <c r="BA206" s="32">
        <v>0</v>
      </c>
      <c r="BB206" s="32">
        <v>0</v>
      </c>
      <c r="BC206">
        <f t="shared" si="3"/>
        <v>1</v>
      </c>
      <c r="BD206" s="13">
        <f>[1]!shannonweaver(J206:BB206)</f>
        <v>0</v>
      </c>
    </row>
    <row r="207" spans="1:56">
      <c r="A207" t="s">
        <v>130</v>
      </c>
      <c r="B207" t="s">
        <v>183</v>
      </c>
      <c r="C207" t="s">
        <v>269</v>
      </c>
      <c r="D207" s="13" t="s">
        <v>320</v>
      </c>
      <c r="E207" s="13" t="s">
        <v>91</v>
      </c>
      <c r="F207" s="13">
        <v>0</v>
      </c>
      <c r="G207" s="13">
        <v>0</v>
      </c>
      <c r="H207" s="13">
        <v>1</v>
      </c>
      <c r="I207" s="13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>
        <f t="shared" si="3"/>
        <v>0</v>
      </c>
      <c r="BD207" s="13">
        <v>0</v>
      </c>
    </row>
    <row r="208" spans="1:56">
      <c r="A208" t="s">
        <v>131</v>
      </c>
      <c r="B208" t="s">
        <v>183</v>
      </c>
      <c r="C208" t="s">
        <v>269</v>
      </c>
      <c r="D208" s="13" t="s">
        <v>320</v>
      </c>
      <c r="E208" s="13" t="s">
        <v>91</v>
      </c>
      <c r="F208" s="13">
        <v>0</v>
      </c>
      <c r="G208" s="13">
        <v>0</v>
      </c>
      <c r="H208" s="13">
        <v>0</v>
      </c>
      <c r="I208" s="13">
        <v>0</v>
      </c>
      <c r="J208" s="32">
        <v>0</v>
      </c>
      <c r="K208" s="32">
        <v>0</v>
      </c>
      <c r="L208" s="13">
        <v>2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13">
        <v>1</v>
      </c>
      <c r="T208" s="32">
        <v>0</v>
      </c>
      <c r="U208" s="32">
        <v>0</v>
      </c>
      <c r="V208" s="32">
        <v>0</v>
      </c>
      <c r="W208" s="13">
        <v>1</v>
      </c>
      <c r="X208" s="32">
        <v>0</v>
      </c>
      <c r="Y208" s="32">
        <v>0</v>
      </c>
      <c r="Z208" s="32">
        <v>0</v>
      </c>
      <c r="AA208" s="32">
        <v>0</v>
      </c>
      <c r="AB208" s="13">
        <v>2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32">
        <v>0</v>
      </c>
      <c r="AI208" s="13">
        <v>1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2">
        <v>0</v>
      </c>
      <c r="AX208" s="32">
        <v>0</v>
      </c>
      <c r="AY208" s="32">
        <v>0</v>
      </c>
      <c r="AZ208" s="32">
        <v>0</v>
      </c>
      <c r="BA208" s="32">
        <v>0</v>
      </c>
      <c r="BB208" s="32">
        <v>0</v>
      </c>
      <c r="BC208">
        <f t="shared" si="3"/>
        <v>5</v>
      </c>
      <c r="BD208" s="13">
        <f>[1]!shannonweaver(J208:BB208)</f>
        <v>1.5498260458782016</v>
      </c>
    </row>
    <row r="209" spans="1:56">
      <c r="A209" t="s">
        <v>132</v>
      </c>
      <c r="B209" t="s">
        <v>183</v>
      </c>
      <c r="C209" t="s">
        <v>269</v>
      </c>
      <c r="D209" s="13" t="s">
        <v>320</v>
      </c>
      <c r="E209" s="13" t="s">
        <v>91</v>
      </c>
      <c r="F209" s="13">
        <v>0</v>
      </c>
      <c r="G209" s="13">
        <v>0</v>
      </c>
      <c r="H209" s="13">
        <v>0</v>
      </c>
      <c r="I209" s="13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>
        <f t="shared" si="3"/>
        <v>0</v>
      </c>
      <c r="BD209" s="13">
        <v>0</v>
      </c>
    </row>
    <row r="210" spans="1:56">
      <c r="A210" t="s">
        <v>133</v>
      </c>
      <c r="B210" t="s">
        <v>183</v>
      </c>
      <c r="C210" t="s">
        <v>269</v>
      </c>
      <c r="D210" s="13" t="s">
        <v>320</v>
      </c>
      <c r="E210" s="13" t="s">
        <v>91</v>
      </c>
      <c r="F210" s="13">
        <v>0</v>
      </c>
      <c r="G210" s="13">
        <v>0</v>
      </c>
      <c r="H210" s="13">
        <v>0</v>
      </c>
      <c r="I210" s="13">
        <v>0</v>
      </c>
      <c r="J210" s="32">
        <v>0</v>
      </c>
      <c r="K210" s="32">
        <v>0</v>
      </c>
      <c r="L210" s="32">
        <v>0</v>
      </c>
      <c r="M210" s="32">
        <v>0</v>
      </c>
      <c r="N210" s="13">
        <v>1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13">
        <v>1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0</v>
      </c>
      <c r="AH210" s="32">
        <v>0</v>
      </c>
      <c r="AI210" s="32">
        <v>0</v>
      </c>
      <c r="AJ210" s="32">
        <v>0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v>0</v>
      </c>
      <c r="AY210" s="32">
        <v>0</v>
      </c>
      <c r="AZ210" s="32">
        <v>0</v>
      </c>
      <c r="BA210" s="32">
        <v>0</v>
      </c>
      <c r="BB210" s="32">
        <v>0</v>
      </c>
      <c r="BC210">
        <f t="shared" si="3"/>
        <v>2</v>
      </c>
      <c r="BD210" s="13">
        <f>[1]!shannonweaver(J210:BB210)</f>
        <v>0.69314718055994529</v>
      </c>
    </row>
    <row r="211" spans="1:56">
      <c r="A211" t="s">
        <v>134</v>
      </c>
      <c r="B211" t="s">
        <v>183</v>
      </c>
      <c r="C211" t="s">
        <v>269</v>
      </c>
      <c r="D211" s="13" t="s">
        <v>320</v>
      </c>
      <c r="E211" s="13" t="s">
        <v>91</v>
      </c>
      <c r="F211" s="13">
        <v>0</v>
      </c>
      <c r="G211" s="13">
        <v>0</v>
      </c>
      <c r="H211" s="13">
        <v>1</v>
      </c>
      <c r="I211" s="13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>
        <f t="shared" si="3"/>
        <v>0</v>
      </c>
      <c r="BD211" s="13" t="e">
        <f>[1]!shannonweaver(J211:BB211)</f>
        <v>#VALUE!</v>
      </c>
    </row>
    <row r="212" spans="1:56">
      <c r="A212" t="s">
        <v>135</v>
      </c>
      <c r="B212" t="s">
        <v>183</v>
      </c>
      <c r="C212" t="s">
        <v>45</v>
      </c>
      <c r="D212" s="13" t="s">
        <v>320</v>
      </c>
      <c r="E212" s="13" t="s">
        <v>91</v>
      </c>
      <c r="F212" s="13">
        <v>0</v>
      </c>
      <c r="G212" s="13">
        <v>0</v>
      </c>
      <c r="H212" s="13">
        <v>0</v>
      </c>
      <c r="I212" s="13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13">
        <v>1</v>
      </c>
      <c r="AB212" s="32">
        <v>0</v>
      </c>
      <c r="AC212" s="32">
        <v>0</v>
      </c>
      <c r="AD212" s="13">
        <v>1</v>
      </c>
      <c r="AE212" s="32">
        <v>0</v>
      </c>
      <c r="AF212" s="32">
        <v>0</v>
      </c>
      <c r="AG212" s="32">
        <v>0</v>
      </c>
      <c r="AH212" s="32">
        <v>0</v>
      </c>
      <c r="AI212" s="32">
        <v>0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32">
        <v>0</v>
      </c>
      <c r="AW212" s="13">
        <v>1</v>
      </c>
      <c r="AX212" s="32">
        <v>0</v>
      </c>
      <c r="AY212" s="32">
        <v>0</v>
      </c>
      <c r="AZ212" s="32">
        <v>0</v>
      </c>
      <c r="BA212" s="32">
        <v>0</v>
      </c>
      <c r="BB212" s="32">
        <v>0</v>
      </c>
      <c r="BC212">
        <f t="shared" si="3"/>
        <v>3</v>
      </c>
      <c r="BD212" s="13">
        <f>[1]!shannonweaver(J212:BB212)</f>
        <v>1.0986122886681096</v>
      </c>
    </row>
    <row r="213" spans="1:56">
      <c r="A213" t="s">
        <v>136</v>
      </c>
      <c r="B213" t="s">
        <v>183</v>
      </c>
      <c r="C213" t="s">
        <v>45</v>
      </c>
      <c r="D213" s="13" t="s">
        <v>320</v>
      </c>
      <c r="E213" s="13" t="s">
        <v>91</v>
      </c>
      <c r="F213" s="13">
        <v>0</v>
      </c>
      <c r="G213" s="13">
        <v>0</v>
      </c>
      <c r="H213" s="13">
        <v>0</v>
      </c>
      <c r="I213" s="13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13">
        <v>1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13">
        <v>1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>
        <f t="shared" si="3"/>
        <v>2</v>
      </c>
      <c r="BD213" s="13">
        <f>[1]!shannonweaver(J213:BB213)</f>
        <v>0.69314718055994529</v>
      </c>
    </row>
    <row r="214" spans="1:56">
      <c r="A214" t="s">
        <v>194</v>
      </c>
      <c r="B214" t="s">
        <v>183</v>
      </c>
      <c r="C214" t="s">
        <v>45</v>
      </c>
      <c r="D214" s="13" t="s">
        <v>320</v>
      </c>
      <c r="E214" s="13" t="s">
        <v>91</v>
      </c>
      <c r="F214" s="13">
        <v>0</v>
      </c>
      <c r="G214" s="13">
        <v>0</v>
      </c>
      <c r="H214" s="13">
        <v>0</v>
      </c>
      <c r="I214" s="13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13">
        <v>1</v>
      </c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32">
        <v>0</v>
      </c>
      <c r="AI214" s="32">
        <v>0</v>
      </c>
      <c r="AJ214" s="32">
        <v>0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32">
        <v>0</v>
      </c>
      <c r="AW214" s="13">
        <v>3</v>
      </c>
      <c r="AX214" s="32">
        <v>0</v>
      </c>
      <c r="AY214" s="32">
        <v>0</v>
      </c>
      <c r="AZ214" s="32">
        <v>0</v>
      </c>
      <c r="BA214" s="32">
        <v>0</v>
      </c>
      <c r="BB214" s="32">
        <v>0</v>
      </c>
      <c r="BC214">
        <f t="shared" si="3"/>
        <v>2</v>
      </c>
      <c r="BD214" s="13">
        <f>[1]!shannonweaver(J214:BB214)</f>
        <v>0.56233514461880829</v>
      </c>
    </row>
    <row r="215" spans="1:56">
      <c r="A215" t="s">
        <v>195</v>
      </c>
      <c r="B215" t="s">
        <v>183</v>
      </c>
      <c r="C215" t="s">
        <v>45</v>
      </c>
      <c r="D215" s="13" t="s">
        <v>320</v>
      </c>
      <c r="E215" s="13" t="s">
        <v>91</v>
      </c>
      <c r="F215" s="13">
        <v>0</v>
      </c>
      <c r="G215" s="13">
        <v>0</v>
      </c>
      <c r="H215" s="13">
        <v>0</v>
      </c>
      <c r="I215" s="13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>
        <f t="shared" si="3"/>
        <v>0</v>
      </c>
      <c r="BD215" s="13">
        <v>0</v>
      </c>
    </row>
    <row r="216" spans="1:56">
      <c r="A216" t="s">
        <v>196</v>
      </c>
      <c r="B216" t="s">
        <v>183</v>
      </c>
      <c r="C216" t="s">
        <v>45</v>
      </c>
      <c r="D216" s="13" t="s">
        <v>320</v>
      </c>
      <c r="E216" s="13" t="s">
        <v>91</v>
      </c>
      <c r="F216" s="13">
        <v>0</v>
      </c>
      <c r="G216" s="13">
        <v>0</v>
      </c>
      <c r="H216" s="13">
        <v>0</v>
      </c>
      <c r="I216" s="13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13">
        <v>1</v>
      </c>
      <c r="T216" s="32">
        <v>0</v>
      </c>
      <c r="U216" s="13">
        <v>1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">
        <v>0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0</v>
      </c>
      <c r="AX216" s="32">
        <v>0</v>
      </c>
      <c r="AY216" s="32">
        <v>0</v>
      </c>
      <c r="AZ216" s="32">
        <v>0</v>
      </c>
      <c r="BA216" s="32">
        <v>0</v>
      </c>
      <c r="BB216" s="32">
        <v>0</v>
      </c>
      <c r="BC216">
        <f t="shared" si="3"/>
        <v>2</v>
      </c>
      <c r="BD216" s="13">
        <f>[1]!shannonweaver(J216:BB216)</f>
        <v>0.69314718055994529</v>
      </c>
    </row>
    <row r="217" spans="1:56">
      <c r="A217" t="s">
        <v>197</v>
      </c>
      <c r="B217" t="s">
        <v>183</v>
      </c>
      <c r="C217" t="s">
        <v>45</v>
      </c>
      <c r="D217" s="13" t="s">
        <v>320</v>
      </c>
      <c r="E217" s="13" t="s">
        <v>91</v>
      </c>
      <c r="F217" s="13">
        <v>0</v>
      </c>
      <c r="G217" s="13">
        <v>0</v>
      </c>
      <c r="H217" s="13">
        <v>0</v>
      </c>
      <c r="I217" s="13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0</v>
      </c>
      <c r="AB217" s="32">
        <v>0</v>
      </c>
      <c r="AC217" s="32">
        <v>0</v>
      </c>
      <c r="AD217" s="32">
        <v>0</v>
      </c>
      <c r="AE217" s="32">
        <v>0</v>
      </c>
      <c r="AF217" s="32">
        <v>0</v>
      </c>
      <c r="AG217" s="13">
        <v>1</v>
      </c>
      <c r="AH217" s="32">
        <v>0</v>
      </c>
      <c r="AI217" s="32">
        <v>0</v>
      </c>
      <c r="AJ217" s="32">
        <v>0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0</v>
      </c>
      <c r="AV217" s="32">
        <v>0</v>
      </c>
      <c r="AW217" s="13">
        <v>2</v>
      </c>
      <c r="AX217" s="32">
        <v>0</v>
      </c>
      <c r="AY217" s="32">
        <v>0</v>
      </c>
      <c r="AZ217" s="32">
        <v>0</v>
      </c>
      <c r="BA217" s="32">
        <v>0</v>
      </c>
      <c r="BB217" s="32">
        <v>0</v>
      </c>
      <c r="BC217">
        <f t="shared" si="3"/>
        <v>2</v>
      </c>
      <c r="BD217" s="13">
        <f>[1]!shannonweaver(J217:BB217)</f>
        <v>0.63651416829481278</v>
      </c>
    </row>
  </sheetData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17"/>
  <sheetViews>
    <sheetView tabSelected="1" zoomScale="110" workbookViewId="0">
      <pane xSplit="5" ySplit="1" topLeftCell="J2" activePane="bottomRight" state="frozen"/>
      <selection pane="topRight" activeCell="F1" sqref="F1"/>
      <selection pane="bottomLeft" activeCell="A2" sqref="A2"/>
      <selection pane="bottomRight" activeCell="P14" sqref="P14"/>
    </sheetView>
  </sheetViews>
  <sheetFormatPr baseColWidth="10" defaultRowHeight="13" x14ac:dyDescent="0"/>
  <cols>
    <col min="1" max="1" width="14.7109375" style="13" customWidth="1"/>
    <col min="2" max="2" width="2.7109375" style="13" bestFit="1" customWidth="1"/>
    <col min="3" max="3" width="4.140625" style="13" bestFit="1" customWidth="1"/>
    <col min="4" max="4" width="4.140625" style="13" customWidth="1"/>
    <col min="5" max="5" width="4.7109375" style="13" customWidth="1"/>
    <col min="6" max="6" width="2.7109375" style="13" bestFit="1" customWidth="1"/>
    <col min="7" max="11" width="2.7109375" style="13" customWidth="1"/>
    <col min="12" max="12" width="3" style="13" bestFit="1" customWidth="1"/>
    <col min="13" max="16" width="3" style="13" customWidth="1"/>
    <col min="17" max="17" width="2.7109375" style="13" customWidth="1"/>
    <col min="18" max="18" width="2.7109375" style="13" bestFit="1" customWidth="1"/>
    <col min="19" max="24" width="2.7109375" style="13" customWidth="1"/>
    <col min="25" max="25" width="3" style="13" bestFit="1" customWidth="1"/>
    <col min="26" max="27" width="3" style="13" customWidth="1"/>
    <col min="28" max="28" width="3" style="13" bestFit="1" customWidth="1"/>
    <col min="29" max="32" width="2.7109375" style="13" bestFit="1" customWidth="1"/>
    <col min="33" max="33" width="2.7109375" style="13" customWidth="1"/>
    <col min="34" max="34" width="2.7109375" style="13" bestFit="1" customWidth="1"/>
    <col min="35" max="37" width="2.7109375" style="13" customWidth="1"/>
    <col min="38" max="42" width="2.7109375" style="13" bestFit="1" customWidth="1"/>
    <col min="43" max="45" width="2.7109375" style="13" customWidth="1"/>
    <col min="46" max="50" width="2.7109375" style="13" bestFit="1" customWidth="1"/>
    <col min="51" max="52" width="2.7109375" style="13" customWidth="1"/>
    <col min="53" max="53" width="2.7109375" style="13" bestFit="1" customWidth="1"/>
    <col min="54" max="54" width="2.7109375" style="13" customWidth="1"/>
    <col min="55" max="55" width="3" style="13" bestFit="1" customWidth="1"/>
    <col min="56" max="56" width="11.85546875" style="13" customWidth="1"/>
    <col min="57" max="16384" width="10.7109375" style="11"/>
  </cols>
  <sheetData>
    <row r="1" spans="1:57" s="1" customFormat="1" ht="108" customHeight="1">
      <c r="A1" s="1" t="s">
        <v>278</v>
      </c>
      <c r="B1" s="2" t="s">
        <v>76</v>
      </c>
      <c r="C1" s="2" t="s">
        <v>77</v>
      </c>
      <c r="D1" s="2" t="s">
        <v>318</v>
      </c>
      <c r="E1" s="1" t="s">
        <v>279</v>
      </c>
      <c r="F1" s="3" t="s">
        <v>78</v>
      </c>
      <c r="G1" s="3" t="s">
        <v>179</v>
      </c>
      <c r="H1" s="3" t="s">
        <v>330</v>
      </c>
      <c r="I1" s="3" t="s">
        <v>27</v>
      </c>
      <c r="J1" s="3" t="s">
        <v>223</v>
      </c>
      <c r="K1" s="4" t="s">
        <v>149</v>
      </c>
      <c r="L1" s="4" t="s">
        <v>38</v>
      </c>
      <c r="M1" s="4" t="s">
        <v>222</v>
      </c>
      <c r="N1" s="4" t="s">
        <v>198</v>
      </c>
      <c r="O1" s="4" t="s">
        <v>171</v>
      </c>
      <c r="P1" s="4" t="s">
        <v>172</v>
      </c>
      <c r="Q1" s="4" t="s">
        <v>285</v>
      </c>
      <c r="R1" s="4" t="s">
        <v>37</v>
      </c>
      <c r="S1" s="4" t="s">
        <v>143</v>
      </c>
      <c r="T1" s="4" t="s">
        <v>276</v>
      </c>
      <c r="U1" s="5" t="s">
        <v>277</v>
      </c>
      <c r="V1" s="5" t="s">
        <v>117</v>
      </c>
      <c r="W1" s="5" t="s">
        <v>310</v>
      </c>
      <c r="X1" s="5" t="s">
        <v>18</v>
      </c>
      <c r="Y1" s="5" t="s">
        <v>303</v>
      </c>
      <c r="Z1" s="5" t="s">
        <v>59</v>
      </c>
      <c r="AA1" s="5" t="s">
        <v>325</v>
      </c>
      <c r="AB1" s="5" t="s">
        <v>304</v>
      </c>
      <c r="AC1" s="5" t="s">
        <v>306</v>
      </c>
      <c r="AD1" s="5" t="s">
        <v>307</v>
      </c>
      <c r="AE1" s="5" t="s">
        <v>308</v>
      </c>
      <c r="AF1" s="5" t="s">
        <v>248</v>
      </c>
      <c r="AG1" s="5" t="s">
        <v>317</v>
      </c>
      <c r="AH1" s="5" t="s">
        <v>311</v>
      </c>
      <c r="AI1" s="5" t="s">
        <v>254</v>
      </c>
      <c r="AJ1" s="5" t="s">
        <v>299</v>
      </c>
      <c r="AK1" s="6" t="s">
        <v>286</v>
      </c>
      <c r="AL1" s="6" t="s">
        <v>237</v>
      </c>
      <c r="AM1" s="6" t="s">
        <v>239</v>
      </c>
      <c r="AN1" s="6" t="s">
        <v>51</v>
      </c>
      <c r="AO1" s="6" t="s">
        <v>52</v>
      </c>
      <c r="AP1" s="6" t="s">
        <v>53</v>
      </c>
      <c r="AQ1" s="6" t="s">
        <v>199</v>
      </c>
      <c r="AR1" s="6" t="s">
        <v>328</v>
      </c>
      <c r="AS1" s="6" t="s">
        <v>101</v>
      </c>
      <c r="AT1" s="7" t="s">
        <v>54</v>
      </c>
      <c r="AU1" s="7" t="s">
        <v>61</v>
      </c>
      <c r="AV1" s="8" t="s">
        <v>62</v>
      </c>
      <c r="AW1" s="8" t="s">
        <v>63</v>
      </c>
      <c r="AX1" s="9" t="s">
        <v>64</v>
      </c>
      <c r="AY1" s="9" t="s">
        <v>242</v>
      </c>
      <c r="AZ1" s="9" t="s">
        <v>246</v>
      </c>
      <c r="BA1" s="5" t="s">
        <v>309</v>
      </c>
      <c r="BB1" s="12" t="s">
        <v>25</v>
      </c>
      <c r="BC1" s="1" t="s">
        <v>335</v>
      </c>
      <c r="BD1" s="1" t="s">
        <v>336</v>
      </c>
      <c r="BE1" s="1" t="s">
        <v>334</v>
      </c>
    </row>
    <row r="2" spans="1:57">
      <c r="A2" s="13" t="s">
        <v>280</v>
      </c>
      <c r="B2" s="13" t="s">
        <v>281</v>
      </c>
      <c r="C2" s="13" t="s">
        <v>282</v>
      </c>
      <c r="D2" s="13" t="s">
        <v>319</v>
      </c>
      <c r="E2" s="13" t="s">
        <v>283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0</v>
      </c>
      <c r="W2" s="13">
        <v>0</v>
      </c>
      <c r="X2" s="13">
        <v>0</v>
      </c>
      <c r="Y2" s="13">
        <v>2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1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>
        <f>COUNTIF(J2:AZ2, "&gt;0")</f>
        <v>2</v>
      </c>
      <c r="BD2" s="13">
        <f>[1]!shannonweaver(J2:AZ2)</f>
        <v>0.63651416829481278</v>
      </c>
      <c r="BE2">
        <f>COUNTIF(I2:AY2, "&gt;0")</f>
        <v>2</v>
      </c>
    </row>
    <row r="3" spans="1:57">
      <c r="A3" s="13" t="s">
        <v>284</v>
      </c>
      <c r="B3" s="13" t="s">
        <v>281</v>
      </c>
      <c r="C3" s="13" t="s">
        <v>282</v>
      </c>
      <c r="D3" s="13" t="s">
        <v>319</v>
      </c>
      <c r="E3" s="13" t="s">
        <v>283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1</v>
      </c>
      <c r="V3" s="13">
        <v>0</v>
      </c>
      <c r="W3" s="13">
        <v>0</v>
      </c>
      <c r="X3" s="13">
        <v>0</v>
      </c>
      <c r="Y3" s="13">
        <v>3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2</v>
      </c>
      <c r="BB3" s="13">
        <v>0</v>
      </c>
      <c r="BC3">
        <f>COUNTIF(J3:AZ3, "&gt;0")</f>
        <v>2</v>
      </c>
      <c r="BD3" s="13">
        <f>[1]!shannonweaver(J3:AZ3)</f>
        <v>0.56233514461880829</v>
      </c>
      <c r="BE3">
        <f t="shared" ref="BE3:BE66" si="0">COUNTIF(I3:AY3, "&gt;0")</f>
        <v>2</v>
      </c>
    </row>
    <row r="4" spans="1:57">
      <c r="A4" s="13" t="s">
        <v>287</v>
      </c>
      <c r="B4" s="13" t="s">
        <v>281</v>
      </c>
      <c r="C4" s="13" t="s">
        <v>282</v>
      </c>
      <c r="D4" s="13" t="s">
        <v>319</v>
      </c>
      <c r="E4" s="13" t="s">
        <v>283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>
        <f>COUNTIF(J4:AZ4, "&gt;0")</f>
        <v>0</v>
      </c>
      <c r="BD4" s="13" t="e">
        <f>[1]!shannonweaver(J4:AZ4)</f>
        <v>#VALUE!</v>
      </c>
      <c r="BE4">
        <f t="shared" si="0"/>
        <v>0</v>
      </c>
    </row>
    <row r="5" spans="1:57">
      <c r="A5" s="13" t="s">
        <v>288</v>
      </c>
      <c r="B5" s="13" t="s">
        <v>281</v>
      </c>
      <c r="C5" s="13" t="s">
        <v>282</v>
      </c>
      <c r="D5" s="13" t="s">
        <v>319</v>
      </c>
      <c r="E5" s="13" t="s">
        <v>283</v>
      </c>
      <c r="F5" s="13">
        <v>0</v>
      </c>
      <c r="G5" s="13">
        <v>0</v>
      </c>
      <c r="H5" s="13">
        <v>0</v>
      </c>
      <c r="I5" s="13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>
        <v>0</v>
      </c>
      <c r="P5" s="32">
        <v>0</v>
      </c>
      <c r="Q5" s="32">
        <v>0</v>
      </c>
      <c r="R5" s="32">
        <v>0</v>
      </c>
      <c r="S5" s="32">
        <v>0</v>
      </c>
      <c r="T5" s="32">
        <v>0</v>
      </c>
      <c r="U5" s="32">
        <v>0</v>
      </c>
      <c r="V5" s="32">
        <v>0</v>
      </c>
      <c r="W5" s="32">
        <v>0</v>
      </c>
      <c r="X5" s="32">
        <v>0</v>
      </c>
      <c r="Y5" s="13">
        <v>2</v>
      </c>
      <c r="Z5" s="13">
        <v>0</v>
      </c>
      <c r="AA5" s="13">
        <v>0</v>
      </c>
      <c r="AB5" s="13">
        <v>2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>
        <f>COUNTIF(J5:AZ5, "&gt;0")</f>
        <v>2</v>
      </c>
      <c r="BD5" s="13">
        <f>[1]!shannonweaver(J5:AZ5)</f>
        <v>0.69314718055994529</v>
      </c>
      <c r="BE5">
        <f t="shared" si="0"/>
        <v>2</v>
      </c>
    </row>
    <row r="6" spans="1:57">
      <c r="A6" s="13" t="s">
        <v>289</v>
      </c>
      <c r="B6" s="13" t="s">
        <v>281</v>
      </c>
      <c r="C6" s="13" t="s">
        <v>282</v>
      </c>
      <c r="D6" s="13" t="s">
        <v>319</v>
      </c>
      <c r="E6" s="13" t="s">
        <v>283</v>
      </c>
      <c r="F6" s="13">
        <v>0</v>
      </c>
      <c r="G6" s="13">
        <v>0</v>
      </c>
      <c r="H6" s="13">
        <v>0</v>
      </c>
      <c r="I6" s="13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2">
        <v>0</v>
      </c>
      <c r="X6" s="32">
        <v>0</v>
      </c>
      <c r="Y6" s="32">
        <v>0</v>
      </c>
      <c r="Z6" s="32">
        <v>0</v>
      </c>
      <c r="AA6" s="32">
        <v>0</v>
      </c>
      <c r="AB6" s="13">
        <v>1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>
        <f>COUNTIF(J6:AZ6, "&gt;0")</f>
        <v>1</v>
      </c>
      <c r="BD6" s="13">
        <f>[1]!shannonweaver(J6:AZ6)</f>
        <v>0</v>
      </c>
      <c r="BE6">
        <f t="shared" si="0"/>
        <v>1</v>
      </c>
    </row>
    <row r="7" spans="1:57">
      <c r="A7" s="13" t="s">
        <v>290</v>
      </c>
      <c r="B7" s="13" t="s">
        <v>281</v>
      </c>
      <c r="C7" s="13" t="s">
        <v>282</v>
      </c>
      <c r="D7" s="13" t="s">
        <v>319</v>
      </c>
      <c r="E7" s="13" t="s">
        <v>283</v>
      </c>
      <c r="F7" s="13">
        <v>0</v>
      </c>
      <c r="G7" s="13">
        <v>0</v>
      </c>
      <c r="H7" s="13">
        <v>0</v>
      </c>
      <c r="I7" s="13">
        <v>0</v>
      </c>
      <c r="J7" s="32">
        <v>0</v>
      </c>
      <c r="K7" s="32">
        <v>0</v>
      </c>
      <c r="L7" s="13">
        <v>1</v>
      </c>
      <c r="M7" s="32">
        <v>0</v>
      </c>
      <c r="N7" s="32">
        <v>0</v>
      </c>
      <c r="O7" s="13">
        <v>1</v>
      </c>
      <c r="P7" s="32">
        <v>0</v>
      </c>
      <c r="Q7" s="32">
        <v>0</v>
      </c>
      <c r="R7" s="32">
        <v>0</v>
      </c>
      <c r="S7" s="32">
        <v>0</v>
      </c>
      <c r="T7" s="32">
        <v>0</v>
      </c>
      <c r="U7" s="32">
        <v>0</v>
      </c>
      <c r="V7" s="32">
        <v>0</v>
      </c>
      <c r="W7" s="32">
        <v>0</v>
      </c>
      <c r="X7" s="32">
        <v>0</v>
      </c>
      <c r="Y7" s="32">
        <v>0</v>
      </c>
      <c r="Z7" s="32">
        <v>0</v>
      </c>
      <c r="AA7" s="32">
        <v>0</v>
      </c>
      <c r="AB7" s="13">
        <v>1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>
        <f>COUNTIF(J7:AZ7, "&gt;0")</f>
        <v>3</v>
      </c>
      <c r="BD7" s="13">
        <f>[1]!shannonweaver(J7:AZ7)</f>
        <v>1.0986122886681096</v>
      </c>
      <c r="BE7">
        <f t="shared" si="0"/>
        <v>3</v>
      </c>
    </row>
    <row r="8" spans="1:57">
      <c r="A8" s="13" t="s">
        <v>292</v>
      </c>
      <c r="B8" s="13" t="s">
        <v>281</v>
      </c>
      <c r="C8" s="13" t="s">
        <v>293</v>
      </c>
      <c r="D8" s="13" t="s">
        <v>319</v>
      </c>
      <c r="E8" s="13" t="s">
        <v>283</v>
      </c>
      <c r="F8" s="13">
        <v>0</v>
      </c>
      <c r="G8" s="13">
        <v>0</v>
      </c>
      <c r="H8" s="13">
        <v>0</v>
      </c>
      <c r="I8" s="13">
        <v>0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32">
        <v>0</v>
      </c>
      <c r="X8" s="32">
        <v>0</v>
      </c>
      <c r="Y8" s="13">
        <v>2</v>
      </c>
      <c r="Z8" s="32">
        <v>0</v>
      </c>
      <c r="AA8" s="32">
        <v>0</v>
      </c>
      <c r="AB8" s="32">
        <v>0</v>
      </c>
      <c r="AC8" s="32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2</v>
      </c>
      <c r="BB8" s="13">
        <v>0</v>
      </c>
      <c r="BC8">
        <f>COUNTIF(J8:AZ8, "&gt;0")</f>
        <v>1</v>
      </c>
      <c r="BD8" s="13">
        <f>[1]!shannonweaver(J8:AZ8)</f>
        <v>0</v>
      </c>
      <c r="BE8">
        <f t="shared" si="0"/>
        <v>1</v>
      </c>
    </row>
    <row r="9" spans="1:57">
      <c r="A9" t="s">
        <v>294</v>
      </c>
      <c r="B9" s="13" t="s">
        <v>281</v>
      </c>
      <c r="C9" s="13" t="s">
        <v>293</v>
      </c>
      <c r="D9" s="13" t="s">
        <v>319</v>
      </c>
      <c r="E9" s="13" t="s">
        <v>283</v>
      </c>
      <c r="F9" s="13">
        <v>0</v>
      </c>
      <c r="G9" s="13">
        <v>0</v>
      </c>
      <c r="H9" s="13">
        <v>0</v>
      </c>
      <c r="I9" s="13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>
        <v>0</v>
      </c>
      <c r="U9" s="32">
        <v>0</v>
      </c>
      <c r="V9" s="32">
        <v>0</v>
      </c>
      <c r="W9" s="13">
        <v>1</v>
      </c>
      <c r="X9" s="32">
        <v>0</v>
      </c>
      <c r="Y9" s="32">
        <v>0</v>
      </c>
      <c r="Z9" s="32">
        <v>0</v>
      </c>
      <c r="AA9" s="13">
        <v>1</v>
      </c>
      <c r="AB9" s="32">
        <v>0</v>
      </c>
      <c r="AC9" s="32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>
        <f>COUNTIF(J9:AZ9, "&gt;0")</f>
        <v>2</v>
      </c>
      <c r="BD9" s="13">
        <f>[1]!shannonweaver(J9:AZ9)</f>
        <v>0.69314718055994529</v>
      </c>
      <c r="BE9">
        <f t="shared" si="0"/>
        <v>2</v>
      </c>
    </row>
    <row r="10" spans="1:57">
      <c r="A10" s="13" t="s">
        <v>295</v>
      </c>
      <c r="B10" s="13" t="s">
        <v>281</v>
      </c>
      <c r="C10" s="13" t="s">
        <v>293</v>
      </c>
      <c r="D10" s="13" t="s">
        <v>319</v>
      </c>
      <c r="E10" s="13" t="s">
        <v>283</v>
      </c>
      <c r="F10" s="13">
        <v>0</v>
      </c>
      <c r="G10" s="13">
        <v>0</v>
      </c>
      <c r="H10" s="13">
        <v>0</v>
      </c>
      <c r="I10" s="13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2</v>
      </c>
      <c r="BB10" s="13">
        <v>0</v>
      </c>
      <c r="BC10">
        <f>COUNTIF(J10:AZ10, "&gt;0")</f>
        <v>0</v>
      </c>
      <c r="BD10" s="13" t="e">
        <f>[1]!shannonweaver(J10:AZ10)</f>
        <v>#VALUE!</v>
      </c>
      <c r="BE10">
        <f t="shared" si="0"/>
        <v>0</v>
      </c>
    </row>
    <row r="11" spans="1:57">
      <c r="A11" s="13" t="s">
        <v>296</v>
      </c>
      <c r="B11" s="13" t="s">
        <v>281</v>
      </c>
      <c r="C11" s="13" t="s">
        <v>293</v>
      </c>
      <c r="D11" s="13" t="s">
        <v>319</v>
      </c>
      <c r="E11" s="13" t="s">
        <v>283</v>
      </c>
      <c r="F11" s="13">
        <v>0</v>
      </c>
      <c r="G11" s="13">
        <v>0</v>
      </c>
      <c r="H11" s="13">
        <v>0</v>
      </c>
      <c r="I11" s="13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13">
        <v>2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>
        <f>COUNTIF(J11:AZ11, "&gt;0")</f>
        <v>1</v>
      </c>
      <c r="BD11" s="13">
        <f>[1]!shannonweaver(J11:AZ11)</f>
        <v>0</v>
      </c>
      <c r="BE11">
        <f t="shared" si="0"/>
        <v>1</v>
      </c>
    </row>
    <row r="12" spans="1:57">
      <c r="A12" s="13" t="s">
        <v>297</v>
      </c>
      <c r="B12" s="13" t="s">
        <v>281</v>
      </c>
      <c r="C12" s="13" t="s">
        <v>293</v>
      </c>
      <c r="D12" s="13" t="s">
        <v>319</v>
      </c>
      <c r="E12" s="13" t="s">
        <v>283</v>
      </c>
      <c r="F12" s="13">
        <v>0</v>
      </c>
      <c r="G12" s="13">
        <v>0</v>
      </c>
      <c r="H12" s="13">
        <v>0</v>
      </c>
      <c r="I12" s="13">
        <v>0</v>
      </c>
      <c r="J12" s="32">
        <v>0</v>
      </c>
      <c r="K12" s="32">
        <v>0</v>
      </c>
      <c r="L12" s="13">
        <v>1</v>
      </c>
      <c r="M12" s="32">
        <v>0</v>
      </c>
      <c r="N12" s="32">
        <v>0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13">
        <v>2</v>
      </c>
      <c r="V12" s="32">
        <v>0</v>
      </c>
      <c r="W12" s="32">
        <v>0</v>
      </c>
      <c r="X12" s="32">
        <v>0</v>
      </c>
      <c r="Y12" s="13">
        <v>1</v>
      </c>
      <c r="Z12" s="32">
        <v>0</v>
      </c>
      <c r="AA12" s="32">
        <v>0</v>
      </c>
      <c r="AB12" s="32">
        <v>0</v>
      </c>
      <c r="AC12" s="32">
        <v>0</v>
      </c>
      <c r="AD12" s="32">
        <v>0</v>
      </c>
      <c r="AE12" s="32">
        <v>0</v>
      </c>
      <c r="AF12" s="32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2</v>
      </c>
      <c r="BB12" s="13">
        <v>0</v>
      </c>
      <c r="BC12">
        <f>COUNTIF(J12:AZ12, "&gt;0")</f>
        <v>3</v>
      </c>
      <c r="BD12" s="13">
        <f>[1]!shannonweaver(J12:AZ12)</f>
        <v>1.0397207708399179</v>
      </c>
      <c r="BE12">
        <f t="shared" si="0"/>
        <v>3</v>
      </c>
    </row>
    <row r="13" spans="1:57">
      <c r="A13" s="13" t="s">
        <v>298</v>
      </c>
      <c r="B13" s="13" t="s">
        <v>281</v>
      </c>
      <c r="C13" s="13" t="s">
        <v>293</v>
      </c>
      <c r="D13" s="13" t="s">
        <v>319</v>
      </c>
      <c r="E13" s="13" t="s">
        <v>283</v>
      </c>
      <c r="F13" s="13">
        <v>0</v>
      </c>
      <c r="G13" s="13">
        <v>0</v>
      </c>
      <c r="H13" s="13">
        <v>0</v>
      </c>
      <c r="I13" s="13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13">
        <v>1</v>
      </c>
      <c r="AE13" s="32">
        <v>0</v>
      </c>
      <c r="AF13" s="13">
        <v>1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2</v>
      </c>
      <c r="BB13" s="13">
        <v>0</v>
      </c>
      <c r="BC13">
        <f>COUNTIF(J13:AZ13, "&gt;0")</f>
        <v>2</v>
      </c>
      <c r="BD13" s="13">
        <f>[1]!shannonweaver(J13:AZ13)</f>
        <v>0.69314718055994529</v>
      </c>
      <c r="BE13">
        <f t="shared" si="0"/>
        <v>2</v>
      </c>
    </row>
    <row r="14" spans="1:57">
      <c r="A14" s="13" t="s">
        <v>300</v>
      </c>
      <c r="B14" s="13" t="s">
        <v>281</v>
      </c>
      <c r="C14" s="13" t="s">
        <v>301</v>
      </c>
      <c r="D14" s="13" t="s">
        <v>319</v>
      </c>
      <c r="E14" s="13" t="s">
        <v>283</v>
      </c>
      <c r="F14" s="13">
        <v>0</v>
      </c>
      <c r="G14" s="13">
        <v>0</v>
      </c>
      <c r="H14" s="13">
        <v>0</v>
      </c>
      <c r="I14" s="13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13">
        <v>2</v>
      </c>
      <c r="Z14" s="32">
        <v>0</v>
      </c>
      <c r="AA14" s="32">
        <v>0</v>
      </c>
      <c r="AB14" s="13">
        <v>1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  <c r="AI14" s="32">
        <v>0</v>
      </c>
      <c r="AJ14" s="32">
        <v>0</v>
      </c>
      <c r="AK14" s="32">
        <v>0</v>
      </c>
      <c r="AL14" s="32">
        <v>0</v>
      </c>
      <c r="AM14" s="32">
        <v>0</v>
      </c>
      <c r="AN14" s="32">
        <v>0</v>
      </c>
      <c r="AO14" s="32">
        <v>0</v>
      </c>
      <c r="AP14" s="32">
        <v>0</v>
      </c>
      <c r="AQ14" s="32">
        <v>0</v>
      </c>
      <c r="AR14" s="32">
        <v>0</v>
      </c>
      <c r="AS14" s="32">
        <v>0</v>
      </c>
      <c r="AT14" s="32">
        <v>0</v>
      </c>
      <c r="AU14" s="32">
        <v>0</v>
      </c>
      <c r="AV14" s="32">
        <v>0</v>
      </c>
      <c r="AW14" s="32">
        <v>0</v>
      </c>
      <c r="AX14" s="32">
        <v>0</v>
      </c>
      <c r="AY14" s="32">
        <v>0</v>
      </c>
      <c r="AZ14" s="32">
        <v>0</v>
      </c>
      <c r="BA14" s="32">
        <v>0</v>
      </c>
      <c r="BB14" s="32">
        <v>0</v>
      </c>
      <c r="BC14">
        <f>COUNTIF(J14:AZ14, "&gt;0")</f>
        <v>2</v>
      </c>
      <c r="BD14" s="13">
        <f>[1]!shannonweaver(J14:AZ14)</f>
        <v>0.63651416829481278</v>
      </c>
      <c r="BE14">
        <f t="shared" si="0"/>
        <v>2</v>
      </c>
    </row>
    <row r="15" spans="1:57">
      <c r="A15" s="14" t="s">
        <v>302</v>
      </c>
      <c r="B15" s="13" t="s">
        <v>281</v>
      </c>
      <c r="C15" s="13" t="s">
        <v>301</v>
      </c>
      <c r="D15" s="13" t="s">
        <v>319</v>
      </c>
      <c r="E15" s="13" t="s">
        <v>283</v>
      </c>
      <c r="F15" s="13">
        <v>0</v>
      </c>
      <c r="G15" s="13">
        <v>0</v>
      </c>
      <c r="H15" s="13">
        <v>0</v>
      </c>
      <c r="I15" s="13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13">
        <v>2</v>
      </c>
      <c r="Z15" s="32">
        <v>0</v>
      </c>
      <c r="AA15" s="13">
        <v>3</v>
      </c>
      <c r="AB15" s="13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  <c r="AI15" s="32">
        <v>0</v>
      </c>
      <c r="AJ15" s="32">
        <v>0</v>
      </c>
      <c r="AK15" s="32">
        <v>0</v>
      </c>
      <c r="AL15" s="32">
        <v>0</v>
      </c>
      <c r="AM15" s="32">
        <v>0</v>
      </c>
      <c r="AN15" s="32">
        <v>0</v>
      </c>
      <c r="AO15" s="32">
        <v>0</v>
      </c>
      <c r="AP15" s="32">
        <v>0</v>
      </c>
      <c r="AQ15" s="32">
        <v>0</v>
      </c>
      <c r="AR15" s="32">
        <v>0</v>
      </c>
      <c r="AS15" s="32">
        <v>0</v>
      </c>
      <c r="AT15" s="32">
        <v>0</v>
      </c>
      <c r="AU15" s="32">
        <v>0</v>
      </c>
      <c r="AV15" s="32">
        <v>0</v>
      </c>
      <c r="AW15" s="32">
        <v>0</v>
      </c>
      <c r="AX15" s="32">
        <v>0</v>
      </c>
      <c r="AY15" s="32">
        <v>0</v>
      </c>
      <c r="AZ15" s="32">
        <v>0</v>
      </c>
      <c r="BA15" s="13">
        <v>1</v>
      </c>
      <c r="BB15" s="32">
        <v>0</v>
      </c>
      <c r="BC15">
        <f>COUNTIF(J15:AZ15, "&gt;0")</f>
        <v>2</v>
      </c>
      <c r="BD15" s="13">
        <f>[1]!shannonweaver(J15:AZ15)</f>
        <v>0.67301166700925652</v>
      </c>
      <c r="BE15">
        <f t="shared" si="0"/>
        <v>2</v>
      </c>
    </row>
    <row r="16" spans="1:57">
      <c r="A16" s="13" t="s">
        <v>120</v>
      </c>
      <c r="B16" s="13" t="s">
        <v>281</v>
      </c>
      <c r="C16" s="13" t="s">
        <v>301</v>
      </c>
      <c r="D16" s="13" t="s">
        <v>319</v>
      </c>
      <c r="E16" s="13" t="s">
        <v>283</v>
      </c>
      <c r="F16" s="13">
        <v>0</v>
      </c>
      <c r="G16" s="13">
        <v>0</v>
      </c>
      <c r="H16" s="13">
        <v>0</v>
      </c>
      <c r="I16" s="13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13">
        <v>1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13">
        <v>2</v>
      </c>
      <c r="Z16" s="32">
        <v>0</v>
      </c>
      <c r="AA16" s="32">
        <v>0</v>
      </c>
      <c r="AB16" s="13">
        <v>1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  <c r="AI16" s="32">
        <v>0</v>
      </c>
      <c r="AJ16" s="32">
        <v>0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</v>
      </c>
      <c r="AQ16" s="32">
        <v>0</v>
      </c>
      <c r="AR16" s="32">
        <v>0</v>
      </c>
      <c r="AS16" s="32">
        <v>0</v>
      </c>
      <c r="AT16" s="32">
        <v>0</v>
      </c>
      <c r="AU16" s="32">
        <v>0</v>
      </c>
      <c r="AV16" s="32">
        <v>0</v>
      </c>
      <c r="AW16" s="32">
        <v>0</v>
      </c>
      <c r="AX16" s="32">
        <v>0</v>
      </c>
      <c r="AY16" s="32">
        <v>0</v>
      </c>
      <c r="AZ16" s="32">
        <v>0</v>
      </c>
      <c r="BA16" s="32">
        <v>0</v>
      </c>
      <c r="BB16" s="32">
        <v>0</v>
      </c>
      <c r="BC16">
        <f>COUNTIF(J16:AZ16, "&gt;0")</f>
        <v>3</v>
      </c>
      <c r="BD16" s="13">
        <f>[1]!shannonweaver(J16:AZ16)</f>
        <v>1.0397207708399179</v>
      </c>
      <c r="BE16">
        <f t="shared" si="0"/>
        <v>3</v>
      </c>
    </row>
    <row r="17" spans="1:57">
      <c r="A17" s="13" t="s">
        <v>312</v>
      </c>
      <c r="B17" s="13" t="s">
        <v>281</v>
      </c>
      <c r="C17" s="13" t="s">
        <v>301</v>
      </c>
      <c r="D17" s="13" t="s">
        <v>319</v>
      </c>
      <c r="E17" s="13" t="s">
        <v>283</v>
      </c>
      <c r="F17" s="13">
        <v>0</v>
      </c>
      <c r="G17" s="13">
        <v>0</v>
      </c>
      <c r="H17" s="13">
        <v>0</v>
      </c>
      <c r="I17" s="13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13">
        <v>1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13">
        <v>1</v>
      </c>
      <c r="AE17" s="32">
        <v>0</v>
      </c>
      <c r="AF17" s="32">
        <v>0</v>
      </c>
      <c r="AG17" s="32">
        <v>0</v>
      </c>
      <c r="AH17" s="32">
        <v>0</v>
      </c>
      <c r="AI17" s="32">
        <v>0</v>
      </c>
      <c r="AJ17" s="32">
        <v>0</v>
      </c>
      <c r="AK17" s="32">
        <v>0</v>
      </c>
      <c r="AL17" s="32">
        <v>0</v>
      </c>
      <c r="AM17" s="32">
        <v>0</v>
      </c>
      <c r="AN17" s="32">
        <v>0</v>
      </c>
      <c r="AO17" s="32">
        <v>0</v>
      </c>
      <c r="AP17" s="32">
        <v>0</v>
      </c>
      <c r="AQ17" s="32">
        <v>0</v>
      </c>
      <c r="AR17" s="32">
        <v>0</v>
      </c>
      <c r="AS17" s="32">
        <v>0</v>
      </c>
      <c r="AT17" s="32">
        <v>0</v>
      </c>
      <c r="AU17" s="32">
        <v>0</v>
      </c>
      <c r="AV17" s="32">
        <v>0</v>
      </c>
      <c r="AW17" s="32">
        <v>0</v>
      </c>
      <c r="AX17" s="32">
        <v>0</v>
      </c>
      <c r="AY17" s="32">
        <v>0</v>
      </c>
      <c r="AZ17" s="32">
        <v>0</v>
      </c>
      <c r="BA17" s="32">
        <v>0</v>
      </c>
      <c r="BB17" s="32">
        <v>0</v>
      </c>
      <c r="BC17">
        <f>COUNTIF(J17:AZ17, "&gt;0")</f>
        <v>2</v>
      </c>
      <c r="BD17" s="13">
        <f>[1]!shannonweaver(J17:AZ17)</f>
        <v>0.69314718055994529</v>
      </c>
      <c r="BE17">
        <f t="shared" si="0"/>
        <v>2</v>
      </c>
    </row>
    <row r="18" spans="1:57">
      <c r="A18" s="13" t="s">
        <v>313</v>
      </c>
      <c r="B18" s="13" t="s">
        <v>281</v>
      </c>
      <c r="C18" s="13" t="s">
        <v>301</v>
      </c>
      <c r="D18" s="13" t="s">
        <v>319</v>
      </c>
      <c r="E18" s="13" t="s">
        <v>283</v>
      </c>
      <c r="F18" s="13">
        <v>0</v>
      </c>
      <c r="G18" s="13">
        <v>0</v>
      </c>
      <c r="H18" s="13">
        <v>0</v>
      </c>
      <c r="I18" s="13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13">
        <v>4</v>
      </c>
      <c r="Z18" s="32">
        <v>0</v>
      </c>
      <c r="AA18" s="32">
        <v>0</v>
      </c>
      <c r="AB18" s="13">
        <v>1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  <c r="AI18" s="32">
        <v>0</v>
      </c>
      <c r="AJ18" s="32">
        <v>0</v>
      </c>
      <c r="AK18" s="32">
        <v>0</v>
      </c>
      <c r="AL18" s="32">
        <v>0</v>
      </c>
      <c r="AM18" s="32">
        <v>0</v>
      </c>
      <c r="AN18" s="32">
        <v>0</v>
      </c>
      <c r="AO18" s="32">
        <v>0</v>
      </c>
      <c r="AP18" s="32">
        <v>0</v>
      </c>
      <c r="AQ18" s="32">
        <v>0</v>
      </c>
      <c r="AR18" s="32">
        <v>0</v>
      </c>
      <c r="AS18" s="32">
        <v>0</v>
      </c>
      <c r="AT18" s="32">
        <v>0</v>
      </c>
      <c r="AU18" s="32">
        <v>0</v>
      </c>
      <c r="AV18" s="32">
        <v>0</v>
      </c>
      <c r="AW18" s="32">
        <v>0</v>
      </c>
      <c r="AX18" s="32">
        <v>0</v>
      </c>
      <c r="AY18" s="32">
        <v>0</v>
      </c>
      <c r="AZ18" s="32">
        <v>0</v>
      </c>
      <c r="BA18" s="32">
        <v>0</v>
      </c>
      <c r="BB18" s="32">
        <v>0</v>
      </c>
      <c r="BC18">
        <f>COUNTIF(J18:AZ18, "&gt;0")</f>
        <v>2</v>
      </c>
      <c r="BD18" s="13">
        <f>[1]!shannonweaver(J18:AZ18)</f>
        <v>0.50040242353818787</v>
      </c>
      <c r="BE18">
        <f t="shared" si="0"/>
        <v>2</v>
      </c>
    </row>
    <row r="19" spans="1:57">
      <c r="A19" s="13" t="s">
        <v>314</v>
      </c>
      <c r="B19" s="13" t="s">
        <v>281</v>
      </c>
      <c r="C19" s="13" t="s">
        <v>301</v>
      </c>
      <c r="D19" s="13" t="s">
        <v>319</v>
      </c>
      <c r="E19" s="13" t="s">
        <v>283</v>
      </c>
      <c r="F19" s="13">
        <v>0</v>
      </c>
      <c r="G19" s="13">
        <v>0</v>
      </c>
      <c r="H19" s="13">
        <v>0</v>
      </c>
      <c r="I19" s="13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13">
        <v>1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>
        <f>COUNTIF(J19:AZ19, "&gt;0")</f>
        <v>1</v>
      </c>
      <c r="BD19" s="13">
        <f>[1]!shannonweaver(J19:AZ19)</f>
        <v>0</v>
      </c>
      <c r="BE19">
        <f t="shared" si="0"/>
        <v>1</v>
      </c>
    </row>
    <row r="20" spans="1:57">
      <c r="A20" s="13" t="s">
        <v>315</v>
      </c>
      <c r="B20" s="13" t="s">
        <v>281</v>
      </c>
      <c r="C20" s="13">
        <v>4</v>
      </c>
      <c r="D20" s="13" t="s">
        <v>320</v>
      </c>
      <c r="E20" s="13" t="s">
        <v>283</v>
      </c>
      <c r="F20" s="13">
        <v>0</v>
      </c>
      <c r="G20" s="13">
        <v>0</v>
      </c>
      <c r="H20" s="13">
        <v>0</v>
      </c>
      <c r="I20" s="13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13">
        <v>1</v>
      </c>
      <c r="R20" s="32">
        <v>0</v>
      </c>
      <c r="S20" s="32">
        <v>0</v>
      </c>
      <c r="T20" s="32">
        <v>0</v>
      </c>
      <c r="U20" s="13">
        <v>1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13">
        <v>2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>
        <f>COUNTIF(J20:AZ20, "&gt;0")</f>
        <v>3</v>
      </c>
      <c r="BD20" s="13">
        <f>[1]!shannonweaver(J20:AZ20)</f>
        <v>1.0397207708399179</v>
      </c>
      <c r="BE20">
        <f t="shared" si="0"/>
        <v>3</v>
      </c>
    </row>
    <row r="21" spans="1:57">
      <c r="A21" t="s">
        <v>316</v>
      </c>
      <c r="B21" s="13" t="s">
        <v>281</v>
      </c>
      <c r="C21" s="13">
        <v>4</v>
      </c>
      <c r="D21" s="13" t="s">
        <v>320</v>
      </c>
      <c r="E21" s="13" t="s">
        <v>283</v>
      </c>
      <c r="F21" s="13">
        <v>0</v>
      </c>
      <c r="G21" s="13">
        <v>0</v>
      </c>
      <c r="H21" s="13">
        <v>0</v>
      </c>
      <c r="I21" s="13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13">
        <v>2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  <c r="AI21" s="32">
        <v>0</v>
      </c>
      <c r="AJ21" s="32">
        <v>0</v>
      </c>
      <c r="AK21" s="32">
        <v>0</v>
      </c>
      <c r="AL21" s="32">
        <v>0</v>
      </c>
      <c r="AM21" s="32">
        <v>0</v>
      </c>
      <c r="AN21" s="13">
        <v>1</v>
      </c>
      <c r="AO21" s="32">
        <v>0</v>
      </c>
      <c r="AP21" s="32">
        <v>0</v>
      </c>
      <c r="AQ21" s="32">
        <v>0</v>
      </c>
      <c r="AR21" s="32">
        <v>0</v>
      </c>
      <c r="AS21" s="32">
        <v>0</v>
      </c>
      <c r="AT21" s="32">
        <v>0</v>
      </c>
      <c r="AU21" s="32">
        <v>0</v>
      </c>
      <c r="AV21" s="32">
        <v>0</v>
      </c>
      <c r="AW21" s="32">
        <v>0</v>
      </c>
      <c r="AX21" s="32">
        <v>0</v>
      </c>
      <c r="AY21" s="32">
        <v>0</v>
      </c>
      <c r="AZ21" s="32">
        <v>0</v>
      </c>
      <c r="BA21" s="32">
        <v>0</v>
      </c>
      <c r="BB21" s="32">
        <v>0</v>
      </c>
      <c r="BC21">
        <f>COUNTIF(J21:AZ21, "&gt;0")</f>
        <v>2</v>
      </c>
      <c r="BD21" s="13">
        <f>[1]!shannonweaver(J21:AZ21)</f>
        <v>0.63651416829481278</v>
      </c>
      <c r="BE21">
        <f t="shared" si="0"/>
        <v>2</v>
      </c>
    </row>
    <row r="22" spans="1:57">
      <c r="A22" s="13" t="s">
        <v>321</v>
      </c>
      <c r="B22" s="13" t="s">
        <v>281</v>
      </c>
      <c r="C22" s="13">
        <v>4</v>
      </c>
      <c r="D22" s="13" t="s">
        <v>320</v>
      </c>
      <c r="E22" s="13" t="s">
        <v>283</v>
      </c>
      <c r="F22" s="13">
        <v>0</v>
      </c>
      <c r="G22" s="13">
        <v>0</v>
      </c>
      <c r="H22" s="13">
        <v>0</v>
      </c>
      <c r="I22" s="13">
        <v>0</v>
      </c>
      <c r="J22" s="13">
        <v>1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13">
        <v>1</v>
      </c>
      <c r="R22" s="13">
        <v>1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>
        <f>COUNTIF(J22:AZ22, "&gt;0")</f>
        <v>3</v>
      </c>
      <c r="BD22" s="13">
        <f>[1]!shannonweaver(J22:AZ22)</f>
        <v>1.0986122886681096</v>
      </c>
      <c r="BE22">
        <f t="shared" si="0"/>
        <v>3</v>
      </c>
    </row>
    <row r="23" spans="1:57">
      <c r="A23" s="13" t="s">
        <v>322</v>
      </c>
      <c r="B23" s="13" t="s">
        <v>281</v>
      </c>
      <c r="C23" s="13">
        <v>4</v>
      </c>
      <c r="D23" s="13" t="s">
        <v>320</v>
      </c>
      <c r="E23" s="13" t="s">
        <v>283</v>
      </c>
      <c r="F23" s="13">
        <v>0</v>
      </c>
      <c r="G23" s="13">
        <v>0</v>
      </c>
      <c r="H23" s="13">
        <v>0</v>
      </c>
      <c r="I23" s="13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2">
        <v>0</v>
      </c>
      <c r="X23" s="32">
        <v>0</v>
      </c>
      <c r="Y23" s="32">
        <v>0</v>
      </c>
      <c r="Z23" s="32">
        <v>0</v>
      </c>
      <c r="AA23" s="32">
        <v>0</v>
      </c>
      <c r="AB23" s="32">
        <v>0</v>
      </c>
      <c r="AC23" s="32">
        <v>0</v>
      </c>
      <c r="AD23" s="32">
        <v>0</v>
      </c>
      <c r="AE23" s="32">
        <v>0</v>
      </c>
      <c r="AF23" s="32">
        <v>0</v>
      </c>
      <c r="AG23" s="32">
        <v>0</v>
      </c>
      <c r="AH23" s="32">
        <v>0</v>
      </c>
      <c r="AI23" s="32">
        <v>0</v>
      </c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>
        <v>0</v>
      </c>
      <c r="AS23" s="32">
        <v>0</v>
      </c>
      <c r="AT23" s="32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2">
        <v>0</v>
      </c>
      <c r="BA23" s="32">
        <v>0</v>
      </c>
      <c r="BB23" s="32">
        <v>0</v>
      </c>
      <c r="BC23">
        <f>COUNTIF(J23:AZ23, "&gt;0")</f>
        <v>0</v>
      </c>
      <c r="BD23" s="13" t="e">
        <f>[1]!shannonweaver(J23:AZ23)</f>
        <v>#VALUE!</v>
      </c>
      <c r="BE23">
        <f t="shared" si="0"/>
        <v>0</v>
      </c>
    </row>
    <row r="24" spans="1:57">
      <c r="A24" s="13" t="s">
        <v>326</v>
      </c>
      <c r="B24" s="13" t="s">
        <v>281</v>
      </c>
      <c r="C24" s="13">
        <v>4</v>
      </c>
      <c r="D24" s="13" t="s">
        <v>320</v>
      </c>
      <c r="E24" s="13" t="s">
        <v>283</v>
      </c>
      <c r="F24" s="13">
        <v>0</v>
      </c>
      <c r="G24" s="13">
        <v>0</v>
      </c>
      <c r="H24" s="13">
        <v>0</v>
      </c>
      <c r="I24" s="13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2">
        <v>0</v>
      </c>
      <c r="X24" s="32">
        <v>0</v>
      </c>
      <c r="Y24" s="32">
        <v>0</v>
      </c>
      <c r="Z24" s="32">
        <v>0</v>
      </c>
      <c r="AA24" s="32">
        <v>0</v>
      </c>
      <c r="AB24" s="32">
        <v>0</v>
      </c>
      <c r="AC24" s="32">
        <v>0</v>
      </c>
      <c r="AD24" s="32">
        <v>0</v>
      </c>
      <c r="AE24" s="32">
        <v>0</v>
      </c>
      <c r="AF24" s="32">
        <v>0</v>
      </c>
      <c r="AG24" s="32">
        <v>0</v>
      </c>
      <c r="AH24" s="32">
        <v>0</v>
      </c>
      <c r="AI24" s="32">
        <v>0</v>
      </c>
      <c r="AJ24" s="13">
        <v>2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>
        <v>0</v>
      </c>
      <c r="AS24" s="32">
        <v>0</v>
      </c>
      <c r="AT24" s="32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2">
        <v>0</v>
      </c>
      <c r="BA24" s="32">
        <v>0</v>
      </c>
      <c r="BB24" s="32">
        <v>0</v>
      </c>
      <c r="BC24">
        <f>COUNTIF(J24:AZ24, "&gt;0")</f>
        <v>1</v>
      </c>
      <c r="BD24" s="13">
        <f>[1]!shannonweaver(J24:AZ24)</f>
        <v>0</v>
      </c>
      <c r="BE24">
        <f t="shared" si="0"/>
        <v>1</v>
      </c>
    </row>
    <row r="25" spans="1:57">
      <c r="A25" s="13" t="s">
        <v>327</v>
      </c>
      <c r="B25" s="13" t="s">
        <v>281</v>
      </c>
      <c r="C25" s="13">
        <v>4</v>
      </c>
      <c r="D25" s="13" t="s">
        <v>320</v>
      </c>
      <c r="E25" s="13" t="s">
        <v>283</v>
      </c>
      <c r="F25" s="13">
        <v>0</v>
      </c>
      <c r="G25" s="13">
        <v>0</v>
      </c>
      <c r="H25" s="13">
        <v>0</v>
      </c>
      <c r="I25" s="13">
        <v>0</v>
      </c>
      <c r="J25" s="13">
        <v>1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13">
        <v>1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2">
        <v>0</v>
      </c>
      <c r="X25" s="32">
        <v>0</v>
      </c>
      <c r="Y25" s="32">
        <v>0</v>
      </c>
      <c r="Z25" s="32">
        <v>0</v>
      </c>
      <c r="AA25" s="32">
        <v>0</v>
      </c>
      <c r="AB25" s="32">
        <v>0</v>
      </c>
      <c r="AC25" s="32">
        <v>0</v>
      </c>
      <c r="AD25" s="32">
        <v>0</v>
      </c>
      <c r="AE25" s="32">
        <v>0</v>
      </c>
      <c r="AF25" s="32">
        <v>0</v>
      </c>
      <c r="AG25" s="32">
        <v>0</v>
      </c>
      <c r="AH25" s="32">
        <v>0</v>
      </c>
      <c r="AI25" s="32">
        <v>0</v>
      </c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13">
        <v>1</v>
      </c>
      <c r="AS25" s="32">
        <v>0</v>
      </c>
      <c r="AT25" s="32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2">
        <v>0</v>
      </c>
      <c r="BA25" s="32">
        <v>0</v>
      </c>
      <c r="BB25" s="32">
        <v>0</v>
      </c>
      <c r="BC25">
        <f>COUNTIF(J25:AZ25, "&gt;0")</f>
        <v>3</v>
      </c>
      <c r="BD25" s="13">
        <f>[1]!shannonweaver(J25:AZ25)</f>
        <v>1.0986122886681096</v>
      </c>
      <c r="BE25">
        <f t="shared" si="0"/>
        <v>3</v>
      </c>
    </row>
    <row r="26" spans="1:57">
      <c r="A26" t="s">
        <v>329</v>
      </c>
      <c r="B26" t="s">
        <v>281</v>
      </c>
      <c r="C26">
        <v>5</v>
      </c>
      <c r="D26" s="13" t="s">
        <v>320</v>
      </c>
      <c r="E26" t="s">
        <v>283</v>
      </c>
      <c r="F26" s="13">
        <v>0</v>
      </c>
      <c r="G26" s="13">
        <v>0</v>
      </c>
      <c r="H26" s="13">
        <v>1</v>
      </c>
      <c r="I26" s="13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  <c r="AI26" s="32">
        <v>0</v>
      </c>
      <c r="AJ26" s="32">
        <v>0</v>
      </c>
      <c r="AK26" s="32">
        <v>0</v>
      </c>
      <c r="AL26" s="32">
        <v>0</v>
      </c>
      <c r="AM26" s="32">
        <v>0</v>
      </c>
      <c r="AN26" s="32">
        <v>0</v>
      </c>
      <c r="AO26" s="32">
        <v>0</v>
      </c>
      <c r="AP26" s="32">
        <v>0</v>
      </c>
      <c r="AQ26" s="32">
        <v>0</v>
      </c>
      <c r="AR26" s="32">
        <v>0</v>
      </c>
      <c r="AS26" s="32">
        <v>0</v>
      </c>
      <c r="AT26" s="32">
        <v>0</v>
      </c>
      <c r="AU26" s="32">
        <v>0</v>
      </c>
      <c r="AV26" s="32">
        <v>0</v>
      </c>
      <c r="AW26" s="32">
        <v>0</v>
      </c>
      <c r="AX26" s="32">
        <v>0</v>
      </c>
      <c r="AY26" s="32">
        <v>0</v>
      </c>
      <c r="AZ26" s="32">
        <v>0</v>
      </c>
      <c r="BA26" s="32">
        <v>0</v>
      </c>
      <c r="BB26" s="32">
        <v>0</v>
      </c>
      <c r="BC26">
        <f>COUNTIF(J26:AZ26, "&gt;0")</f>
        <v>0</v>
      </c>
      <c r="BD26" s="13">
        <v>0</v>
      </c>
      <c r="BE26">
        <f t="shared" si="0"/>
        <v>0</v>
      </c>
    </row>
    <row r="27" spans="1:57">
      <c r="A27" t="s">
        <v>331</v>
      </c>
      <c r="B27" t="s">
        <v>281</v>
      </c>
      <c r="C27">
        <v>5</v>
      </c>
      <c r="D27" s="13" t="s">
        <v>320</v>
      </c>
      <c r="E27" t="s">
        <v>283</v>
      </c>
      <c r="F27" s="13">
        <v>0</v>
      </c>
      <c r="G27" s="13">
        <v>0</v>
      </c>
      <c r="H27" s="13">
        <v>0</v>
      </c>
      <c r="I27" s="13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>
        <v>0</v>
      </c>
      <c r="P27" s="32">
        <v>0</v>
      </c>
      <c r="Q27" s="32">
        <v>0</v>
      </c>
      <c r="R27" s="32">
        <v>0</v>
      </c>
      <c r="S27" s="32">
        <v>0</v>
      </c>
      <c r="T27" s="32">
        <v>0</v>
      </c>
      <c r="U27" s="32">
        <v>0</v>
      </c>
      <c r="V27" s="32">
        <v>0</v>
      </c>
      <c r="W27" s="32">
        <v>0</v>
      </c>
      <c r="X27" s="32">
        <v>0</v>
      </c>
      <c r="Y27" s="32">
        <v>0</v>
      </c>
      <c r="Z27" s="32">
        <v>0</v>
      </c>
      <c r="AA27" s="32">
        <v>0</v>
      </c>
      <c r="AB27" s="32">
        <v>0</v>
      </c>
      <c r="AC27" s="32">
        <v>0</v>
      </c>
      <c r="AD27" s="32">
        <v>0</v>
      </c>
      <c r="AE27" s="32">
        <v>0</v>
      </c>
      <c r="AF27" s="32">
        <v>0</v>
      </c>
      <c r="AG27" s="32">
        <v>0</v>
      </c>
      <c r="AH27" s="32">
        <v>0</v>
      </c>
      <c r="AI27" s="32">
        <v>0</v>
      </c>
      <c r="AJ27" s="32">
        <v>0</v>
      </c>
      <c r="AK27" s="32">
        <v>0</v>
      </c>
      <c r="AL27" s="32">
        <v>0</v>
      </c>
      <c r="AM27" s="32">
        <v>0</v>
      </c>
      <c r="AN27" s="32">
        <v>0</v>
      </c>
      <c r="AO27" s="32">
        <v>0</v>
      </c>
      <c r="AP27" s="32">
        <v>0</v>
      </c>
      <c r="AQ27" s="32">
        <v>0</v>
      </c>
      <c r="AR27" s="32">
        <v>0</v>
      </c>
      <c r="AS27" s="32">
        <v>0</v>
      </c>
      <c r="AT27" s="32">
        <v>0</v>
      </c>
      <c r="AU27" s="32">
        <v>0</v>
      </c>
      <c r="AV27" s="32">
        <v>0</v>
      </c>
      <c r="AW27" s="32">
        <v>0</v>
      </c>
      <c r="AX27" s="32">
        <v>0</v>
      </c>
      <c r="AY27" s="32">
        <v>0</v>
      </c>
      <c r="AZ27" s="32">
        <v>0</v>
      </c>
      <c r="BA27" s="32">
        <v>0</v>
      </c>
      <c r="BB27" s="32">
        <v>0</v>
      </c>
      <c r="BC27">
        <f>COUNTIF(J27:AZ27, "&gt;0")</f>
        <v>0</v>
      </c>
      <c r="BD27" s="13" t="e">
        <f>[1]!shannonweaver(J27:AZ27)</f>
        <v>#VALUE!</v>
      </c>
      <c r="BE27">
        <f t="shared" si="0"/>
        <v>0</v>
      </c>
    </row>
    <row r="28" spans="1:57">
      <c r="A28" t="s">
        <v>249</v>
      </c>
      <c r="B28" t="s">
        <v>281</v>
      </c>
      <c r="C28">
        <v>5</v>
      </c>
      <c r="D28" s="13" t="s">
        <v>320</v>
      </c>
      <c r="E28" t="s">
        <v>283</v>
      </c>
      <c r="F28" s="13">
        <v>0</v>
      </c>
      <c r="G28" s="13">
        <v>0</v>
      </c>
      <c r="H28" s="13">
        <v>0</v>
      </c>
      <c r="I28" s="13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>
        <f>COUNTIF(J28:AZ28, "&gt;0")</f>
        <v>0</v>
      </c>
      <c r="BD28" s="13">
        <v>0</v>
      </c>
      <c r="BE28">
        <f t="shared" si="0"/>
        <v>0</v>
      </c>
    </row>
    <row r="29" spans="1:57">
      <c r="A29" t="s">
        <v>250</v>
      </c>
      <c r="B29" t="s">
        <v>281</v>
      </c>
      <c r="C29">
        <v>5</v>
      </c>
      <c r="D29" s="13" t="s">
        <v>320</v>
      </c>
      <c r="E29" t="s">
        <v>283</v>
      </c>
      <c r="F29" s="13">
        <v>0</v>
      </c>
      <c r="G29" s="13">
        <v>0</v>
      </c>
      <c r="H29" s="13">
        <v>0</v>
      </c>
      <c r="I29" s="13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>
        <f>COUNTIF(J29:AZ29, "&gt;0")</f>
        <v>0</v>
      </c>
      <c r="BD29" s="13" t="e">
        <f>[1]!shannonweaver(J29:AZ29)</f>
        <v>#VALUE!</v>
      </c>
      <c r="BE29">
        <f t="shared" si="0"/>
        <v>0</v>
      </c>
    </row>
    <row r="30" spans="1:57">
      <c r="A30" t="s">
        <v>82</v>
      </c>
      <c r="B30" t="s">
        <v>281</v>
      </c>
      <c r="C30">
        <v>5</v>
      </c>
      <c r="D30" s="13" t="s">
        <v>320</v>
      </c>
      <c r="E30" t="s">
        <v>283</v>
      </c>
      <c r="F30" s="13">
        <v>0</v>
      </c>
      <c r="G30" s="13">
        <v>0</v>
      </c>
      <c r="H30" s="13">
        <v>0</v>
      </c>
      <c r="I30" s="13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2">
        <v>0</v>
      </c>
      <c r="X30" s="32">
        <v>0</v>
      </c>
      <c r="Y30" s="13">
        <v>1</v>
      </c>
      <c r="Z30" s="32">
        <v>0</v>
      </c>
      <c r="AA30" s="32">
        <v>0</v>
      </c>
      <c r="AB30" s="32">
        <v>0</v>
      </c>
      <c r="AC30" s="32">
        <v>0</v>
      </c>
      <c r="AD30" s="32">
        <v>0</v>
      </c>
      <c r="AE30" s="32">
        <v>0</v>
      </c>
      <c r="AF30" s="32">
        <v>0</v>
      </c>
      <c r="AG30" s="32">
        <v>0</v>
      </c>
      <c r="AH30" s="32">
        <v>0</v>
      </c>
      <c r="AI30" s="32">
        <v>0</v>
      </c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>
        <v>0</v>
      </c>
      <c r="AS30" s="32">
        <v>0</v>
      </c>
      <c r="AT30" s="32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2">
        <v>0</v>
      </c>
      <c r="BA30" s="32">
        <v>0</v>
      </c>
      <c r="BB30" s="32">
        <v>0</v>
      </c>
      <c r="BC30">
        <f>COUNTIF(J30:AZ30, "&gt;0")</f>
        <v>1</v>
      </c>
      <c r="BD30" s="13">
        <f>[1]!shannonweaver(J30:AZ30)</f>
        <v>0</v>
      </c>
      <c r="BE30">
        <f t="shared" si="0"/>
        <v>1</v>
      </c>
    </row>
    <row r="31" spans="1:57">
      <c r="A31" t="s">
        <v>83</v>
      </c>
      <c r="B31" t="s">
        <v>281</v>
      </c>
      <c r="C31">
        <v>5</v>
      </c>
      <c r="D31" s="13" t="s">
        <v>320</v>
      </c>
      <c r="E31" t="s">
        <v>283</v>
      </c>
      <c r="F31" s="13">
        <v>0</v>
      </c>
      <c r="G31" s="13">
        <v>0</v>
      </c>
      <c r="H31" s="13">
        <v>0</v>
      </c>
      <c r="I31" s="13">
        <v>0</v>
      </c>
      <c r="J31" s="32">
        <v>0</v>
      </c>
      <c r="K31" s="32">
        <v>0</v>
      </c>
      <c r="L31" s="32">
        <v>0</v>
      </c>
      <c r="M31" s="32">
        <v>0</v>
      </c>
      <c r="N31" s="32">
        <v>0</v>
      </c>
      <c r="O31" s="32">
        <v>0</v>
      </c>
      <c r="P31" s="32">
        <v>0</v>
      </c>
      <c r="Q31" s="13">
        <v>1</v>
      </c>
      <c r="R31" s="32">
        <v>0</v>
      </c>
      <c r="S31" s="13">
        <v>1</v>
      </c>
      <c r="T31" s="32">
        <v>0</v>
      </c>
      <c r="U31" s="32">
        <v>0</v>
      </c>
      <c r="V31" s="32">
        <v>0</v>
      </c>
      <c r="W31" s="32">
        <v>0</v>
      </c>
      <c r="X31" s="32">
        <v>0</v>
      </c>
      <c r="Y31" s="32">
        <v>0</v>
      </c>
      <c r="Z31" s="32">
        <v>0</v>
      </c>
      <c r="AA31" s="32">
        <v>0</v>
      </c>
      <c r="AB31" s="32">
        <v>0</v>
      </c>
      <c r="AC31" s="32">
        <v>0</v>
      </c>
      <c r="AD31" s="32">
        <v>0</v>
      </c>
      <c r="AE31" s="32">
        <v>0</v>
      </c>
      <c r="AF31" s="32">
        <v>0</v>
      </c>
      <c r="AG31" s="32">
        <v>0</v>
      </c>
      <c r="AH31" s="32">
        <v>0</v>
      </c>
      <c r="AI31" s="32">
        <v>0</v>
      </c>
      <c r="AJ31" s="32">
        <v>0</v>
      </c>
      <c r="AK31" s="32">
        <v>0</v>
      </c>
      <c r="AL31" s="32">
        <v>0</v>
      </c>
      <c r="AM31" s="32">
        <v>0</v>
      </c>
      <c r="AN31" s="32">
        <v>0</v>
      </c>
      <c r="AO31" s="32">
        <v>0</v>
      </c>
      <c r="AP31" s="32">
        <v>0</v>
      </c>
      <c r="AQ31" s="32">
        <v>0</v>
      </c>
      <c r="AR31" s="32">
        <v>0</v>
      </c>
      <c r="AS31" s="32">
        <v>0</v>
      </c>
      <c r="AT31" s="32">
        <v>0</v>
      </c>
      <c r="AU31" s="13">
        <v>1</v>
      </c>
      <c r="AV31" s="32">
        <v>0</v>
      </c>
      <c r="AW31" s="32">
        <v>0</v>
      </c>
      <c r="AX31" s="32">
        <v>0</v>
      </c>
      <c r="AY31" s="32">
        <v>0</v>
      </c>
      <c r="AZ31" s="32">
        <v>0</v>
      </c>
      <c r="BA31" s="32">
        <v>0</v>
      </c>
      <c r="BB31" s="32">
        <v>0</v>
      </c>
      <c r="BC31">
        <f>COUNTIF(J31:AZ31, "&gt;0")</f>
        <v>3</v>
      </c>
      <c r="BD31" s="13">
        <f>[1]!shannonweaver(J31:AZ31)</f>
        <v>1.0986122886681096</v>
      </c>
      <c r="BE31">
        <f t="shared" si="0"/>
        <v>3</v>
      </c>
    </row>
    <row r="32" spans="1:57">
      <c r="A32" s="13" t="s">
        <v>84</v>
      </c>
      <c r="B32" t="s">
        <v>281</v>
      </c>
      <c r="C32">
        <v>7</v>
      </c>
      <c r="D32" s="13" t="s">
        <v>320</v>
      </c>
      <c r="E32" t="s">
        <v>283</v>
      </c>
      <c r="F32" s="13">
        <v>0</v>
      </c>
      <c r="G32" s="13">
        <v>0</v>
      </c>
      <c r="H32" s="13">
        <v>0</v>
      </c>
      <c r="I32" s="13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2">
        <v>0</v>
      </c>
      <c r="X32" s="32">
        <v>0</v>
      </c>
      <c r="Y32" s="32">
        <v>0</v>
      </c>
      <c r="Z32" s="32">
        <v>0</v>
      </c>
      <c r="AA32" s="32">
        <v>0</v>
      </c>
      <c r="AB32" s="32">
        <v>0</v>
      </c>
      <c r="AC32" s="32">
        <v>0</v>
      </c>
      <c r="AD32" s="32">
        <v>0</v>
      </c>
      <c r="AE32" s="32">
        <v>0</v>
      </c>
      <c r="AF32" s="32">
        <v>0</v>
      </c>
      <c r="AG32" s="32">
        <v>0</v>
      </c>
      <c r="AH32" s="32">
        <v>0</v>
      </c>
      <c r="AI32" s="32">
        <v>0</v>
      </c>
      <c r="AJ32" s="32">
        <v>0</v>
      </c>
      <c r="AK32" s="32">
        <v>0</v>
      </c>
      <c r="AL32" s="32">
        <v>0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>
        <v>0</v>
      </c>
      <c r="AS32" s="32">
        <v>0</v>
      </c>
      <c r="AT32" s="32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2">
        <v>0</v>
      </c>
      <c r="BA32" s="13">
        <v>1</v>
      </c>
      <c r="BB32" s="32">
        <v>0</v>
      </c>
      <c r="BC32">
        <f>COUNTIF(J32:AZ32, "&gt;0")</f>
        <v>0</v>
      </c>
      <c r="BD32" s="13" t="e">
        <f>[1]!shannonweaver(J32:AZ32)</f>
        <v>#VALUE!</v>
      </c>
      <c r="BE32">
        <f t="shared" si="0"/>
        <v>0</v>
      </c>
    </row>
    <row r="33" spans="1:57">
      <c r="A33" s="13" t="s">
        <v>85</v>
      </c>
      <c r="B33" t="s">
        <v>281</v>
      </c>
      <c r="C33">
        <v>7</v>
      </c>
      <c r="D33" s="13" t="s">
        <v>320</v>
      </c>
      <c r="E33" t="s">
        <v>283</v>
      </c>
      <c r="F33" s="13">
        <v>0</v>
      </c>
      <c r="G33" s="13">
        <v>0</v>
      </c>
      <c r="H33" s="13">
        <v>0</v>
      </c>
      <c r="I33" s="13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2">
        <v>0</v>
      </c>
      <c r="X33" s="32">
        <v>0</v>
      </c>
      <c r="Y33" s="32">
        <v>0</v>
      </c>
      <c r="Z33" s="32">
        <v>0</v>
      </c>
      <c r="AA33" s="32">
        <v>0</v>
      </c>
      <c r="AB33" s="32">
        <v>0</v>
      </c>
      <c r="AC33" s="32">
        <v>0</v>
      </c>
      <c r="AD33" s="32">
        <v>0</v>
      </c>
      <c r="AE33" s="32">
        <v>0</v>
      </c>
      <c r="AF33" s="32">
        <v>0</v>
      </c>
      <c r="AG33" s="32">
        <v>0</v>
      </c>
      <c r="AH33" s="32">
        <v>0</v>
      </c>
      <c r="AI33" s="32">
        <v>0</v>
      </c>
      <c r="AJ33" s="32">
        <v>0</v>
      </c>
      <c r="AK33" s="32">
        <v>0</v>
      </c>
      <c r="AL33" s="32">
        <v>0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>
        <v>0</v>
      </c>
      <c r="AS33" s="32">
        <v>0</v>
      </c>
      <c r="AT33" s="32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2">
        <v>0</v>
      </c>
      <c r="BA33" s="32">
        <v>0</v>
      </c>
      <c r="BB33" s="32">
        <v>0</v>
      </c>
      <c r="BC33">
        <f>COUNTIF(J33:AZ33, "&gt;0")</f>
        <v>0</v>
      </c>
      <c r="BD33" s="13" t="e">
        <f>[1]!shannonweaver(J33:AZ33)</f>
        <v>#VALUE!</v>
      </c>
      <c r="BE33">
        <f t="shared" si="0"/>
        <v>0</v>
      </c>
    </row>
    <row r="34" spans="1:57">
      <c r="A34" s="13" t="s">
        <v>86</v>
      </c>
      <c r="B34" t="s">
        <v>281</v>
      </c>
      <c r="C34">
        <v>7</v>
      </c>
      <c r="D34" s="13" t="s">
        <v>320</v>
      </c>
      <c r="E34" t="s">
        <v>283</v>
      </c>
      <c r="F34" s="13">
        <v>0</v>
      </c>
      <c r="G34" s="13">
        <v>0</v>
      </c>
      <c r="H34" s="13">
        <v>0</v>
      </c>
      <c r="I34" s="13">
        <v>0</v>
      </c>
      <c r="J34" s="13">
        <v>2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13">
        <v>1</v>
      </c>
      <c r="S34" s="32">
        <v>0</v>
      </c>
      <c r="T34" s="32">
        <v>0</v>
      </c>
      <c r="U34" s="32">
        <v>0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0</v>
      </c>
      <c r="AE34" s="32">
        <v>0</v>
      </c>
      <c r="AF34" s="32">
        <v>0</v>
      </c>
      <c r="AG34" s="32">
        <v>0</v>
      </c>
      <c r="AH34" s="32">
        <v>0</v>
      </c>
      <c r="AI34" s="32">
        <v>0</v>
      </c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>
        <v>0</v>
      </c>
      <c r="AS34" s="32">
        <v>0</v>
      </c>
      <c r="AT34" s="32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2">
        <v>0</v>
      </c>
      <c r="BA34" s="32">
        <v>0</v>
      </c>
      <c r="BB34" s="32">
        <v>0</v>
      </c>
      <c r="BC34">
        <f>COUNTIF(J34:AZ34, "&gt;0")</f>
        <v>2</v>
      </c>
      <c r="BD34" s="13">
        <f>[1]!shannonweaver(J34:AZ34)</f>
        <v>0.63651416829481278</v>
      </c>
      <c r="BE34">
        <f t="shared" si="0"/>
        <v>2</v>
      </c>
    </row>
    <row r="35" spans="1:57">
      <c r="A35" s="13" t="s">
        <v>87</v>
      </c>
      <c r="B35" t="s">
        <v>281</v>
      </c>
      <c r="C35">
        <v>7</v>
      </c>
      <c r="D35" s="13" t="s">
        <v>320</v>
      </c>
      <c r="E35" t="s">
        <v>283</v>
      </c>
      <c r="F35" s="13">
        <v>0</v>
      </c>
      <c r="G35" s="13">
        <v>0</v>
      </c>
      <c r="H35" s="13">
        <v>0</v>
      </c>
      <c r="I35" s="13">
        <v>0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>
        <v>0</v>
      </c>
      <c r="P35" s="32">
        <v>0</v>
      </c>
      <c r="Q35" s="32">
        <v>0</v>
      </c>
      <c r="R35" s="32">
        <v>0</v>
      </c>
      <c r="S35" s="13">
        <v>1</v>
      </c>
      <c r="T35" s="32">
        <v>0</v>
      </c>
      <c r="U35" s="32">
        <v>0</v>
      </c>
      <c r="V35" s="32">
        <v>0</v>
      </c>
      <c r="W35" s="32">
        <v>0</v>
      </c>
      <c r="X35" s="32">
        <v>0</v>
      </c>
      <c r="Y35" s="32">
        <v>0</v>
      </c>
      <c r="Z35" s="32">
        <v>0</v>
      </c>
      <c r="AA35" s="32">
        <v>0</v>
      </c>
      <c r="AB35" s="32">
        <v>0</v>
      </c>
      <c r="AC35" s="32">
        <v>0</v>
      </c>
      <c r="AD35" s="32">
        <v>0</v>
      </c>
      <c r="AE35" s="32">
        <v>0</v>
      </c>
      <c r="AF35" s="32">
        <v>0</v>
      </c>
      <c r="AG35" s="32">
        <v>0</v>
      </c>
      <c r="AH35" s="32">
        <v>0</v>
      </c>
      <c r="AI35" s="32">
        <v>0</v>
      </c>
      <c r="AJ35" s="32">
        <v>0</v>
      </c>
      <c r="AK35" s="32">
        <v>0</v>
      </c>
      <c r="AL35" s="32">
        <v>0</v>
      </c>
      <c r="AM35" s="32">
        <v>0</v>
      </c>
      <c r="AN35" s="32">
        <v>0</v>
      </c>
      <c r="AO35" s="32">
        <v>0</v>
      </c>
      <c r="AP35" s="32">
        <v>0</v>
      </c>
      <c r="AQ35" s="32">
        <v>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32">
        <v>0</v>
      </c>
      <c r="AX35" s="32">
        <v>0</v>
      </c>
      <c r="AY35" s="32">
        <v>0</v>
      </c>
      <c r="AZ35" s="32">
        <v>0</v>
      </c>
      <c r="BA35" s="32">
        <v>0</v>
      </c>
      <c r="BB35" s="32">
        <v>0</v>
      </c>
      <c r="BC35">
        <f>COUNTIF(J35:AZ35, "&gt;0")</f>
        <v>1</v>
      </c>
      <c r="BD35" s="13">
        <f>[1]!shannonweaver(J35:AZ35)</f>
        <v>0</v>
      </c>
      <c r="BE35">
        <f t="shared" si="0"/>
        <v>1</v>
      </c>
    </row>
    <row r="36" spans="1:57">
      <c r="A36" s="13" t="s">
        <v>88</v>
      </c>
      <c r="B36" t="s">
        <v>281</v>
      </c>
      <c r="C36">
        <v>7</v>
      </c>
      <c r="D36" s="13" t="s">
        <v>320</v>
      </c>
      <c r="E36" t="s">
        <v>283</v>
      </c>
      <c r="F36" s="13">
        <v>0</v>
      </c>
      <c r="G36" s="13">
        <v>0</v>
      </c>
      <c r="H36" s="13">
        <v>0</v>
      </c>
      <c r="I36" s="13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13">
        <v>1</v>
      </c>
      <c r="P36" s="32">
        <v>0</v>
      </c>
      <c r="Q36" s="32">
        <v>0</v>
      </c>
      <c r="R36" s="13">
        <v>2</v>
      </c>
      <c r="S36" s="13">
        <v>0</v>
      </c>
      <c r="T36" s="32">
        <v>0</v>
      </c>
      <c r="U36" s="32">
        <v>0</v>
      </c>
      <c r="V36" s="32">
        <v>0</v>
      </c>
      <c r="W36" s="32">
        <v>0</v>
      </c>
      <c r="X36" s="32">
        <v>0</v>
      </c>
      <c r="Y36" s="32">
        <v>0</v>
      </c>
      <c r="Z36" s="32">
        <v>0</v>
      </c>
      <c r="AA36" s="32">
        <v>0</v>
      </c>
      <c r="AB36" s="32">
        <v>0</v>
      </c>
      <c r="AC36" s="32">
        <v>0</v>
      </c>
      <c r="AD36" s="32">
        <v>0</v>
      </c>
      <c r="AE36" s="32">
        <v>0</v>
      </c>
      <c r="AF36" s="32">
        <v>0</v>
      </c>
      <c r="AG36" s="32">
        <v>0</v>
      </c>
      <c r="AH36" s="32">
        <v>0</v>
      </c>
      <c r="AI36" s="32">
        <v>0</v>
      </c>
      <c r="AJ36" s="32">
        <v>0</v>
      </c>
      <c r="AK36" s="32">
        <v>0</v>
      </c>
      <c r="AL36" s="32">
        <v>0</v>
      </c>
      <c r="AM36" s="32">
        <v>0</v>
      </c>
      <c r="AN36" s="32">
        <v>0</v>
      </c>
      <c r="AO36" s="32">
        <v>0</v>
      </c>
      <c r="AP36" s="32">
        <v>0</v>
      </c>
      <c r="AQ36" s="32">
        <v>0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32">
        <v>0</v>
      </c>
      <c r="AX36" s="32">
        <v>0</v>
      </c>
      <c r="AY36" s="32">
        <v>0</v>
      </c>
      <c r="AZ36" s="32">
        <v>0</v>
      </c>
      <c r="BA36" s="32">
        <v>0</v>
      </c>
      <c r="BB36" s="32">
        <v>0</v>
      </c>
      <c r="BC36">
        <f>COUNTIF(J36:AZ36, "&gt;0")</f>
        <v>2</v>
      </c>
      <c r="BD36" s="13">
        <f>[1]!shannonweaver(J36:AZ36)</f>
        <v>0.63651416829481278</v>
      </c>
      <c r="BE36">
        <f t="shared" si="0"/>
        <v>2</v>
      </c>
    </row>
    <row r="37" spans="1:57">
      <c r="A37" s="13" t="s">
        <v>89</v>
      </c>
      <c r="B37" t="s">
        <v>281</v>
      </c>
      <c r="C37">
        <v>7</v>
      </c>
      <c r="D37" s="13" t="s">
        <v>320</v>
      </c>
      <c r="E37" t="s">
        <v>283</v>
      </c>
      <c r="F37" s="13">
        <v>0</v>
      </c>
      <c r="G37" s="13">
        <v>0</v>
      </c>
      <c r="H37" s="13">
        <v>0</v>
      </c>
      <c r="I37" s="13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>
        <f>COUNTIF(J37:AZ37, "&gt;0")</f>
        <v>0</v>
      </c>
      <c r="BD37" s="13" t="e">
        <f>[1]!shannonweaver(J37:AZ37)</f>
        <v>#VALUE!</v>
      </c>
      <c r="BE37">
        <f t="shared" si="0"/>
        <v>0</v>
      </c>
    </row>
    <row r="38" spans="1:57">
      <c r="A38" t="s">
        <v>90</v>
      </c>
      <c r="B38" t="s">
        <v>281</v>
      </c>
      <c r="C38" t="s">
        <v>282</v>
      </c>
      <c r="D38" s="13" t="s">
        <v>319</v>
      </c>
      <c r="E38" s="13" t="s">
        <v>91</v>
      </c>
      <c r="F38" s="13">
        <v>0</v>
      </c>
      <c r="G38" s="13">
        <v>0</v>
      </c>
      <c r="H38" s="13">
        <v>0</v>
      </c>
      <c r="I38" s="13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13">
        <v>1</v>
      </c>
      <c r="R38" s="13">
        <v>1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13">
        <v>1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13">
        <v>2</v>
      </c>
      <c r="BB38" s="32">
        <v>0</v>
      </c>
      <c r="BC38">
        <f>COUNTIF(J38:AZ38, "&gt;0")</f>
        <v>3</v>
      </c>
      <c r="BD38" s="13">
        <f>[1]!shannonweaver(J38:AZ38)</f>
        <v>1.0986122886681096</v>
      </c>
      <c r="BE38">
        <f t="shared" si="0"/>
        <v>3</v>
      </c>
    </row>
    <row r="39" spans="1:57">
      <c r="A39" s="13" t="s">
        <v>92</v>
      </c>
      <c r="B39" t="s">
        <v>281</v>
      </c>
      <c r="C39" t="s">
        <v>282</v>
      </c>
      <c r="D39" s="13" t="s">
        <v>319</v>
      </c>
      <c r="E39" s="13" t="s">
        <v>91</v>
      </c>
      <c r="F39" s="13">
        <v>0</v>
      </c>
      <c r="G39" s="13">
        <v>0</v>
      </c>
      <c r="H39" s="13">
        <v>0</v>
      </c>
      <c r="I39" s="13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2">
        <v>0</v>
      </c>
      <c r="X39" s="32">
        <v>0</v>
      </c>
      <c r="Y39" s="13">
        <v>2</v>
      </c>
      <c r="Z39" s="32">
        <v>0</v>
      </c>
      <c r="AA39" s="32">
        <v>0</v>
      </c>
      <c r="AB39" s="32">
        <v>0</v>
      </c>
      <c r="AC39" s="32">
        <v>0</v>
      </c>
      <c r="AD39" s="32">
        <v>0</v>
      </c>
      <c r="AE39" s="32">
        <v>0</v>
      </c>
      <c r="AF39" s="32">
        <v>0</v>
      </c>
      <c r="AG39" s="32">
        <v>0</v>
      </c>
      <c r="AH39" s="32">
        <v>0</v>
      </c>
      <c r="AI39" s="32">
        <v>0</v>
      </c>
      <c r="AJ39" s="32">
        <v>0</v>
      </c>
      <c r="AK39" s="32">
        <v>0</v>
      </c>
      <c r="AL39" s="32">
        <v>0</v>
      </c>
      <c r="AM39" s="32">
        <v>0</v>
      </c>
      <c r="AN39" s="32">
        <v>0</v>
      </c>
      <c r="AO39" s="32">
        <v>0</v>
      </c>
      <c r="AP39" s="32">
        <v>0</v>
      </c>
      <c r="AQ39" s="32">
        <v>0</v>
      </c>
      <c r="AR39" s="32">
        <v>0</v>
      </c>
      <c r="AS39" s="32">
        <v>0</v>
      </c>
      <c r="AT39" s="32">
        <v>0</v>
      </c>
      <c r="AU39" s="32">
        <v>0</v>
      </c>
      <c r="AV39" s="13">
        <v>3</v>
      </c>
      <c r="AW39" s="32">
        <v>0</v>
      </c>
      <c r="AX39" s="32">
        <v>0</v>
      </c>
      <c r="AY39" s="32">
        <v>0</v>
      </c>
      <c r="AZ39" s="32">
        <v>0</v>
      </c>
      <c r="BA39" s="13">
        <v>2</v>
      </c>
      <c r="BB39" s="32">
        <v>0</v>
      </c>
      <c r="BC39">
        <f>COUNTIF(J39:AZ39, "&gt;0")</f>
        <v>2</v>
      </c>
      <c r="BD39" s="13">
        <f>[1]!shannonweaver(J39:AZ39)</f>
        <v>0.67301166700925652</v>
      </c>
      <c r="BE39">
        <f t="shared" si="0"/>
        <v>2</v>
      </c>
    </row>
    <row r="40" spans="1:57">
      <c r="A40" s="13" t="s">
        <v>270</v>
      </c>
      <c r="B40" t="s">
        <v>281</v>
      </c>
      <c r="C40" t="s">
        <v>282</v>
      </c>
      <c r="D40" s="13" t="s">
        <v>319</v>
      </c>
      <c r="E40" s="13" t="s">
        <v>91</v>
      </c>
      <c r="F40" s="13">
        <v>0</v>
      </c>
      <c r="G40" s="13">
        <v>0</v>
      </c>
      <c r="H40" s="13">
        <v>0</v>
      </c>
      <c r="I40" s="13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13">
        <v>1</v>
      </c>
      <c r="R40" s="32">
        <v>0</v>
      </c>
      <c r="S40" s="32">
        <v>0</v>
      </c>
      <c r="T40" s="32">
        <v>0</v>
      </c>
      <c r="U40" s="13">
        <v>1</v>
      </c>
      <c r="V40" s="32">
        <v>0</v>
      </c>
      <c r="W40" s="32">
        <v>0</v>
      </c>
      <c r="X40" s="32">
        <v>0</v>
      </c>
      <c r="Y40" s="13">
        <v>4</v>
      </c>
      <c r="Z40" s="32">
        <v>0</v>
      </c>
      <c r="AA40" s="32">
        <v>0</v>
      </c>
      <c r="AB40" s="13">
        <v>3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13">
        <v>1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>
        <f>COUNTIF(J40:AZ40, "&gt;0")</f>
        <v>5</v>
      </c>
      <c r="BD40" s="13">
        <f>[1]!shannonweaver(J40:AZ40)</f>
        <v>1.4184836619456564</v>
      </c>
      <c r="BE40">
        <f t="shared" si="0"/>
        <v>5</v>
      </c>
    </row>
    <row r="41" spans="1:57">
      <c r="A41" s="13" t="s">
        <v>271</v>
      </c>
      <c r="B41" t="s">
        <v>281</v>
      </c>
      <c r="C41" t="s">
        <v>282</v>
      </c>
      <c r="D41" s="13" t="s">
        <v>319</v>
      </c>
      <c r="E41" s="13" t="s">
        <v>91</v>
      </c>
      <c r="F41" s="13">
        <v>0</v>
      </c>
      <c r="G41" s="13">
        <v>0</v>
      </c>
      <c r="H41" s="13">
        <v>0</v>
      </c>
      <c r="I41" s="13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32">
        <v>0</v>
      </c>
      <c r="Q41" s="32">
        <v>0</v>
      </c>
      <c r="R41" s="32">
        <v>0</v>
      </c>
      <c r="S41" s="32">
        <v>0</v>
      </c>
      <c r="T41" s="32">
        <v>0</v>
      </c>
      <c r="U41" s="13">
        <v>1</v>
      </c>
      <c r="V41" s="32">
        <v>0</v>
      </c>
      <c r="W41" s="32">
        <v>0</v>
      </c>
      <c r="X41" s="32">
        <v>0</v>
      </c>
      <c r="Y41" s="32">
        <v>0</v>
      </c>
      <c r="Z41" s="32">
        <v>0</v>
      </c>
      <c r="AA41" s="32">
        <v>0</v>
      </c>
      <c r="AB41" s="13">
        <v>3</v>
      </c>
      <c r="AC41" s="32">
        <v>0</v>
      </c>
      <c r="AD41" s="32">
        <v>0</v>
      </c>
      <c r="AE41" s="32">
        <v>0</v>
      </c>
      <c r="AF41" s="32">
        <v>0</v>
      </c>
      <c r="AG41" s="32">
        <v>0</v>
      </c>
      <c r="AH41" s="32">
        <v>0</v>
      </c>
      <c r="AI41" s="32">
        <v>0</v>
      </c>
      <c r="AJ41" s="32">
        <v>0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</v>
      </c>
      <c r="AQ41" s="32">
        <v>0</v>
      </c>
      <c r="AR41" s="32">
        <v>0</v>
      </c>
      <c r="AS41" s="32">
        <v>0</v>
      </c>
      <c r="AT41" s="32">
        <v>0</v>
      </c>
      <c r="AU41" s="32">
        <v>0</v>
      </c>
      <c r="AV41" s="32">
        <v>0</v>
      </c>
      <c r="AW41" s="32">
        <v>0</v>
      </c>
      <c r="AX41" s="32">
        <v>0</v>
      </c>
      <c r="AY41" s="32">
        <v>0</v>
      </c>
      <c r="AZ41" s="32">
        <v>0</v>
      </c>
      <c r="BA41" s="32">
        <v>0</v>
      </c>
      <c r="BB41" s="32">
        <v>0</v>
      </c>
      <c r="BC41">
        <f>COUNTIF(J41:AZ41, "&gt;0")</f>
        <v>2</v>
      </c>
      <c r="BD41" s="13">
        <f>[1]!shannonweaver(J41:AZ41)</f>
        <v>0.56233514461880829</v>
      </c>
      <c r="BE41">
        <f t="shared" si="0"/>
        <v>2</v>
      </c>
    </row>
    <row r="42" spans="1:57">
      <c r="A42" s="13" t="s">
        <v>272</v>
      </c>
      <c r="B42" t="s">
        <v>281</v>
      </c>
      <c r="C42" t="s">
        <v>282</v>
      </c>
      <c r="D42" s="13" t="s">
        <v>319</v>
      </c>
      <c r="E42" s="13" t="s">
        <v>91</v>
      </c>
      <c r="F42" s="13">
        <v>0</v>
      </c>
      <c r="G42" s="13">
        <v>0</v>
      </c>
      <c r="H42" s="13">
        <v>0</v>
      </c>
      <c r="I42" s="13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>
        <v>0</v>
      </c>
      <c r="P42" s="32">
        <v>0</v>
      </c>
      <c r="Q42" s="32">
        <v>0</v>
      </c>
      <c r="R42" s="32">
        <v>0</v>
      </c>
      <c r="S42" s="32">
        <v>0</v>
      </c>
      <c r="T42" s="32">
        <v>0</v>
      </c>
      <c r="U42" s="32">
        <v>0</v>
      </c>
      <c r="V42" s="32">
        <v>0</v>
      </c>
      <c r="W42" s="32">
        <v>0</v>
      </c>
      <c r="X42" s="32">
        <v>0</v>
      </c>
      <c r="Y42" s="13">
        <v>3</v>
      </c>
      <c r="Z42" s="32">
        <v>0</v>
      </c>
      <c r="AA42" s="32">
        <v>0</v>
      </c>
      <c r="AB42" s="13">
        <v>1</v>
      </c>
      <c r="AC42" s="32">
        <v>0</v>
      </c>
      <c r="AD42" s="32">
        <v>0</v>
      </c>
      <c r="AE42" s="32">
        <v>0</v>
      </c>
      <c r="AF42" s="32">
        <v>0</v>
      </c>
      <c r="AG42" s="32">
        <v>0</v>
      </c>
      <c r="AH42" s="32">
        <v>0</v>
      </c>
      <c r="AI42" s="32">
        <v>0</v>
      </c>
      <c r="AJ42" s="32">
        <v>0</v>
      </c>
      <c r="AK42" s="32">
        <v>0</v>
      </c>
      <c r="AL42" s="32">
        <v>0</v>
      </c>
      <c r="AM42" s="32">
        <v>0</v>
      </c>
      <c r="AN42" s="32">
        <v>0</v>
      </c>
      <c r="AO42" s="32">
        <v>0</v>
      </c>
      <c r="AP42" s="32">
        <v>0</v>
      </c>
      <c r="AQ42" s="32">
        <v>0</v>
      </c>
      <c r="AR42" s="32">
        <v>0</v>
      </c>
      <c r="AS42" s="32">
        <v>0</v>
      </c>
      <c r="AT42" s="32">
        <v>0</v>
      </c>
      <c r="AU42" s="32">
        <v>0</v>
      </c>
      <c r="AV42" s="32">
        <v>0</v>
      </c>
      <c r="AW42" s="32">
        <v>0</v>
      </c>
      <c r="AX42" s="13">
        <v>1</v>
      </c>
      <c r="AY42" s="32">
        <v>0</v>
      </c>
      <c r="AZ42" s="32">
        <v>0</v>
      </c>
      <c r="BA42" s="13">
        <v>1</v>
      </c>
      <c r="BB42" s="32">
        <v>0</v>
      </c>
      <c r="BC42">
        <f>COUNTIF(J42:AZ42, "&gt;0")</f>
        <v>3</v>
      </c>
      <c r="BD42" s="13">
        <f>[1]!shannonweaver(J42:AZ42)</f>
        <v>0.95027053923323468</v>
      </c>
      <c r="BE42">
        <f t="shared" si="0"/>
        <v>3</v>
      </c>
    </row>
    <row r="43" spans="1:57">
      <c r="A43" s="13" t="s">
        <v>273</v>
      </c>
      <c r="B43" t="s">
        <v>281</v>
      </c>
      <c r="C43" t="s">
        <v>282</v>
      </c>
      <c r="D43" s="13" t="s">
        <v>319</v>
      </c>
      <c r="E43" s="13" t="s">
        <v>91</v>
      </c>
      <c r="F43" s="13">
        <v>0</v>
      </c>
      <c r="G43" s="13">
        <v>0</v>
      </c>
      <c r="H43" s="13">
        <v>0</v>
      </c>
      <c r="I43" s="13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13">
        <v>1</v>
      </c>
      <c r="Q43" s="32">
        <v>0</v>
      </c>
      <c r="R43" s="32">
        <v>0</v>
      </c>
      <c r="S43" s="32">
        <v>0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13">
        <v>2</v>
      </c>
      <c r="Z43" s="32">
        <v>0</v>
      </c>
      <c r="AA43" s="13">
        <v>1</v>
      </c>
      <c r="AB43" s="13">
        <v>0</v>
      </c>
      <c r="AC43" s="32">
        <v>0</v>
      </c>
      <c r="AD43" s="13">
        <v>1</v>
      </c>
      <c r="AE43" s="32">
        <v>0</v>
      </c>
      <c r="AF43" s="13">
        <v>2</v>
      </c>
      <c r="AG43" s="32">
        <v>0</v>
      </c>
      <c r="AH43" s="32">
        <v>0</v>
      </c>
      <c r="AI43" s="32">
        <v>0</v>
      </c>
      <c r="AJ43" s="32">
        <v>0</v>
      </c>
      <c r="AK43" s="32">
        <v>0</v>
      </c>
      <c r="AL43" s="32">
        <v>0</v>
      </c>
      <c r="AM43" s="32">
        <v>0</v>
      </c>
      <c r="AN43" s="32">
        <v>0</v>
      </c>
      <c r="AO43" s="32">
        <v>0</v>
      </c>
      <c r="AP43" s="32">
        <v>0</v>
      </c>
      <c r="AQ43" s="32">
        <v>0</v>
      </c>
      <c r="AR43" s="32">
        <v>0</v>
      </c>
      <c r="AS43" s="32">
        <v>0</v>
      </c>
      <c r="AT43" s="32">
        <v>0</v>
      </c>
      <c r="AU43" s="32">
        <v>0</v>
      </c>
      <c r="AV43" s="32">
        <v>0</v>
      </c>
      <c r="AW43" s="32">
        <v>0</v>
      </c>
      <c r="AX43" s="13">
        <v>1</v>
      </c>
      <c r="AY43" s="32">
        <v>0</v>
      </c>
      <c r="AZ43" s="32">
        <v>0</v>
      </c>
      <c r="BA43" s="13">
        <v>0</v>
      </c>
      <c r="BB43" s="32">
        <v>0</v>
      </c>
      <c r="BC43">
        <f>COUNTIF(J43:AZ43, "&gt;0")</f>
        <v>6</v>
      </c>
      <c r="BD43" s="13">
        <f>[1]!shannonweaver(J43:AZ43)</f>
        <v>1.7328679513998633</v>
      </c>
      <c r="BE43">
        <f t="shared" si="0"/>
        <v>6</v>
      </c>
    </row>
    <row r="44" spans="1:57">
      <c r="A44" s="13" t="s">
        <v>141</v>
      </c>
      <c r="B44" t="s">
        <v>281</v>
      </c>
      <c r="C44" t="s">
        <v>293</v>
      </c>
      <c r="D44" s="13" t="s">
        <v>319</v>
      </c>
      <c r="E44" s="13" t="s">
        <v>91</v>
      </c>
      <c r="F44" s="13">
        <v>0</v>
      </c>
      <c r="G44" s="13">
        <v>0</v>
      </c>
      <c r="H44" s="13">
        <v>0</v>
      </c>
      <c r="I44" s="13">
        <v>0</v>
      </c>
      <c r="J44" s="32">
        <v>0</v>
      </c>
      <c r="K44" s="32">
        <v>0</v>
      </c>
      <c r="L44" s="13">
        <v>1</v>
      </c>
      <c r="M44" s="32">
        <v>0</v>
      </c>
      <c r="N44" s="32">
        <v>0</v>
      </c>
      <c r="O44" s="32">
        <v>0</v>
      </c>
      <c r="P44" s="32">
        <v>0</v>
      </c>
      <c r="Q44" s="32">
        <v>0</v>
      </c>
      <c r="R44" s="32">
        <v>0</v>
      </c>
      <c r="S44" s="32">
        <v>0</v>
      </c>
      <c r="T44" s="32">
        <v>0</v>
      </c>
      <c r="U44" s="13">
        <v>1</v>
      </c>
      <c r="V44" s="32">
        <v>0</v>
      </c>
      <c r="W44" s="32">
        <v>0</v>
      </c>
      <c r="X44" s="32">
        <v>0</v>
      </c>
      <c r="Y44" s="13">
        <v>3</v>
      </c>
      <c r="Z44" s="32">
        <v>0</v>
      </c>
      <c r="AA44" s="13">
        <v>1</v>
      </c>
      <c r="AB44" s="13">
        <v>0</v>
      </c>
      <c r="AC44" s="32">
        <v>0</v>
      </c>
      <c r="AD44" s="13">
        <v>0</v>
      </c>
      <c r="AE44" s="32">
        <v>0</v>
      </c>
      <c r="AF44" s="32">
        <v>0</v>
      </c>
      <c r="AG44" s="32">
        <v>0</v>
      </c>
      <c r="AH44" s="32">
        <v>0</v>
      </c>
      <c r="AI44" s="32">
        <v>0</v>
      </c>
      <c r="AJ44" s="32">
        <v>0</v>
      </c>
      <c r="AK44" s="32">
        <v>0</v>
      </c>
      <c r="AL44" s="32">
        <v>0</v>
      </c>
      <c r="AM44" s="32">
        <v>0</v>
      </c>
      <c r="AN44" s="32">
        <v>0</v>
      </c>
      <c r="AO44" s="32">
        <v>0</v>
      </c>
      <c r="AP44" s="32">
        <v>0</v>
      </c>
      <c r="AQ44" s="32">
        <v>0</v>
      </c>
      <c r="AR44" s="13">
        <v>3</v>
      </c>
      <c r="AS44" s="32">
        <v>0</v>
      </c>
      <c r="AT44" s="32">
        <v>0</v>
      </c>
      <c r="AU44" s="13">
        <v>1</v>
      </c>
      <c r="AV44" s="32">
        <v>0</v>
      </c>
      <c r="AW44" s="32">
        <v>0</v>
      </c>
      <c r="AX44" s="32">
        <v>0</v>
      </c>
      <c r="AY44" s="32">
        <v>0</v>
      </c>
      <c r="AZ44" s="32">
        <v>0</v>
      </c>
      <c r="BA44" s="13">
        <v>1</v>
      </c>
      <c r="BB44" s="32">
        <v>0</v>
      </c>
      <c r="BC44">
        <f>COUNTIF(J44:AZ44, "&gt;0")</f>
        <v>6</v>
      </c>
      <c r="BD44" s="13">
        <f>[1]!shannonweaver(J44:AZ44)</f>
        <v>1.6434177197931799</v>
      </c>
      <c r="BE44">
        <f t="shared" si="0"/>
        <v>6</v>
      </c>
    </row>
    <row r="45" spans="1:57">
      <c r="A45" s="13" t="s">
        <v>142</v>
      </c>
      <c r="B45" t="s">
        <v>281</v>
      </c>
      <c r="C45" t="s">
        <v>293</v>
      </c>
      <c r="D45" s="13" t="s">
        <v>319</v>
      </c>
      <c r="E45" s="13" t="s">
        <v>91</v>
      </c>
      <c r="F45" s="13">
        <v>0</v>
      </c>
      <c r="G45" s="13">
        <v>0</v>
      </c>
      <c r="H45" s="13">
        <v>0</v>
      </c>
      <c r="I45" s="13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>
        <v>0</v>
      </c>
      <c r="P45" s="32">
        <v>0</v>
      </c>
      <c r="Q45" s="13">
        <v>1</v>
      </c>
      <c r="R45" s="32">
        <v>0</v>
      </c>
      <c r="S45" s="13">
        <v>1</v>
      </c>
      <c r="T45" s="32">
        <v>0</v>
      </c>
      <c r="U45" s="32">
        <v>0</v>
      </c>
      <c r="V45" s="32">
        <v>0</v>
      </c>
      <c r="W45" s="32">
        <v>0</v>
      </c>
      <c r="X45" s="32">
        <v>0</v>
      </c>
      <c r="Y45" s="13">
        <v>1</v>
      </c>
      <c r="Z45" s="32">
        <v>0</v>
      </c>
      <c r="AA45" s="32">
        <v>0</v>
      </c>
      <c r="AB45" s="13">
        <v>2</v>
      </c>
      <c r="AC45" s="32">
        <v>0</v>
      </c>
      <c r="AD45" s="32">
        <v>0</v>
      </c>
      <c r="AE45" s="32">
        <v>0</v>
      </c>
      <c r="AF45" s="32">
        <v>0</v>
      </c>
      <c r="AG45" s="32">
        <v>0</v>
      </c>
      <c r="AH45" s="32">
        <v>0</v>
      </c>
      <c r="AI45" s="32">
        <v>0</v>
      </c>
      <c r="AJ45" s="32">
        <v>0</v>
      </c>
      <c r="AK45" s="32">
        <v>0</v>
      </c>
      <c r="AL45" s="32">
        <v>0</v>
      </c>
      <c r="AM45" s="32">
        <v>0</v>
      </c>
      <c r="AN45" s="32">
        <v>0</v>
      </c>
      <c r="AO45" s="32">
        <v>0</v>
      </c>
      <c r="AP45" s="32">
        <v>0</v>
      </c>
      <c r="AQ45" s="32">
        <v>0</v>
      </c>
      <c r="AR45" s="13">
        <v>1</v>
      </c>
      <c r="AS45" s="32">
        <v>0</v>
      </c>
      <c r="AT45" s="32">
        <v>0</v>
      </c>
      <c r="AU45" s="32">
        <v>0</v>
      </c>
      <c r="AV45" s="32">
        <v>0</v>
      </c>
      <c r="AW45" s="32">
        <v>0</v>
      </c>
      <c r="AX45" s="32">
        <v>0</v>
      </c>
      <c r="AY45" s="32">
        <v>0</v>
      </c>
      <c r="AZ45" s="32">
        <v>0</v>
      </c>
      <c r="BA45" s="32">
        <v>0</v>
      </c>
      <c r="BB45" s="32">
        <v>0</v>
      </c>
      <c r="BC45">
        <f>COUNTIF(J45:AZ45, "&gt;0")</f>
        <v>5</v>
      </c>
      <c r="BD45" s="13">
        <f>[1]!shannonweaver(J45:AZ45)</f>
        <v>1.5607104090414063</v>
      </c>
      <c r="BE45">
        <f t="shared" si="0"/>
        <v>5</v>
      </c>
    </row>
    <row r="46" spans="1:57">
      <c r="A46" s="13" t="s">
        <v>144</v>
      </c>
      <c r="B46" t="s">
        <v>281</v>
      </c>
      <c r="C46" t="s">
        <v>293</v>
      </c>
      <c r="D46" s="13" t="s">
        <v>319</v>
      </c>
      <c r="E46" s="13" t="s">
        <v>91</v>
      </c>
      <c r="F46" s="13">
        <v>0</v>
      </c>
      <c r="G46" s="13">
        <v>0</v>
      </c>
      <c r="H46" s="13">
        <v>0</v>
      </c>
      <c r="I46" s="13">
        <v>0</v>
      </c>
      <c r="J46" s="32">
        <v>0</v>
      </c>
      <c r="K46" s="32">
        <v>0</v>
      </c>
      <c r="L46" s="13">
        <v>5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13">
        <v>1</v>
      </c>
      <c r="V46" s="32">
        <v>0</v>
      </c>
      <c r="W46" s="32">
        <v>0</v>
      </c>
      <c r="X46" s="32">
        <v>0</v>
      </c>
      <c r="Y46" s="13">
        <v>1</v>
      </c>
      <c r="Z46" s="32">
        <v>0</v>
      </c>
      <c r="AA46" s="13">
        <v>3</v>
      </c>
      <c r="AB46" s="13">
        <v>4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13">
        <v>1</v>
      </c>
      <c r="BB46" s="32">
        <v>0</v>
      </c>
      <c r="BC46">
        <f>COUNTIF(J46:AZ46, "&gt;0")</f>
        <v>5</v>
      </c>
      <c r="BD46" s="13">
        <f>[1]!shannonweaver(J46:AZ46)</f>
        <v>1.4327570529970877</v>
      </c>
      <c r="BE46">
        <f t="shared" si="0"/>
        <v>5</v>
      </c>
    </row>
    <row r="47" spans="1:57">
      <c r="A47" s="13" t="s">
        <v>145</v>
      </c>
      <c r="B47" t="s">
        <v>281</v>
      </c>
      <c r="C47" t="s">
        <v>293</v>
      </c>
      <c r="D47" s="13" t="s">
        <v>319</v>
      </c>
      <c r="E47" s="13" t="s">
        <v>91</v>
      </c>
      <c r="F47" s="13">
        <v>0</v>
      </c>
      <c r="G47" s="13">
        <v>0</v>
      </c>
      <c r="H47" s="13">
        <v>0</v>
      </c>
      <c r="I47" s="13">
        <v>0</v>
      </c>
      <c r="J47" s="32">
        <v>0</v>
      </c>
      <c r="K47" s="32">
        <v>0</v>
      </c>
      <c r="L47" s="13">
        <v>3</v>
      </c>
      <c r="M47" s="32">
        <v>0</v>
      </c>
      <c r="N47" s="32">
        <v>0</v>
      </c>
      <c r="O47" s="13">
        <v>1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13">
        <v>2</v>
      </c>
      <c r="Z47" s="32">
        <v>0</v>
      </c>
      <c r="AA47" s="32">
        <v>0</v>
      </c>
      <c r="AB47" s="13">
        <v>1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13">
        <v>1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13">
        <v>2</v>
      </c>
      <c r="BB47" s="32">
        <v>0</v>
      </c>
      <c r="BC47">
        <f>COUNTIF(J47:AZ47, "&gt;0")</f>
        <v>5</v>
      </c>
      <c r="BD47" s="13">
        <f>[1]!shannonweaver(J47:AZ47)</f>
        <v>1.4941751382893085</v>
      </c>
      <c r="BE47">
        <f t="shared" si="0"/>
        <v>5</v>
      </c>
    </row>
    <row r="48" spans="1:57">
      <c r="A48" s="13" t="s">
        <v>146</v>
      </c>
      <c r="B48" t="s">
        <v>281</v>
      </c>
      <c r="C48" t="s">
        <v>293</v>
      </c>
      <c r="D48" s="13" t="s">
        <v>319</v>
      </c>
      <c r="E48" s="13" t="s">
        <v>91</v>
      </c>
      <c r="F48" s="13">
        <v>1</v>
      </c>
      <c r="G48" s="13">
        <v>0</v>
      </c>
      <c r="H48" s="13">
        <v>0</v>
      </c>
      <c r="I48" s="13">
        <v>0</v>
      </c>
      <c r="J48" s="32">
        <v>0</v>
      </c>
      <c r="K48" s="32">
        <v>0</v>
      </c>
      <c r="L48" s="13">
        <v>1</v>
      </c>
      <c r="M48" s="32">
        <v>0</v>
      </c>
      <c r="N48" s="32">
        <v>0</v>
      </c>
      <c r="O48" s="32">
        <v>0</v>
      </c>
      <c r="P48" s="32">
        <v>0</v>
      </c>
      <c r="Q48" s="32">
        <v>0</v>
      </c>
      <c r="R48" s="32">
        <v>0</v>
      </c>
      <c r="S48" s="13">
        <v>2</v>
      </c>
      <c r="T48" s="32">
        <v>0</v>
      </c>
      <c r="U48" s="32">
        <v>0</v>
      </c>
      <c r="V48" s="32">
        <v>0</v>
      </c>
      <c r="W48" s="32">
        <v>0</v>
      </c>
      <c r="X48" s="32">
        <v>0</v>
      </c>
      <c r="Y48" s="32">
        <v>0</v>
      </c>
      <c r="Z48" s="32">
        <v>0</v>
      </c>
      <c r="AA48" s="32">
        <v>0</v>
      </c>
      <c r="AB48" s="32">
        <v>0</v>
      </c>
      <c r="AC48" s="32">
        <v>0</v>
      </c>
      <c r="AD48" s="32">
        <v>0</v>
      </c>
      <c r="AE48" s="32">
        <v>0</v>
      </c>
      <c r="AF48" s="32">
        <v>0</v>
      </c>
      <c r="AG48" s="32">
        <v>0</v>
      </c>
      <c r="AH48" s="32">
        <v>0</v>
      </c>
      <c r="AI48" s="32">
        <v>0</v>
      </c>
      <c r="AJ48" s="32">
        <v>0</v>
      </c>
      <c r="AK48" s="32">
        <v>0</v>
      </c>
      <c r="AL48" s="32">
        <v>0</v>
      </c>
      <c r="AM48" s="32">
        <v>0</v>
      </c>
      <c r="AN48" s="32">
        <v>0</v>
      </c>
      <c r="AO48" s="32">
        <v>0</v>
      </c>
      <c r="AP48" s="32">
        <v>0</v>
      </c>
      <c r="AQ48" s="32">
        <v>0</v>
      </c>
      <c r="AR48" s="32">
        <v>0</v>
      </c>
      <c r="AS48" s="32">
        <v>0</v>
      </c>
      <c r="AT48" s="32">
        <v>0</v>
      </c>
      <c r="AU48" s="32">
        <v>0</v>
      </c>
      <c r="AV48" s="32">
        <v>0</v>
      </c>
      <c r="AW48" s="32">
        <v>0</v>
      </c>
      <c r="AX48" s="32">
        <v>0</v>
      </c>
      <c r="AY48" s="32">
        <v>0</v>
      </c>
      <c r="AZ48" s="32">
        <v>0</v>
      </c>
      <c r="BA48" s="32">
        <v>0</v>
      </c>
      <c r="BB48" s="32">
        <v>0</v>
      </c>
      <c r="BC48">
        <f>COUNTIF(J48:AZ48, "&gt;0")</f>
        <v>2</v>
      </c>
      <c r="BD48" s="13">
        <f>[1]!shannonweaver(J48:AZ48)</f>
        <v>0.63651416829481278</v>
      </c>
      <c r="BE48">
        <f t="shared" si="0"/>
        <v>2</v>
      </c>
    </row>
    <row r="49" spans="1:57">
      <c r="A49" s="13" t="s">
        <v>147</v>
      </c>
      <c r="B49" t="s">
        <v>281</v>
      </c>
      <c r="C49" t="s">
        <v>293</v>
      </c>
      <c r="D49" s="13" t="s">
        <v>319</v>
      </c>
      <c r="E49" s="13" t="s">
        <v>91</v>
      </c>
      <c r="F49" s="13">
        <v>0</v>
      </c>
      <c r="G49" s="13">
        <v>0</v>
      </c>
      <c r="H49" s="13">
        <v>0</v>
      </c>
      <c r="I49" s="13">
        <v>0</v>
      </c>
      <c r="J49" s="32">
        <v>0</v>
      </c>
      <c r="K49" s="32">
        <v>0</v>
      </c>
      <c r="L49" s="13">
        <v>1</v>
      </c>
      <c r="M49" s="13">
        <v>1</v>
      </c>
      <c r="N49" s="32">
        <v>0</v>
      </c>
      <c r="O49" s="32">
        <v>0</v>
      </c>
      <c r="P49" s="32">
        <v>0</v>
      </c>
      <c r="Q49" s="13">
        <v>1</v>
      </c>
      <c r="R49" s="32">
        <v>0</v>
      </c>
      <c r="S49" s="13">
        <v>3</v>
      </c>
      <c r="T49" s="32">
        <v>0</v>
      </c>
      <c r="U49" s="13">
        <v>1</v>
      </c>
      <c r="V49" s="32">
        <v>0</v>
      </c>
      <c r="W49" s="32">
        <v>0</v>
      </c>
      <c r="X49" s="32">
        <v>0</v>
      </c>
      <c r="Y49" s="13">
        <v>1</v>
      </c>
      <c r="Z49" s="32">
        <v>0</v>
      </c>
      <c r="AA49" s="32">
        <v>0</v>
      </c>
      <c r="AB49" s="13">
        <v>2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13">
        <v>2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13">
        <v>3</v>
      </c>
      <c r="BB49" s="32">
        <v>0</v>
      </c>
      <c r="BC49">
        <f>COUNTIF(J49:AZ49, "&gt;0")</f>
        <v>8</v>
      </c>
      <c r="BD49" s="13">
        <f>[1]!shannonweaver(J49:AZ49)</f>
        <v>1.9792045174343245</v>
      </c>
      <c r="BE49">
        <f>COUNTIF(I49:AY49, "&gt;0")</f>
        <v>8</v>
      </c>
    </row>
    <row r="50" spans="1:57">
      <c r="A50" s="13" t="s">
        <v>148</v>
      </c>
      <c r="B50" t="s">
        <v>281</v>
      </c>
      <c r="C50" t="s">
        <v>301</v>
      </c>
      <c r="D50" s="13" t="s">
        <v>319</v>
      </c>
      <c r="E50" s="13" t="s">
        <v>91</v>
      </c>
      <c r="F50" s="13">
        <v>0</v>
      </c>
      <c r="G50" s="13">
        <v>0</v>
      </c>
      <c r="H50" s="13">
        <v>0</v>
      </c>
      <c r="I50" s="13">
        <v>0</v>
      </c>
      <c r="J50" s="32">
        <v>0</v>
      </c>
      <c r="K50" s="13">
        <v>1</v>
      </c>
      <c r="L50" s="13">
        <v>1</v>
      </c>
      <c r="M50" s="13">
        <v>0</v>
      </c>
      <c r="N50" s="32">
        <v>0</v>
      </c>
      <c r="O50" s="32">
        <v>0</v>
      </c>
      <c r="P50" s="32">
        <v>0</v>
      </c>
      <c r="Q50" s="32">
        <v>0</v>
      </c>
      <c r="R50" s="32">
        <v>0</v>
      </c>
      <c r="S50" s="32">
        <v>0</v>
      </c>
      <c r="T50" s="32">
        <v>0</v>
      </c>
      <c r="U50" s="32">
        <v>0</v>
      </c>
      <c r="V50" s="32">
        <v>0</v>
      </c>
      <c r="W50" s="32">
        <v>0</v>
      </c>
      <c r="X50" s="32">
        <v>0</v>
      </c>
      <c r="Y50" s="13">
        <v>2</v>
      </c>
      <c r="Z50" s="32">
        <v>0</v>
      </c>
      <c r="AA50" s="32">
        <v>0</v>
      </c>
      <c r="AB50" s="13">
        <v>8</v>
      </c>
      <c r="AC50" s="32">
        <v>0</v>
      </c>
      <c r="AD50" s="32">
        <v>0</v>
      </c>
      <c r="AE50" s="32">
        <v>0</v>
      </c>
      <c r="AF50" s="32">
        <v>0</v>
      </c>
      <c r="AG50" s="32">
        <v>0</v>
      </c>
      <c r="AH50" s="32">
        <v>0</v>
      </c>
      <c r="AI50" s="32">
        <v>0</v>
      </c>
      <c r="AJ50" s="32">
        <v>0</v>
      </c>
      <c r="AK50" s="32">
        <v>0</v>
      </c>
      <c r="AL50" s="32">
        <v>0</v>
      </c>
      <c r="AM50" s="32">
        <v>0</v>
      </c>
      <c r="AN50" s="32">
        <v>0</v>
      </c>
      <c r="AO50" s="32">
        <v>0</v>
      </c>
      <c r="AP50" s="32">
        <v>0</v>
      </c>
      <c r="AQ50" s="32">
        <v>0</v>
      </c>
      <c r="AR50" s="32">
        <v>0</v>
      </c>
      <c r="AS50" s="32">
        <v>0</v>
      </c>
      <c r="AT50" s="32">
        <v>0</v>
      </c>
      <c r="AU50" s="32">
        <v>0</v>
      </c>
      <c r="AV50" s="32">
        <v>0</v>
      </c>
      <c r="AW50" s="32">
        <v>0</v>
      </c>
      <c r="AX50" s="32">
        <v>0</v>
      </c>
      <c r="AY50" s="32">
        <v>0</v>
      </c>
      <c r="AZ50" s="32">
        <v>0</v>
      </c>
      <c r="BA50" s="32">
        <v>0</v>
      </c>
      <c r="BB50" s="32">
        <v>0</v>
      </c>
      <c r="BC50">
        <f>COUNTIF(J50:AZ50, "&gt;0")</f>
        <v>4</v>
      </c>
      <c r="BD50" s="13">
        <f>[1]!shannonweaver(J50:AZ50)</f>
        <v>0.98308775857478548</v>
      </c>
      <c r="BE50">
        <f t="shared" si="0"/>
        <v>4</v>
      </c>
    </row>
    <row r="51" spans="1:57">
      <c r="A51" s="13" t="s">
        <v>21</v>
      </c>
      <c r="B51" t="s">
        <v>281</v>
      </c>
      <c r="C51" t="s">
        <v>301</v>
      </c>
      <c r="D51" s="13" t="s">
        <v>319</v>
      </c>
      <c r="E51" s="13" t="s">
        <v>91</v>
      </c>
      <c r="F51" s="13">
        <v>0</v>
      </c>
      <c r="G51" s="13">
        <v>0</v>
      </c>
      <c r="H51" s="13">
        <v>0</v>
      </c>
      <c r="I51" s="13">
        <v>0</v>
      </c>
      <c r="J51" s="32">
        <v>0</v>
      </c>
      <c r="K51" s="32">
        <v>0</v>
      </c>
      <c r="L51" s="13">
        <v>2</v>
      </c>
      <c r="M51" s="13">
        <v>0</v>
      </c>
      <c r="N51" s="32">
        <v>0</v>
      </c>
      <c r="O51" s="32">
        <v>0</v>
      </c>
      <c r="P51" s="32">
        <v>0</v>
      </c>
      <c r="Q51" s="32">
        <v>0</v>
      </c>
      <c r="R51" s="32">
        <v>0</v>
      </c>
      <c r="S51" s="32">
        <v>0</v>
      </c>
      <c r="T51" s="32">
        <v>0</v>
      </c>
      <c r="U51" s="13">
        <v>1</v>
      </c>
      <c r="V51" s="32">
        <v>0</v>
      </c>
      <c r="W51" s="32">
        <v>0</v>
      </c>
      <c r="X51" s="32">
        <v>0</v>
      </c>
      <c r="Y51" s="32">
        <v>0</v>
      </c>
      <c r="Z51" s="32">
        <v>0</v>
      </c>
      <c r="AA51" s="32">
        <v>0</v>
      </c>
      <c r="AB51" s="13">
        <v>2</v>
      </c>
      <c r="AC51" s="32">
        <v>0</v>
      </c>
      <c r="AD51" s="32">
        <v>0</v>
      </c>
      <c r="AE51" s="32">
        <v>0</v>
      </c>
      <c r="AF51" s="32">
        <v>0</v>
      </c>
      <c r="AG51" s="32">
        <v>0</v>
      </c>
      <c r="AH51" s="32">
        <v>0</v>
      </c>
      <c r="AI51" s="32">
        <v>0</v>
      </c>
      <c r="AJ51" s="13">
        <v>2</v>
      </c>
      <c r="AK51" s="32">
        <v>0</v>
      </c>
      <c r="AL51" s="32">
        <v>0</v>
      </c>
      <c r="AM51" s="32">
        <v>0</v>
      </c>
      <c r="AN51" s="13">
        <v>1</v>
      </c>
      <c r="AO51" s="32">
        <v>0</v>
      </c>
      <c r="AP51" s="32">
        <v>0</v>
      </c>
      <c r="AQ51" s="32">
        <v>0</v>
      </c>
      <c r="AR51" s="32">
        <v>0</v>
      </c>
      <c r="AS51" s="32">
        <v>0</v>
      </c>
      <c r="AT51" s="32">
        <v>0</v>
      </c>
      <c r="AU51" s="32">
        <v>0</v>
      </c>
      <c r="AV51" s="32">
        <v>0</v>
      </c>
      <c r="AW51" s="32">
        <v>0</v>
      </c>
      <c r="AX51" s="32">
        <v>0</v>
      </c>
      <c r="AY51" s="32">
        <v>0</v>
      </c>
      <c r="AZ51" s="32">
        <v>0</v>
      </c>
      <c r="BA51" s="32">
        <v>0</v>
      </c>
      <c r="BB51" s="32">
        <v>0</v>
      </c>
      <c r="BC51">
        <f>COUNTIF(J51:AZ51, "&gt;0")</f>
        <v>5</v>
      </c>
      <c r="BD51" s="13">
        <f>[1]!shannonweaver(J51:AZ51)</f>
        <v>1.5595811562598769</v>
      </c>
      <c r="BE51">
        <f t="shared" si="0"/>
        <v>5</v>
      </c>
    </row>
    <row r="52" spans="1:57">
      <c r="A52" s="13" t="s">
        <v>22</v>
      </c>
      <c r="B52" t="s">
        <v>281</v>
      </c>
      <c r="C52" t="s">
        <v>301</v>
      </c>
      <c r="D52" s="13" t="s">
        <v>319</v>
      </c>
      <c r="E52" s="13" t="s">
        <v>91</v>
      </c>
      <c r="F52" s="13">
        <v>0</v>
      </c>
      <c r="G52" s="13">
        <v>0</v>
      </c>
      <c r="H52" s="13">
        <v>0</v>
      </c>
      <c r="I52" s="13">
        <v>0</v>
      </c>
      <c r="J52" s="32">
        <v>0</v>
      </c>
      <c r="K52" s="32">
        <v>0</v>
      </c>
      <c r="L52" s="13">
        <v>1</v>
      </c>
      <c r="M52" s="13">
        <v>0</v>
      </c>
      <c r="N52" s="32">
        <v>0</v>
      </c>
      <c r="O52" s="32">
        <v>0</v>
      </c>
      <c r="P52" s="32">
        <v>0</v>
      </c>
      <c r="Q52" s="32">
        <v>0</v>
      </c>
      <c r="R52" s="13">
        <v>1</v>
      </c>
      <c r="S52" s="32">
        <v>0</v>
      </c>
      <c r="T52" s="32">
        <v>0</v>
      </c>
      <c r="U52" s="32">
        <v>0</v>
      </c>
      <c r="V52" s="32">
        <v>0</v>
      </c>
      <c r="W52" s="13">
        <v>1</v>
      </c>
      <c r="X52" s="32">
        <v>0</v>
      </c>
      <c r="Y52" s="13">
        <v>3</v>
      </c>
      <c r="Z52" s="32">
        <v>0</v>
      </c>
      <c r="AA52" s="32">
        <v>0</v>
      </c>
      <c r="AB52" s="13">
        <v>6</v>
      </c>
      <c r="AC52" s="32">
        <v>0</v>
      </c>
      <c r="AD52" s="32">
        <v>0</v>
      </c>
      <c r="AE52" s="32">
        <v>0</v>
      </c>
      <c r="AF52" s="32">
        <v>0</v>
      </c>
      <c r="AG52" s="32">
        <v>0</v>
      </c>
      <c r="AH52" s="32">
        <v>0</v>
      </c>
      <c r="AI52" s="32">
        <v>0</v>
      </c>
      <c r="AJ52" s="32">
        <v>0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</v>
      </c>
      <c r="AQ52" s="32">
        <v>0</v>
      </c>
      <c r="AR52" s="32">
        <v>0</v>
      </c>
      <c r="AS52" s="32">
        <v>0</v>
      </c>
      <c r="AT52" s="32">
        <v>0</v>
      </c>
      <c r="AU52" s="32">
        <v>0</v>
      </c>
      <c r="AV52" s="32">
        <v>0</v>
      </c>
      <c r="AW52" s="32">
        <v>0</v>
      </c>
      <c r="AX52" s="32">
        <v>0</v>
      </c>
      <c r="AY52" s="32">
        <v>0</v>
      </c>
      <c r="AZ52" s="32">
        <v>0</v>
      </c>
      <c r="BA52" s="32">
        <v>0</v>
      </c>
      <c r="BB52" s="32">
        <v>0</v>
      </c>
      <c r="BC52">
        <f>COUNTIF(J52:AZ52, "&gt;0")</f>
        <v>5</v>
      </c>
      <c r="BD52" s="13">
        <f>[1]!shannonweaver(J52:AZ52)</f>
        <v>1.3143738430069454</v>
      </c>
      <c r="BE52">
        <f t="shared" si="0"/>
        <v>5</v>
      </c>
    </row>
    <row r="53" spans="1:57">
      <c r="A53" s="13" t="s">
        <v>23</v>
      </c>
      <c r="B53" t="s">
        <v>281</v>
      </c>
      <c r="C53" t="s">
        <v>301</v>
      </c>
      <c r="D53" s="13" t="s">
        <v>319</v>
      </c>
      <c r="E53" s="13" t="s">
        <v>91</v>
      </c>
      <c r="F53" s="13">
        <v>0</v>
      </c>
      <c r="G53" s="13">
        <v>0</v>
      </c>
      <c r="H53" s="13">
        <v>0</v>
      </c>
      <c r="I53" s="13">
        <v>0</v>
      </c>
      <c r="J53" s="32">
        <v>0</v>
      </c>
      <c r="K53" s="32">
        <v>0</v>
      </c>
      <c r="L53" s="13">
        <v>1</v>
      </c>
      <c r="M53" s="13">
        <v>0</v>
      </c>
      <c r="N53" s="32">
        <v>0</v>
      </c>
      <c r="O53" s="32">
        <v>0</v>
      </c>
      <c r="P53" s="32">
        <v>0</v>
      </c>
      <c r="Q53" s="13">
        <v>1</v>
      </c>
      <c r="R53" s="13">
        <v>0</v>
      </c>
      <c r="S53" s="32">
        <v>0</v>
      </c>
      <c r="T53" s="32">
        <v>0</v>
      </c>
      <c r="U53" s="13">
        <v>1</v>
      </c>
      <c r="V53" s="32">
        <v>0</v>
      </c>
      <c r="W53" s="32">
        <v>0</v>
      </c>
      <c r="X53" s="32">
        <v>0</v>
      </c>
      <c r="Y53" s="13">
        <v>5</v>
      </c>
      <c r="Z53" s="32">
        <v>0</v>
      </c>
      <c r="AA53" s="32">
        <v>0</v>
      </c>
      <c r="AB53" s="13">
        <v>4</v>
      </c>
      <c r="AC53" s="32">
        <v>0</v>
      </c>
      <c r="AD53" s="32">
        <v>0</v>
      </c>
      <c r="AE53" s="32">
        <v>0</v>
      </c>
      <c r="AF53" s="32">
        <v>0</v>
      </c>
      <c r="AG53" s="32">
        <v>0</v>
      </c>
      <c r="AH53" s="32">
        <v>0</v>
      </c>
      <c r="AI53" s="32">
        <v>0</v>
      </c>
      <c r="AJ53" s="13">
        <v>2</v>
      </c>
      <c r="AK53" s="32">
        <v>0</v>
      </c>
      <c r="AL53" s="32">
        <v>0</v>
      </c>
      <c r="AM53" s="32">
        <v>0</v>
      </c>
      <c r="AN53" s="32">
        <v>0</v>
      </c>
      <c r="AO53" s="32">
        <v>0</v>
      </c>
      <c r="AP53" s="32">
        <v>0</v>
      </c>
      <c r="AQ53" s="32">
        <v>0</v>
      </c>
      <c r="AR53" s="32">
        <v>0</v>
      </c>
      <c r="AS53" s="32">
        <v>0</v>
      </c>
      <c r="AT53" s="32">
        <v>0</v>
      </c>
      <c r="AU53" s="32">
        <v>0</v>
      </c>
      <c r="AV53" s="32">
        <v>0</v>
      </c>
      <c r="AW53" s="32">
        <v>0</v>
      </c>
      <c r="AX53" s="13">
        <v>2</v>
      </c>
      <c r="AY53" s="32">
        <v>0</v>
      </c>
      <c r="AZ53" s="32">
        <v>0</v>
      </c>
      <c r="BA53" s="32">
        <v>0</v>
      </c>
      <c r="BB53" s="32">
        <v>0</v>
      </c>
      <c r="BC53">
        <f>COUNTIF(J53:AZ53, "&gt;0")</f>
        <v>7</v>
      </c>
      <c r="BD53" s="13">
        <f>[1]!shannonweaver(J53:AZ53)</f>
        <v>1.749778989184166</v>
      </c>
      <c r="BE53">
        <f t="shared" si="0"/>
        <v>7</v>
      </c>
    </row>
    <row r="54" spans="1:57">
      <c r="A54" s="13" t="s">
        <v>24</v>
      </c>
      <c r="B54" t="s">
        <v>281</v>
      </c>
      <c r="C54" t="s">
        <v>301</v>
      </c>
      <c r="D54" s="13" t="s">
        <v>319</v>
      </c>
      <c r="E54" s="13" t="s">
        <v>91</v>
      </c>
      <c r="F54" s="13">
        <v>0</v>
      </c>
      <c r="G54" s="13">
        <v>0</v>
      </c>
      <c r="H54" s="13">
        <v>0</v>
      </c>
      <c r="I54" s="13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13">
        <v>1</v>
      </c>
      <c r="R54" s="13">
        <v>3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13">
        <v>3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13">
        <v>1</v>
      </c>
      <c r="AY54" s="32">
        <v>0</v>
      </c>
      <c r="AZ54" s="32">
        <v>0</v>
      </c>
      <c r="BA54" s="32">
        <v>0</v>
      </c>
      <c r="BB54" s="13">
        <v>1</v>
      </c>
      <c r="BC54">
        <f>COUNTIF(J54:AZ54, "&gt;0")</f>
        <v>4</v>
      </c>
      <c r="BD54" s="13">
        <f>[1]!shannonweaver(J54:AZ54)</f>
        <v>1.2554823251787535</v>
      </c>
      <c r="BE54">
        <f t="shared" si="0"/>
        <v>4</v>
      </c>
    </row>
    <row r="55" spans="1:57">
      <c r="A55" s="13" t="s">
        <v>26</v>
      </c>
      <c r="B55" t="s">
        <v>281</v>
      </c>
      <c r="C55" t="s">
        <v>301</v>
      </c>
      <c r="D55" s="13" t="s">
        <v>319</v>
      </c>
      <c r="E55" s="13" t="s">
        <v>91</v>
      </c>
      <c r="F55" s="13">
        <v>0</v>
      </c>
      <c r="G55" s="13">
        <v>0</v>
      </c>
      <c r="H55" s="13">
        <v>0</v>
      </c>
      <c r="I55" s="13">
        <v>1</v>
      </c>
      <c r="J55" s="32">
        <v>0</v>
      </c>
      <c r="K55" s="32">
        <v>0</v>
      </c>
      <c r="L55" s="13">
        <v>2</v>
      </c>
      <c r="M55" s="32">
        <v>0</v>
      </c>
      <c r="N55" s="32">
        <v>0</v>
      </c>
      <c r="O55" s="32">
        <v>0</v>
      </c>
      <c r="P55" s="32">
        <v>0</v>
      </c>
      <c r="Q55" s="32">
        <v>0</v>
      </c>
      <c r="R55" s="32">
        <v>0</v>
      </c>
      <c r="S55" s="32">
        <v>0</v>
      </c>
      <c r="T55" s="32">
        <v>0</v>
      </c>
      <c r="U55" s="32">
        <v>0</v>
      </c>
      <c r="V55" s="32">
        <v>0</v>
      </c>
      <c r="W55" s="32">
        <v>0</v>
      </c>
      <c r="X55" s="32">
        <v>0</v>
      </c>
      <c r="Y55" s="13">
        <v>1</v>
      </c>
      <c r="Z55" s="32">
        <v>0</v>
      </c>
      <c r="AA55" s="32">
        <v>0</v>
      </c>
      <c r="AB55" s="13">
        <v>1</v>
      </c>
      <c r="AC55" s="32">
        <v>0</v>
      </c>
      <c r="AD55" s="32">
        <v>0</v>
      </c>
      <c r="AE55" s="32">
        <v>0</v>
      </c>
      <c r="AF55" s="32">
        <v>0</v>
      </c>
      <c r="AG55" s="32">
        <v>0</v>
      </c>
      <c r="AH55" s="32">
        <v>0</v>
      </c>
      <c r="AI55" s="32">
        <v>0</v>
      </c>
      <c r="AJ55" s="13">
        <v>1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</v>
      </c>
      <c r="AQ55" s="32">
        <v>0</v>
      </c>
      <c r="AR55" s="32">
        <v>0</v>
      </c>
      <c r="AS55" s="32">
        <v>0</v>
      </c>
      <c r="AT55" s="32">
        <v>0</v>
      </c>
      <c r="AU55" s="32">
        <v>0</v>
      </c>
      <c r="AV55" s="32">
        <v>0</v>
      </c>
      <c r="AW55" s="32">
        <v>0</v>
      </c>
      <c r="AX55" s="32">
        <v>0</v>
      </c>
      <c r="AY55" s="32">
        <v>0</v>
      </c>
      <c r="AZ55" s="32">
        <v>0</v>
      </c>
      <c r="BA55" s="32">
        <v>0</v>
      </c>
      <c r="BB55" s="32">
        <v>0</v>
      </c>
      <c r="BC55">
        <f>COUNTIF(J55:AZ55, "&gt;0")</f>
        <v>4</v>
      </c>
      <c r="BD55" s="13">
        <f>[1]!shannonweaver(J55:AZ55)</f>
        <v>1.3321790402101223</v>
      </c>
      <c r="BE55">
        <f t="shared" si="0"/>
        <v>5</v>
      </c>
    </row>
    <row r="56" spans="1:57">
      <c r="A56" s="13" t="s">
        <v>28</v>
      </c>
      <c r="B56" t="s">
        <v>281</v>
      </c>
      <c r="C56">
        <v>4</v>
      </c>
      <c r="D56" s="13" t="s">
        <v>320</v>
      </c>
      <c r="E56" s="13" t="s">
        <v>91</v>
      </c>
      <c r="F56" s="13">
        <v>0</v>
      </c>
      <c r="G56" s="13">
        <v>0</v>
      </c>
      <c r="H56" s="13">
        <v>0</v>
      </c>
      <c r="I56" s="13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>
        <v>0</v>
      </c>
      <c r="P56" s="32">
        <v>0</v>
      </c>
      <c r="Q56" s="32">
        <v>0</v>
      </c>
      <c r="R56" s="32">
        <v>0</v>
      </c>
      <c r="S56" s="32">
        <v>0</v>
      </c>
      <c r="T56" s="32">
        <v>0</v>
      </c>
      <c r="U56" s="32">
        <v>0</v>
      </c>
      <c r="V56" s="32">
        <v>0</v>
      </c>
      <c r="W56" s="32">
        <v>0</v>
      </c>
      <c r="X56" s="32">
        <v>0</v>
      </c>
      <c r="Y56" s="32">
        <v>0</v>
      </c>
      <c r="Z56" s="32">
        <v>0</v>
      </c>
      <c r="AA56" s="32">
        <v>0</v>
      </c>
      <c r="AB56" s="32">
        <v>0</v>
      </c>
      <c r="AC56" s="32">
        <v>0</v>
      </c>
      <c r="AD56" s="32">
        <v>0</v>
      </c>
      <c r="AE56" s="32">
        <v>0</v>
      </c>
      <c r="AF56" s="32">
        <v>0</v>
      </c>
      <c r="AG56" s="32">
        <v>0</v>
      </c>
      <c r="AH56" s="32">
        <v>0</v>
      </c>
      <c r="AI56" s="32">
        <v>0</v>
      </c>
      <c r="AJ56" s="32">
        <v>0</v>
      </c>
      <c r="AK56" s="32">
        <v>0</v>
      </c>
      <c r="AL56" s="32">
        <v>0</v>
      </c>
      <c r="AM56" s="32">
        <v>0</v>
      </c>
      <c r="AN56" s="32">
        <v>0</v>
      </c>
      <c r="AO56" s="32">
        <v>0</v>
      </c>
      <c r="AP56" s="32">
        <v>0</v>
      </c>
      <c r="AQ56" s="32">
        <v>0</v>
      </c>
      <c r="AR56" s="32">
        <v>0</v>
      </c>
      <c r="AS56" s="32">
        <v>0</v>
      </c>
      <c r="AT56" s="32">
        <v>0</v>
      </c>
      <c r="AU56" s="32">
        <v>0</v>
      </c>
      <c r="AV56" s="32">
        <v>0</v>
      </c>
      <c r="AW56" s="32">
        <v>0</v>
      </c>
      <c r="AX56" s="32">
        <v>0</v>
      </c>
      <c r="AY56" s="32">
        <v>0</v>
      </c>
      <c r="AZ56" s="32">
        <v>0</v>
      </c>
      <c r="BA56" s="32">
        <v>0</v>
      </c>
      <c r="BB56" s="32">
        <v>0</v>
      </c>
      <c r="BC56">
        <f>COUNTIF(J56:AZ56, "&gt;0")</f>
        <v>0</v>
      </c>
      <c r="BD56" s="13" t="e">
        <f>[1]!shannonweaver(J56:AZ56)</f>
        <v>#VALUE!</v>
      </c>
      <c r="BE56">
        <f t="shared" si="0"/>
        <v>0</v>
      </c>
    </row>
    <row r="57" spans="1:57">
      <c r="A57" s="13" t="s">
        <v>29</v>
      </c>
      <c r="B57" t="s">
        <v>281</v>
      </c>
      <c r="C57">
        <v>4</v>
      </c>
      <c r="D57" s="13" t="s">
        <v>320</v>
      </c>
      <c r="E57" s="13" t="s">
        <v>91</v>
      </c>
      <c r="F57" s="13">
        <v>0</v>
      </c>
      <c r="G57" s="13">
        <v>0</v>
      </c>
      <c r="H57" s="13">
        <v>0</v>
      </c>
      <c r="I57" s="13">
        <v>0</v>
      </c>
      <c r="J57" s="32">
        <v>0</v>
      </c>
      <c r="K57" s="32">
        <v>0</v>
      </c>
      <c r="L57" s="32">
        <v>0</v>
      </c>
      <c r="M57" s="32">
        <v>0</v>
      </c>
      <c r="N57" s="32">
        <v>0</v>
      </c>
      <c r="O57" s="32">
        <v>0</v>
      </c>
      <c r="P57" s="32">
        <v>0</v>
      </c>
      <c r="Q57" s="13">
        <v>1</v>
      </c>
      <c r="R57" s="32">
        <v>0</v>
      </c>
      <c r="S57" s="32">
        <v>0</v>
      </c>
      <c r="T57" s="32">
        <v>0</v>
      </c>
      <c r="U57" s="32">
        <v>0</v>
      </c>
      <c r="V57" s="32">
        <v>0</v>
      </c>
      <c r="W57" s="32">
        <v>0</v>
      </c>
      <c r="X57" s="32">
        <v>0</v>
      </c>
      <c r="Y57" s="32">
        <v>0</v>
      </c>
      <c r="Z57" s="32">
        <v>0</v>
      </c>
      <c r="AA57" s="32">
        <v>0</v>
      </c>
      <c r="AB57" s="32">
        <v>0</v>
      </c>
      <c r="AC57" s="32">
        <v>0</v>
      </c>
      <c r="AD57" s="32">
        <v>0</v>
      </c>
      <c r="AE57" s="32">
        <v>0</v>
      </c>
      <c r="AF57" s="32">
        <v>0</v>
      </c>
      <c r="AG57" s="32">
        <v>0</v>
      </c>
      <c r="AH57" s="32">
        <v>0</v>
      </c>
      <c r="AI57" s="32">
        <v>0</v>
      </c>
      <c r="AJ57" s="32">
        <v>0</v>
      </c>
      <c r="AK57" s="32">
        <v>0</v>
      </c>
      <c r="AL57" s="32">
        <v>0</v>
      </c>
      <c r="AM57" s="32">
        <v>0</v>
      </c>
      <c r="AN57" s="32">
        <v>0</v>
      </c>
      <c r="AO57" s="32">
        <v>0</v>
      </c>
      <c r="AP57" s="32">
        <v>0</v>
      </c>
      <c r="AQ57" s="32">
        <v>0</v>
      </c>
      <c r="AR57" s="32">
        <v>0</v>
      </c>
      <c r="AS57" s="32">
        <v>0</v>
      </c>
      <c r="AT57" s="32">
        <v>0</v>
      </c>
      <c r="AU57" s="32">
        <v>0</v>
      </c>
      <c r="AV57" s="32">
        <v>0</v>
      </c>
      <c r="AW57" s="32">
        <v>0</v>
      </c>
      <c r="AX57" s="32">
        <v>0</v>
      </c>
      <c r="AY57" s="32">
        <v>0</v>
      </c>
      <c r="AZ57" s="32">
        <v>0</v>
      </c>
      <c r="BA57" s="32">
        <v>0</v>
      </c>
      <c r="BB57" s="32">
        <v>0</v>
      </c>
      <c r="BC57">
        <f>COUNTIF(J57:AZ57, "&gt;0")</f>
        <v>1</v>
      </c>
      <c r="BD57" s="13">
        <f>[1]!shannonweaver(J57:AZ57)</f>
        <v>0</v>
      </c>
      <c r="BE57">
        <f t="shared" si="0"/>
        <v>1</v>
      </c>
    </row>
    <row r="58" spans="1:57">
      <c r="A58" s="13" t="s">
        <v>30</v>
      </c>
      <c r="B58" t="s">
        <v>281</v>
      </c>
      <c r="C58">
        <v>4</v>
      </c>
      <c r="D58" s="13" t="s">
        <v>320</v>
      </c>
      <c r="E58" s="13" t="s">
        <v>91</v>
      </c>
      <c r="F58" s="13">
        <v>0</v>
      </c>
      <c r="G58" s="13">
        <v>0</v>
      </c>
      <c r="H58" s="13">
        <v>0</v>
      </c>
      <c r="I58" s="13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>
        <v>0</v>
      </c>
      <c r="P58" s="32">
        <v>0</v>
      </c>
      <c r="Q58" s="13">
        <v>2</v>
      </c>
      <c r="R58" s="32">
        <v>0</v>
      </c>
      <c r="S58" s="32">
        <v>0</v>
      </c>
      <c r="T58" s="32">
        <v>0</v>
      </c>
      <c r="U58" s="32">
        <v>0</v>
      </c>
      <c r="V58" s="32">
        <v>0</v>
      </c>
      <c r="W58" s="32">
        <v>0</v>
      </c>
      <c r="X58" s="32">
        <v>0</v>
      </c>
      <c r="Y58" s="32">
        <v>0</v>
      </c>
      <c r="Z58" s="32">
        <v>0</v>
      </c>
      <c r="AA58" s="32">
        <v>0</v>
      </c>
      <c r="AB58" s="32">
        <v>0</v>
      </c>
      <c r="AC58" s="32">
        <v>0</v>
      </c>
      <c r="AD58" s="32">
        <v>0</v>
      </c>
      <c r="AE58" s="32">
        <v>0</v>
      </c>
      <c r="AF58" s="32">
        <v>0</v>
      </c>
      <c r="AG58" s="32">
        <v>0</v>
      </c>
      <c r="AH58" s="32">
        <v>0</v>
      </c>
      <c r="AI58" s="32">
        <v>0</v>
      </c>
      <c r="AJ58" s="32">
        <v>0</v>
      </c>
      <c r="AK58" s="32">
        <v>0</v>
      </c>
      <c r="AL58" s="32">
        <v>0</v>
      </c>
      <c r="AM58" s="32">
        <v>0</v>
      </c>
      <c r="AN58" s="32">
        <v>0</v>
      </c>
      <c r="AO58" s="32">
        <v>0</v>
      </c>
      <c r="AP58" s="32">
        <v>0</v>
      </c>
      <c r="AQ58" s="32">
        <v>0</v>
      </c>
      <c r="AR58" s="32">
        <v>0</v>
      </c>
      <c r="AS58" s="32">
        <v>0</v>
      </c>
      <c r="AT58" s="32">
        <v>0</v>
      </c>
      <c r="AU58" s="32">
        <v>0</v>
      </c>
      <c r="AV58" s="32">
        <v>0</v>
      </c>
      <c r="AW58" s="32">
        <v>0</v>
      </c>
      <c r="AX58" s="32">
        <v>0</v>
      </c>
      <c r="AY58" s="32">
        <v>0</v>
      </c>
      <c r="AZ58" s="32">
        <v>0</v>
      </c>
      <c r="BA58" s="32">
        <v>0</v>
      </c>
      <c r="BB58" s="32">
        <v>0</v>
      </c>
      <c r="BC58">
        <f>COUNTIF(J58:AZ58, "&gt;0")</f>
        <v>1</v>
      </c>
      <c r="BD58" s="13">
        <f>[1]!shannonweaver(J58:AZ58)</f>
        <v>0</v>
      </c>
      <c r="BE58">
        <f t="shared" si="0"/>
        <v>1</v>
      </c>
    </row>
    <row r="59" spans="1:57">
      <c r="A59" s="13" t="s">
        <v>31</v>
      </c>
      <c r="B59" t="s">
        <v>281</v>
      </c>
      <c r="C59">
        <v>4</v>
      </c>
      <c r="D59" s="13" t="s">
        <v>320</v>
      </c>
      <c r="E59" s="13" t="s">
        <v>91</v>
      </c>
      <c r="F59" s="13">
        <v>0</v>
      </c>
      <c r="G59" s="13">
        <v>0</v>
      </c>
      <c r="H59" s="13">
        <v>0</v>
      </c>
      <c r="I59" s="13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>
        <v>0</v>
      </c>
      <c r="P59" s="32">
        <v>0</v>
      </c>
      <c r="Q59" s="32">
        <v>0</v>
      </c>
      <c r="R59" s="32">
        <v>0</v>
      </c>
      <c r="S59" s="32">
        <v>0</v>
      </c>
      <c r="T59" s="32">
        <v>0</v>
      </c>
      <c r="U59" s="32">
        <v>0</v>
      </c>
      <c r="V59" s="32">
        <v>0</v>
      </c>
      <c r="W59" s="32">
        <v>0</v>
      </c>
      <c r="X59" s="32">
        <v>0</v>
      </c>
      <c r="Y59" s="32">
        <v>0</v>
      </c>
      <c r="Z59" s="32">
        <v>0</v>
      </c>
      <c r="AA59" s="32">
        <v>0</v>
      </c>
      <c r="AB59" s="32">
        <v>0</v>
      </c>
      <c r="AC59" s="32">
        <v>0</v>
      </c>
      <c r="AD59" s="32">
        <v>0</v>
      </c>
      <c r="AE59" s="32">
        <v>0</v>
      </c>
      <c r="AF59" s="32">
        <v>0</v>
      </c>
      <c r="AG59" s="32">
        <v>0</v>
      </c>
      <c r="AH59" s="32">
        <v>0</v>
      </c>
      <c r="AI59" s="32">
        <v>0</v>
      </c>
      <c r="AJ59" s="32">
        <v>0</v>
      </c>
      <c r="AK59" s="32">
        <v>0</v>
      </c>
      <c r="AL59" s="32">
        <v>0</v>
      </c>
      <c r="AM59" s="32">
        <v>0</v>
      </c>
      <c r="AN59" s="32">
        <v>0</v>
      </c>
      <c r="AO59" s="32">
        <v>0</v>
      </c>
      <c r="AP59" s="32">
        <v>0</v>
      </c>
      <c r="AQ59" s="32">
        <v>0</v>
      </c>
      <c r="AR59" s="32">
        <v>0</v>
      </c>
      <c r="AS59" s="32">
        <v>0</v>
      </c>
      <c r="AT59" s="32">
        <v>0</v>
      </c>
      <c r="AU59" s="32">
        <v>0</v>
      </c>
      <c r="AV59" s="32">
        <v>0</v>
      </c>
      <c r="AW59" s="32">
        <v>0</v>
      </c>
      <c r="AX59" s="32">
        <v>0</v>
      </c>
      <c r="AY59" s="32">
        <v>0</v>
      </c>
      <c r="AZ59" s="32">
        <v>0</v>
      </c>
      <c r="BA59" s="32">
        <v>0</v>
      </c>
      <c r="BB59" s="32">
        <v>0</v>
      </c>
      <c r="BC59">
        <f>COUNTIF(J59:AZ59, "&gt;0")</f>
        <v>0</v>
      </c>
      <c r="BD59" s="13" t="e">
        <f>[1]!shannonweaver(J59:AZ59)</f>
        <v>#VALUE!</v>
      </c>
      <c r="BE59">
        <f t="shared" si="0"/>
        <v>0</v>
      </c>
    </row>
    <row r="60" spans="1:57">
      <c r="A60" s="13" t="s">
        <v>32</v>
      </c>
      <c r="B60" t="s">
        <v>281</v>
      </c>
      <c r="C60">
        <v>4</v>
      </c>
      <c r="D60" s="13" t="s">
        <v>320</v>
      </c>
      <c r="E60" s="13" t="s">
        <v>91</v>
      </c>
      <c r="F60" s="13">
        <v>0</v>
      </c>
      <c r="G60" s="13">
        <v>0</v>
      </c>
      <c r="H60" s="13">
        <v>0</v>
      </c>
      <c r="I60" s="13">
        <v>0</v>
      </c>
      <c r="J60" s="32">
        <v>0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</v>
      </c>
      <c r="Q60" s="13">
        <v>1</v>
      </c>
      <c r="R60" s="32">
        <v>0</v>
      </c>
      <c r="S60" s="32">
        <v>0</v>
      </c>
      <c r="T60" s="32">
        <v>0</v>
      </c>
      <c r="U60" s="32">
        <v>0</v>
      </c>
      <c r="V60" s="32">
        <v>0</v>
      </c>
      <c r="W60" s="32">
        <v>0</v>
      </c>
      <c r="X60" s="32">
        <v>0</v>
      </c>
      <c r="Y60" s="32">
        <v>0</v>
      </c>
      <c r="Z60" s="32">
        <v>0</v>
      </c>
      <c r="AA60" s="32">
        <v>0</v>
      </c>
      <c r="AB60" s="32">
        <v>0</v>
      </c>
      <c r="AC60" s="32">
        <v>0</v>
      </c>
      <c r="AD60" s="32">
        <v>0</v>
      </c>
      <c r="AE60" s="32">
        <v>0</v>
      </c>
      <c r="AF60" s="32">
        <v>0</v>
      </c>
      <c r="AG60" s="32">
        <v>0</v>
      </c>
      <c r="AH60" s="32">
        <v>0</v>
      </c>
      <c r="AI60" s="32">
        <v>0</v>
      </c>
      <c r="AJ60" s="32">
        <v>0</v>
      </c>
      <c r="AK60" s="32">
        <v>0</v>
      </c>
      <c r="AL60" s="32">
        <v>0</v>
      </c>
      <c r="AM60" s="32">
        <v>0</v>
      </c>
      <c r="AN60" s="32">
        <v>0</v>
      </c>
      <c r="AO60" s="32">
        <v>0</v>
      </c>
      <c r="AP60" s="32">
        <v>0</v>
      </c>
      <c r="AQ60" s="32">
        <v>0</v>
      </c>
      <c r="AR60" s="32">
        <v>0</v>
      </c>
      <c r="AS60" s="32">
        <v>0</v>
      </c>
      <c r="AT60" s="32">
        <v>0</v>
      </c>
      <c r="AU60" s="13">
        <v>1</v>
      </c>
      <c r="AV60" s="32">
        <v>0</v>
      </c>
      <c r="AW60" s="32">
        <v>0</v>
      </c>
      <c r="AX60" s="32">
        <v>0</v>
      </c>
      <c r="AY60" s="32">
        <v>0</v>
      </c>
      <c r="AZ60" s="32">
        <v>0</v>
      </c>
      <c r="BA60" s="32">
        <v>0</v>
      </c>
      <c r="BB60" s="32">
        <v>0</v>
      </c>
      <c r="BC60">
        <f>COUNTIF(J60:AZ60, "&gt;0")</f>
        <v>2</v>
      </c>
      <c r="BD60" s="13">
        <f>[1]!shannonweaver(J60:AZ60)</f>
        <v>0.69314718055994529</v>
      </c>
      <c r="BE60">
        <f t="shared" si="0"/>
        <v>2</v>
      </c>
    </row>
    <row r="61" spans="1:57">
      <c r="A61" s="13" t="s">
        <v>33</v>
      </c>
      <c r="B61" t="s">
        <v>281</v>
      </c>
      <c r="C61">
        <v>4</v>
      </c>
      <c r="D61" s="13" t="s">
        <v>320</v>
      </c>
      <c r="E61" s="13" t="s">
        <v>91</v>
      </c>
      <c r="F61" s="13">
        <v>0</v>
      </c>
      <c r="G61" s="13">
        <v>0</v>
      </c>
      <c r="H61" s="13">
        <v>0</v>
      </c>
      <c r="I61" s="13">
        <v>0</v>
      </c>
      <c r="J61" s="32">
        <v>0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</v>
      </c>
      <c r="Q61" s="32">
        <v>0</v>
      </c>
      <c r="R61" s="32">
        <v>0</v>
      </c>
      <c r="S61" s="32">
        <v>0</v>
      </c>
      <c r="T61" s="32">
        <v>0</v>
      </c>
      <c r="U61" s="32">
        <v>0</v>
      </c>
      <c r="V61" s="32">
        <v>0</v>
      </c>
      <c r="W61" s="32">
        <v>0</v>
      </c>
      <c r="X61" s="32">
        <v>0</v>
      </c>
      <c r="Y61" s="32">
        <v>0</v>
      </c>
      <c r="Z61" s="32">
        <v>0</v>
      </c>
      <c r="AA61" s="32">
        <v>0</v>
      </c>
      <c r="AB61" s="32">
        <v>0</v>
      </c>
      <c r="AC61" s="32">
        <v>0</v>
      </c>
      <c r="AD61" s="32">
        <v>0</v>
      </c>
      <c r="AE61" s="32">
        <v>0</v>
      </c>
      <c r="AF61" s="32">
        <v>0</v>
      </c>
      <c r="AG61" s="32">
        <v>0</v>
      </c>
      <c r="AH61" s="32">
        <v>0</v>
      </c>
      <c r="AI61" s="32">
        <v>0</v>
      </c>
      <c r="AJ61" s="32">
        <v>0</v>
      </c>
      <c r="AK61" s="32">
        <v>0</v>
      </c>
      <c r="AL61" s="32">
        <v>0</v>
      </c>
      <c r="AM61" s="32">
        <v>0</v>
      </c>
      <c r="AN61" s="32">
        <v>0</v>
      </c>
      <c r="AO61" s="32">
        <v>0</v>
      </c>
      <c r="AP61" s="32">
        <v>0</v>
      </c>
      <c r="AQ61" s="32">
        <v>0</v>
      </c>
      <c r="AR61" s="32">
        <v>0</v>
      </c>
      <c r="AS61" s="32">
        <v>0</v>
      </c>
      <c r="AT61" s="32">
        <v>0</v>
      </c>
      <c r="AU61" s="32">
        <v>0</v>
      </c>
      <c r="AV61" s="32">
        <v>0</v>
      </c>
      <c r="AW61" s="32">
        <v>0</v>
      </c>
      <c r="AX61" s="32">
        <v>0</v>
      </c>
      <c r="AY61" s="32">
        <v>0</v>
      </c>
      <c r="AZ61" s="32">
        <v>0</v>
      </c>
      <c r="BA61" s="32">
        <v>0</v>
      </c>
      <c r="BB61" s="32">
        <v>0</v>
      </c>
      <c r="BC61">
        <f>COUNTIF(J61:AZ61, "&gt;0")</f>
        <v>0</v>
      </c>
      <c r="BD61" s="13" t="e">
        <f>[1]!shannonweaver(J61:AZ61)</f>
        <v>#VALUE!</v>
      </c>
      <c r="BE61">
        <f t="shared" si="0"/>
        <v>0</v>
      </c>
    </row>
    <row r="62" spans="1:57">
      <c r="A62" s="13" t="s">
        <v>34</v>
      </c>
      <c r="B62" t="s">
        <v>281</v>
      </c>
      <c r="C62">
        <v>5</v>
      </c>
      <c r="D62" s="13" t="s">
        <v>320</v>
      </c>
      <c r="E62" t="s">
        <v>91</v>
      </c>
      <c r="F62" s="13">
        <v>0</v>
      </c>
      <c r="G62" s="13">
        <v>0</v>
      </c>
      <c r="H62" s="13">
        <v>0</v>
      </c>
      <c r="I62" s="13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</v>
      </c>
      <c r="Q62" s="32">
        <v>0</v>
      </c>
      <c r="R62" s="32">
        <v>0</v>
      </c>
      <c r="S62" s="32">
        <v>0</v>
      </c>
      <c r="T62" s="32">
        <v>0</v>
      </c>
      <c r="U62" s="32">
        <v>0</v>
      </c>
      <c r="V62" s="32">
        <v>0</v>
      </c>
      <c r="W62" s="32">
        <v>0</v>
      </c>
      <c r="X62" s="32">
        <v>0</v>
      </c>
      <c r="Y62" s="32">
        <v>0</v>
      </c>
      <c r="Z62" s="32">
        <v>0</v>
      </c>
      <c r="AA62" s="32">
        <v>0</v>
      </c>
      <c r="AB62" s="32">
        <v>0</v>
      </c>
      <c r="AC62" s="32">
        <v>0</v>
      </c>
      <c r="AD62" s="32">
        <v>0</v>
      </c>
      <c r="AE62" s="32">
        <v>0</v>
      </c>
      <c r="AF62" s="32">
        <v>0</v>
      </c>
      <c r="AG62" s="32">
        <v>0</v>
      </c>
      <c r="AH62" s="32">
        <v>0</v>
      </c>
      <c r="AI62" s="32">
        <v>0</v>
      </c>
      <c r="AJ62" s="32">
        <v>0</v>
      </c>
      <c r="AK62" s="32">
        <v>0</v>
      </c>
      <c r="AL62" s="32">
        <v>0</v>
      </c>
      <c r="AM62" s="32">
        <v>0</v>
      </c>
      <c r="AN62" s="32">
        <v>0</v>
      </c>
      <c r="AO62" s="32">
        <v>0</v>
      </c>
      <c r="AP62" s="32">
        <v>0</v>
      </c>
      <c r="AQ62" s="32">
        <v>0</v>
      </c>
      <c r="AR62" s="32">
        <v>0</v>
      </c>
      <c r="AS62" s="32">
        <v>0</v>
      </c>
      <c r="AT62" s="32">
        <v>0</v>
      </c>
      <c r="AU62" s="32">
        <v>0</v>
      </c>
      <c r="AV62" s="32">
        <v>0</v>
      </c>
      <c r="AW62" s="32">
        <v>0</v>
      </c>
      <c r="AX62" s="32">
        <v>0</v>
      </c>
      <c r="AY62" s="32">
        <v>0</v>
      </c>
      <c r="AZ62" s="32">
        <v>0</v>
      </c>
      <c r="BA62" s="32">
        <v>0</v>
      </c>
      <c r="BB62" s="32">
        <v>0</v>
      </c>
      <c r="BC62">
        <f>COUNTIF(J62:AZ62, "&gt;0")</f>
        <v>0</v>
      </c>
      <c r="BD62" s="13" t="e">
        <f>[1]!shannonweaver(J62:AZ62)</f>
        <v>#VALUE!</v>
      </c>
      <c r="BE62">
        <f t="shared" si="0"/>
        <v>0</v>
      </c>
    </row>
    <row r="63" spans="1:57">
      <c r="A63" s="13" t="s">
        <v>290</v>
      </c>
      <c r="B63" t="s">
        <v>281</v>
      </c>
      <c r="C63">
        <v>5</v>
      </c>
      <c r="D63" s="13" t="s">
        <v>320</v>
      </c>
      <c r="E63" t="s">
        <v>91</v>
      </c>
      <c r="F63" s="13">
        <v>0</v>
      </c>
      <c r="G63" s="13">
        <v>0</v>
      </c>
      <c r="H63" s="13">
        <v>0</v>
      </c>
      <c r="I63" s="13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>
        <v>0</v>
      </c>
      <c r="P63" s="32">
        <v>0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</v>
      </c>
      <c r="X63" s="32">
        <v>0</v>
      </c>
      <c r="Y63" s="32">
        <v>0</v>
      </c>
      <c r="Z63" s="32">
        <v>0</v>
      </c>
      <c r="AA63" s="32">
        <v>0</v>
      </c>
      <c r="AB63" s="32">
        <v>0</v>
      </c>
      <c r="AC63" s="32">
        <v>0</v>
      </c>
      <c r="AD63" s="32">
        <v>0</v>
      </c>
      <c r="AE63" s="32">
        <v>0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</v>
      </c>
      <c r="AQ63" s="32">
        <v>0</v>
      </c>
      <c r="AR63" s="32">
        <v>0</v>
      </c>
      <c r="AS63" s="32">
        <v>0</v>
      </c>
      <c r="AT63" s="32">
        <v>0</v>
      </c>
      <c r="AU63" s="32">
        <v>0</v>
      </c>
      <c r="AV63" s="32">
        <v>0</v>
      </c>
      <c r="AW63" s="32">
        <v>0</v>
      </c>
      <c r="AX63" s="32">
        <v>0</v>
      </c>
      <c r="AY63" s="32">
        <v>0</v>
      </c>
      <c r="AZ63" s="32">
        <v>0</v>
      </c>
      <c r="BA63" s="32">
        <v>0</v>
      </c>
      <c r="BB63" s="32">
        <v>0</v>
      </c>
      <c r="BC63">
        <f>COUNTIF(J63:AZ63, "&gt;0")</f>
        <v>0</v>
      </c>
      <c r="BD63" s="13" t="e">
        <f>[1]!shannonweaver(J63:AZ63)</f>
        <v>#VALUE!</v>
      </c>
      <c r="BE63">
        <f t="shared" si="0"/>
        <v>0</v>
      </c>
    </row>
    <row r="64" spans="1:57">
      <c r="A64" s="13" t="s">
        <v>228</v>
      </c>
      <c r="B64" t="s">
        <v>281</v>
      </c>
      <c r="C64">
        <v>5</v>
      </c>
      <c r="D64" s="13" t="s">
        <v>320</v>
      </c>
      <c r="E64" t="s">
        <v>91</v>
      </c>
      <c r="F64" s="13">
        <v>0</v>
      </c>
      <c r="G64" s="13">
        <v>0</v>
      </c>
      <c r="H64" s="13">
        <v>0</v>
      </c>
      <c r="I64" s="13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32">
        <v>0</v>
      </c>
      <c r="AF64" s="32">
        <v>0</v>
      </c>
      <c r="AG64" s="32">
        <v>0</v>
      </c>
      <c r="AH64" s="32">
        <v>0</v>
      </c>
      <c r="AI64" s="32">
        <v>0</v>
      </c>
      <c r="AJ64" s="32">
        <v>0</v>
      </c>
      <c r="AK64" s="32">
        <v>0</v>
      </c>
      <c r="AL64" s="32">
        <v>0</v>
      </c>
      <c r="AM64" s="32">
        <v>0</v>
      </c>
      <c r="AN64" s="32">
        <v>0</v>
      </c>
      <c r="AO64" s="32">
        <v>0</v>
      </c>
      <c r="AP64" s="32">
        <v>0</v>
      </c>
      <c r="AQ64" s="32">
        <v>0</v>
      </c>
      <c r="AR64" s="32">
        <v>0</v>
      </c>
      <c r="AS64" s="32">
        <v>0</v>
      </c>
      <c r="AT64" s="32">
        <v>0</v>
      </c>
      <c r="AU64" s="32">
        <v>0</v>
      </c>
      <c r="AV64" s="32">
        <v>0</v>
      </c>
      <c r="AW64" s="32">
        <v>0</v>
      </c>
      <c r="AX64" s="32">
        <v>0</v>
      </c>
      <c r="AY64" s="32">
        <v>0</v>
      </c>
      <c r="AZ64" s="32">
        <v>0</v>
      </c>
      <c r="BA64" s="32">
        <v>0</v>
      </c>
      <c r="BB64" s="32">
        <v>0</v>
      </c>
      <c r="BC64">
        <f>COUNTIF(J64:AZ64, "&gt;0")</f>
        <v>0</v>
      </c>
      <c r="BD64" s="13" t="e">
        <f>[1]!shannonweaver(J64:AZ64)</f>
        <v>#VALUE!</v>
      </c>
      <c r="BE64">
        <f t="shared" si="0"/>
        <v>0</v>
      </c>
    </row>
    <row r="65" spans="1:57">
      <c r="A65" s="13" t="s">
        <v>229</v>
      </c>
      <c r="B65" t="s">
        <v>281</v>
      </c>
      <c r="C65">
        <v>5</v>
      </c>
      <c r="D65" s="13" t="s">
        <v>320</v>
      </c>
      <c r="E65" t="s">
        <v>91</v>
      </c>
      <c r="F65" s="13">
        <v>0</v>
      </c>
      <c r="G65" s="13">
        <v>0</v>
      </c>
      <c r="H65" s="13">
        <v>0</v>
      </c>
      <c r="I65" s="13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>
        <v>0</v>
      </c>
      <c r="P65" s="32">
        <v>0</v>
      </c>
      <c r="Q65" s="32">
        <v>0</v>
      </c>
      <c r="R65" s="13">
        <v>1</v>
      </c>
      <c r="S65" s="32">
        <v>0</v>
      </c>
      <c r="T65" s="32">
        <v>0</v>
      </c>
      <c r="U65" s="32">
        <v>0</v>
      </c>
      <c r="V65" s="32">
        <v>0</v>
      </c>
      <c r="W65" s="32">
        <v>0</v>
      </c>
      <c r="X65" s="32">
        <v>0</v>
      </c>
      <c r="Y65" s="13">
        <v>2</v>
      </c>
      <c r="Z65" s="32">
        <v>0</v>
      </c>
      <c r="AA65" s="32">
        <v>0</v>
      </c>
      <c r="AB65" s="32">
        <v>0</v>
      </c>
      <c r="AC65" s="32">
        <v>0</v>
      </c>
      <c r="AD65" s="32">
        <v>0</v>
      </c>
      <c r="AE65" s="32">
        <v>0</v>
      </c>
      <c r="AF65" s="32">
        <v>0</v>
      </c>
      <c r="AG65" s="32">
        <v>0</v>
      </c>
      <c r="AH65" s="32">
        <v>0</v>
      </c>
      <c r="AI65" s="32">
        <v>0</v>
      </c>
      <c r="AJ65" s="32">
        <v>0</v>
      </c>
      <c r="AK65" s="32">
        <v>0</v>
      </c>
      <c r="AL65" s="32">
        <v>0</v>
      </c>
      <c r="AM65" s="32">
        <v>0</v>
      </c>
      <c r="AN65" s="32">
        <v>0</v>
      </c>
      <c r="AO65" s="32">
        <v>0</v>
      </c>
      <c r="AP65" s="32">
        <v>0</v>
      </c>
      <c r="AQ65" s="32">
        <v>0</v>
      </c>
      <c r="AR65" s="32">
        <v>0</v>
      </c>
      <c r="AS65" s="32">
        <v>0</v>
      </c>
      <c r="AT65" s="32">
        <v>0</v>
      </c>
      <c r="AU65" s="32">
        <v>0</v>
      </c>
      <c r="AV65" s="32">
        <v>0</v>
      </c>
      <c r="AW65" s="32">
        <v>0</v>
      </c>
      <c r="AX65" s="32">
        <v>0</v>
      </c>
      <c r="AY65" s="32">
        <v>0</v>
      </c>
      <c r="AZ65" s="32">
        <v>0</v>
      </c>
      <c r="BA65" s="32">
        <v>0</v>
      </c>
      <c r="BB65" s="32">
        <v>0</v>
      </c>
      <c r="BC65">
        <f>COUNTIF(J65:AZ65, "&gt;0")</f>
        <v>2</v>
      </c>
      <c r="BD65" s="13">
        <f>[1]!shannonweaver(J65:AZ65)</f>
        <v>0.63651416829481278</v>
      </c>
      <c r="BE65">
        <f t="shared" si="0"/>
        <v>2</v>
      </c>
    </row>
    <row r="66" spans="1:57">
      <c r="A66" s="13" t="s">
        <v>230</v>
      </c>
      <c r="B66" t="s">
        <v>281</v>
      </c>
      <c r="C66">
        <v>5</v>
      </c>
      <c r="D66" s="13" t="s">
        <v>320</v>
      </c>
      <c r="E66" t="s">
        <v>91</v>
      </c>
      <c r="F66" s="13">
        <v>0</v>
      </c>
      <c r="G66" s="13">
        <v>0</v>
      </c>
      <c r="H66" s="13">
        <v>0</v>
      </c>
      <c r="I66" s="13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>
        <v>0</v>
      </c>
      <c r="P66" s="32">
        <v>0</v>
      </c>
      <c r="Q66" s="32">
        <v>0</v>
      </c>
      <c r="R66" s="32">
        <v>0</v>
      </c>
      <c r="S66" s="32">
        <v>0</v>
      </c>
      <c r="T66" s="32">
        <v>0</v>
      </c>
      <c r="U66" s="32">
        <v>0</v>
      </c>
      <c r="V66" s="32">
        <v>0</v>
      </c>
      <c r="W66" s="32">
        <v>0</v>
      </c>
      <c r="X66" s="32">
        <v>0</v>
      </c>
      <c r="Y66" s="32">
        <v>0</v>
      </c>
      <c r="Z66" s="32">
        <v>0</v>
      </c>
      <c r="AA66" s="13">
        <v>1</v>
      </c>
      <c r="AB66" s="32">
        <v>0</v>
      </c>
      <c r="AC66" s="32">
        <v>0</v>
      </c>
      <c r="AD66" s="32">
        <v>0</v>
      </c>
      <c r="AE66" s="32">
        <v>0</v>
      </c>
      <c r="AF66" s="32">
        <v>0</v>
      </c>
      <c r="AG66" s="32">
        <v>0</v>
      </c>
      <c r="AH66" s="32">
        <v>0</v>
      </c>
      <c r="AI66" s="32">
        <v>0</v>
      </c>
      <c r="AJ66" s="32">
        <v>0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</v>
      </c>
      <c r="AQ66" s="32">
        <v>0</v>
      </c>
      <c r="AR66" s="32">
        <v>0</v>
      </c>
      <c r="AS66" s="32">
        <v>0</v>
      </c>
      <c r="AT66" s="32">
        <v>0</v>
      </c>
      <c r="AU66" s="32">
        <v>0</v>
      </c>
      <c r="AV66" s="32">
        <v>0</v>
      </c>
      <c r="AW66" s="32">
        <v>0</v>
      </c>
      <c r="AX66" s="32">
        <v>0</v>
      </c>
      <c r="AY66" s="32">
        <v>0</v>
      </c>
      <c r="AZ66" s="32">
        <v>0</v>
      </c>
      <c r="BA66" s="32">
        <v>0</v>
      </c>
      <c r="BB66" s="32">
        <v>0</v>
      </c>
      <c r="BC66">
        <f>COUNTIF(J66:AZ66, "&gt;0")</f>
        <v>1</v>
      </c>
      <c r="BD66" s="13">
        <f>[1]!shannonweaver(J66:AZ66)</f>
        <v>0</v>
      </c>
      <c r="BE66">
        <f t="shared" si="0"/>
        <v>1</v>
      </c>
    </row>
    <row r="67" spans="1:57">
      <c r="A67" s="13" t="s">
        <v>231</v>
      </c>
      <c r="B67" t="s">
        <v>281</v>
      </c>
      <c r="C67">
        <v>5</v>
      </c>
      <c r="D67" s="13" t="s">
        <v>320</v>
      </c>
      <c r="E67" t="s">
        <v>91</v>
      </c>
      <c r="F67" s="13">
        <v>0</v>
      </c>
      <c r="G67" s="13">
        <v>0</v>
      </c>
      <c r="H67" s="13">
        <v>0</v>
      </c>
      <c r="I67" s="13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13">
        <v>1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32">
        <v>0</v>
      </c>
      <c r="AF67" s="32">
        <v>0</v>
      </c>
      <c r="AG67" s="32">
        <v>0</v>
      </c>
      <c r="AH67" s="32">
        <v>0</v>
      </c>
      <c r="AI67" s="32">
        <v>0</v>
      </c>
      <c r="AJ67" s="32">
        <v>0</v>
      </c>
      <c r="AK67" s="32">
        <v>0</v>
      </c>
      <c r="AL67" s="32">
        <v>0</v>
      </c>
      <c r="AM67" s="32">
        <v>0</v>
      </c>
      <c r="AN67" s="32">
        <v>0</v>
      </c>
      <c r="AO67" s="32">
        <v>0</v>
      </c>
      <c r="AP67" s="32">
        <v>0</v>
      </c>
      <c r="AQ67" s="32">
        <v>0</v>
      </c>
      <c r="AR67" s="32">
        <v>0</v>
      </c>
      <c r="AS67" s="32">
        <v>0</v>
      </c>
      <c r="AT67" s="32">
        <v>0</v>
      </c>
      <c r="AU67" s="32">
        <v>0</v>
      </c>
      <c r="AV67" s="32">
        <v>0</v>
      </c>
      <c r="AW67" s="32">
        <v>0</v>
      </c>
      <c r="AX67" s="32">
        <v>0</v>
      </c>
      <c r="AY67" s="32">
        <v>0</v>
      </c>
      <c r="AZ67" s="32">
        <v>0</v>
      </c>
      <c r="BA67" s="32">
        <v>0</v>
      </c>
      <c r="BB67" s="32">
        <v>0</v>
      </c>
      <c r="BC67">
        <f>COUNTIF(J67:AZ67, "&gt;0")</f>
        <v>1</v>
      </c>
      <c r="BD67" s="13">
        <f>[1]!shannonweaver(J67:AZ67)</f>
        <v>0</v>
      </c>
      <c r="BE67">
        <f t="shared" ref="BE67:BE130" si="1">COUNTIF(I67:AY67, "&gt;0")</f>
        <v>1</v>
      </c>
    </row>
    <row r="68" spans="1:57">
      <c r="A68" t="s">
        <v>232</v>
      </c>
      <c r="B68" t="s">
        <v>281</v>
      </c>
      <c r="C68">
        <v>7</v>
      </c>
      <c r="D68" s="13" t="s">
        <v>320</v>
      </c>
      <c r="E68" s="13" t="s">
        <v>91</v>
      </c>
      <c r="F68" s="13">
        <v>0</v>
      </c>
      <c r="G68" s="13">
        <v>0</v>
      </c>
      <c r="H68" s="13">
        <v>0</v>
      </c>
      <c r="I68" s="13">
        <v>0</v>
      </c>
      <c r="J68" s="32">
        <v>0</v>
      </c>
      <c r="K68" s="32">
        <v>0</v>
      </c>
      <c r="L68" s="32">
        <v>0</v>
      </c>
      <c r="M68" s="32">
        <v>0</v>
      </c>
      <c r="N68" s="32">
        <v>0</v>
      </c>
      <c r="O68" s="32">
        <v>0</v>
      </c>
      <c r="P68" s="32">
        <v>0</v>
      </c>
      <c r="Q68" s="13">
        <v>2</v>
      </c>
      <c r="R68" s="13">
        <v>1</v>
      </c>
      <c r="S68" s="13">
        <v>1</v>
      </c>
      <c r="T68" s="32">
        <v>0</v>
      </c>
      <c r="U68" s="32">
        <v>0</v>
      </c>
      <c r="V68" s="32">
        <v>0</v>
      </c>
      <c r="W68" s="32">
        <v>0</v>
      </c>
      <c r="X68" s="32">
        <v>0</v>
      </c>
      <c r="Y68" s="13">
        <v>2</v>
      </c>
      <c r="Z68" s="32">
        <v>0</v>
      </c>
      <c r="AA68" s="32">
        <v>0</v>
      </c>
      <c r="AB68" s="32">
        <v>0</v>
      </c>
      <c r="AC68" s="32">
        <v>0</v>
      </c>
      <c r="AD68" s="32">
        <v>0</v>
      </c>
      <c r="AE68" s="32">
        <v>0</v>
      </c>
      <c r="AF68" s="32">
        <v>0</v>
      </c>
      <c r="AG68" s="32">
        <v>0</v>
      </c>
      <c r="AH68" s="32">
        <v>0</v>
      </c>
      <c r="AI68" s="32">
        <v>0</v>
      </c>
      <c r="AJ68" s="32">
        <v>0</v>
      </c>
      <c r="AK68" s="32">
        <v>0</v>
      </c>
      <c r="AL68" s="32">
        <v>0</v>
      </c>
      <c r="AM68" s="32">
        <v>0</v>
      </c>
      <c r="AN68" s="32">
        <v>0</v>
      </c>
      <c r="AO68" s="32">
        <v>0</v>
      </c>
      <c r="AP68" s="32">
        <v>0</v>
      </c>
      <c r="AQ68" s="32">
        <v>0</v>
      </c>
      <c r="AR68" s="32">
        <v>0</v>
      </c>
      <c r="AS68" s="32">
        <v>0</v>
      </c>
      <c r="AT68" s="32">
        <v>0</v>
      </c>
      <c r="AU68" s="32">
        <v>0</v>
      </c>
      <c r="AV68" s="32">
        <v>0</v>
      </c>
      <c r="AW68" s="32">
        <v>0</v>
      </c>
      <c r="AX68" s="32">
        <v>0</v>
      </c>
      <c r="AY68" s="32">
        <v>0</v>
      </c>
      <c r="AZ68" s="32">
        <v>0</v>
      </c>
      <c r="BA68" s="32">
        <v>0</v>
      </c>
      <c r="BB68" s="32">
        <v>0</v>
      </c>
      <c r="BC68">
        <f>COUNTIF(J68:AZ68, "&gt;0")</f>
        <v>4</v>
      </c>
      <c r="BD68" s="13">
        <f>[1]!shannonweaver(J68:AZ68)</f>
        <v>1.3296613488547582</v>
      </c>
      <c r="BE68">
        <f t="shared" si="1"/>
        <v>4</v>
      </c>
    </row>
    <row r="69" spans="1:57">
      <c r="A69" t="s">
        <v>233</v>
      </c>
      <c r="B69" t="s">
        <v>281</v>
      </c>
      <c r="C69">
        <v>7</v>
      </c>
      <c r="D69" s="13" t="s">
        <v>320</v>
      </c>
      <c r="E69" s="13" t="s">
        <v>91</v>
      </c>
      <c r="F69" s="13">
        <v>0</v>
      </c>
      <c r="G69" s="13">
        <v>0</v>
      </c>
      <c r="H69" s="13">
        <v>0</v>
      </c>
      <c r="I69" s="13">
        <v>0</v>
      </c>
      <c r="J69" s="32">
        <v>0</v>
      </c>
      <c r="K69" s="32">
        <v>0</v>
      </c>
      <c r="L69" s="13">
        <v>1</v>
      </c>
      <c r="M69" s="32">
        <v>0</v>
      </c>
      <c r="N69" s="32">
        <v>0</v>
      </c>
      <c r="O69" s="32">
        <v>0</v>
      </c>
      <c r="P69" s="32">
        <v>0</v>
      </c>
      <c r="Q69" s="32">
        <v>0</v>
      </c>
      <c r="R69" s="32">
        <v>0</v>
      </c>
      <c r="S69" s="13">
        <v>2</v>
      </c>
      <c r="T69" s="32">
        <v>0</v>
      </c>
      <c r="U69" s="32">
        <v>0</v>
      </c>
      <c r="V69" s="32">
        <v>0</v>
      </c>
      <c r="W69" s="32">
        <v>0</v>
      </c>
      <c r="X69" s="32">
        <v>0</v>
      </c>
      <c r="Y69" s="32">
        <v>0</v>
      </c>
      <c r="Z69" s="32">
        <v>0</v>
      </c>
      <c r="AA69" s="32">
        <v>0</v>
      </c>
      <c r="AB69" s="32">
        <v>0</v>
      </c>
      <c r="AC69" s="32">
        <v>0</v>
      </c>
      <c r="AD69" s="32">
        <v>0</v>
      </c>
      <c r="AE69" s="32">
        <v>0</v>
      </c>
      <c r="AF69" s="32">
        <v>0</v>
      </c>
      <c r="AG69" s="32">
        <v>0</v>
      </c>
      <c r="AH69" s="32">
        <v>0</v>
      </c>
      <c r="AI69" s="32">
        <v>0</v>
      </c>
      <c r="AJ69" s="32">
        <v>0</v>
      </c>
      <c r="AK69" s="32">
        <v>0</v>
      </c>
      <c r="AL69" s="32">
        <v>0</v>
      </c>
      <c r="AM69" s="32">
        <v>0</v>
      </c>
      <c r="AN69" s="32">
        <v>0</v>
      </c>
      <c r="AO69" s="32">
        <v>0</v>
      </c>
      <c r="AP69" s="32">
        <v>0</v>
      </c>
      <c r="AQ69" s="32">
        <v>0</v>
      </c>
      <c r="AR69" s="32">
        <v>0</v>
      </c>
      <c r="AS69" s="32">
        <v>0</v>
      </c>
      <c r="AT69" s="32">
        <v>0</v>
      </c>
      <c r="AU69" s="32">
        <v>0</v>
      </c>
      <c r="AV69" s="32">
        <v>0</v>
      </c>
      <c r="AW69" s="32">
        <v>0</v>
      </c>
      <c r="AX69" s="32">
        <v>0</v>
      </c>
      <c r="AY69" s="32">
        <v>0</v>
      </c>
      <c r="AZ69" s="32">
        <v>0</v>
      </c>
      <c r="BA69" s="32">
        <v>0</v>
      </c>
      <c r="BB69" s="32">
        <v>0</v>
      </c>
      <c r="BC69">
        <f>COUNTIF(J69:AZ69, "&gt;0")</f>
        <v>2</v>
      </c>
      <c r="BD69" s="13">
        <f>[1]!shannonweaver(J69:AZ69)</f>
        <v>0.63651416829481278</v>
      </c>
      <c r="BE69">
        <f t="shared" si="1"/>
        <v>2</v>
      </c>
    </row>
    <row r="70" spans="1:57">
      <c r="A70" t="s">
        <v>234</v>
      </c>
      <c r="B70" t="s">
        <v>281</v>
      </c>
      <c r="C70">
        <v>7</v>
      </c>
      <c r="D70" s="13" t="s">
        <v>320</v>
      </c>
      <c r="E70" s="13" t="s">
        <v>91</v>
      </c>
      <c r="F70" s="13">
        <v>0</v>
      </c>
      <c r="G70" s="13">
        <v>0</v>
      </c>
      <c r="H70" s="13">
        <v>0</v>
      </c>
      <c r="I70" s="13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13">
        <v>1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13">
        <v>1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32">
        <v>0</v>
      </c>
      <c r="AF70" s="32">
        <v>0</v>
      </c>
      <c r="AG70" s="32">
        <v>0</v>
      </c>
      <c r="AH70" s="32">
        <v>0</v>
      </c>
      <c r="AI70" s="32">
        <v>0</v>
      </c>
      <c r="AJ70" s="32">
        <v>0</v>
      </c>
      <c r="AK70" s="32">
        <v>0</v>
      </c>
      <c r="AL70" s="32">
        <v>0</v>
      </c>
      <c r="AM70" s="32">
        <v>0</v>
      </c>
      <c r="AN70" s="32">
        <v>0</v>
      </c>
      <c r="AO70" s="32">
        <v>0</v>
      </c>
      <c r="AP70" s="32">
        <v>0</v>
      </c>
      <c r="AQ70" s="32">
        <v>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32">
        <v>0</v>
      </c>
      <c r="AX70" s="32">
        <v>0</v>
      </c>
      <c r="AY70" s="32">
        <v>0</v>
      </c>
      <c r="AZ70" s="32">
        <v>0</v>
      </c>
      <c r="BA70" s="32">
        <v>0</v>
      </c>
      <c r="BB70" s="32">
        <v>0</v>
      </c>
      <c r="BC70">
        <f>COUNTIF(J70:AZ70, "&gt;0")</f>
        <v>2</v>
      </c>
      <c r="BD70" s="13">
        <f>[1]!shannonweaver(J70:AZ70)</f>
        <v>0.69314718055994529</v>
      </c>
      <c r="BE70">
        <f t="shared" si="1"/>
        <v>2</v>
      </c>
    </row>
    <row r="71" spans="1:57">
      <c r="A71" s="23" t="s">
        <v>235</v>
      </c>
      <c r="B71" t="s">
        <v>281</v>
      </c>
      <c r="C71">
        <v>7</v>
      </c>
      <c r="D71" s="13" t="s">
        <v>320</v>
      </c>
      <c r="E71" s="13" t="s">
        <v>91</v>
      </c>
      <c r="F71" s="13">
        <v>0</v>
      </c>
      <c r="G71" s="13">
        <v>0</v>
      </c>
      <c r="H71" s="13">
        <v>0</v>
      </c>
      <c r="I71" s="13">
        <v>0</v>
      </c>
      <c r="J71" s="13">
        <v>1</v>
      </c>
      <c r="K71" s="32">
        <v>0</v>
      </c>
      <c r="L71" s="32">
        <v>0</v>
      </c>
      <c r="M71" s="32">
        <v>0</v>
      </c>
      <c r="N71" s="32">
        <v>0</v>
      </c>
      <c r="O71" s="32">
        <v>0</v>
      </c>
      <c r="P71" s="32">
        <v>0</v>
      </c>
      <c r="Q71" s="32">
        <v>0</v>
      </c>
      <c r="R71" s="32">
        <v>0</v>
      </c>
      <c r="S71" s="32">
        <v>0</v>
      </c>
      <c r="T71" s="32">
        <v>0</v>
      </c>
      <c r="U71" s="32">
        <v>0</v>
      </c>
      <c r="V71" s="32">
        <v>0</v>
      </c>
      <c r="W71" s="32">
        <v>0</v>
      </c>
      <c r="X71" s="32">
        <v>0</v>
      </c>
      <c r="Y71" s="32">
        <v>0</v>
      </c>
      <c r="Z71" s="32">
        <v>0</v>
      </c>
      <c r="AA71" s="32">
        <v>0</v>
      </c>
      <c r="AB71" s="32">
        <v>0</v>
      </c>
      <c r="AC71" s="32">
        <v>0</v>
      </c>
      <c r="AD71" s="32">
        <v>0</v>
      </c>
      <c r="AE71" s="32">
        <v>0</v>
      </c>
      <c r="AF71" s="32">
        <v>0</v>
      </c>
      <c r="AG71" s="32">
        <v>0</v>
      </c>
      <c r="AH71" s="32">
        <v>0</v>
      </c>
      <c r="AI71" s="32">
        <v>0</v>
      </c>
      <c r="AJ71" s="32">
        <v>0</v>
      </c>
      <c r="AK71" s="32">
        <v>0</v>
      </c>
      <c r="AL71" s="32">
        <v>0</v>
      </c>
      <c r="AM71" s="32">
        <v>0</v>
      </c>
      <c r="AN71" s="32">
        <v>0</v>
      </c>
      <c r="AO71" s="32">
        <v>0</v>
      </c>
      <c r="AP71" s="32">
        <v>0</v>
      </c>
      <c r="AQ71" s="32">
        <v>0</v>
      </c>
      <c r="AR71" s="32">
        <v>0</v>
      </c>
      <c r="AS71" s="32">
        <v>0</v>
      </c>
      <c r="AT71" s="32">
        <v>0</v>
      </c>
      <c r="AU71" s="32">
        <v>0</v>
      </c>
      <c r="AV71" s="32">
        <v>0</v>
      </c>
      <c r="AW71" s="32">
        <v>0</v>
      </c>
      <c r="AX71" s="32">
        <v>0</v>
      </c>
      <c r="AY71" s="32">
        <v>0</v>
      </c>
      <c r="AZ71" s="32">
        <v>0</v>
      </c>
      <c r="BA71" s="32">
        <v>0</v>
      </c>
      <c r="BB71" s="32">
        <v>0</v>
      </c>
      <c r="BC71">
        <f>COUNTIF(J71:AZ71, "&gt;0")</f>
        <v>1</v>
      </c>
      <c r="BD71" s="13">
        <f>[1]!shannonweaver(J71:AZ71)</f>
        <v>0</v>
      </c>
      <c r="BE71">
        <f t="shared" si="1"/>
        <v>1</v>
      </c>
    </row>
    <row r="72" spans="1:57">
      <c r="A72" t="s">
        <v>236</v>
      </c>
      <c r="B72" t="s">
        <v>281</v>
      </c>
      <c r="C72">
        <v>7</v>
      </c>
      <c r="D72" s="13" t="s">
        <v>320</v>
      </c>
      <c r="E72" s="13" t="s">
        <v>91</v>
      </c>
      <c r="F72" s="13">
        <v>0</v>
      </c>
      <c r="G72" s="13">
        <v>0</v>
      </c>
      <c r="H72" s="13">
        <v>0</v>
      </c>
      <c r="I72" s="13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>
        <v>0</v>
      </c>
      <c r="P72" s="32">
        <v>0</v>
      </c>
      <c r="Q72" s="32">
        <v>0</v>
      </c>
      <c r="R72" s="32">
        <v>0</v>
      </c>
      <c r="S72" s="32">
        <v>0</v>
      </c>
      <c r="T72" s="32">
        <v>0</v>
      </c>
      <c r="U72" s="32">
        <v>0</v>
      </c>
      <c r="V72" s="32">
        <v>0</v>
      </c>
      <c r="W72" s="32">
        <v>0</v>
      </c>
      <c r="X72" s="32">
        <v>0</v>
      </c>
      <c r="Y72" s="13">
        <v>1</v>
      </c>
      <c r="Z72" s="32">
        <v>0</v>
      </c>
      <c r="AA72" s="32">
        <v>0</v>
      </c>
      <c r="AB72" s="32">
        <v>0</v>
      </c>
      <c r="AC72" s="32">
        <v>0</v>
      </c>
      <c r="AD72" s="32">
        <v>0</v>
      </c>
      <c r="AE72" s="32">
        <v>0</v>
      </c>
      <c r="AF72" s="32">
        <v>0</v>
      </c>
      <c r="AG72" s="32">
        <v>0</v>
      </c>
      <c r="AH72" s="32">
        <v>0</v>
      </c>
      <c r="AI72" s="32">
        <v>0</v>
      </c>
      <c r="AJ72" s="32">
        <v>0</v>
      </c>
      <c r="AK72" s="32">
        <v>0</v>
      </c>
      <c r="AL72" s="32">
        <v>0</v>
      </c>
      <c r="AM72" s="32">
        <v>0</v>
      </c>
      <c r="AN72" s="32">
        <v>0</v>
      </c>
      <c r="AO72" s="32">
        <v>0</v>
      </c>
      <c r="AP72" s="32">
        <v>0</v>
      </c>
      <c r="AQ72" s="32">
        <v>0</v>
      </c>
      <c r="AR72" s="32">
        <v>0</v>
      </c>
      <c r="AS72" s="32">
        <v>0</v>
      </c>
      <c r="AT72" s="32">
        <v>0</v>
      </c>
      <c r="AU72" s="32">
        <v>0</v>
      </c>
      <c r="AV72" s="32">
        <v>0</v>
      </c>
      <c r="AW72" s="32">
        <v>0</v>
      </c>
      <c r="AX72" s="32">
        <v>0</v>
      </c>
      <c r="AY72" s="32">
        <v>0</v>
      </c>
      <c r="AZ72" s="32">
        <v>0</v>
      </c>
      <c r="BA72" s="32">
        <v>0</v>
      </c>
      <c r="BB72" s="32">
        <v>0</v>
      </c>
      <c r="BC72">
        <f>COUNTIF(J72:AZ72, "&gt;0")</f>
        <v>1</v>
      </c>
      <c r="BD72" s="13">
        <f>[1]!shannonweaver(J72:AZ72)</f>
        <v>0</v>
      </c>
      <c r="BE72">
        <f t="shared" si="1"/>
        <v>1</v>
      </c>
    </row>
    <row r="73" spans="1:57">
      <c r="A73" t="s">
        <v>205</v>
      </c>
      <c r="B73" t="s">
        <v>281</v>
      </c>
      <c r="C73">
        <v>7</v>
      </c>
      <c r="D73" s="13" t="s">
        <v>320</v>
      </c>
      <c r="E73" s="13" t="s">
        <v>91</v>
      </c>
      <c r="F73" s="13">
        <v>0</v>
      </c>
      <c r="G73" s="13">
        <v>0</v>
      </c>
      <c r="H73" s="13">
        <v>0</v>
      </c>
      <c r="I73" s="13">
        <v>0</v>
      </c>
      <c r="J73" s="13">
        <v>1</v>
      </c>
      <c r="K73" s="32">
        <v>0</v>
      </c>
      <c r="L73" s="32">
        <v>0</v>
      </c>
      <c r="M73" s="32">
        <v>0</v>
      </c>
      <c r="N73" s="32">
        <v>0</v>
      </c>
      <c r="O73" s="32">
        <v>0</v>
      </c>
      <c r="P73" s="32">
        <v>0</v>
      </c>
      <c r="Q73" s="32">
        <v>0</v>
      </c>
      <c r="R73" s="32">
        <v>0</v>
      </c>
      <c r="S73" s="32">
        <v>0</v>
      </c>
      <c r="T73" s="32">
        <v>0</v>
      </c>
      <c r="U73" s="13">
        <v>1</v>
      </c>
      <c r="V73" s="32">
        <v>0</v>
      </c>
      <c r="W73" s="32">
        <v>0</v>
      </c>
      <c r="X73" s="32">
        <v>0</v>
      </c>
      <c r="Y73" s="32">
        <v>0</v>
      </c>
      <c r="Z73" s="32">
        <v>0</v>
      </c>
      <c r="AA73" s="32">
        <v>0</v>
      </c>
      <c r="AB73" s="32">
        <v>0</v>
      </c>
      <c r="AC73" s="32">
        <v>0</v>
      </c>
      <c r="AD73" s="32">
        <v>0</v>
      </c>
      <c r="AE73" s="32">
        <v>0</v>
      </c>
      <c r="AF73" s="32">
        <v>0</v>
      </c>
      <c r="AG73" s="32">
        <v>0</v>
      </c>
      <c r="AH73" s="32">
        <v>0</v>
      </c>
      <c r="AI73" s="32">
        <v>0</v>
      </c>
      <c r="AJ73" s="32">
        <v>0</v>
      </c>
      <c r="AK73" s="32">
        <v>0</v>
      </c>
      <c r="AL73" s="32">
        <v>0</v>
      </c>
      <c r="AM73" s="32">
        <v>0</v>
      </c>
      <c r="AN73" s="32">
        <v>0</v>
      </c>
      <c r="AO73" s="32">
        <v>0</v>
      </c>
      <c r="AP73" s="32">
        <v>0</v>
      </c>
      <c r="AQ73" s="32">
        <v>0</v>
      </c>
      <c r="AR73" s="13">
        <v>2</v>
      </c>
      <c r="AS73" s="32">
        <v>0</v>
      </c>
      <c r="AT73" s="32">
        <v>0</v>
      </c>
      <c r="AU73" s="32">
        <v>0</v>
      </c>
      <c r="AV73" s="32">
        <v>0</v>
      </c>
      <c r="AW73" s="32">
        <v>0</v>
      </c>
      <c r="AX73" s="32">
        <v>0</v>
      </c>
      <c r="AY73" s="32">
        <v>0</v>
      </c>
      <c r="AZ73" s="32">
        <v>0</v>
      </c>
      <c r="BA73" s="32">
        <v>0</v>
      </c>
      <c r="BB73" s="32">
        <v>0</v>
      </c>
      <c r="BC73">
        <f>COUNTIF(J73:AZ73, "&gt;0")</f>
        <v>3</v>
      </c>
      <c r="BD73" s="13">
        <f>[1]!shannonweaver(J73:AZ73)</f>
        <v>1.0397207708399179</v>
      </c>
      <c r="BE73">
        <f t="shared" si="1"/>
        <v>3</v>
      </c>
    </row>
    <row r="74" spans="1:57">
      <c r="A74" t="s">
        <v>175</v>
      </c>
      <c r="B74" t="s">
        <v>176</v>
      </c>
      <c r="C74" t="s">
        <v>177</v>
      </c>
      <c r="D74" s="13" t="s">
        <v>319</v>
      </c>
      <c r="E74" s="13" t="s">
        <v>283</v>
      </c>
      <c r="F74" s="13">
        <v>0</v>
      </c>
      <c r="G74" s="13">
        <v>0</v>
      </c>
      <c r="H74" s="13">
        <v>0</v>
      </c>
      <c r="I74" s="13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>
        <v>0</v>
      </c>
      <c r="P74" s="32">
        <v>0</v>
      </c>
      <c r="Q74" s="32">
        <v>0</v>
      </c>
      <c r="R74" s="32">
        <v>0</v>
      </c>
      <c r="S74" s="32">
        <v>0</v>
      </c>
      <c r="T74" s="32">
        <v>0</v>
      </c>
      <c r="U74" s="13">
        <v>1</v>
      </c>
      <c r="V74" s="32">
        <v>0</v>
      </c>
      <c r="W74" s="32">
        <v>0</v>
      </c>
      <c r="X74" s="32">
        <v>0</v>
      </c>
      <c r="Y74" s="32">
        <v>0</v>
      </c>
      <c r="Z74" s="32">
        <v>0</v>
      </c>
      <c r="AA74" s="32">
        <v>0</v>
      </c>
      <c r="AB74" s="32">
        <v>0</v>
      </c>
      <c r="AC74" s="32">
        <v>0</v>
      </c>
      <c r="AD74" s="32">
        <v>0</v>
      </c>
      <c r="AE74" s="32">
        <v>0</v>
      </c>
      <c r="AF74" s="32">
        <v>0</v>
      </c>
      <c r="AG74" s="32">
        <v>0</v>
      </c>
      <c r="AH74" s="32">
        <v>0</v>
      </c>
      <c r="AI74" s="32">
        <v>0</v>
      </c>
      <c r="AJ74" s="32">
        <v>0</v>
      </c>
      <c r="AK74" s="32">
        <v>0</v>
      </c>
      <c r="AL74" s="32">
        <v>0</v>
      </c>
      <c r="AM74" s="32">
        <v>0</v>
      </c>
      <c r="AN74" s="32">
        <v>0</v>
      </c>
      <c r="AO74" s="32">
        <v>0</v>
      </c>
      <c r="AP74" s="32">
        <v>0</v>
      </c>
      <c r="AQ74" s="32">
        <v>0</v>
      </c>
      <c r="AR74" s="32">
        <v>0</v>
      </c>
      <c r="AS74" s="32">
        <v>0</v>
      </c>
      <c r="AT74" s="32">
        <v>0</v>
      </c>
      <c r="AU74" s="32">
        <v>0</v>
      </c>
      <c r="AV74" s="32">
        <v>0</v>
      </c>
      <c r="AW74" s="32">
        <v>0</v>
      </c>
      <c r="AX74" s="32">
        <v>0</v>
      </c>
      <c r="AY74" s="32">
        <v>0</v>
      </c>
      <c r="AZ74" s="32">
        <v>0</v>
      </c>
      <c r="BA74" s="32">
        <v>0</v>
      </c>
      <c r="BB74" s="32">
        <v>0</v>
      </c>
      <c r="BC74">
        <f>COUNTIF(J74:AZ74, "&gt;0")</f>
        <v>1</v>
      </c>
      <c r="BD74" s="13">
        <f>[1]!shannonweaver(J74:AZ74)</f>
        <v>0</v>
      </c>
      <c r="BE74">
        <f t="shared" si="1"/>
        <v>1</v>
      </c>
    </row>
    <row r="75" spans="1:57">
      <c r="A75" t="s">
        <v>178</v>
      </c>
      <c r="B75" t="s">
        <v>176</v>
      </c>
      <c r="C75" t="s">
        <v>177</v>
      </c>
      <c r="D75" s="13" t="s">
        <v>319</v>
      </c>
      <c r="E75" s="13" t="s">
        <v>283</v>
      </c>
      <c r="F75" s="13">
        <v>0</v>
      </c>
      <c r="G75" s="13">
        <v>0</v>
      </c>
      <c r="H75" s="13">
        <v>0</v>
      </c>
      <c r="I75" s="13">
        <v>0</v>
      </c>
      <c r="J75" s="32">
        <v>0</v>
      </c>
      <c r="K75" s="32">
        <v>0</v>
      </c>
      <c r="L75" s="13">
        <v>1</v>
      </c>
      <c r="M75" s="32">
        <v>0</v>
      </c>
      <c r="N75" s="32">
        <v>0</v>
      </c>
      <c r="O75" s="32">
        <v>0</v>
      </c>
      <c r="P75" s="32">
        <v>0</v>
      </c>
      <c r="Q75" s="32">
        <v>0</v>
      </c>
      <c r="R75" s="32">
        <v>0</v>
      </c>
      <c r="S75" s="32">
        <v>0</v>
      </c>
      <c r="T75" s="32">
        <v>0</v>
      </c>
      <c r="U75" s="32">
        <v>0</v>
      </c>
      <c r="V75" s="32">
        <v>0</v>
      </c>
      <c r="W75" s="32">
        <v>0</v>
      </c>
      <c r="X75" s="32">
        <v>0</v>
      </c>
      <c r="Y75" s="32">
        <v>0</v>
      </c>
      <c r="Z75" s="32">
        <v>0</v>
      </c>
      <c r="AA75" s="32">
        <v>0</v>
      </c>
      <c r="AB75" s="13">
        <v>2</v>
      </c>
      <c r="AC75" s="32">
        <v>0</v>
      </c>
      <c r="AD75" s="32">
        <v>0</v>
      </c>
      <c r="AE75" s="32">
        <v>0</v>
      </c>
      <c r="AF75" s="32">
        <v>0</v>
      </c>
      <c r="AG75" s="32">
        <v>0</v>
      </c>
      <c r="AH75" s="32">
        <v>0</v>
      </c>
      <c r="AI75" s="32">
        <v>0</v>
      </c>
      <c r="AJ75" s="13">
        <v>1</v>
      </c>
      <c r="AK75" s="32">
        <v>0</v>
      </c>
      <c r="AL75" s="32">
        <v>0</v>
      </c>
      <c r="AM75" s="32">
        <v>0</v>
      </c>
      <c r="AN75" s="32">
        <v>0</v>
      </c>
      <c r="AO75" s="32">
        <v>0</v>
      </c>
      <c r="AP75" s="32">
        <v>0</v>
      </c>
      <c r="AQ75" s="32">
        <v>0</v>
      </c>
      <c r="AR75" s="32">
        <v>0</v>
      </c>
      <c r="AS75" s="32">
        <v>0</v>
      </c>
      <c r="AT75" s="32">
        <v>0</v>
      </c>
      <c r="AU75" s="32">
        <v>0</v>
      </c>
      <c r="AV75" s="32">
        <v>0</v>
      </c>
      <c r="AW75" s="32">
        <v>0</v>
      </c>
      <c r="AX75" s="32">
        <v>0</v>
      </c>
      <c r="AY75" s="32">
        <v>0</v>
      </c>
      <c r="AZ75" s="32">
        <v>0</v>
      </c>
      <c r="BA75" s="32">
        <v>0</v>
      </c>
      <c r="BB75" s="32">
        <v>0</v>
      </c>
      <c r="BC75">
        <f>COUNTIF(J75:AZ75, "&gt;0")</f>
        <v>3</v>
      </c>
      <c r="BD75" s="13">
        <f>[1]!shannonweaver(J75:AZ75)</f>
        <v>1.0397207708399179</v>
      </c>
      <c r="BE75">
        <f t="shared" si="1"/>
        <v>3</v>
      </c>
    </row>
    <row r="76" spans="1:57">
      <c r="A76" s="13" t="s">
        <v>200</v>
      </c>
      <c r="B76" t="s">
        <v>176</v>
      </c>
      <c r="C76" t="s">
        <v>177</v>
      </c>
      <c r="D76" s="13" t="s">
        <v>319</v>
      </c>
      <c r="E76" s="13" t="s">
        <v>283</v>
      </c>
      <c r="F76" s="13">
        <v>0</v>
      </c>
      <c r="G76" s="13">
        <v>0</v>
      </c>
      <c r="H76" s="13">
        <v>0</v>
      </c>
      <c r="I76" s="13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>
        <v>0</v>
      </c>
      <c r="P76" s="32">
        <v>0</v>
      </c>
      <c r="Q76" s="32">
        <v>0</v>
      </c>
      <c r="R76" s="32">
        <v>0</v>
      </c>
      <c r="S76" s="32">
        <v>0</v>
      </c>
      <c r="T76" s="32">
        <v>0</v>
      </c>
      <c r="U76" s="32">
        <v>0</v>
      </c>
      <c r="V76" s="32">
        <v>0</v>
      </c>
      <c r="W76" s="32">
        <v>0</v>
      </c>
      <c r="X76" s="32">
        <v>0</v>
      </c>
      <c r="Y76" s="32">
        <v>0</v>
      </c>
      <c r="Z76" s="32">
        <v>0</v>
      </c>
      <c r="AA76" s="13">
        <v>1</v>
      </c>
      <c r="AB76" s="13">
        <v>1</v>
      </c>
      <c r="AC76" s="32">
        <v>0</v>
      </c>
      <c r="AD76" s="32">
        <v>0</v>
      </c>
      <c r="AE76" s="32">
        <v>0</v>
      </c>
      <c r="AF76" s="32">
        <v>0</v>
      </c>
      <c r="AG76" s="32">
        <v>0</v>
      </c>
      <c r="AH76" s="32">
        <v>0</v>
      </c>
      <c r="AI76" s="32">
        <v>0</v>
      </c>
      <c r="AJ76" s="32">
        <v>0</v>
      </c>
      <c r="AK76" s="32">
        <v>0</v>
      </c>
      <c r="AL76" s="32">
        <v>0</v>
      </c>
      <c r="AM76" s="32">
        <v>0</v>
      </c>
      <c r="AN76" s="32">
        <v>0</v>
      </c>
      <c r="AO76" s="32">
        <v>0</v>
      </c>
      <c r="AP76" s="32">
        <v>0</v>
      </c>
      <c r="AQ76" s="32">
        <v>0</v>
      </c>
      <c r="AR76" s="32">
        <v>0</v>
      </c>
      <c r="AS76" s="32">
        <v>0</v>
      </c>
      <c r="AT76" s="32">
        <v>0</v>
      </c>
      <c r="AU76" s="32">
        <v>0</v>
      </c>
      <c r="AV76" s="32">
        <v>0</v>
      </c>
      <c r="AW76" s="32">
        <v>0</v>
      </c>
      <c r="AX76" s="32">
        <v>0</v>
      </c>
      <c r="AY76" s="32">
        <v>0</v>
      </c>
      <c r="AZ76" s="32">
        <v>0</v>
      </c>
      <c r="BA76" s="32">
        <v>0</v>
      </c>
      <c r="BB76" s="32">
        <v>0</v>
      </c>
      <c r="BC76">
        <f>COUNTIF(J76:AZ76, "&gt;0")</f>
        <v>2</v>
      </c>
      <c r="BD76" s="13">
        <f>[1]!shannonweaver(J76:AZ76)</f>
        <v>0.69314718055994529</v>
      </c>
      <c r="BE76">
        <f t="shared" si="1"/>
        <v>2</v>
      </c>
    </row>
    <row r="77" spans="1:57">
      <c r="A77" s="13" t="s">
        <v>201</v>
      </c>
      <c r="B77" t="s">
        <v>176</v>
      </c>
      <c r="C77" t="s">
        <v>177</v>
      </c>
      <c r="D77" s="13" t="s">
        <v>319</v>
      </c>
      <c r="E77" s="13" t="s">
        <v>283</v>
      </c>
      <c r="F77" s="13">
        <v>0</v>
      </c>
      <c r="G77" s="13">
        <v>0</v>
      </c>
      <c r="H77" s="13">
        <v>0</v>
      </c>
      <c r="I77" s="13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>
        <v>0</v>
      </c>
      <c r="P77" s="32">
        <v>0</v>
      </c>
      <c r="Q77" s="32">
        <v>0</v>
      </c>
      <c r="R77" s="32">
        <v>0</v>
      </c>
      <c r="S77" s="32">
        <v>0</v>
      </c>
      <c r="T77" s="32">
        <v>0</v>
      </c>
      <c r="U77" s="32">
        <v>0</v>
      </c>
      <c r="V77" s="32">
        <v>0</v>
      </c>
      <c r="W77" s="32">
        <v>0</v>
      </c>
      <c r="X77" s="32">
        <v>0</v>
      </c>
      <c r="Y77" s="32">
        <v>0</v>
      </c>
      <c r="Z77" s="32">
        <v>0</v>
      </c>
      <c r="AA77" s="32">
        <v>0</v>
      </c>
      <c r="AB77" s="13">
        <v>1</v>
      </c>
      <c r="AC77" s="32">
        <v>0</v>
      </c>
      <c r="AD77" s="32">
        <v>0</v>
      </c>
      <c r="AE77" s="32">
        <v>0</v>
      </c>
      <c r="AF77" s="32">
        <v>0</v>
      </c>
      <c r="AG77" s="32">
        <v>0</v>
      </c>
      <c r="AH77" s="32">
        <v>0</v>
      </c>
      <c r="AI77" s="32">
        <v>0</v>
      </c>
      <c r="AJ77" s="32">
        <v>0</v>
      </c>
      <c r="AK77" s="32">
        <v>0</v>
      </c>
      <c r="AL77" s="32">
        <v>0</v>
      </c>
      <c r="AM77" s="32">
        <v>0</v>
      </c>
      <c r="AN77" s="32">
        <v>0</v>
      </c>
      <c r="AO77" s="32">
        <v>0</v>
      </c>
      <c r="AP77" s="32">
        <v>0</v>
      </c>
      <c r="AQ77" s="32">
        <v>0</v>
      </c>
      <c r="AR77" s="32">
        <v>0</v>
      </c>
      <c r="AS77" s="32">
        <v>0</v>
      </c>
      <c r="AT77" s="32">
        <v>0</v>
      </c>
      <c r="AU77" s="32">
        <v>0</v>
      </c>
      <c r="AV77" s="32">
        <v>0</v>
      </c>
      <c r="AW77" s="32">
        <v>0</v>
      </c>
      <c r="AX77" s="32">
        <v>0</v>
      </c>
      <c r="AY77" s="32">
        <v>0</v>
      </c>
      <c r="AZ77" s="32">
        <v>0</v>
      </c>
      <c r="BA77" s="32">
        <v>0</v>
      </c>
      <c r="BB77" s="32">
        <v>0</v>
      </c>
      <c r="BC77">
        <f>COUNTIF(J77:AZ77, "&gt;0")</f>
        <v>1</v>
      </c>
      <c r="BD77" s="13">
        <f>[1]!shannonweaver(J77:AZ77)</f>
        <v>0</v>
      </c>
      <c r="BE77">
        <f t="shared" si="1"/>
        <v>1</v>
      </c>
    </row>
    <row r="78" spans="1:57">
      <c r="A78" s="13" t="s">
        <v>202</v>
      </c>
      <c r="B78" t="s">
        <v>176</v>
      </c>
      <c r="C78" t="s">
        <v>177</v>
      </c>
      <c r="D78" s="13" t="s">
        <v>319</v>
      </c>
      <c r="E78" s="13" t="s">
        <v>283</v>
      </c>
      <c r="F78" s="13">
        <v>0</v>
      </c>
      <c r="G78" s="13">
        <v>0</v>
      </c>
      <c r="H78" s="13">
        <v>0</v>
      </c>
      <c r="I78" s="13">
        <v>0</v>
      </c>
      <c r="J78" s="32">
        <v>0</v>
      </c>
      <c r="K78" s="32">
        <v>0</v>
      </c>
      <c r="L78" s="13">
        <v>1</v>
      </c>
      <c r="M78" s="13">
        <v>2</v>
      </c>
      <c r="N78" s="32">
        <v>0</v>
      </c>
      <c r="O78" s="32">
        <v>0</v>
      </c>
      <c r="P78" s="32">
        <v>0</v>
      </c>
      <c r="Q78" s="32">
        <v>0</v>
      </c>
      <c r="R78" s="32">
        <v>0</v>
      </c>
      <c r="S78" s="32">
        <v>0</v>
      </c>
      <c r="T78" s="32">
        <v>0</v>
      </c>
      <c r="U78" s="32">
        <v>0</v>
      </c>
      <c r="V78" s="32">
        <v>0</v>
      </c>
      <c r="W78" s="32">
        <v>0</v>
      </c>
      <c r="X78" s="32">
        <v>0</v>
      </c>
      <c r="Y78" s="32">
        <v>0</v>
      </c>
      <c r="Z78" s="32">
        <v>0</v>
      </c>
      <c r="AA78" s="32">
        <v>0</v>
      </c>
      <c r="AB78" s="32">
        <v>0</v>
      </c>
      <c r="AC78" s="32">
        <v>0</v>
      </c>
      <c r="AD78" s="32">
        <v>0</v>
      </c>
      <c r="AE78" s="32">
        <v>0</v>
      </c>
      <c r="AF78" s="32">
        <v>0</v>
      </c>
      <c r="AG78" s="32">
        <v>0</v>
      </c>
      <c r="AH78" s="32">
        <v>0</v>
      </c>
      <c r="AI78" s="32">
        <v>0</v>
      </c>
      <c r="AJ78" s="32">
        <v>0</v>
      </c>
      <c r="AK78" s="32">
        <v>0</v>
      </c>
      <c r="AL78" s="32">
        <v>0</v>
      </c>
      <c r="AM78" s="32">
        <v>0</v>
      </c>
      <c r="AN78" s="32">
        <v>0</v>
      </c>
      <c r="AO78" s="32">
        <v>0</v>
      </c>
      <c r="AP78" s="32">
        <v>0</v>
      </c>
      <c r="AQ78" s="32">
        <v>0</v>
      </c>
      <c r="AR78" s="32">
        <v>0</v>
      </c>
      <c r="AS78" s="32">
        <v>0</v>
      </c>
      <c r="AT78" s="32">
        <v>0</v>
      </c>
      <c r="AU78" s="32">
        <v>0</v>
      </c>
      <c r="AV78" s="13">
        <v>1</v>
      </c>
      <c r="AW78" s="32">
        <v>0</v>
      </c>
      <c r="AX78" s="32">
        <v>0</v>
      </c>
      <c r="AY78" s="32">
        <v>0</v>
      </c>
      <c r="AZ78" s="32">
        <v>0</v>
      </c>
      <c r="BA78" s="32">
        <v>0</v>
      </c>
      <c r="BB78" s="32">
        <v>0</v>
      </c>
      <c r="BC78">
        <f>COUNTIF(J78:AZ78, "&gt;0")</f>
        <v>3</v>
      </c>
      <c r="BD78" s="13">
        <f>[1]!shannonweaver(J78:AZ78)</f>
        <v>1.0397207708399179</v>
      </c>
      <c r="BE78">
        <f t="shared" si="1"/>
        <v>3</v>
      </c>
    </row>
    <row r="79" spans="1:57">
      <c r="A79" s="13" t="s">
        <v>203</v>
      </c>
      <c r="B79" t="s">
        <v>176</v>
      </c>
      <c r="C79" t="s">
        <v>177</v>
      </c>
      <c r="D79" s="13" t="s">
        <v>319</v>
      </c>
      <c r="E79" s="13" t="s">
        <v>283</v>
      </c>
      <c r="F79" s="13">
        <v>0</v>
      </c>
      <c r="G79" s="13">
        <v>0</v>
      </c>
      <c r="H79" s="13">
        <v>0</v>
      </c>
      <c r="I79" s="13">
        <v>0</v>
      </c>
      <c r="J79" s="32">
        <v>0</v>
      </c>
      <c r="K79" s="32">
        <v>0</v>
      </c>
      <c r="L79" s="32">
        <v>0</v>
      </c>
      <c r="M79" s="32">
        <v>0</v>
      </c>
      <c r="N79" s="32">
        <v>0</v>
      </c>
      <c r="O79" s="32">
        <v>0</v>
      </c>
      <c r="P79" s="32">
        <v>0</v>
      </c>
      <c r="Q79" s="32">
        <v>0</v>
      </c>
      <c r="R79" s="32">
        <v>0</v>
      </c>
      <c r="S79" s="32">
        <v>0</v>
      </c>
      <c r="T79" s="32">
        <v>0</v>
      </c>
      <c r="U79" s="32">
        <v>0</v>
      </c>
      <c r="V79" s="32">
        <v>0</v>
      </c>
      <c r="W79" s="32">
        <v>0</v>
      </c>
      <c r="X79" s="32">
        <v>0</v>
      </c>
      <c r="Y79" s="13">
        <v>1</v>
      </c>
      <c r="Z79" s="32">
        <v>0</v>
      </c>
      <c r="AA79" s="32">
        <v>0</v>
      </c>
      <c r="AB79" s="13">
        <v>1</v>
      </c>
      <c r="AC79" s="32">
        <v>0</v>
      </c>
      <c r="AD79" s="32">
        <v>0</v>
      </c>
      <c r="AE79" s="32">
        <v>0</v>
      </c>
      <c r="AF79" s="32">
        <v>0</v>
      </c>
      <c r="AG79" s="32">
        <v>0</v>
      </c>
      <c r="AH79" s="32">
        <v>0</v>
      </c>
      <c r="AI79" s="32">
        <v>0</v>
      </c>
      <c r="AJ79" s="32">
        <v>0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</v>
      </c>
      <c r="AQ79" s="32">
        <v>0</v>
      </c>
      <c r="AR79" s="32">
        <v>0</v>
      </c>
      <c r="AS79" s="32">
        <v>0</v>
      </c>
      <c r="AT79" s="32">
        <v>0</v>
      </c>
      <c r="AU79" s="32">
        <v>0</v>
      </c>
      <c r="AV79" s="32">
        <v>0</v>
      </c>
      <c r="AW79" s="32">
        <v>0</v>
      </c>
      <c r="AX79" s="32">
        <v>0</v>
      </c>
      <c r="AY79" s="32">
        <v>0</v>
      </c>
      <c r="AZ79" s="32">
        <v>0</v>
      </c>
      <c r="BA79" s="32">
        <v>0</v>
      </c>
      <c r="BB79" s="32">
        <v>0</v>
      </c>
      <c r="BC79">
        <f>COUNTIF(J79:AZ79, "&gt;0")</f>
        <v>2</v>
      </c>
      <c r="BD79" s="13">
        <f>[1]!shannonweaver(J79:AZ79)</f>
        <v>0.69314718055994529</v>
      </c>
      <c r="BE79">
        <f t="shared" si="1"/>
        <v>2</v>
      </c>
    </row>
    <row r="80" spans="1:57">
      <c r="A80" s="13" t="s">
        <v>100</v>
      </c>
      <c r="B80" t="s">
        <v>176</v>
      </c>
      <c r="C80" t="s">
        <v>204</v>
      </c>
      <c r="D80" s="13" t="s">
        <v>319</v>
      </c>
      <c r="E80" s="13" t="s">
        <v>283</v>
      </c>
      <c r="F80" s="13">
        <v>0</v>
      </c>
      <c r="G80" s="13">
        <v>0</v>
      </c>
      <c r="H80" s="13">
        <v>0</v>
      </c>
      <c r="I80" s="13">
        <v>0</v>
      </c>
      <c r="J80" s="32">
        <v>0</v>
      </c>
      <c r="K80" s="32">
        <v>0</v>
      </c>
      <c r="L80" s="13">
        <v>3</v>
      </c>
      <c r="M80" s="13">
        <v>1</v>
      </c>
      <c r="N80" s="32">
        <v>0</v>
      </c>
      <c r="O80" s="32">
        <v>0</v>
      </c>
      <c r="P80" s="32">
        <v>0</v>
      </c>
      <c r="Q80" s="32">
        <v>0</v>
      </c>
      <c r="R80" s="32">
        <v>0</v>
      </c>
      <c r="S80" s="13">
        <v>1</v>
      </c>
      <c r="T80" s="32">
        <v>0</v>
      </c>
      <c r="U80" s="32">
        <v>0</v>
      </c>
      <c r="V80" s="32">
        <v>0</v>
      </c>
      <c r="W80" s="32">
        <v>0</v>
      </c>
      <c r="X80" s="32">
        <v>0</v>
      </c>
      <c r="Y80" s="13">
        <v>3</v>
      </c>
      <c r="Z80" s="32">
        <v>0</v>
      </c>
      <c r="AA80" s="13">
        <v>2</v>
      </c>
      <c r="AB80" s="13">
        <v>4</v>
      </c>
      <c r="AC80" s="32">
        <v>0</v>
      </c>
      <c r="AD80" s="13">
        <v>1</v>
      </c>
      <c r="AE80" s="32">
        <v>0</v>
      </c>
      <c r="AF80" s="32">
        <v>0</v>
      </c>
      <c r="AG80" s="32">
        <v>0</v>
      </c>
      <c r="AH80" s="32">
        <v>0</v>
      </c>
      <c r="AI80" s="32">
        <v>0</v>
      </c>
      <c r="AJ80" s="32">
        <v>0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</v>
      </c>
      <c r="AQ80" s="32">
        <v>0</v>
      </c>
      <c r="AR80" s="32">
        <v>0</v>
      </c>
      <c r="AS80" s="13">
        <v>1</v>
      </c>
      <c r="AT80" s="32">
        <v>0</v>
      </c>
      <c r="AU80" s="32">
        <v>0</v>
      </c>
      <c r="AV80" s="32">
        <v>0</v>
      </c>
      <c r="AW80" s="32">
        <v>0</v>
      </c>
      <c r="AX80" s="32">
        <v>0</v>
      </c>
      <c r="AY80" s="32">
        <v>0</v>
      </c>
      <c r="AZ80" s="32">
        <v>0</v>
      </c>
      <c r="BA80" s="32">
        <v>0</v>
      </c>
      <c r="BB80" s="32">
        <v>0</v>
      </c>
      <c r="BC80">
        <f>COUNTIF(J80:AZ80, "&gt;0")</f>
        <v>8</v>
      </c>
      <c r="BD80" s="13">
        <f>[1]!shannonweaver(J80:AZ80)</f>
        <v>1.9273921261392744</v>
      </c>
      <c r="BE80">
        <f t="shared" si="1"/>
        <v>8</v>
      </c>
    </row>
    <row r="81" spans="1:57">
      <c r="A81" s="13" t="s">
        <v>99</v>
      </c>
      <c r="B81" t="s">
        <v>176</v>
      </c>
      <c r="C81" t="s">
        <v>204</v>
      </c>
      <c r="D81" s="13" t="s">
        <v>319</v>
      </c>
      <c r="E81" s="13" t="s">
        <v>283</v>
      </c>
      <c r="F81" s="13">
        <v>0</v>
      </c>
      <c r="G81" s="13">
        <v>0</v>
      </c>
      <c r="H81" s="13">
        <v>0</v>
      </c>
      <c r="I81" s="13">
        <v>0</v>
      </c>
      <c r="J81" s="32">
        <v>0</v>
      </c>
      <c r="K81" s="32">
        <v>0</v>
      </c>
      <c r="L81" s="13">
        <v>2</v>
      </c>
      <c r="M81" s="13">
        <v>0</v>
      </c>
      <c r="N81" s="32">
        <v>0</v>
      </c>
      <c r="O81" s="32">
        <v>0</v>
      </c>
      <c r="P81" s="32">
        <v>0</v>
      </c>
      <c r="Q81" s="32">
        <v>0</v>
      </c>
      <c r="R81" s="32">
        <v>0</v>
      </c>
      <c r="S81" s="13">
        <v>1</v>
      </c>
      <c r="T81" s="32">
        <v>0</v>
      </c>
      <c r="U81" s="32">
        <v>0</v>
      </c>
      <c r="V81" s="32">
        <v>0</v>
      </c>
      <c r="W81" s="32">
        <v>0</v>
      </c>
      <c r="X81" s="32">
        <v>0</v>
      </c>
      <c r="Y81" s="13">
        <v>4</v>
      </c>
      <c r="Z81" s="32">
        <v>0</v>
      </c>
      <c r="AA81" s="32">
        <v>0</v>
      </c>
      <c r="AB81" s="32">
        <v>0</v>
      </c>
      <c r="AC81" s="32">
        <v>0</v>
      </c>
      <c r="AD81" s="32">
        <v>0</v>
      </c>
      <c r="AE81" s="32">
        <v>0</v>
      </c>
      <c r="AF81" s="32">
        <v>0</v>
      </c>
      <c r="AG81" s="32">
        <v>0</v>
      </c>
      <c r="AH81" s="32">
        <v>0</v>
      </c>
      <c r="AI81" s="32">
        <v>0</v>
      </c>
      <c r="AJ81" s="32">
        <v>0</v>
      </c>
      <c r="AK81" s="32">
        <v>0</v>
      </c>
      <c r="AL81" s="32">
        <v>0</v>
      </c>
      <c r="AM81" s="32">
        <v>0</v>
      </c>
      <c r="AN81" s="32">
        <v>0</v>
      </c>
      <c r="AO81" s="32">
        <v>0</v>
      </c>
      <c r="AP81" s="32">
        <v>0</v>
      </c>
      <c r="AQ81" s="32">
        <v>0</v>
      </c>
      <c r="AR81" s="32">
        <v>0</v>
      </c>
      <c r="AS81" s="32">
        <v>0</v>
      </c>
      <c r="AT81" s="32">
        <v>0</v>
      </c>
      <c r="AU81" s="32">
        <v>0</v>
      </c>
      <c r="AV81" s="32">
        <v>0</v>
      </c>
      <c r="AW81" s="32">
        <v>0</v>
      </c>
      <c r="AX81" s="32">
        <v>0</v>
      </c>
      <c r="AY81" s="32">
        <v>0</v>
      </c>
      <c r="AZ81" s="32">
        <v>0</v>
      </c>
      <c r="BA81" s="32">
        <v>0</v>
      </c>
      <c r="BB81" s="32">
        <v>0</v>
      </c>
      <c r="BC81">
        <f>COUNTIF(J81:AZ81, "&gt;0")</f>
        <v>3</v>
      </c>
      <c r="BD81" s="13">
        <f>[1]!shannonweaver(J81:AZ81)</f>
        <v>0.95569989111253428</v>
      </c>
      <c r="BE81">
        <f t="shared" si="1"/>
        <v>3</v>
      </c>
    </row>
    <row r="82" spans="1:57">
      <c r="A82" s="13" t="s">
        <v>102</v>
      </c>
      <c r="B82" t="s">
        <v>176</v>
      </c>
      <c r="C82" t="s">
        <v>204</v>
      </c>
      <c r="D82" s="13" t="s">
        <v>319</v>
      </c>
      <c r="E82" s="13" t="s">
        <v>283</v>
      </c>
      <c r="F82" s="13">
        <v>0</v>
      </c>
      <c r="G82" s="13">
        <v>0</v>
      </c>
      <c r="H82" s="13">
        <v>0</v>
      </c>
      <c r="I82" s="13">
        <v>0</v>
      </c>
      <c r="J82" s="32">
        <v>0</v>
      </c>
      <c r="K82" s="32">
        <v>0</v>
      </c>
      <c r="L82" s="13">
        <v>1</v>
      </c>
      <c r="M82" s="13">
        <v>1</v>
      </c>
      <c r="N82" s="32">
        <v>0</v>
      </c>
      <c r="O82" s="13">
        <v>1</v>
      </c>
      <c r="P82" s="32">
        <v>0</v>
      </c>
      <c r="Q82" s="13">
        <v>1</v>
      </c>
      <c r="R82" s="32">
        <v>0</v>
      </c>
      <c r="S82" s="32">
        <v>0</v>
      </c>
      <c r="T82" s="32">
        <v>0</v>
      </c>
      <c r="U82" s="32">
        <v>0</v>
      </c>
      <c r="V82" s="32">
        <v>0</v>
      </c>
      <c r="W82" s="32">
        <v>0</v>
      </c>
      <c r="X82" s="32">
        <v>0</v>
      </c>
      <c r="Y82" s="13">
        <v>1</v>
      </c>
      <c r="Z82" s="32">
        <v>0</v>
      </c>
      <c r="AA82" s="32">
        <v>0</v>
      </c>
      <c r="AB82" s="13">
        <v>1</v>
      </c>
      <c r="AC82" s="32">
        <v>0</v>
      </c>
      <c r="AD82" s="32">
        <v>0</v>
      </c>
      <c r="AE82" s="32">
        <v>0</v>
      </c>
      <c r="AF82" s="32">
        <v>0</v>
      </c>
      <c r="AG82" s="32">
        <v>0</v>
      </c>
      <c r="AH82" s="32">
        <v>0</v>
      </c>
      <c r="AI82" s="32">
        <v>0</v>
      </c>
      <c r="AJ82" s="32">
        <v>0</v>
      </c>
      <c r="AK82" s="32">
        <v>0</v>
      </c>
      <c r="AL82" s="32">
        <v>0</v>
      </c>
      <c r="AM82" s="32">
        <v>0</v>
      </c>
      <c r="AN82" s="32">
        <v>0</v>
      </c>
      <c r="AO82" s="32">
        <v>0</v>
      </c>
      <c r="AP82" s="32">
        <v>0</v>
      </c>
      <c r="AQ82" s="32">
        <v>0</v>
      </c>
      <c r="AR82" s="32">
        <v>0</v>
      </c>
      <c r="AS82" s="32">
        <v>0</v>
      </c>
      <c r="AT82" s="32">
        <v>0</v>
      </c>
      <c r="AU82" s="32">
        <v>0</v>
      </c>
      <c r="AV82" s="32">
        <v>0</v>
      </c>
      <c r="AW82" s="32">
        <v>0</v>
      </c>
      <c r="AX82" s="32">
        <v>0</v>
      </c>
      <c r="AY82" s="32">
        <v>0</v>
      </c>
      <c r="AZ82" s="32">
        <v>0</v>
      </c>
      <c r="BA82" s="32">
        <v>0</v>
      </c>
      <c r="BB82" s="32">
        <v>0</v>
      </c>
      <c r="BC82">
        <f>COUNTIF(J82:AZ82, "&gt;0")</f>
        <v>6</v>
      </c>
      <c r="BD82" s="13">
        <f>[1]!shannonweaver(J82:AZ82)</f>
        <v>1.7917594692280547</v>
      </c>
      <c r="BE82">
        <f t="shared" si="1"/>
        <v>6</v>
      </c>
    </row>
    <row r="83" spans="1:57">
      <c r="A83" s="13" t="s">
        <v>118</v>
      </c>
      <c r="B83" t="s">
        <v>176</v>
      </c>
      <c r="C83" t="s">
        <v>204</v>
      </c>
      <c r="D83" s="13" t="s">
        <v>319</v>
      </c>
      <c r="E83" s="13" t="s">
        <v>283</v>
      </c>
      <c r="F83" s="13">
        <v>0</v>
      </c>
      <c r="G83" s="13">
        <v>0</v>
      </c>
      <c r="H83" s="13">
        <v>0</v>
      </c>
      <c r="I83" s="13">
        <v>0</v>
      </c>
      <c r="J83" s="32">
        <v>0</v>
      </c>
      <c r="K83" s="32">
        <v>0</v>
      </c>
      <c r="L83" s="13">
        <v>1</v>
      </c>
      <c r="M83" s="13">
        <v>0</v>
      </c>
      <c r="N83" s="32">
        <v>0</v>
      </c>
      <c r="O83" s="32">
        <v>0</v>
      </c>
      <c r="P83" s="32">
        <v>0</v>
      </c>
      <c r="Q83" s="32">
        <v>0</v>
      </c>
      <c r="R83" s="32">
        <v>0</v>
      </c>
      <c r="S83" s="32">
        <v>0</v>
      </c>
      <c r="T83" s="32">
        <v>0</v>
      </c>
      <c r="U83" s="32">
        <v>0</v>
      </c>
      <c r="V83" s="32">
        <v>0</v>
      </c>
      <c r="W83" s="32">
        <v>0</v>
      </c>
      <c r="X83" s="32">
        <v>0</v>
      </c>
      <c r="Y83" s="32">
        <v>0</v>
      </c>
      <c r="Z83" s="32">
        <v>0</v>
      </c>
      <c r="AA83" s="13">
        <v>9</v>
      </c>
      <c r="AB83" s="13">
        <v>3</v>
      </c>
      <c r="AC83" s="32">
        <v>0</v>
      </c>
      <c r="AD83" s="32">
        <v>0</v>
      </c>
      <c r="AE83" s="32">
        <v>0</v>
      </c>
      <c r="AF83" s="32">
        <v>0</v>
      </c>
      <c r="AG83" s="32">
        <v>0</v>
      </c>
      <c r="AH83" s="32">
        <v>0</v>
      </c>
      <c r="AI83" s="32">
        <v>0</v>
      </c>
      <c r="AJ83" s="32">
        <v>0</v>
      </c>
      <c r="AK83" s="32">
        <v>0</v>
      </c>
      <c r="AL83" s="32">
        <v>0</v>
      </c>
      <c r="AM83" s="32">
        <v>0</v>
      </c>
      <c r="AN83" s="32">
        <v>0</v>
      </c>
      <c r="AO83" s="32">
        <v>0</v>
      </c>
      <c r="AP83" s="32">
        <v>0</v>
      </c>
      <c r="AQ83" s="32">
        <v>0</v>
      </c>
      <c r="AR83" s="32">
        <v>0</v>
      </c>
      <c r="AS83" s="32">
        <v>0</v>
      </c>
      <c r="AT83" s="32">
        <v>0</v>
      </c>
      <c r="AU83" s="32">
        <v>0</v>
      </c>
      <c r="AV83" s="32">
        <v>0</v>
      </c>
      <c r="AW83" s="32">
        <v>0</v>
      </c>
      <c r="AX83" s="32">
        <v>0</v>
      </c>
      <c r="AY83" s="32">
        <v>0</v>
      </c>
      <c r="AZ83" s="32">
        <v>0</v>
      </c>
      <c r="BA83" s="32">
        <v>0</v>
      </c>
      <c r="BB83" s="32">
        <v>0</v>
      </c>
      <c r="BC83">
        <f>COUNTIF(J83:AZ83, "&gt;0")</f>
        <v>3</v>
      </c>
      <c r="BD83" s="13">
        <f>[1]!shannonweaver(J83:AZ83)</f>
        <v>0.79026796807459032</v>
      </c>
      <c r="BE83">
        <f t="shared" si="1"/>
        <v>3</v>
      </c>
    </row>
    <row r="84" spans="1:57">
      <c r="A84" s="13" t="s">
        <v>119</v>
      </c>
      <c r="B84" t="s">
        <v>176</v>
      </c>
      <c r="C84" t="s">
        <v>204</v>
      </c>
      <c r="D84" s="13" t="s">
        <v>319</v>
      </c>
      <c r="E84" s="13" t="s">
        <v>283</v>
      </c>
      <c r="F84" s="13">
        <v>0</v>
      </c>
      <c r="G84" s="13">
        <v>0</v>
      </c>
      <c r="H84" s="13">
        <v>0</v>
      </c>
      <c r="I84" s="13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>
        <v>0</v>
      </c>
      <c r="P84" s="32">
        <v>0</v>
      </c>
      <c r="Q84" s="32">
        <v>0</v>
      </c>
      <c r="R84" s="32">
        <v>0</v>
      </c>
      <c r="S84" s="13">
        <v>1</v>
      </c>
      <c r="T84" s="32">
        <v>0</v>
      </c>
      <c r="U84" s="32">
        <v>0</v>
      </c>
      <c r="V84" s="32">
        <v>0</v>
      </c>
      <c r="W84" s="32">
        <v>0</v>
      </c>
      <c r="X84" s="32">
        <v>0</v>
      </c>
      <c r="Y84" s="32">
        <v>0</v>
      </c>
      <c r="Z84" s="32">
        <v>0</v>
      </c>
      <c r="AA84" s="13">
        <v>1</v>
      </c>
      <c r="AB84" s="13">
        <v>1</v>
      </c>
      <c r="AC84" s="32">
        <v>0</v>
      </c>
      <c r="AD84" s="32">
        <v>0</v>
      </c>
      <c r="AE84" s="32">
        <v>0</v>
      </c>
      <c r="AF84" s="32">
        <v>0</v>
      </c>
      <c r="AG84" s="32">
        <v>0</v>
      </c>
      <c r="AH84" s="32">
        <v>0</v>
      </c>
      <c r="AI84" s="32">
        <v>0</v>
      </c>
      <c r="AJ84" s="32">
        <v>0</v>
      </c>
      <c r="AK84" s="32">
        <v>0</v>
      </c>
      <c r="AL84" s="32">
        <v>0</v>
      </c>
      <c r="AM84" s="32">
        <v>0</v>
      </c>
      <c r="AN84" s="32">
        <v>0</v>
      </c>
      <c r="AO84" s="32">
        <v>0</v>
      </c>
      <c r="AP84" s="32">
        <v>0</v>
      </c>
      <c r="AQ84" s="32">
        <v>0</v>
      </c>
      <c r="AR84" s="32">
        <v>0</v>
      </c>
      <c r="AS84" s="32">
        <v>0</v>
      </c>
      <c r="AT84" s="32">
        <v>0</v>
      </c>
      <c r="AU84" s="32">
        <v>0</v>
      </c>
      <c r="AV84" s="32">
        <v>0</v>
      </c>
      <c r="AW84" s="32">
        <v>0</v>
      </c>
      <c r="AX84" s="32">
        <v>0</v>
      </c>
      <c r="AY84" s="32">
        <v>0</v>
      </c>
      <c r="AZ84" s="32">
        <v>0</v>
      </c>
      <c r="BA84" s="32">
        <v>0</v>
      </c>
      <c r="BB84" s="32">
        <v>0</v>
      </c>
      <c r="BC84">
        <f>COUNTIF(J84:AZ84, "&gt;0")</f>
        <v>3</v>
      </c>
      <c r="BD84" s="13">
        <f>[1]!shannonweaver(J84:AZ84)</f>
        <v>1.0986122886681096</v>
      </c>
      <c r="BE84">
        <f t="shared" si="1"/>
        <v>3</v>
      </c>
    </row>
    <row r="85" spans="1:57">
      <c r="A85" s="13" t="s">
        <v>137</v>
      </c>
      <c r="B85" t="s">
        <v>176</v>
      </c>
      <c r="C85" t="s">
        <v>204</v>
      </c>
      <c r="D85" s="13" t="s">
        <v>319</v>
      </c>
      <c r="E85" s="13" t="s">
        <v>283</v>
      </c>
      <c r="F85" s="13">
        <v>0</v>
      </c>
      <c r="G85" s="13">
        <v>0</v>
      </c>
      <c r="H85" s="13">
        <v>0</v>
      </c>
      <c r="I85" s="13">
        <v>0</v>
      </c>
      <c r="J85" s="32">
        <v>0</v>
      </c>
      <c r="K85" s="32">
        <v>0</v>
      </c>
      <c r="L85" s="13">
        <v>1</v>
      </c>
      <c r="M85" s="32">
        <v>0</v>
      </c>
      <c r="N85" s="32">
        <v>0</v>
      </c>
      <c r="O85" s="32">
        <v>0</v>
      </c>
      <c r="P85" s="32">
        <v>0</v>
      </c>
      <c r="Q85" s="32">
        <v>0</v>
      </c>
      <c r="R85" s="32">
        <v>0</v>
      </c>
      <c r="S85" s="32">
        <v>0</v>
      </c>
      <c r="T85" s="32">
        <v>0</v>
      </c>
      <c r="U85" s="32">
        <v>0</v>
      </c>
      <c r="V85" s="32">
        <v>0</v>
      </c>
      <c r="W85" s="32">
        <v>0</v>
      </c>
      <c r="X85" s="32">
        <v>0</v>
      </c>
      <c r="Y85" s="32">
        <v>0</v>
      </c>
      <c r="Z85" s="32">
        <v>0</v>
      </c>
      <c r="AA85" s="32">
        <v>0</v>
      </c>
      <c r="AB85" s="32">
        <v>0</v>
      </c>
      <c r="AC85" s="32">
        <v>0</v>
      </c>
      <c r="AD85" s="32">
        <v>0</v>
      </c>
      <c r="AE85" s="32">
        <v>0</v>
      </c>
      <c r="AF85" s="32">
        <v>0</v>
      </c>
      <c r="AG85" s="32">
        <v>0</v>
      </c>
      <c r="AH85" s="32">
        <v>0</v>
      </c>
      <c r="AI85" s="32">
        <v>0</v>
      </c>
      <c r="AJ85" s="32">
        <v>0</v>
      </c>
      <c r="AK85" s="32">
        <v>0</v>
      </c>
      <c r="AL85" s="32">
        <v>0</v>
      </c>
      <c r="AM85" s="32">
        <v>0</v>
      </c>
      <c r="AN85" s="32">
        <v>0</v>
      </c>
      <c r="AO85" s="32">
        <v>0</v>
      </c>
      <c r="AP85" s="32">
        <v>0</v>
      </c>
      <c r="AQ85" s="32">
        <v>0</v>
      </c>
      <c r="AR85" s="32">
        <v>0</v>
      </c>
      <c r="AS85" s="32">
        <v>0</v>
      </c>
      <c r="AT85" s="32">
        <v>0</v>
      </c>
      <c r="AU85" s="32">
        <v>0</v>
      </c>
      <c r="AV85" s="32">
        <v>0</v>
      </c>
      <c r="AW85" s="32">
        <v>0</v>
      </c>
      <c r="AX85" s="32">
        <v>0</v>
      </c>
      <c r="AY85" s="32">
        <v>0</v>
      </c>
      <c r="AZ85" s="32">
        <v>0</v>
      </c>
      <c r="BA85" s="13">
        <v>1</v>
      </c>
      <c r="BB85" s="32">
        <v>0</v>
      </c>
      <c r="BC85">
        <f>COUNTIF(J85:AZ85, "&gt;0")</f>
        <v>1</v>
      </c>
      <c r="BD85" s="13">
        <f>[1]!shannonweaver(J85:AZ85)</f>
        <v>0</v>
      </c>
      <c r="BE85">
        <f t="shared" si="1"/>
        <v>1</v>
      </c>
    </row>
    <row r="86" spans="1:57">
      <c r="A86" s="13" t="s">
        <v>139</v>
      </c>
      <c r="B86" t="s">
        <v>176</v>
      </c>
      <c r="C86" t="s">
        <v>138</v>
      </c>
      <c r="D86" s="13" t="s">
        <v>319</v>
      </c>
      <c r="E86" s="13" t="s">
        <v>283</v>
      </c>
      <c r="F86" s="13">
        <v>0</v>
      </c>
      <c r="G86" s="13">
        <v>0</v>
      </c>
      <c r="H86" s="13">
        <v>0</v>
      </c>
      <c r="I86" s="13">
        <v>0</v>
      </c>
      <c r="J86" s="32">
        <v>0</v>
      </c>
      <c r="K86" s="32">
        <v>0</v>
      </c>
      <c r="L86" s="13">
        <v>3</v>
      </c>
      <c r="M86" s="32">
        <v>0</v>
      </c>
      <c r="N86" s="32">
        <v>0</v>
      </c>
      <c r="O86" s="32">
        <v>0</v>
      </c>
      <c r="P86" s="32">
        <v>0</v>
      </c>
      <c r="Q86" s="32">
        <v>0</v>
      </c>
      <c r="R86" s="32">
        <v>0</v>
      </c>
      <c r="S86" s="13">
        <v>1</v>
      </c>
      <c r="T86" s="32">
        <v>0</v>
      </c>
      <c r="U86" s="32">
        <v>0</v>
      </c>
      <c r="V86" s="32">
        <v>0</v>
      </c>
      <c r="W86" s="32">
        <v>0</v>
      </c>
      <c r="X86" s="32">
        <v>0</v>
      </c>
      <c r="Y86" s="13">
        <v>3</v>
      </c>
      <c r="Z86" s="32">
        <v>0</v>
      </c>
      <c r="AA86" s="13">
        <v>2</v>
      </c>
      <c r="AB86" s="13">
        <v>17</v>
      </c>
      <c r="AC86" s="32">
        <v>0</v>
      </c>
      <c r="AD86" s="32">
        <v>0</v>
      </c>
      <c r="AE86" s="32">
        <v>0</v>
      </c>
      <c r="AF86" s="32">
        <v>0</v>
      </c>
      <c r="AG86" s="32">
        <v>0</v>
      </c>
      <c r="AH86" s="32">
        <v>0</v>
      </c>
      <c r="AI86" s="32">
        <v>0</v>
      </c>
      <c r="AJ86" s="13">
        <v>1</v>
      </c>
      <c r="AK86" s="32">
        <v>0</v>
      </c>
      <c r="AL86" s="32">
        <v>0</v>
      </c>
      <c r="AM86" s="32">
        <v>0</v>
      </c>
      <c r="AN86" s="32">
        <v>0</v>
      </c>
      <c r="AO86" s="32">
        <v>0</v>
      </c>
      <c r="AP86" s="32">
        <v>0</v>
      </c>
      <c r="AQ86" s="32">
        <v>0</v>
      </c>
      <c r="AR86" s="32">
        <v>0</v>
      </c>
      <c r="AS86" s="32">
        <v>0</v>
      </c>
      <c r="AT86" s="32">
        <v>0</v>
      </c>
      <c r="AU86" s="32">
        <v>0</v>
      </c>
      <c r="AV86" s="32">
        <v>0</v>
      </c>
      <c r="AW86" s="32">
        <v>0</v>
      </c>
      <c r="AX86" s="32">
        <v>0</v>
      </c>
      <c r="AY86" s="32">
        <v>0</v>
      </c>
      <c r="AZ86" s="32">
        <v>0</v>
      </c>
      <c r="BA86" s="32">
        <v>0</v>
      </c>
      <c r="BB86" s="32">
        <v>0</v>
      </c>
      <c r="BC86">
        <f>COUNTIF(J86:AZ86, "&gt;0")</f>
        <v>6</v>
      </c>
      <c r="BD86" s="13">
        <f>[1]!shannonweaver(J86:AZ86)</f>
        <v>1.2164814977789875</v>
      </c>
      <c r="BE86">
        <f t="shared" si="1"/>
        <v>6</v>
      </c>
    </row>
    <row r="87" spans="1:57">
      <c r="A87" s="13" t="s">
        <v>71</v>
      </c>
      <c r="B87" t="s">
        <v>176</v>
      </c>
      <c r="C87" t="s">
        <v>138</v>
      </c>
      <c r="D87" s="13" t="s">
        <v>319</v>
      </c>
      <c r="E87" s="13" t="s">
        <v>283</v>
      </c>
      <c r="F87" s="13">
        <v>0</v>
      </c>
      <c r="G87" s="13">
        <v>0</v>
      </c>
      <c r="H87" s="13">
        <v>0</v>
      </c>
      <c r="I87" s="13">
        <v>0</v>
      </c>
      <c r="J87" s="32">
        <v>0</v>
      </c>
      <c r="K87" s="32">
        <v>0</v>
      </c>
      <c r="L87" s="13">
        <v>6</v>
      </c>
      <c r="M87" s="13">
        <v>1</v>
      </c>
      <c r="N87" s="32">
        <v>0</v>
      </c>
      <c r="O87" s="32">
        <v>0</v>
      </c>
      <c r="P87" s="32">
        <v>0</v>
      </c>
      <c r="Q87" s="32">
        <v>0</v>
      </c>
      <c r="R87" s="32">
        <v>0</v>
      </c>
      <c r="S87" s="32">
        <v>0</v>
      </c>
      <c r="T87" s="32">
        <v>0</v>
      </c>
      <c r="U87" s="32">
        <v>0</v>
      </c>
      <c r="V87" s="32">
        <v>0</v>
      </c>
      <c r="W87" s="32">
        <v>0</v>
      </c>
      <c r="X87" s="32">
        <v>0</v>
      </c>
      <c r="Y87" s="13">
        <v>1</v>
      </c>
      <c r="Z87" s="32">
        <v>0</v>
      </c>
      <c r="AA87" s="13">
        <v>9</v>
      </c>
      <c r="AB87" s="13">
        <v>13</v>
      </c>
      <c r="AC87" s="32">
        <v>0</v>
      </c>
      <c r="AD87" s="32">
        <v>0</v>
      </c>
      <c r="AE87" s="32">
        <v>0</v>
      </c>
      <c r="AF87" s="32">
        <v>0</v>
      </c>
      <c r="AG87" s="32">
        <v>0</v>
      </c>
      <c r="AH87" s="32">
        <v>0</v>
      </c>
      <c r="AI87" s="32">
        <v>0</v>
      </c>
      <c r="AJ87" s="13">
        <v>2</v>
      </c>
      <c r="AK87" s="32">
        <v>0</v>
      </c>
      <c r="AL87" s="32">
        <v>0</v>
      </c>
      <c r="AM87" s="32">
        <v>0</v>
      </c>
      <c r="AN87" s="32">
        <v>0</v>
      </c>
      <c r="AO87" s="32">
        <v>0</v>
      </c>
      <c r="AP87" s="32">
        <v>0</v>
      </c>
      <c r="AQ87" s="32">
        <v>0</v>
      </c>
      <c r="AR87" s="32">
        <v>0</v>
      </c>
      <c r="AS87" s="32">
        <v>0</v>
      </c>
      <c r="AT87" s="32">
        <v>0</v>
      </c>
      <c r="AU87" s="32">
        <v>0</v>
      </c>
      <c r="AV87" s="32">
        <v>0</v>
      </c>
      <c r="AW87" s="32">
        <v>0</v>
      </c>
      <c r="AX87" s="32">
        <v>0</v>
      </c>
      <c r="AY87" s="32">
        <v>0</v>
      </c>
      <c r="AZ87" s="32">
        <v>0</v>
      </c>
      <c r="BA87" s="32">
        <v>0</v>
      </c>
      <c r="BB87" s="32">
        <v>0</v>
      </c>
      <c r="BC87">
        <f>COUNTIF(J87:AZ87, "&gt;0")</f>
        <v>6</v>
      </c>
      <c r="BD87" s="13">
        <f>[1]!shannonweaver(J87:AZ87)</f>
        <v>1.4264792146899086</v>
      </c>
      <c r="BE87">
        <f t="shared" si="1"/>
        <v>6</v>
      </c>
    </row>
    <row r="88" spans="1:57">
      <c r="A88" s="13" t="s">
        <v>72</v>
      </c>
      <c r="B88" t="s">
        <v>176</v>
      </c>
      <c r="C88" t="s">
        <v>138</v>
      </c>
      <c r="D88" s="13" t="s">
        <v>319</v>
      </c>
      <c r="E88" s="13" t="s">
        <v>283</v>
      </c>
      <c r="F88" s="13">
        <v>0</v>
      </c>
      <c r="G88" s="13">
        <v>0</v>
      </c>
      <c r="H88" s="13">
        <v>0</v>
      </c>
      <c r="I88" s="13">
        <v>0</v>
      </c>
      <c r="J88" s="32">
        <v>0</v>
      </c>
      <c r="K88" s="32">
        <v>0</v>
      </c>
      <c r="L88" s="13">
        <v>4</v>
      </c>
      <c r="M88" s="13">
        <v>1</v>
      </c>
      <c r="N88" s="32">
        <v>0</v>
      </c>
      <c r="O88" s="32">
        <v>0</v>
      </c>
      <c r="P88" s="32">
        <v>0</v>
      </c>
      <c r="Q88" s="32">
        <v>0</v>
      </c>
      <c r="R88" s="32">
        <v>0</v>
      </c>
      <c r="S88" s="13">
        <v>1</v>
      </c>
      <c r="T88" s="32">
        <v>0</v>
      </c>
      <c r="U88" s="13">
        <v>1</v>
      </c>
      <c r="V88" s="32">
        <v>0</v>
      </c>
      <c r="W88" s="32">
        <v>0</v>
      </c>
      <c r="X88" s="32">
        <v>0</v>
      </c>
      <c r="Y88" s="32">
        <v>0</v>
      </c>
      <c r="Z88" s="32">
        <v>0</v>
      </c>
      <c r="AA88" s="13">
        <v>6</v>
      </c>
      <c r="AB88" s="13">
        <v>16</v>
      </c>
      <c r="AC88" s="32">
        <v>0</v>
      </c>
      <c r="AD88" s="32">
        <v>0</v>
      </c>
      <c r="AE88" s="32">
        <v>0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</v>
      </c>
      <c r="AQ88" s="32">
        <v>0</v>
      </c>
      <c r="AR88" s="32">
        <v>0</v>
      </c>
      <c r="AS88" s="32">
        <v>0</v>
      </c>
      <c r="AT88" s="32">
        <v>0</v>
      </c>
      <c r="AU88" s="32">
        <v>0</v>
      </c>
      <c r="AV88" s="32">
        <v>0</v>
      </c>
      <c r="AW88" s="32">
        <v>0</v>
      </c>
      <c r="AX88" s="32">
        <v>0</v>
      </c>
      <c r="AY88" s="32">
        <v>0</v>
      </c>
      <c r="AZ88" s="32">
        <v>0</v>
      </c>
      <c r="BA88" s="32">
        <v>0</v>
      </c>
      <c r="BB88" s="32">
        <v>0</v>
      </c>
      <c r="BC88">
        <f>COUNTIF(J88:AZ88, "&gt;0")</f>
        <v>6</v>
      </c>
      <c r="BD88" s="13">
        <f>[1]!shannonweaver(J88:AZ88)</f>
        <v>1.2756698363421846</v>
      </c>
      <c r="BE88">
        <f t="shared" si="1"/>
        <v>6</v>
      </c>
    </row>
    <row r="89" spans="1:57">
      <c r="A89" s="13" t="s">
        <v>73</v>
      </c>
      <c r="B89" t="s">
        <v>176</v>
      </c>
      <c r="C89" t="s">
        <v>138</v>
      </c>
      <c r="D89" s="13" t="s">
        <v>319</v>
      </c>
      <c r="E89" s="13" t="s">
        <v>283</v>
      </c>
      <c r="F89" s="13">
        <v>0</v>
      </c>
      <c r="G89" s="13">
        <v>0</v>
      </c>
      <c r="H89" s="13">
        <v>0</v>
      </c>
      <c r="I89" s="13">
        <v>0</v>
      </c>
      <c r="J89" s="32">
        <v>0</v>
      </c>
      <c r="K89" s="32">
        <v>0</v>
      </c>
      <c r="L89" s="13">
        <v>3</v>
      </c>
      <c r="M89" s="13">
        <v>0</v>
      </c>
      <c r="N89" s="32">
        <v>0</v>
      </c>
      <c r="O89" s="32">
        <v>0</v>
      </c>
      <c r="P89" s="13">
        <v>1</v>
      </c>
      <c r="Q89" s="13">
        <v>1</v>
      </c>
      <c r="R89" s="32">
        <v>0</v>
      </c>
      <c r="S89" s="13">
        <v>1</v>
      </c>
      <c r="T89" s="32">
        <v>0</v>
      </c>
      <c r="U89" s="32">
        <v>0</v>
      </c>
      <c r="V89" s="32">
        <v>0</v>
      </c>
      <c r="W89" s="32">
        <v>0</v>
      </c>
      <c r="X89" s="32">
        <v>0</v>
      </c>
      <c r="Y89" s="13">
        <v>3</v>
      </c>
      <c r="Z89" s="32">
        <v>0</v>
      </c>
      <c r="AA89" s="13">
        <v>2</v>
      </c>
      <c r="AB89" s="13">
        <v>8</v>
      </c>
      <c r="AC89" s="32">
        <v>0</v>
      </c>
      <c r="AD89" s="32">
        <v>0</v>
      </c>
      <c r="AE89" s="32">
        <v>0</v>
      </c>
      <c r="AF89" s="32">
        <v>0</v>
      </c>
      <c r="AG89" s="32">
        <v>0</v>
      </c>
      <c r="AH89" s="32">
        <v>0</v>
      </c>
      <c r="AI89" s="32">
        <v>0</v>
      </c>
      <c r="AJ89" s="32">
        <v>0</v>
      </c>
      <c r="AK89" s="32">
        <v>0</v>
      </c>
      <c r="AL89" s="32">
        <v>0</v>
      </c>
      <c r="AM89" s="32">
        <v>0</v>
      </c>
      <c r="AN89" s="32">
        <v>0</v>
      </c>
      <c r="AO89" s="32">
        <v>0</v>
      </c>
      <c r="AP89" s="32">
        <v>0</v>
      </c>
      <c r="AQ89" s="32">
        <v>0</v>
      </c>
      <c r="AR89" s="32">
        <v>0</v>
      </c>
      <c r="AS89" s="32">
        <v>0</v>
      </c>
      <c r="AT89" s="32">
        <v>0</v>
      </c>
      <c r="AU89" s="32">
        <v>0</v>
      </c>
      <c r="AV89" s="32">
        <v>0</v>
      </c>
      <c r="AW89" s="32">
        <v>0</v>
      </c>
      <c r="AX89" s="32">
        <v>0</v>
      </c>
      <c r="AY89" s="32">
        <v>0</v>
      </c>
      <c r="AZ89" s="32">
        <v>0</v>
      </c>
      <c r="BA89" s="32">
        <v>0</v>
      </c>
      <c r="BB89" s="32">
        <v>0</v>
      </c>
      <c r="BC89">
        <f>COUNTIF(J89:AZ89, "&gt;0")</f>
        <v>7</v>
      </c>
      <c r="BD89" s="13">
        <f>[1]!shannonweaver(J89:AZ89)</f>
        <v>1.6489915882944808</v>
      </c>
      <c r="BE89">
        <f t="shared" si="1"/>
        <v>7</v>
      </c>
    </row>
    <row r="90" spans="1:57">
      <c r="A90" s="13" t="s">
        <v>74</v>
      </c>
      <c r="B90" t="s">
        <v>176</v>
      </c>
      <c r="C90" t="s">
        <v>138</v>
      </c>
      <c r="D90" s="13" t="s">
        <v>319</v>
      </c>
      <c r="E90" s="13" t="s">
        <v>283</v>
      </c>
      <c r="F90" s="13">
        <v>0</v>
      </c>
      <c r="G90" s="13">
        <v>0</v>
      </c>
      <c r="H90" s="13">
        <v>0</v>
      </c>
      <c r="I90" s="13">
        <v>0</v>
      </c>
      <c r="J90" s="32">
        <v>0</v>
      </c>
      <c r="K90" s="32">
        <v>0</v>
      </c>
      <c r="L90" s="13">
        <v>3</v>
      </c>
      <c r="M90" s="24">
        <v>0</v>
      </c>
      <c r="N90" s="32">
        <v>0</v>
      </c>
      <c r="O90" s="32">
        <v>0</v>
      </c>
      <c r="P90" s="32">
        <v>0</v>
      </c>
      <c r="Q90" s="32">
        <v>0</v>
      </c>
      <c r="R90" s="32">
        <v>0</v>
      </c>
      <c r="S90" s="32">
        <v>0</v>
      </c>
      <c r="T90" s="32">
        <v>0</v>
      </c>
      <c r="U90" s="32">
        <v>0</v>
      </c>
      <c r="V90" s="13">
        <v>4</v>
      </c>
      <c r="W90" s="32">
        <v>0</v>
      </c>
      <c r="X90" s="32">
        <v>0</v>
      </c>
      <c r="Y90" s="13">
        <v>1</v>
      </c>
      <c r="Z90" s="32">
        <v>0</v>
      </c>
      <c r="AA90" s="13">
        <v>8</v>
      </c>
      <c r="AB90" s="13">
        <v>19</v>
      </c>
      <c r="AC90" s="32">
        <v>0</v>
      </c>
      <c r="AD90" s="32">
        <v>0</v>
      </c>
      <c r="AE90" s="32">
        <v>0</v>
      </c>
      <c r="AF90" s="32">
        <v>0</v>
      </c>
      <c r="AG90" s="32">
        <v>0</v>
      </c>
      <c r="AH90" s="32">
        <v>0</v>
      </c>
      <c r="AI90" s="32">
        <v>0</v>
      </c>
      <c r="AJ90" s="32">
        <v>0</v>
      </c>
      <c r="AK90" s="32">
        <v>0</v>
      </c>
      <c r="AL90" s="32">
        <v>0</v>
      </c>
      <c r="AM90" s="32">
        <v>0</v>
      </c>
      <c r="AN90" s="32">
        <v>0</v>
      </c>
      <c r="AO90" s="32">
        <v>0</v>
      </c>
      <c r="AP90" s="32">
        <v>0</v>
      </c>
      <c r="AQ90" s="32">
        <v>0</v>
      </c>
      <c r="AR90" s="32">
        <v>0</v>
      </c>
      <c r="AS90" s="32">
        <v>0</v>
      </c>
      <c r="AT90" s="32">
        <v>0</v>
      </c>
      <c r="AU90" s="32">
        <v>0</v>
      </c>
      <c r="AV90" s="32">
        <v>0</v>
      </c>
      <c r="AW90" s="32">
        <v>0</v>
      </c>
      <c r="AX90" s="32">
        <v>0</v>
      </c>
      <c r="AY90" s="32">
        <v>0</v>
      </c>
      <c r="AZ90" s="32">
        <v>0</v>
      </c>
      <c r="BA90" s="32">
        <v>0</v>
      </c>
      <c r="BB90" s="32">
        <v>0</v>
      </c>
      <c r="BC90">
        <f>COUNTIF(J90:AZ90, "&gt;0")</f>
        <v>5</v>
      </c>
      <c r="BD90" s="13">
        <f>[1]!shannonweaver(J90:AZ90)</f>
        <v>1.2290369972584152</v>
      </c>
      <c r="BE90">
        <f t="shared" si="1"/>
        <v>5</v>
      </c>
    </row>
    <row r="91" spans="1:57">
      <c r="A91" s="13" t="s">
        <v>75</v>
      </c>
      <c r="B91" t="s">
        <v>176</v>
      </c>
      <c r="C91" t="s">
        <v>138</v>
      </c>
      <c r="D91" s="13" t="s">
        <v>319</v>
      </c>
      <c r="E91" s="13" t="s">
        <v>283</v>
      </c>
      <c r="F91" s="13">
        <v>0</v>
      </c>
      <c r="G91" s="13">
        <v>0</v>
      </c>
      <c r="H91" s="13">
        <v>0</v>
      </c>
      <c r="I91" s="13">
        <v>0</v>
      </c>
      <c r="J91" s="32">
        <v>0</v>
      </c>
      <c r="K91" s="32">
        <v>0</v>
      </c>
      <c r="L91" s="13">
        <v>5</v>
      </c>
      <c r="M91" s="24">
        <v>0</v>
      </c>
      <c r="N91" s="32">
        <v>0</v>
      </c>
      <c r="O91" s="32">
        <v>0</v>
      </c>
      <c r="P91" s="32">
        <v>0</v>
      </c>
      <c r="Q91" s="32">
        <v>0</v>
      </c>
      <c r="R91" s="32">
        <v>0</v>
      </c>
      <c r="S91" s="13">
        <v>1</v>
      </c>
      <c r="T91" s="13">
        <v>1</v>
      </c>
      <c r="U91" s="13">
        <v>1</v>
      </c>
      <c r="V91" s="13">
        <v>0</v>
      </c>
      <c r="W91" s="32">
        <v>0</v>
      </c>
      <c r="X91" s="32">
        <v>0</v>
      </c>
      <c r="Y91" s="32">
        <v>0</v>
      </c>
      <c r="Z91" s="32">
        <v>0</v>
      </c>
      <c r="AA91" s="13">
        <v>6</v>
      </c>
      <c r="AB91" s="13">
        <v>0</v>
      </c>
      <c r="AC91" s="32">
        <v>0</v>
      </c>
      <c r="AD91" s="32">
        <v>0</v>
      </c>
      <c r="AE91" s="32">
        <v>0</v>
      </c>
      <c r="AF91" s="32">
        <v>0</v>
      </c>
      <c r="AG91" s="32">
        <v>0</v>
      </c>
      <c r="AH91" s="32">
        <v>0</v>
      </c>
      <c r="AI91" s="32">
        <v>0</v>
      </c>
      <c r="AJ91" s="32">
        <v>0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</v>
      </c>
      <c r="AQ91" s="32">
        <v>0</v>
      </c>
      <c r="AR91" s="32">
        <v>0</v>
      </c>
      <c r="AS91" s="32">
        <v>0</v>
      </c>
      <c r="AT91" s="32">
        <v>0</v>
      </c>
      <c r="AU91" s="32">
        <v>0</v>
      </c>
      <c r="AV91" s="32">
        <v>0</v>
      </c>
      <c r="AW91" s="32">
        <v>0</v>
      </c>
      <c r="AX91" s="32">
        <v>0</v>
      </c>
      <c r="AY91" s="32">
        <v>0</v>
      </c>
      <c r="AZ91" s="32">
        <v>0</v>
      </c>
      <c r="BA91" s="32">
        <v>0</v>
      </c>
      <c r="BB91" s="32">
        <v>0</v>
      </c>
      <c r="BC91">
        <f>COUNTIF(J91:AZ91, "&gt;0")</f>
        <v>5</v>
      </c>
      <c r="BD91" s="13">
        <f>[1]!shannonweaver(J91:AZ91)</f>
        <v>1.2963611597910563</v>
      </c>
      <c r="BE91">
        <f t="shared" si="1"/>
        <v>5</v>
      </c>
    </row>
    <row r="92" spans="1:57">
      <c r="A92" t="s">
        <v>140</v>
      </c>
      <c r="B92" t="s">
        <v>176</v>
      </c>
      <c r="C92" t="s">
        <v>207</v>
      </c>
      <c r="D92" s="13" t="s">
        <v>320</v>
      </c>
      <c r="E92" s="13" t="s">
        <v>283</v>
      </c>
      <c r="F92" s="13">
        <v>0</v>
      </c>
      <c r="G92" s="13">
        <v>0</v>
      </c>
      <c r="H92" s="13">
        <v>0</v>
      </c>
      <c r="I92" s="13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>
        <v>0</v>
      </c>
      <c r="P92" s="32">
        <v>0</v>
      </c>
      <c r="Q92" s="32">
        <v>0</v>
      </c>
      <c r="R92" s="32">
        <v>0</v>
      </c>
      <c r="S92" s="32">
        <v>0</v>
      </c>
      <c r="T92" s="32">
        <v>0</v>
      </c>
      <c r="U92" s="32">
        <v>0</v>
      </c>
      <c r="V92" s="32">
        <v>0</v>
      </c>
      <c r="W92" s="32">
        <v>0</v>
      </c>
      <c r="X92" s="32">
        <v>0</v>
      </c>
      <c r="Y92" s="32">
        <v>0</v>
      </c>
      <c r="Z92" s="32">
        <v>0</v>
      </c>
      <c r="AA92" s="32">
        <v>0</v>
      </c>
      <c r="AB92" s="13">
        <v>1</v>
      </c>
      <c r="AC92" s="32">
        <v>0</v>
      </c>
      <c r="AD92" s="32">
        <v>0</v>
      </c>
      <c r="AE92" s="32">
        <v>0</v>
      </c>
      <c r="AF92" s="32">
        <v>0</v>
      </c>
      <c r="AG92" s="32">
        <v>0</v>
      </c>
      <c r="AH92" s="32">
        <v>0</v>
      </c>
      <c r="AI92" s="32">
        <v>0</v>
      </c>
      <c r="AJ92" s="32">
        <v>0</v>
      </c>
      <c r="AK92" s="32">
        <v>0</v>
      </c>
      <c r="AL92" s="32">
        <v>0</v>
      </c>
      <c r="AM92" s="32">
        <v>0</v>
      </c>
      <c r="AN92" s="32">
        <v>0</v>
      </c>
      <c r="AO92" s="32">
        <v>0</v>
      </c>
      <c r="AP92" s="32">
        <v>0</v>
      </c>
      <c r="AQ92" s="32">
        <v>0</v>
      </c>
      <c r="AR92" s="32">
        <v>0</v>
      </c>
      <c r="AS92" s="32">
        <v>0</v>
      </c>
      <c r="AT92" s="32">
        <v>0</v>
      </c>
      <c r="AU92" s="13">
        <v>1</v>
      </c>
      <c r="AV92" s="32">
        <v>0</v>
      </c>
      <c r="AW92" s="32">
        <v>0</v>
      </c>
      <c r="AX92" s="32">
        <v>0</v>
      </c>
      <c r="AY92" s="32">
        <v>0</v>
      </c>
      <c r="AZ92" s="32">
        <v>0</v>
      </c>
      <c r="BA92" s="32">
        <v>0</v>
      </c>
      <c r="BB92" s="32">
        <v>0</v>
      </c>
      <c r="BC92">
        <f>COUNTIF(J92:AZ92, "&gt;0")</f>
        <v>2</v>
      </c>
      <c r="BD92" s="13">
        <f>[1]!shannonweaver(J92:AZ92)</f>
        <v>0.69314718055994529</v>
      </c>
      <c r="BE92">
        <f t="shared" si="1"/>
        <v>2</v>
      </c>
    </row>
    <row r="93" spans="1:57">
      <c r="A93" s="13" t="s">
        <v>208</v>
      </c>
      <c r="B93" t="s">
        <v>176</v>
      </c>
      <c r="C93" t="s">
        <v>207</v>
      </c>
      <c r="D93" s="13" t="s">
        <v>320</v>
      </c>
      <c r="E93" s="13" t="s">
        <v>283</v>
      </c>
      <c r="F93" s="13">
        <v>0</v>
      </c>
      <c r="G93" s="13">
        <v>0</v>
      </c>
      <c r="H93" s="13">
        <v>0</v>
      </c>
      <c r="I93" s="13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>
        <v>0</v>
      </c>
      <c r="P93" s="32">
        <v>0</v>
      </c>
      <c r="Q93" s="32">
        <v>0</v>
      </c>
      <c r="R93" s="32">
        <v>0</v>
      </c>
      <c r="S93" s="32">
        <v>0</v>
      </c>
      <c r="T93" s="32">
        <v>0</v>
      </c>
      <c r="U93" s="32">
        <v>0</v>
      </c>
      <c r="V93" s="32">
        <v>0</v>
      </c>
      <c r="W93" s="32">
        <v>0</v>
      </c>
      <c r="X93" s="32">
        <v>0</v>
      </c>
      <c r="Y93" s="13">
        <v>5</v>
      </c>
      <c r="Z93" s="32">
        <v>0</v>
      </c>
      <c r="AA93" s="32">
        <v>0</v>
      </c>
      <c r="AB93" s="13">
        <v>6</v>
      </c>
      <c r="AC93" s="32">
        <v>0</v>
      </c>
      <c r="AD93" s="32">
        <v>0</v>
      </c>
      <c r="AE93" s="32">
        <v>0</v>
      </c>
      <c r="AF93" s="32">
        <v>0</v>
      </c>
      <c r="AG93" s="32">
        <v>0</v>
      </c>
      <c r="AH93" s="32">
        <v>0</v>
      </c>
      <c r="AI93" s="32">
        <v>0</v>
      </c>
      <c r="AJ93" s="32">
        <v>0</v>
      </c>
      <c r="AK93" s="32">
        <v>0</v>
      </c>
      <c r="AL93" s="32">
        <v>0</v>
      </c>
      <c r="AM93" s="32">
        <v>0</v>
      </c>
      <c r="AN93" s="32">
        <v>0</v>
      </c>
      <c r="AO93" s="32">
        <v>0</v>
      </c>
      <c r="AP93" s="32">
        <v>0</v>
      </c>
      <c r="AQ93" s="32">
        <v>0</v>
      </c>
      <c r="AR93" s="32">
        <v>0</v>
      </c>
      <c r="AS93" s="32">
        <v>0</v>
      </c>
      <c r="AT93" s="32">
        <v>0</v>
      </c>
      <c r="AU93" s="32">
        <v>0</v>
      </c>
      <c r="AV93" s="13">
        <v>2</v>
      </c>
      <c r="AW93" s="32">
        <v>0</v>
      </c>
      <c r="AX93" s="32">
        <v>0</v>
      </c>
      <c r="AY93" s="32">
        <v>0</v>
      </c>
      <c r="AZ93" s="32">
        <v>0</v>
      </c>
      <c r="BA93" s="32">
        <v>0</v>
      </c>
      <c r="BB93" s="32">
        <v>0</v>
      </c>
      <c r="BC93">
        <f>COUNTIF(J93:AZ93, "&gt;0")</f>
        <v>3</v>
      </c>
      <c r="BD93" s="13">
        <f>[1]!shannonweaver(J93:AZ93)</f>
        <v>1.0123308391031736</v>
      </c>
      <c r="BE93">
        <f t="shared" si="1"/>
        <v>3</v>
      </c>
    </row>
    <row r="94" spans="1:57">
      <c r="A94" s="13" t="s">
        <v>209</v>
      </c>
      <c r="B94" t="s">
        <v>176</v>
      </c>
      <c r="C94" t="s">
        <v>207</v>
      </c>
      <c r="D94" s="13" t="s">
        <v>320</v>
      </c>
      <c r="E94" s="13" t="s">
        <v>283</v>
      </c>
      <c r="F94" s="13">
        <v>0</v>
      </c>
      <c r="G94" s="13">
        <v>0</v>
      </c>
      <c r="H94" s="13">
        <v>0</v>
      </c>
      <c r="I94" s="13">
        <v>0</v>
      </c>
      <c r="J94" s="32">
        <v>0</v>
      </c>
      <c r="K94" s="32">
        <v>0</v>
      </c>
      <c r="L94" s="13">
        <v>1</v>
      </c>
      <c r="M94" s="32">
        <v>0</v>
      </c>
      <c r="N94" s="32">
        <v>0</v>
      </c>
      <c r="O94" s="32">
        <v>0</v>
      </c>
      <c r="P94" s="32">
        <v>0</v>
      </c>
      <c r="Q94" s="32">
        <v>0</v>
      </c>
      <c r="R94" s="32">
        <v>0</v>
      </c>
      <c r="S94" s="32">
        <v>0</v>
      </c>
      <c r="T94" s="32">
        <v>0</v>
      </c>
      <c r="U94" s="32">
        <v>0</v>
      </c>
      <c r="V94" s="32">
        <v>0</v>
      </c>
      <c r="W94" s="32">
        <v>0</v>
      </c>
      <c r="X94" s="32">
        <v>0</v>
      </c>
      <c r="Y94" s="13">
        <v>5</v>
      </c>
      <c r="Z94" s="32">
        <v>0</v>
      </c>
      <c r="AA94" s="13">
        <v>1</v>
      </c>
      <c r="AB94" s="13">
        <v>15</v>
      </c>
      <c r="AC94" s="32">
        <v>0</v>
      </c>
      <c r="AD94" s="32">
        <v>0</v>
      </c>
      <c r="AE94" s="32">
        <v>0</v>
      </c>
      <c r="AF94" s="32">
        <v>0</v>
      </c>
      <c r="AG94" s="32">
        <v>0</v>
      </c>
      <c r="AH94" s="32">
        <v>0</v>
      </c>
      <c r="AI94" s="32">
        <v>0</v>
      </c>
      <c r="AJ94" s="13">
        <v>2</v>
      </c>
      <c r="AK94" s="32">
        <v>0</v>
      </c>
      <c r="AL94" s="32">
        <v>0</v>
      </c>
      <c r="AM94" s="32">
        <v>0</v>
      </c>
      <c r="AN94" s="32">
        <v>0</v>
      </c>
      <c r="AO94" s="32">
        <v>0</v>
      </c>
      <c r="AP94" s="32">
        <v>0</v>
      </c>
      <c r="AQ94" s="32">
        <v>0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32">
        <v>0</v>
      </c>
      <c r="AX94" s="32">
        <v>0</v>
      </c>
      <c r="AY94" s="32">
        <v>0</v>
      </c>
      <c r="AZ94" s="32">
        <v>0</v>
      </c>
      <c r="BA94" s="32">
        <v>0</v>
      </c>
      <c r="BB94" s="32">
        <v>0</v>
      </c>
      <c r="BC94">
        <f>COUNTIF(J94:AZ94, "&gt;0")</f>
        <v>5</v>
      </c>
      <c r="BD94" s="13">
        <f>[1]!shannonweaver(J94:AZ94)</f>
        <v>1.0924606245219648</v>
      </c>
      <c r="BE94">
        <f t="shared" si="1"/>
        <v>5</v>
      </c>
    </row>
    <row r="95" spans="1:57">
      <c r="A95" s="13" t="s">
        <v>210</v>
      </c>
      <c r="B95" t="s">
        <v>176</v>
      </c>
      <c r="C95" t="s">
        <v>207</v>
      </c>
      <c r="D95" s="13" t="s">
        <v>320</v>
      </c>
      <c r="E95" s="13" t="s">
        <v>283</v>
      </c>
      <c r="F95" s="13">
        <v>0</v>
      </c>
      <c r="G95" s="13">
        <v>0</v>
      </c>
      <c r="H95" s="13">
        <v>0</v>
      </c>
      <c r="I95" s="13">
        <v>0</v>
      </c>
      <c r="J95" s="32">
        <v>0</v>
      </c>
      <c r="K95" s="32">
        <v>0</v>
      </c>
      <c r="L95" s="13">
        <v>2</v>
      </c>
      <c r="M95" s="32">
        <v>0</v>
      </c>
      <c r="N95" s="32">
        <v>0</v>
      </c>
      <c r="O95" s="32">
        <v>0</v>
      </c>
      <c r="P95" s="32">
        <v>0</v>
      </c>
      <c r="Q95" s="32">
        <v>0</v>
      </c>
      <c r="R95" s="32">
        <v>0</v>
      </c>
      <c r="S95" s="32">
        <v>0</v>
      </c>
      <c r="T95" s="32">
        <v>0</v>
      </c>
      <c r="U95" s="32">
        <v>0</v>
      </c>
      <c r="V95" s="32">
        <v>0</v>
      </c>
      <c r="W95" s="32">
        <v>0</v>
      </c>
      <c r="X95" s="32">
        <v>0</v>
      </c>
      <c r="Y95" s="13">
        <v>1</v>
      </c>
      <c r="Z95" s="32">
        <v>0</v>
      </c>
      <c r="AA95" s="32">
        <v>0</v>
      </c>
      <c r="AB95" s="13">
        <v>1</v>
      </c>
      <c r="AC95" s="32">
        <v>0</v>
      </c>
      <c r="AD95" s="32">
        <v>0</v>
      </c>
      <c r="AE95" s="32">
        <v>0</v>
      </c>
      <c r="AF95" s="32">
        <v>0</v>
      </c>
      <c r="AG95" s="32">
        <v>0</v>
      </c>
      <c r="AH95" s="32">
        <v>0</v>
      </c>
      <c r="AI95" s="32">
        <v>0</v>
      </c>
      <c r="AJ95" s="32">
        <v>0</v>
      </c>
      <c r="AK95" s="32">
        <v>0</v>
      </c>
      <c r="AL95" s="32">
        <v>0</v>
      </c>
      <c r="AM95" s="32">
        <v>0</v>
      </c>
      <c r="AN95" s="32">
        <v>0</v>
      </c>
      <c r="AO95" s="32">
        <v>0</v>
      </c>
      <c r="AP95" s="32">
        <v>0</v>
      </c>
      <c r="AQ95" s="32">
        <v>0</v>
      </c>
      <c r="AR95" s="32">
        <v>0</v>
      </c>
      <c r="AS95" s="32">
        <v>0</v>
      </c>
      <c r="AT95" s="32">
        <v>0</v>
      </c>
      <c r="AU95" s="32">
        <v>0</v>
      </c>
      <c r="AV95" s="32">
        <v>0</v>
      </c>
      <c r="AW95" s="32">
        <v>0</v>
      </c>
      <c r="AX95" s="32">
        <v>0</v>
      </c>
      <c r="AY95" s="32">
        <v>0</v>
      </c>
      <c r="AZ95" s="32">
        <v>0</v>
      </c>
      <c r="BA95" s="32">
        <v>0</v>
      </c>
      <c r="BB95" s="32">
        <v>0</v>
      </c>
      <c r="BC95">
        <f>COUNTIF(J95:AZ95, "&gt;0")</f>
        <v>3</v>
      </c>
      <c r="BD95" s="13">
        <f>[1]!shannonweaver(J95:AZ95)</f>
        <v>1.0397207708399179</v>
      </c>
      <c r="BE95">
        <f t="shared" si="1"/>
        <v>3</v>
      </c>
    </row>
    <row r="96" spans="1:57">
      <c r="A96" s="13" t="s">
        <v>211</v>
      </c>
      <c r="B96" t="s">
        <v>176</v>
      </c>
      <c r="C96" t="s">
        <v>207</v>
      </c>
      <c r="D96" s="13" t="s">
        <v>320</v>
      </c>
      <c r="E96" s="13" t="s">
        <v>283</v>
      </c>
      <c r="F96" s="13">
        <v>0</v>
      </c>
      <c r="G96" s="13">
        <v>0</v>
      </c>
      <c r="H96" s="13">
        <v>0</v>
      </c>
      <c r="I96" s="13">
        <v>1</v>
      </c>
      <c r="J96" s="32">
        <v>0</v>
      </c>
      <c r="K96" s="32">
        <v>0</v>
      </c>
      <c r="L96" s="13">
        <v>1</v>
      </c>
      <c r="M96" s="32">
        <v>0</v>
      </c>
      <c r="N96" s="32">
        <v>0</v>
      </c>
      <c r="O96" s="32">
        <v>0</v>
      </c>
      <c r="P96" s="32">
        <v>0</v>
      </c>
      <c r="Q96" s="32">
        <v>0</v>
      </c>
      <c r="R96" s="32">
        <v>0</v>
      </c>
      <c r="S96" s="32">
        <v>0</v>
      </c>
      <c r="T96" s="32">
        <v>0</v>
      </c>
      <c r="U96" s="13">
        <v>1</v>
      </c>
      <c r="V96" s="13">
        <v>2</v>
      </c>
      <c r="W96" s="32">
        <v>0</v>
      </c>
      <c r="X96" s="32">
        <v>0</v>
      </c>
      <c r="Y96" s="13">
        <v>1</v>
      </c>
      <c r="Z96" s="32">
        <v>0</v>
      </c>
      <c r="AA96" s="32">
        <v>0</v>
      </c>
      <c r="AB96" s="13">
        <v>3</v>
      </c>
      <c r="AC96" s="32">
        <v>0</v>
      </c>
      <c r="AD96" s="32">
        <v>0</v>
      </c>
      <c r="AE96" s="32">
        <v>0</v>
      </c>
      <c r="AF96" s="32">
        <v>0</v>
      </c>
      <c r="AG96" s="32">
        <v>0</v>
      </c>
      <c r="AH96" s="32">
        <v>0</v>
      </c>
      <c r="AI96" s="32">
        <v>0</v>
      </c>
      <c r="AJ96" s="32">
        <v>0</v>
      </c>
      <c r="AK96" s="32">
        <v>0</v>
      </c>
      <c r="AL96" s="32">
        <v>0</v>
      </c>
      <c r="AM96" s="32">
        <v>0</v>
      </c>
      <c r="AN96" s="32">
        <v>0</v>
      </c>
      <c r="AO96" s="32">
        <v>0</v>
      </c>
      <c r="AP96" s="32">
        <v>0</v>
      </c>
      <c r="AQ96" s="32">
        <v>0</v>
      </c>
      <c r="AR96" s="32">
        <v>0</v>
      </c>
      <c r="AS96" s="32">
        <v>0</v>
      </c>
      <c r="AT96" s="32">
        <v>0</v>
      </c>
      <c r="AU96" s="32">
        <v>0</v>
      </c>
      <c r="AV96" s="32">
        <v>0</v>
      </c>
      <c r="AW96" s="32">
        <v>0</v>
      </c>
      <c r="AX96" s="32">
        <v>0</v>
      </c>
      <c r="AY96" s="32">
        <v>0</v>
      </c>
      <c r="AZ96" s="32">
        <v>0</v>
      </c>
      <c r="BA96" s="32">
        <v>0</v>
      </c>
      <c r="BB96" s="32">
        <v>0</v>
      </c>
      <c r="BC96">
        <f>COUNTIF(J96:AZ96, "&gt;0")</f>
        <v>5</v>
      </c>
      <c r="BD96" s="13">
        <f>[1]!shannonweaver(J96:AZ96)</f>
        <v>1.4941751382893083</v>
      </c>
      <c r="BE96">
        <f t="shared" si="1"/>
        <v>6</v>
      </c>
    </row>
    <row r="97" spans="1:57">
      <c r="A97" s="13" t="s">
        <v>212</v>
      </c>
      <c r="B97" t="s">
        <v>176</v>
      </c>
      <c r="C97" t="s">
        <v>207</v>
      </c>
      <c r="D97" s="13" t="s">
        <v>320</v>
      </c>
      <c r="E97" s="13" t="s">
        <v>283</v>
      </c>
      <c r="F97" s="13">
        <v>0</v>
      </c>
      <c r="G97" s="13">
        <v>0</v>
      </c>
      <c r="H97" s="13">
        <v>0</v>
      </c>
      <c r="I97" s="13">
        <v>0</v>
      </c>
      <c r="J97" s="32">
        <v>0</v>
      </c>
      <c r="K97" s="32">
        <v>0</v>
      </c>
      <c r="L97" s="13">
        <v>1</v>
      </c>
      <c r="M97" s="32">
        <v>0</v>
      </c>
      <c r="N97" s="32">
        <v>0</v>
      </c>
      <c r="O97" s="32">
        <v>0</v>
      </c>
      <c r="P97" s="32">
        <v>0</v>
      </c>
      <c r="Q97" s="32">
        <v>0</v>
      </c>
      <c r="R97" s="32">
        <v>0</v>
      </c>
      <c r="S97" s="32">
        <v>0</v>
      </c>
      <c r="T97" s="32">
        <v>0</v>
      </c>
      <c r="U97" s="32">
        <v>0</v>
      </c>
      <c r="V97" s="32">
        <v>0</v>
      </c>
      <c r="W97" s="32">
        <v>0</v>
      </c>
      <c r="X97" s="32">
        <v>0</v>
      </c>
      <c r="Y97" s="32">
        <v>0</v>
      </c>
      <c r="Z97" s="32">
        <v>0</v>
      </c>
      <c r="AA97" s="32">
        <v>0</v>
      </c>
      <c r="AB97" s="32">
        <v>0</v>
      </c>
      <c r="AC97" s="32">
        <v>0</v>
      </c>
      <c r="AD97" s="32">
        <v>0</v>
      </c>
      <c r="AE97" s="32">
        <v>0</v>
      </c>
      <c r="AF97" s="32">
        <v>0</v>
      </c>
      <c r="AG97" s="32">
        <v>0</v>
      </c>
      <c r="AH97" s="32">
        <v>0</v>
      </c>
      <c r="AI97" s="32">
        <v>0</v>
      </c>
      <c r="AJ97" s="32">
        <v>0</v>
      </c>
      <c r="AK97" s="32">
        <v>0</v>
      </c>
      <c r="AL97" s="32">
        <v>0</v>
      </c>
      <c r="AM97" s="32">
        <v>0</v>
      </c>
      <c r="AN97" s="32">
        <v>0</v>
      </c>
      <c r="AO97" s="32">
        <v>0</v>
      </c>
      <c r="AP97" s="32">
        <v>0</v>
      </c>
      <c r="AQ97" s="32">
        <v>0</v>
      </c>
      <c r="AR97" s="32">
        <v>0</v>
      </c>
      <c r="AS97" s="32">
        <v>0</v>
      </c>
      <c r="AT97" s="32">
        <v>0</v>
      </c>
      <c r="AU97" s="32">
        <v>0</v>
      </c>
      <c r="AV97" s="32">
        <v>0</v>
      </c>
      <c r="AW97" s="32">
        <v>0</v>
      </c>
      <c r="AX97" s="32">
        <v>0</v>
      </c>
      <c r="AY97" s="32">
        <v>0</v>
      </c>
      <c r="AZ97" s="32">
        <v>0</v>
      </c>
      <c r="BA97" s="32">
        <v>0</v>
      </c>
      <c r="BB97" s="32">
        <v>0</v>
      </c>
      <c r="BC97">
        <f>COUNTIF(J97:AZ97, "&gt;0")</f>
        <v>1</v>
      </c>
      <c r="BD97" s="13">
        <f>[1]!shannonweaver(J97:AZ97)</f>
        <v>0</v>
      </c>
      <c r="BE97">
        <f t="shared" si="1"/>
        <v>1</v>
      </c>
    </row>
    <row r="98" spans="1:57">
      <c r="A98" s="13" t="s">
        <v>214</v>
      </c>
      <c r="B98" t="s">
        <v>176</v>
      </c>
      <c r="C98" t="s">
        <v>213</v>
      </c>
      <c r="D98" s="13" t="s">
        <v>320</v>
      </c>
      <c r="E98" s="13" t="s">
        <v>283</v>
      </c>
      <c r="F98" s="13">
        <v>0</v>
      </c>
      <c r="G98" s="13">
        <v>0</v>
      </c>
      <c r="H98" s="13">
        <v>0</v>
      </c>
      <c r="I98" s="13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>
        <v>0</v>
      </c>
      <c r="P98" s="32">
        <v>0</v>
      </c>
      <c r="Q98" s="32">
        <v>0</v>
      </c>
      <c r="R98" s="32">
        <v>0</v>
      </c>
      <c r="S98" s="32">
        <v>0</v>
      </c>
      <c r="T98" s="13">
        <v>1</v>
      </c>
      <c r="U98" s="32">
        <v>0</v>
      </c>
      <c r="V98" s="32">
        <v>0</v>
      </c>
      <c r="W98" s="32">
        <v>0</v>
      </c>
      <c r="X98" s="32">
        <v>0</v>
      </c>
      <c r="Y98" s="13">
        <v>8</v>
      </c>
      <c r="Z98" s="32">
        <v>0</v>
      </c>
      <c r="AA98" s="13">
        <v>1</v>
      </c>
      <c r="AB98" s="13">
        <v>12</v>
      </c>
      <c r="AC98" s="32">
        <v>0</v>
      </c>
      <c r="AD98" s="13">
        <v>1</v>
      </c>
      <c r="AE98" s="32">
        <v>0</v>
      </c>
      <c r="AF98" s="32">
        <v>0</v>
      </c>
      <c r="AG98" s="32">
        <v>0</v>
      </c>
      <c r="AH98" s="32">
        <v>0</v>
      </c>
      <c r="AI98" s="32">
        <v>0</v>
      </c>
      <c r="AJ98" s="32">
        <v>0</v>
      </c>
      <c r="AK98" s="32">
        <v>0</v>
      </c>
      <c r="AL98" s="32">
        <v>0</v>
      </c>
      <c r="AM98" s="32">
        <v>0</v>
      </c>
      <c r="AN98" s="32">
        <v>0</v>
      </c>
      <c r="AO98" s="32">
        <v>0</v>
      </c>
      <c r="AP98" s="32">
        <v>0</v>
      </c>
      <c r="AQ98" s="32">
        <v>0</v>
      </c>
      <c r="AR98" s="32">
        <v>0</v>
      </c>
      <c r="AS98" s="32">
        <v>0</v>
      </c>
      <c r="AT98" s="32">
        <v>0</v>
      </c>
      <c r="AU98" s="32">
        <v>0</v>
      </c>
      <c r="AV98" s="32">
        <v>0</v>
      </c>
      <c r="AW98" s="32">
        <v>0</v>
      </c>
      <c r="AX98" s="32">
        <v>0</v>
      </c>
      <c r="AY98" s="32">
        <v>0</v>
      </c>
      <c r="AZ98" s="32">
        <v>0</v>
      </c>
      <c r="BA98" s="13">
        <v>2</v>
      </c>
      <c r="BB98" s="32">
        <v>0</v>
      </c>
      <c r="BC98">
        <f>COUNTIF(J98:AZ98, "&gt;0")</f>
        <v>5</v>
      </c>
      <c r="BD98" s="13">
        <f>[1]!shannonweaver(J98:AZ98)</f>
        <v>1.1157371667598153</v>
      </c>
      <c r="BE98">
        <f t="shared" si="1"/>
        <v>5</v>
      </c>
    </row>
    <row r="99" spans="1:57">
      <c r="A99" s="13" t="s">
        <v>215</v>
      </c>
      <c r="B99" t="s">
        <v>176</v>
      </c>
      <c r="C99" t="s">
        <v>213</v>
      </c>
      <c r="D99" s="13" t="s">
        <v>320</v>
      </c>
      <c r="E99" s="13" t="s">
        <v>283</v>
      </c>
      <c r="F99" s="13">
        <v>0</v>
      </c>
      <c r="G99" s="13">
        <v>0</v>
      </c>
      <c r="H99" s="13">
        <v>0</v>
      </c>
      <c r="I99" s="13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>
        <v>0</v>
      </c>
      <c r="P99" s="32">
        <v>0</v>
      </c>
      <c r="Q99" s="32">
        <v>0</v>
      </c>
      <c r="R99" s="32">
        <v>0</v>
      </c>
      <c r="S99" s="32">
        <v>0</v>
      </c>
      <c r="T99" s="32">
        <v>0</v>
      </c>
      <c r="U99" s="13">
        <v>1</v>
      </c>
      <c r="V99" s="32">
        <v>0</v>
      </c>
      <c r="W99" s="32">
        <v>0</v>
      </c>
      <c r="X99" s="32">
        <v>0</v>
      </c>
      <c r="Y99" s="13">
        <v>8</v>
      </c>
      <c r="Z99" s="32">
        <v>0</v>
      </c>
      <c r="AA99" s="13">
        <v>2</v>
      </c>
      <c r="AB99" s="13">
        <v>11</v>
      </c>
      <c r="AC99" s="32">
        <v>0</v>
      </c>
      <c r="AD99" s="13">
        <v>1</v>
      </c>
      <c r="AE99" s="32">
        <v>0</v>
      </c>
      <c r="AF99" s="32">
        <v>0</v>
      </c>
      <c r="AG99" s="32">
        <v>0</v>
      </c>
      <c r="AH99" s="32">
        <v>0</v>
      </c>
      <c r="AI99" s="32">
        <v>0</v>
      </c>
      <c r="AJ99" s="32">
        <v>0</v>
      </c>
      <c r="AK99" s="32">
        <v>0</v>
      </c>
      <c r="AL99" s="32">
        <v>0</v>
      </c>
      <c r="AM99" s="32">
        <v>0</v>
      </c>
      <c r="AN99" s="32">
        <v>0</v>
      </c>
      <c r="AO99" s="32">
        <v>0</v>
      </c>
      <c r="AP99" s="32">
        <v>0</v>
      </c>
      <c r="AQ99" s="32">
        <v>0</v>
      </c>
      <c r="AR99" s="32">
        <v>0</v>
      </c>
      <c r="AS99" s="32">
        <v>0</v>
      </c>
      <c r="AT99" s="32">
        <v>0</v>
      </c>
      <c r="AU99" s="32">
        <v>0</v>
      </c>
      <c r="AV99" s="32">
        <v>0</v>
      </c>
      <c r="AW99" s="32">
        <v>0</v>
      </c>
      <c r="AX99" s="32">
        <v>0</v>
      </c>
      <c r="AY99" s="32">
        <v>0</v>
      </c>
      <c r="AZ99" s="32">
        <v>0</v>
      </c>
      <c r="BA99" s="13">
        <v>2</v>
      </c>
      <c r="BB99" s="32">
        <v>0</v>
      </c>
      <c r="BC99">
        <f>COUNTIF(J99:AZ99, "&gt;0")</f>
        <v>5</v>
      </c>
      <c r="BD99" s="13">
        <f>[1]!shannonweaver(J99:AZ99)</f>
        <v>1.2051170552621646</v>
      </c>
      <c r="BE99">
        <f t="shared" si="1"/>
        <v>5</v>
      </c>
    </row>
    <row r="100" spans="1:57">
      <c r="A100" s="13" t="s">
        <v>216</v>
      </c>
      <c r="B100" t="s">
        <v>176</v>
      </c>
      <c r="C100" t="s">
        <v>213</v>
      </c>
      <c r="D100" s="13" t="s">
        <v>320</v>
      </c>
      <c r="E100" s="13" t="s">
        <v>283</v>
      </c>
      <c r="F100" s="13">
        <v>0</v>
      </c>
      <c r="G100" s="13">
        <v>0</v>
      </c>
      <c r="H100" s="13">
        <v>0</v>
      </c>
      <c r="I100" s="13">
        <v>0</v>
      </c>
      <c r="J100" s="32">
        <v>0</v>
      </c>
      <c r="K100" s="32">
        <v>0</v>
      </c>
      <c r="L100" s="32">
        <v>0</v>
      </c>
      <c r="M100" s="32">
        <v>0</v>
      </c>
      <c r="N100" s="32">
        <v>0</v>
      </c>
      <c r="O100" s="32">
        <v>0</v>
      </c>
      <c r="P100" s="32">
        <v>0</v>
      </c>
      <c r="Q100" s="32">
        <v>0</v>
      </c>
      <c r="R100" s="32">
        <v>0</v>
      </c>
      <c r="S100" s="32">
        <v>0</v>
      </c>
      <c r="T100" s="32">
        <v>0</v>
      </c>
      <c r="U100" s="13">
        <v>1</v>
      </c>
      <c r="V100" s="32">
        <v>0</v>
      </c>
      <c r="W100" s="32">
        <v>0</v>
      </c>
      <c r="X100" s="32">
        <v>0</v>
      </c>
      <c r="Y100" s="13">
        <v>8</v>
      </c>
      <c r="Z100" s="32">
        <v>0</v>
      </c>
      <c r="AA100" s="13">
        <v>1</v>
      </c>
      <c r="AB100" s="13">
        <v>0</v>
      </c>
      <c r="AC100" s="32">
        <v>0</v>
      </c>
      <c r="AD100" s="32">
        <v>0</v>
      </c>
      <c r="AE100" s="32">
        <v>0</v>
      </c>
      <c r="AF100" s="32">
        <v>0</v>
      </c>
      <c r="AG100" s="32">
        <v>0</v>
      </c>
      <c r="AH100" s="32">
        <v>0</v>
      </c>
      <c r="AI100" s="32">
        <v>0</v>
      </c>
      <c r="AJ100" s="32">
        <v>0</v>
      </c>
      <c r="AK100" s="32">
        <v>0</v>
      </c>
      <c r="AL100" s="32">
        <v>0</v>
      </c>
      <c r="AM100" s="32">
        <v>0</v>
      </c>
      <c r="AN100" s="32">
        <v>0</v>
      </c>
      <c r="AO100" s="32">
        <v>0</v>
      </c>
      <c r="AP100" s="32">
        <v>0</v>
      </c>
      <c r="AQ100" s="32">
        <v>0</v>
      </c>
      <c r="AR100" s="32">
        <v>0</v>
      </c>
      <c r="AS100" s="32">
        <v>0</v>
      </c>
      <c r="AT100" s="32">
        <v>0</v>
      </c>
      <c r="AU100" s="32">
        <v>0</v>
      </c>
      <c r="AV100" s="32">
        <v>0</v>
      </c>
      <c r="AW100" s="32">
        <v>0</v>
      </c>
      <c r="AX100" s="32">
        <v>0</v>
      </c>
      <c r="AY100" s="32">
        <v>0</v>
      </c>
      <c r="AZ100" s="32">
        <v>0</v>
      </c>
      <c r="BA100" s="32">
        <v>0</v>
      </c>
      <c r="BB100" s="32">
        <v>0</v>
      </c>
      <c r="BC100">
        <f>COUNTIF(J100:AZ100, "&gt;0")</f>
        <v>3</v>
      </c>
      <c r="BD100" s="13">
        <f>[1]!shannonweaver(J100:AZ100)</f>
        <v>0.63903185965017695</v>
      </c>
      <c r="BE100">
        <f t="shared" si="1"/>
        <v>3</v>
      </c>
    </row>
    <row r="101" spans="1:57">
      <c r="A101" s="13" t="s">
        <v>217</v>
      </c>
      <c r="B101" t="s">
        <v>176</v>
      </c>
      <c r="C101" t="s">
        <v>213</v>
      </c>
      <c r="D101" s="13" t="s">
        <v>320</v>
      </c>
      <c r="E101" s="13" t="s">
        <v>283</v>
      </c>
      <c r="F101" s="13">
        <v>0</v>
      </c>
      <c r="G101" s="13">
        <v>0</v>
      </c>
      <c r="H101" s="13">
        <v>0</v>
      </c>
      <c r="I101" s="13">
        <v>0</v>
      </c>
      <c r="J101" s="32">
        <v>0</v>
      </c>
      <c r="K101" s="32">
        <v>0</v>
      </c>
      <c r="L101" s="13">
        <v>5</v>
      </c>
      <c r="M101" s="32">
        <v>0</v>
      </c>
      <c r="N101" s="32">
        <v>0</v>
      </c>
      <c r="O101" s="32">
        <v>0</v>
      </c>
      <c r="P101" s="32">
        <v>0</v>
      </c>
      <c r="Q101" s="32">
        <v>0</v>
      </c>
      <c r="R101" s="32">
        <v>0</v>
      </c>
      <c r="S101" s="32">
        <v>0</v>
      </c>
      <c r="T101" s="32">
        <v>0</v>
      </c>
      <c r="U101" s="32">
        <v>0</v>
      </c>
      <c r="V101" s="32">
        <v>0</v>
      </c>
      <c r="W101" s="32">
        <v>0</v>
      </c>
      <c r="X101" s="32">
        <v>0</v>
      </c>
      <c r="Y101" s="13">
        <v>5</v>
      </c>
      <c r="Z101" s="32">
        <v>0</v>
      </c>
      <c r="AA101" s="13">
        <v>2</v>
      </c>
      <c r="AB101" s="13">
        <v>4</v>
      </c>
      <c r="AC101" s="32">
        <v>0</v>
      </c>
      <c r="AD101" s="32">
        <v>0</v>
      </c>
      <c r="AE101" s="32">
        <v>0</v>
      </c>
      <c r="AF101" s="32">
        <v>0</v>
      </c>
      <c r="AG101" s="32">
        <v>0</v>
      </c>
      <c r="AH101" s="32">
        <v>0</v>
      </c>
      <c r="AI101" s="32">
        <v>0</v>
      </c>
      <c r="AJ101" s="32">
        <v>0</v>
      </c>
      <c r="AK101" s="32">
        <v>0</v>
      </c>
      <c r="AL101" s="32">
        <v>0</v>
      </c>
      <c r="AM101" s="32">
        <v>0</v>
      </c>
      <c r="AN101" s="32">
        <v>0</v>
      </c>
      <c r="AO101" s="32">
        <v>0</v>
      </c>
      <c r="AP101" s="32">
        <v>0</v>
      </c>
      <c r="AQ101" s="32">
        <v>0</v>
      </c>
      <c r="AR101" s="32">
        <v>0</v>
      </c>
      <c r="AS101" s="32">
        <v>0</v>
      </c>
      <c r="AT101" s="32">
        <v>0</v>
      </c>
      <c r="AU101" s="32">
        <v>0</v>
      </c>
      <c r="AV101" s="32">
        <v>0</v>
      </c>
      <c r="AW101" s="32">
        <v>0</v>
      </c>
      <c r="AX101" s="13">
        <v>1</v>
      </c>
      <c r="AY101" s="32">
        <v>0</v>
      </c>
      <c r="AZ101" s="32">
        <v>0</v>
      </c>
      <c r="BA101" s="13">
        <v>2</v>
      </c>
      <c r="BB101" s="32">
        <v>0</v>
      </c>
      <c r="BC101">
        <f>COUNTIF(J101:AZ101, "&gt;0")</f>
        <v>5</v>
      </c>
      <c r="BD101" s="13">
        <f>[1]!shannonweaver(J101:AZ101)</f>
        <v>1.4787515246479539</v>
      </c>
      <c r="BE101">
        <f t="shared" si="1"/>
        <v>5</v>
      </c>
    </row>
    <row r="102" spans="1:57">
      <c r="A102" s="13" t="s">
        <v>218</v>
      </c>
      <c r="B102" t="s">
        <v>176</v>
      </c>
      <c r="C102" t="s">
        <v>213</v>
      </c>
      <c r="D102" s="13" t="s">
        <v>320</v>
      </c>
      <c r="E102" s="13" t="s">
        <v>283</v>
      </c>
      <c r="F102" s="13">
        <v>0</v>
      </c>
      <c r="G102" s="13">
        <v>0</v>
      </c>
      <c r="H102" s="13">
        <v>0</v>
      </c>
      <c r="I102" s="13">
        <v>0</v>
      </c>
      <c r="J102" s="32">
        <v>0</v>
      </c>
      <c r="K102" s="32">
        <v>0</v>
      </c>
      <c r="L102" s="13">
        <v>1</v>
      </c>
      <c r="M102" s="32">
        <v>0</v>
      </c>
      <c r="N102" s="32">
        <v>0</v>
      </c>
      <c r="O102" s="32">
        <v>0</v>
      </c>
      <c r="P102" s="32">
        <v>0</v>
      </c>
      <c r="Q102" s="32">
        <v>0</v>
      </c>
      <c r="R102" s="32">
        <v>0</v>
      </c>
      <c r="S102" s="32">
        <v>0</v>
      </c>
      <c r="T102" s="13">
        <v>1</v>
      </c>
      <c r="U102" s="13">
        <v>1</v>
      </c>
      <c r="V102" s="32">
        <v>0</v>
      </c>
      <c r="W102" s="32">
        <v>0</v>
      </c>
      <c r="X102" s="32">
        <v>0</v>
      </c>
      <c r="Y102" s="32">
        <v>0</v>
      </c>
      <c r="Z102" s="32">
        <v>0</v>
      </c>
      <c r="AA102" s="13">
        <v>3</v>
      </c>
      <c r="AB102" s="13">
        <v>10</v>
      </c>
      <c r="AC102" s="32">
        <v>0</v>
      </c>
      <c r="AD102" s="32">
        <v>0</v>
      </c>
      <c r="AE102" s="32">
        <v>0</v>
      </c>
      <c r="AF102" s="32">
        <v>0</v>
      </c>
      <c r="AG102" s="32">
        <v>0</v>
      </c>
      <c r="AH102" s="32">
        <v>0</v>
      </c>
      <c r="AI102" s="32">
        <v>0</v>
      </c>
      <c r="AJ102" s="13">
        <v>1</v>
      </c>
      <c r="AK102" s="32">
        <v>0</v>
      </c>
      <c r="AL102" s="32">
        <v>0</v>
      </c>
      <c r="AM102" s="32">
        <v>0</v>
      </c>
      <c r="AN102" s="32">
        <v>0</v>
      </c>
      <c r="AO102" s="32">
        <v>0</v>
      </c>
      <c r="AP102" s="32">
        <v>0</v>
      </c>
      <c r="AQ102" s="32">
        <v>0</v>
      </c>
      <c r="AR102" s="32">
        <v>0</v>
      </c>
      <c r="AS102" s="32">
        <v>0</v>
      </c>
      <c r="AT102" s="32">
        <v>0</v>
      </c>
      <c r="AU102" s="32">
        <v>0</v>
      </c>
      <c r="AV102" s="32">
        <v>0</v>
      </c>
      <c r="AW102" s="32">
        <v>0</v>
      </c>
      <c r="AX102" s="32">
        <v>0</v>
      </c>
      <c r="AY102" s="32">
        <v>0</v>
      </c>
      <c r="AZ102" s="32">
        <v>0</v>
      </c>
      <c r="BA102" s="32">
        <v>0</v>
      </c>
      <c r="BB102" s="32">
        <v>0</v>
      </c>
      <c r="BC102">
        <f>COUNTIF(J102:AZ102, "&gt;0")</f>
        <v>6</v>
      </c>
      <c r="BD102" s="13">
        <f>[1]!shannonweaver(J102:AZ102)</f>
        <v>1.28487876782417</v>
      </c>
      <c r="BE102">
        <f t="shared" si="1"/>
        <v>6</v>
      </c>
    </row>
    <row r="103" spans="1:57">
      <c r="A103" s="13" t="s">
        <v>219</v>
      </c>
      <c r="B103" t="s">
        <v>176</v>
      </c>
      <c r="C103" t="s">
        <v>213</v>
      </c>
      <c r="D103" s="13" t="s">
        <v>320</v>
      </c>
      <c r="E103" s="13" t="s">
        <v>283</v>
      </c>
      <c r="F103" s="13">
        <v>0</v>
      </c>
      <c r="G103" s="13">
        <v>0</v>
      </c>
      <c r="H103" s="13">
        <v>0</v>
      </c>
      <c r="I103" s="13">
        <v>0</v>
      </c>
      <c r="J103" s="32">
        <v>0</v>
      </c>
      <c r="K103" s="32">
        <v>0</v>
      </c>
      <c r="L103" s="13">
        <v>1</v>
      </c>
      <c r="M103" s="13">
        <v>1</v>
      </c>
      <c r="N103" s="32">
        <v>0</v>
      </c>
      <c r="O103" s="32">
        <v>0</v>
      </c>
      <c r="P103" s="32">
        <v>0</v>
      </c>
      <c r="Q103" s="32">
        <v>0</v>
      </c>
      <c r="R103" s="32">
        <v>0</v>
      </c>
      <c r="S103" s="32">
        <v>0</v>
      </c>
      <c r="T103" s="32">
        <v>0</v>
      </c>
      <c r="U103" s="32">
        <v>0</v>
      </c>
      <c r="V103" s="32">
        <v>0</v>
      </c>
      <c r="W103" s="32">
        <v>0</v>
      </c>
      <c r="X103" s="32">
        <v>0</v>
      </c>
      <c r="Y103" s="32">
        <v>0</v>
      </c>
      <c r="Z103" s="32">
        <v>0</v>
      </c>
      <c r="AA103" s="13">
        <v>3</v>
      </c>
      <c r="AB103" s="13">
        <v>12</v>
      </c>
      <c r="AC103" s="32">
        <v>0</v>
      </c>
      <c r="AD103" s="32">
        <v>0</v>
      </c>
      <c r="AE103" s="32">
        <v>0</v>
      </c>
      <c r="AF103" s="32">
        <v>0</v>
      </c>
      <c r="AG103" s="32">
        <v>0</v>
      </c>
      <c r="AH103" s="32">
        <v>0</v>
      </c>
      <c r="AI103" s="32">
        <v>0</v>
      </c>
      <c r="AJ103" s="32">
        <v>0</v>
      </c>
      <c r="AK103" s="32">
        <v>0</v>
      </c>
      <c r="AL103" s="32">
        <v>0</v>
      </c>
      <c r="AM103" s="32">
        <v>0</v>
      </c>
      <c r="AN103" s="32">
        <v>0</v>
      </c>
      <c r="AO103" s="32">
        <v>0</v>
      </c>
      <c r="AP103" s="32">
        <v>0</v>
      </c>
      <c r="AQ103" s="32">
        <v>0</v>
      </c>
      <c r="AR103" s="32">
        <v>0</v>
      </c>
      <c r="AS103" s="32">
        <v>0</v>
      </c>
      <c r="AT103" s="32">
        <v>0</v>
      </c>
      <c r="AU103" s="32">
        <v>0</v>
      </c>
      <c r="AV103" s="32">
        <v>0</v>
      </c>
      <c r="AW103" s="32">
        <v>0</v>
      </c>
      <c r="AX103" s="32">
        <v>0</v>
      </c>
      <c r="AY103" s="32">
        <v>0</v>
      </c>
      <c r="AZ103" s="32">
        <v>0</v>
      </c>
      <c r="BA103" s="32">
        <v>0</v>
      </c>
      <c r="BB103" s="32">
        <v>0</v>
      </c>
      <c r="BC103">
        <f>COUNTIF(J103:AZ103, "&gt;0")</f>
        <v>4</v>
      </c>
      <c r="BD103" s="13">
        <f>[1]!shannonweaver(J103:AZ103)</f>
        <v>0.88528883444090234</v>
      </c>
      <c r="BE103">
        <f t="shared" si="1"/>
        <v>4</v>
      </c>
    </row>
    <row r="104" spans="1:57">
      <c r="A104" s="13" t="s">
        <v>221</v>
      </c>
      <c r="B104" t="s">
        <v>176</v>
      </c>
      <c r="C104" t="s">
        <v>220</v>
      </c>
      <c r="D104" s="13" t="s">
        <v>320</v>
      </c>
      <c r="E104" s="13" t="s">
        <v>283</v>
      </c>
      <c r="F104" s="13">
        <v>0</v>
      </c>
      <c r="G104" s="13">
        <v>0</v>
      </c>
      <c r="H104" s="13">
        <v>0</v>
      </c>
      <c r="I104" s="13">
        <v>0</v>
      </c>
      <c r="J104" s="32">
        <v>0</v>
      </c>
      <c r="K104" s="32">
        <v>0</v>
      </c>
      <c r="L104" s="13">
        <v>2</v>
      </c>
      <c r="M104" s="13">
        <v>0</v>
      </c>
      <c r="N104" s="32">
        <v>0</v>
      </c>
      <c r="O104" s="32">
        <v>0</v>
      </c>
      <c r="P104" s="32">
        <v>0</v>
      </c>
      <c r="Q104" s="32">
        <v>0</v>
      </c>
      <c r="R104" s="32">
        <v>0</v>
      </c>
      <c r="S104" s="32">
        <v>0</v>
      </c>
      <c r="T104" s="32">
        <v>0</v>
      </c>
      <c r="U104" s="32">
        <v>0</v>
      </c>
      <c r="V104" s="32">
        <v>0</v>
      </c>
      <c r="W104" s="32">
        <v>0</v>
      </c>
      <c r="X104" s="13">
        <v>1</v>
      </c>
      <c r="Y104" s="13">
        <v>5</v>
      </c>
      <c r="Z104" s="32">
        <v>0</v>
      </c>
      <c r="AA104" s="13">
        <v>6</v>
      </c>
      <c r="AB104" s="13">
        <v>15</v>
      </c>
      <c r="AC104" s="32">
        <v>0</v>
      </c>
      <c r="AD104" s="32">
        <v>0</v>
      </c>
      <c r="AE104" s="32">
        <v>0</v>
      </c>
      <c r="AF104" s="32">
        <v>0</v>
      </c>
      <c r="AG104" s="32">
        <v>0</v>
      </c>
      <c r="AH104" s="32">
        <v>0</v>
      </c>
      <c r="AI104" s="32">
        <v>0</v>
      </c>
      <c r="AJ104" s="32">
        <v>0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</v>
      </c>
      <c r="AQ104" s="32">
        <v>0</v>
      </c>
      <c r="AR104" s="32">
        <v>0</v>
      </c>
      <c r="AS104" s="32">
        <v>0</v>
      </c>
      <c r="AT104" s="32">
        <v>0</v>
      </c>
      <c r="AU104" s="32">
        <v>0</v>
      </c>
      <c r="AV104" s="32">
        <v>0</v>
      </c>
      <c r="AW104" s="32">
        <v>0</v>
      </c>
      <c r="AX104" s="32">
        <v>0</v>
      </c>
      <c r="AY104" s="32">
        <v>0</v>
      </c>
      <c r="AZ104" s="32">
        <v>0</v>
      </c>
      <c r="BA104" s="13">
        <v>1</v>
      </c>
      <c r="BB104" s="32">
        <v>0</v>
      </c>
      <c r="BC104">
        <f>COUNTIF(J104:AZ104, "&gt;0")</f>
        <v>5</v>
      </c>
      <c r="BD104" s="13">
        <f>[1]!shannonweaver(J104:AZ104)</f>
        <v>1.2705788039453749</v>
      </c>
      <c r="BE104">
        <f t="shared" si="1"/>
        <v>5</v>
      </c>
    </row>
    <row r="105" spans="1:57">
      <c r="A105" s="13" t="s">
        <v>19</v>
      </c>
      <c r="B105" t="s">
        <v>176</v>
      </c>
      <c r="C105" t="s">
        <v>220</v>
      </c>
      <c r="D105" s="13" t="s">
        <v>320</v>
      </c>
      <c r="E105" s="13" t="s">
        <v>283</v>
      </c>
      <c r="F105" s="13">
        <v>0</v>
      </c>
      <c r="G105" s="13">
        <v>0</v>
      </c>
      <c r="H105" s="13">
        <v>0</v>
      </c>
      <c r="I105" s="13">
        <v>0</v>
      </c>
      <c r="J105" s="32">
        <v>0</v>
      </c>
      <c r="K105" s="32">
        <v>0</v>
      </c>
      <c r="L105" s="13">
        <v>2</v>
      </c>
      <c r="M105" s="13">
        <v>0</v>
      </c>
      <c r="N105" s="32">
        <v>0</v>
      </c>
      <c r="O105" s="32">
        <v>0</v>
      </c>
      <c r="P105" s="32">
        <v>0</v>
      </c>
      <c r="Q105" s="32">
        <v>0</v>
      </c>
      <c r="R105" s="32">
        <v>0</v>
      </c>
      <c r="S105" s="32">
        <v>0</v>
      </c>
      <c r="T105" s="13">
        <v>1</v>
      </c>
      <c r="U105" s="13">
        <v>1</v>
      </c>
      <c r="V105" s="32">
        <v>0</v>
      </c>
      <c r="W105" s="32">
        <v>0</v>
      </c>
      <c r="X105" s="32">
        <v>0</v>
      </c>
      <c r="Y105" s="13">
        <v>1</v>
      </c>
      <c r="Z105" s="32">
        <v>0</v>
      </c>
      <c r="AA105" s="13">
        <v>6</v>
      </c>
      <c r="AB105" s="13">
        <v>5</v>
      </c>
      <c r="AC105" s="32">
        <v>0</v>
      </c>
      <c r="AD105" s="32">
        <v>0</v>
      </c>
      <c r="AE105" s="32">
        <v>0</v>
      </c>
      <c r="AF105" s="32">
        <v>0</v>
      </c>
      <c r="AG105" s="32">
        <v>0</v>
      </c>
      <c r="AH105" s="32">
        <v>0</v>
      </c>
      <c r="AI105" s="32">
        <v>0</v>
      </c>
      <c r="AJ105" s="32">
        <v>0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</v>
      </c>
      <c r="AQ105" s="32">
        <v>0</v>
      </c>
      <c r="AR105" s="32">
        <v>0</v>
      </c>
      <c r="AS105" s="32">
        <v>0</v>
      </c>
      <c r="AT105" s="32">
        <v>0</v>
      </c>
      <c r="AU105" s="32">
        <v>0</v>
      </c>
      <c r="AV105" s="32">
        <v>0</v>
      </c>
      <c r="AW105" s="32">
        <v>0</v>
      </c>
      <c r="AX105" s="32">
        <v>0</v>
      </c>
      <c r="AY105" s="32">
        <v>0</v>
      </c>
      <c r="AZ105" s="32">
        <v>0</v>
      </c>
      <c r="BA105" s="13">
        <v>1</v>
      </c>
      <c r="BB105" s="32">
        <v>0</v>
      </c>
      <c r="BC105">
        <f>COUNTIF(J105:AZ105, "&gt;0")</f>
        <v>6</v>
      </c>
      <c r="BD105" s="13">
        <f>[1]!shannonweaver(J105:AZ105)</f>
        <v>1.511086176073611</v>
      </c>
      <c r="BE105">
        <f t="shared" si="1"/>
        <v>6</v>
      </c>
    </row>
    <row r="106" spans="1:57">
      <c r="A106" s="13" t="s">
        <v>20</v>
      </c>
      <c r="B106" t="s">
        <v>176</v>
      </c>
      <c r="C106" t="s">
        <v>220</v>
      </c>
      <c r="D106" s="13" t="s">
        <v>320</v>
      </c>
      <c r="E106" s="13" t="s">
        <v>283</v>
      </c>
      <c r="F106" s="13">
        <v>0</v>
      </c>
      <c r="G106" s="13">
        <v>0</v>
      </c>
      <c r="H106" s="13">
        <v>0</v>
      </c>
      <c r="I106" s="13">
        <v>0</v>
      </c>
      <c r="J106" s="32">
        <v>0</v>
      </c>
      <c r="K106" s="32">
        <v>0</v>
      </c>
      <c r="L106" s="32">
        <v>0</v>
      </c>
      <c r="M106" s="32">
        <v>0</v>
      </c>
      <c r="N106" s="32">
        <v>0</v>
      </c>
      <c r="O106" s="32">
        <v>0</v>
      </c>
      <c r="P106" s="32">
        <v>0</v>
      </c>
      <c r="Q106" s="32">
        <v>0</v>
      </c>
      <c r="R106" s="32">
        <v>0</v>
      </c>
      <c r="S106" s="32">
        <v>0</v>
      </c>
      <c r="T106" s="32">
        <v>0</v>
      </c>
      <c r="U106" s="32">
        <v>0</v>
      </c>
      <c r="V106" s="32">
        <v>0</v>
      </c>
      <c r="W106" s="32">
        <v>0</v>
      </c>
      <c r="X106" s="32">
        <v>0</v>
      </c>
      <c r="Y106" s="32">
        <v>0</v>
      </c>
      <c r="Z106" s="32">
        <v>0</v>
      </c>
      <c r="AA106" s="13">
        <v>1</v>
      </c>
      <c r="AB106" s="13">
        <v>11</v>
      </c>
      <c r="AC106" s="32">
        <v>0</v>
      </c>
      <c r="AD106" s="32">
        <v>0</v>
      </c>
      <c r="AE106" s="32">
        <v>0</v>
      </c>
      <c r="AF106" s="32">
        <v>0</v>
      </c>
      <c r="AG106" s="32">
        <v>0</v>
      </c>
      <c r="AH106" s="32">
        <v>0</v>
      </c>
      <c r="AI106" s="32">
        <v>0</v>
      </c>
      <c r="AJ106" s="32">
        <v>0</v>
      </c>
      <c r="AK106" s="32">
        <v>0</v>
      </c>
      <c r="AL106" s="32">
        <v>0</v>
      </c>
      <c r="AM106" s="32">
        <v>0</v>
      </c>
      <c r="AN106" s="32">
        <v>0</v>
      </c>
      <c r="AO106" s="32">
        <v>0</v>
      </c>
      <c r="AP106" s="32">
        <v>0</v>
      </c>
      <c r="AQ106" s="32">
        <v>0</v>
      </c>
      <c r="AR106" s="32">
        <v>0</v>
      </c>
      <c r="AS106" s="32">
        <v>0</v>
      </c>
      <c r="AT106" s="32">
        <v>0</v>
      </c>
      <c r="AU106" s="32">
        <v>0</v>
      </c>
      <c r="AV106" s="32">
        <v>0</v>
      </c>
      <c r="AW106" s="32">
        <v>0</v>
      </c>
      <c r="AX106" s="32">
        <v>0</v>
      </c>
      <c r="AY106" s="32">
        <v>0</v>
      </c>
      <c r="AZ106" s="32">
        <v>0</v>
      </c>
      <c r="BA106" s="32">
        <v>0</v>
      </c>
      <c r="BB106" s="32">
        <v>0</v>
      </c>
      <c r="BC106">
        <f>COUNTIF(J106:AZ106, "&gt;0")</f>
        <v>2</v>
      </c>
      <c r="BD106" s="13">
        <f>[1]!shannonweaver(J106:AZ106)</f>
        <v>0.2868359830561607</v>
      </c>
      <c r="BE106">
        <f t="shared" si="1"/>
        <v>2</v>
      </c>
    </row>
    <row r="107" spans="1:57">
      <c r="A107" s="13" t="s">
        <v>68</v>
      </c>
      <c r="B107" t="s">
        <v>176</v>
      </c>
      <c r="C107" t="s">
        <v>220</v>
      </c>
      <c r="D107" s="13" t="s">
        <v>320</v>
      </c>
      <c r="E107" s="13" t="s">
        <v>283</v>
      </c>
      <c r="F107" s="13">
        <v>0</v>
      </c>
      <c r="G107" s="13">
        <v>0</v>
      </c>
      <c r="H107" s="13">
        <v>0</v>
      </c>
      <c r="I107" s="13">
        <v>0</v>
      </c>
      <c r="J107" s="32">
        <v>0</v>
      </c>
      <c r="K107" s="32">
        <v>0</v>
      </c>
      <c r="L107" s="13">
        <v>6</v>
      </c>
      <c r="M107" s="32">
        <v>0</v>
      </c>
      <c r="N107" s="32">
        <v>0</v>
      </c>
      <c r="O107" s="13">
        <v>1</v>
      </c>
      <c r="P107" s="32">
        <v>0</v>
      </c>
      <c r="Q107" s="32">
        <v>0</v>
      </c>
      <c r="R107" s="32">
        <v>0</v>
      </c>
      <c r="S107" s="32">
        <v>0</v>
      </c>
      <c r="T107" s="32">
        <v>0</v>
      </c>
      <c r="U107" s="32">
        <v>0</v>
      </c>
      <c r="V107" s="32">
        <v>0</v>
      </c>
      <c r="W107" s="32">
        <v>0</v>
      </c>
      <c r="X107" s="32">
        <v>0</v>
      </c>
      <c r="Y107" s="13">
        <v>1</v>
      </c>
      <c r="Z107" s="32">
        <v>0</v>
      </c>
      <c r="AA107" s="13">
        <v>1</v>
      </c>
      <c r="AB107" s="13">
        <v>5</v>
      </c>
      <c r="AC107" s="32">
        <v>0</v>
      </c>
      <c r="AD107" s="32">
        <v>0</v>
      </c>
      <c r="AE107" s="32">
        <v>0</v>
      </c>
      <c r="AF107" s="32">
        <v>0</v>
      </c>
      <c r="AG107" s="32">
        <v>0</v>
      </c>
      <c r="AH107" s="32">
        <v>0</v>
      </c>
      <c r="AI107" s="32">
        <v>0</v>
      </c>
      <c r="AJ107" s="32">
        <v>0</v>
      </c>
      <c r="AK107" s="32">
        <v>0</v>
      </c>
      <c r="AL107" s="32">
        <v>0</v>
      </c>
      <c r="AM107" s="32">
        <v>0</v>
      </c>
      <c r="AN107" s="32">
        <v>0</v>
      </c>
      <c r="AO107" s="32">
        <v>0</v>
      </c>
      <c r="AP107" s="32">
        <v>0</v>
      </c>
      <c r="AQ107" s="32">
        <v>0</v>
      </c>
      <c r="AR107" s="32">
        <v>0</v>
      </c>
      <c r="AS107" s="32">
        <v>0</v>
      </c>
      <c r="AT107" s="32">
        <v>0</v>
      </c>
      <c r="AU107" s="32">
        <v>0</v>
      </c>
      <c r="AV107" s="32">
        <v>0</v>
      </c>
      <c r="AW107" s="32">
        <v>0</v>
      </c>
      <c r="AX107" s="32">
        <v>0</v>
      </c>
      <c r="AY107" s="32">
        <v>0</v>
      </c>
      <c r="AZ107" s="32">
        <v>0</v>
      </c>
      <c r="BA107" s="13">
        <v>2</v>
      </c>
      <c r="BB107" s="32">
        <v>0</v>
      </c>
      <c r="BC107">
        <f>COUNTIF(J107:AZ107, "&gt;0")</f>
        <v>5</v>
      </c>
      <c r="BD107" s="13">
        <f>[1]!shannonweaver(J107:AZ107)</f>
        <v>1.2963611597910565</v>
      </c>
      <c r="BE107">
        <f t="shared" si="1"/>
        <v>5</v>
      </c>
    </row>
    <row r="108" spans="1:57">
      <c r="A108" s="13" t="s">
        <v>69</v>
      </c>
      <c r="B108" t="s">
        <v>176</v>
      </c>
      <c r="C108" t="s">
        <v>220</v>
      </c>
      <c r="D108" s="13" t="s">
        <v>320</v>
      </c>
      <c r="E108" s="13" t="s">
        <v>283</v>
      </c>
      <c r="F108" s="13">
        <v>0</v>
      </c>
      <c r="G108" s="13">
        <v>0</v>
      </c>
      <c r="H108" s="13">
        <v>0</v>
      </c>
      <c r="I108" s="13">
        <v>0</v>
      </c>
      <c r="J108" s="32">
        <v>0</v>
      </c>
      <c r="K108" s="32">
        <v>0</v>
      </c>
      <c r="L108" s="13">
        <v>2</v>
      </c>
      <c r="M108" s="32">
        <v>0</v>
      </c>
      <c r="N108" s="32">
        <v>0</v>
      </c>
      <c r="O108" s="32">
        <v>0</v>
      </c>
      <c r="P108" s="32">
        <v>0</v>
      </c>
      <c r="Q108" s="32">
        <v>0</v>
      </c>
      <c r="R108" s="32">
        <v>0</v>
      </c>
      <c r="S108" s="13">
        <v>1</v>
      </c>
      <c r="T108" s="32">
        <v>0</v>
      </c>
      <c r="U108" s="32">
        <v>0</v>
      </c>
      <c r="V108" s="32">
        <v>0</v>
      </c>
      <c r="W108" s="32">
        <v>0</v>
      </c>
      <c r="X108" s="32">
        <v>0</v>
      </c>
      <c r="Y108" s="13">
        <v>4</v>
      </c>
      <c r="Z108" s="32">
        <v>0</v>
      </c>
      <c r="AA108" s="13">
        <v>2</v>
      </c>
      <c r="AB108" s="13">
        <v>14</v>
      </c>
      <c r="AC108" s="32">
        <v>0</v>
      </c>
      <c r="AD108" s="13">
        <v>1</v>
      </c>
      <c r="AE108" s="32">
        <v>0</v>
      </c>
      <c r="AF108" s="32">
        <v>0</v>
      </c>
      <c r="AG108" s="32">
        <v>0</v>
      </c>
      <c r="AH108" s="32">
        <v>0</v>
      </c>
      <c r="AI108" s="32">
        <v>0</v>
      </c>
      <c r="AJ108" s="32">
        <v>0</v>
      </c>
      <c r="AK108" s="32">
        <v>0</v>
      </c>
      <c r="AL108" s="32">
        <v>0</v>
      </c>
      <c r="AM108" s="32">
        <v>0</v>
      </c>
      <c r="AN108" s="32">
        <v>0</v>
      </c>
      <c r="AO108" s="32">
        <v>0</v>
      </c>
      <c r="AP108" s="32">
        <v>0</v>
      </c>
      <c r="AQ108" s="32">
        <v>0</v>
      </c>
      <c r="AR108" s="32">
        <v>0</v>
      </c>
      <c r="AS108" s="32">
        <v>0</v>
      </c>
      <c r="AT108" s="32">
        <v>0</v>
      </c>
      <c r="AU108" s="32">
        <v>0</v>
      </c>
      <c r="AV108" s="32">
        <v>0</v>
      </c>
      <c r="AW108" s="32">
        <v>0</v>
      </c>
      <c r="AX108" s="32">
        <v>0</v>
      </c>
      <c r="AY108" s="32">
        <v>0</v>
      </c>
      <c r="AZ108" s="32">
        <v>0</v>
      </c>
      <c r="BA108" s="32">
        <v>0</v>
      </c>
      <c r="BB108" s="32">
        <v>0</v>
      </c>
      <c r="BC108">
        <f>COUNTIF(J108:AZ108, "&gt;0")</f>
        <v>6</v>
      </c>
      <c r="BD108" s="13">
        <f>[1]!shannonweaver(J108:AZ108)</f>
        <v>1.2920301311257385</v>
      </c>
      <c r="BE108">
        <f t="shared" si="1"/>
        <v>6</v>
      </c>
    </row>
    <row r="109" spans="1:57">
      <c r="A109" s="13" t="s">
        <v>70</v>
      </c>
      <c r="B109" t="s">
        <v>176</v>
      </c>
      <c r="C109" t="s">
        <v>220</v>
      </c>
      <c r="D109" s="13" t="s">
        <v>320</v>
      </c>
      <c r="E109" s="13" t="s">
        <v>283</v>
      </c>
      <c r="F109" s="13">
        <v>0</v>
      </c>
      <c r="G109" s="13">
        <v>0</v>
      </c>
      <c r="H109" s="13">
        <v>0</v>
      </c>
      <c r="I109" s="13">
        <v>0</v>
      </c>
      <c r="J109" s="32">
        <v>0</v>
      </c>
      <c r="K109" s="32">
        <v>0</v>
      </c>
      <c r="L109" s="13">
        <v>2</v>
      </c>
      <c r="M109" s="32">
        <v>0</v>
      </c>
      <c r="N109" s="32">
        <v>0</v>
      </c>
      <c r="O109" s="32">
        <v>0</v>
      </c>
      <c r="P109" s="32">
        <v>0</v>
      </c>
      <c r="Q109" s="32">
        <v>0</v>
      </c>
      <c r="R109" s="32">
        <v>0</v>
      </c>
      <c r="S109" s="32">
        <v>0</v>
      </c>
      <c r="T109" s="32">
        <v>0</v>
      </c>
      <c r="U109" s="32">
        <v>0</v>
      </c>
      <c r="V109" s="32">
        <v>0</v>
      </c>
      <c r="W109" s="32">
        <v>0</v>
      </c>
      <c r="X109" s="32">
        <v>0</v>
      </c>
      <c r="Y109" s="13">
        <v>5</v>
      </c>
      <c r="Z109" s="32">
        <v>0</v>
      </c>
      <c r="AA109" s="13">
        <v>5</v>
      </c>
      <c r="AB109" s="13">
        <v>14</v>
      </c>
      <c r="AC109" s="32">
        <v>0</v>
      </c>
      <c r="AD109" s="32">
        <v>0</v>
      </c>
      <c r="AE109" s="32">
        <v>0</v>
      </c>
      <c r="AF109" s="32">
        <v>0</v>
      </c>
      <c r="AG109" s="32">
        <v>0</v>
      </c>
      <c r="AH109" s="32">
        <v>0</v>
      </c>
      <c r="AI109" s="32">
        <v>0</v>
      </c>
      <c r="AJ109" s="32">
        <v>0</v>
      </c>
      <c r="AK109" s="32">
        <v>0</v>
      </c>
      <c r="AL109" s="32">
        <v>0</v>
      </c>
      <c r="AM109" s="32">
        <v>0</v>
      </c>
      <c r="AN109" s="32">
        <v>0</v>
      </c>
      <c r="AO109" s="32">
        <v>0</v>
      </c>
      <c r="AP109" s="32">
        <v>0</v>
      </c>
      <c r="AQ109" s="32">
        <v>0</v>
      </c>
      <c r="AR109" s="32">
        <v>0</v>
      </c>
      <c r="AS109" s="32">
        <v>0</v>
      </c>
      <c r="AT109" s="32">
        <v>0</v>
      </c>
      <c r="AU109" s="32">
        <v>0</v>
      </c>
      <c r="AV109" s="32">
        <v>0</v>
      </c>
      <c r="AW109" s="32">
        <v>0</v>
      </c>
      <c r="AX109" s="32">
        <v>0</v>
      </c>
      <c r="AY109" s="32">
        <v>0</v>
      </c>
      <c r="AZ109" s="32">
        <v>0</v>
      </c>
      <c r="BA109" s="32">
        <v>0</v>
      </c>
      <c r="BB109" s="32">
        <v>0</v>
      </c>
      <c r="BC109">
        <f>COUNTIF(J109:AZ109, "&gt;0")</f>
        <v>4</v>
      </c>
      <c r="BD109" s="13">
        <f>[1]!shannonweaver(J109:AZ109)</f>
        <v>1.1647320726340007</v>
      </c>
      <c r="BE109">
        <f t="shared" si="1"/>
        <v>4</v>
      </c>
    </row>
    <row r="110" spans="1:57">
      <c r="A110" s="23" t="s">
        <v>103</v>
      </c>
      <c r="B110" t="s">
        <v>176</v>
      </c>
      <c r="C110" t="s">
        <v>177</v>
      </c>
      <c r="D110" s="13" t="s">
        <v>319</v>
      </c>
      <c r="E110" s="13" t="s">
        <v>91</v>
      </c>
      <c r="F110" s="13">
        <v>0</v>
      </c>
      <c r="G110" s="13">
        <v>0</v>
      </c>
      <c r="H110" s="13">
        <v>0</v>
      </c>
      <c r="I110" s="13">
        <v>0</v>
      </c>
      <c r="J110" s="13">
        <v>1</v>
      </c>
      <c r="K110" s="32">
        <v>0</v>
      </c>
      <c r="L110" s="13">
        <v>1</v>
      </c>
      <c r="M110" s="32">
        <v>0</v>
      </c>
      <c r="N110" s="32">
        <v>0</v>
      </c>
      <c r="O110" s="32">
        <v>0</v>
      </c>
      <c r="P110" s="32">
        <v>0</v>
      </c>
      <c r="Q110" s="32">
        <v>0</v>
      </c>
      <c r="R110" s="13">
        <v>1</v>
      </c>
      <c r="S110" s="13">
        <v>1</v>
      </c>
      <c r="T110" s="32">
        <v>0</v>
      </c>
      <c r="U110" s="32">
        <v>0</v>
      </c>
      <c r="V110" s="32">
        <v>0</v>
      </c>
      <c r="W110" s="32">
        <v>0</v>
      </c>
      <c r="X110" s="32">
        <v>0</v>
      </c>
      <c r="Y110" s="32">
        <v>0</v>
      </c>
      <c r="Z110" s="32">
        <v>0</v>
      </c>
      <c r="AA110" s="32">
        <v>0</v>
      </c>
      <c r="AB110" s="32">
        <v>0</v>
      </c>
      <c r="AC110" s="32">
        <v>0</v>
      </c>
      <c r="AD110" s="32">
        <v>0</v>
      </c>
      <c r="AE110" s="32">
        <v>0</v>
      </c>
      <c r="AF110" s="32">
        <v>0</v>
      </c>
      <c r="AG110" s="32">
        <v>0</v>
      </c>
      <c r="AH110" s="32">
        <v>0</v>
      </c>
      <c r="AI110" s="32">
        <v>0</v>
      </c>
      <c r="AJ110" s="13">
        <v>1</v>
      </c>
      <c r="AK110" s="32">
        <v>0</v>
      </c>
      <c r="AL110" s="32">
        <v>0</v>
      </c>
      <c r="AM110" s="32">
        <v>0</v>
      </c>
      <c r="AN110" s="32">
        <v>0</v>
      </c>
      <c r="AO110" s="32">
        <v>0</v>
      </c>
      <c r="AP110" s="32">
        <v>0</v>
      </c>
      <c r="AQ110" s="32">
        <v>0</v>
      </c>
      <c r="AR110" s="32">
        <v>0</v>
      </c>
      <c r="AS110" s="32">
        <v>0</v>
      </c>
      <c r="AT110" s="32">
        <v>0</v>
      </c>
      <c r="AU110" s="32">
        <v>0</v>
      </c>
      <c r="AV110" s="32">
        <v>0</v>
      </c>
      <c r="AW110" s="32">
        <v>0</v>
      </c>
      <c r="AX110" s="32">
        <v>0</v>
      </c>
      <c r="AY110" s="32">
        <v>0</v>
      </c>
      <c r="AZ110" s="32">
        <v>0</v>
      </c>
      <c r="BA110" s="32">
        <v>0</v>
      </c>
      <c r="BB110" s="32">
        <v>0</v>
      </c>
      <c r="BC110">
        <f>COUNTIF(J110:AZ110, "&gt;0")</f>
        <v>5</v>
      </c>
      <c r="BD110" s="13">
        <f>[1]!shannonweaver(J110:AZ110)</f>
        <v>1.6094379124341005</v>
      </c>
      <c r="BE110">
        <f t="shared" si="1"/>
        <v>5</v>
      </c>
    </row>
    <row r="111" spans="1:57">
      <c r="A111" t="s">
        <v>104</v>
      </c>
      <c r="B111" t="s">
        <v>176</v>
      </c>
      <c r="C111" t="s">
        <v>177</v>
      </c>
      <c r="D111" s="13" t="s">
        <v>319</v>
      </c>
      <c r="E111" s="13" t="s">
        <v>91</v>
      </c>
      <c r="F111" s="13">
        <v>0</v>
      </c>
      <c r="G111" s="13">
        <v>0</v>
      </c>
      <c r="H111" s="13">
        <v>0</v>
      </c>
      <c r="I111" s="13">
        <v>0</v>
      </c>
      <c r="J111" s="32">
        <v>0</v>
      </c>
      <c r="K111" s="32">
        <v>0</v>
      </c>
      <c r="L111" s="13">
        <v>1</v>
      </c>
      <c r="M111" s="32">
        <v>0</v>
      </c>
      <c r="N111" s="32">
        <v>0</v>
      </c>
      <c r="O111" s="32">
        <v>0</v>
      </c>
      <c r="P111" s="32">
        <v>0</v>
      </c>
      <c r="Q111" s="32">
        <v>0</v>
      </c>
      <c r="R111" s="32">
        <v>0</v>
      </c>
      <c r="S111" s="13">
        <v>1</v>
      </c>
      <c r="T111" s="32">
        <v>0</v>
      </c>
      <c r="U111" s="32">
        <v>0</v>
      </c>
      <c r="V111" s="32">
        <v>0</v>
      </c>
      <c r="W111" s="32">
        <v>0</v>
      </c>
      <c r="X111" s="32">
        <v>0</v>
      </c>
      <c r="Y111" s="32">
        <v>0</v>
      </c>
      <c r="Z111" s="32">
        <v>0</v>
      </c>
      <c r="AA111" s="13">
        <v>1</v>
      </c>
      <c r="AB111" s="13">
        <v>3</v>
      </c>
      <c r="AC111" s="32">
        <v>0</v>
      </c>
      <c r="AD111" s="32">
        <v>0</v>
      </c>
      <c r="AE111" s="32">
        <v>0</v>
      </c>
      <c r="AF111" s="32">
        <v>0</v>
      </c>
      <c r="AG111" s="32">
        <v>0</v>
      </c>
      <c r="AH111" s="32">
        <v>0</v>
      </c>
      <c r="AI111" s="32">
        <v>0</v>
      </c>
      <c r="AJ111" s="32">
        <v>0</v>
      </c>
      <c r="AK111" s="32">
        <v>0</v>
      </c>
      <c r="AL111" s="32">
        <v>0</v>
      </c>
      <c r="AM111" s="32">
        <v>0</v>
      </c>
      <c r="AN111" s="32">
        <v>0</v>
      </c>
      <c r="AO111" s="32">
        <v>0</v>
      </c>
      <c r="AP111" s="32">
        <v>0</v>
      </c>
      <c r="AQ111" s="32">
        <v>0</v>
      </c>
      <c r="AR111" s="32">
        <v>0</v>
      </c>
      <c r="AS111" s="32">
        <v>0</v>
      </c>
      <c r="AT111" s="32">
        <v>0</v>
      </c>
      <c r="AU111" s="32">
        <v>0</v>
      </c>
      <c r="AV111" s="32">
        <v>0</v>
      </c>
      <c r="AW111" s="32">
        <v>0</v>
      </c>
      <c r="AX111" s="32">
        <v>0</v>
      </c>
      <c r="AY111" s="32">
        <v>0</v>
      </c>
      <c r="AZ111" s="32">
        <v>0</v>
      </c>
      <c r="BA111" s="32">
        <v>0</v>
      </c>
      <c r="BB111" s="32">
        <v>0</v>
      </c>
      <c r="BC111">
        <f>COUNTIF(J111:AZ111, "&gt;0")</f>
        <v>4</v>
      </c>
      <c r="BD111" s="13">
        <f>[1]!shannonweaver(J111:AZ111)</f>
        <v>1.2424533248940002</v>
      </c>
      <c r="BE111">
        <f t="shared" si="1"/>
        <v>4</v>
      </c>
    </row>
    <row r="112" spans="1:57">
      <c r="A112" s="13" t="s">
        <v>105</v>
      </c>
      <c r="B112" t="s">
        <v>176</v>
      </c>
      <c r="C112" t="s">
        <v>177</v>
      </c>
      <c r="D112" s="13" t="s">
        <v>319</v>
      </c>
      <c r="E112" s="13" t="s">
        <v>91</v>
      </c>
      <c r="F112" s="13">
        <v>0</v>
      </c>
      <c r="G112" s="13">
        <v>0</v>
      </c>
      <c r="H112" s="13">
        <v>0</v>
      </c>
      <c r="I112" s="13">
        <v>0</v>
      </c>
      <c r="J112" s="32">
        <v>0</v>
      </c>
      <c r="K112" s="32">
        <v>0</v>
      </c>
      <c r="L112" s="13">
        <v>3</v>
      </c>
      <c r="M112" s="32">
        <v>0</v>
      </c>
      <c r="N112" s="32">
        <v>0</v>
      </c>
      <c r="O112" s="13">
        <v>1</v>
      </c>
      <c r="P112" s="32">
        <v>0</v>
      </c>
      <c r="Q112" s="32">
        <v>0</v>
      </c>
      <c r="R112" s="32">
        <v>0</v>
      </c>
      <c r="S112" s="13">
        <v>4</v>
      </c>
      <c r="T112" s="32">
        <v>0</v>
      </c>
      <c r="U112" s="32">
        <v>0</v>
      </c>
      <c r="V112" s="32">
        <v>0</v>
      </c>
      <c r="W112" s="32">
        <v>0</v>
      </c>
      <c r="X112" s="32">
        <v>0</v>
      </c>
      <c r="Y112" s="13">
        <v>1</v>
      </c>
      <c r="Z112" s="32">
        <v>0</v>
      </c>
      <c r="AA112" s="32">
        <v>0</v>
      </c>
      <c r="AB112" s="13">
        <v>3</v>
      </c>
      <c r="AC112" s="32">
        <v>0</v>
      </c>
      <c r="AD112" s="32">
        <v>0</v>
      </c>
      <c r="AE112" s="32">
        <v>0</v>
      </c>
      <c r="AF112" s="32">
        <v>0</v>
      </c>
      <c r="AG112" s="32">
        <v>0</v>
      </c>
      <c r="AH112" s="32">
        <v>0</v>
      </c>
      <c r="AI112" s="32">
        <v>0</v>
      </c>
      <c r="AJ112" s="13">
        <v>1</v>
      </c>
      <c r="AK112" s="32">
        <v>0</v>
      </c>
      <c r="AL112" s="32">
        <v>0</v>
      </c>
      <c r="AM112" s="32">
        <v>0</v>
      </c>
      <c r="AN112" s="32">
        <v>0</v>
      </c>
      <c r="AO112" s="32">
        <v>0</v>
      </c>
      <c r="AP112" s="32">
        <v>0</v>
      </c>
      <c r="AQ112" s="32">
        <v>0</v>
      </c>
      <c r="AR112" s="32">
        <v>0</v>
      </c>
      <c r="AS112" s="32">
        <v>0</v>
      </c>
      <c r="AT112" s="32">
        <v>0</v>
      </c>
      <c r="AU112" s="32">
        <v>0</v>
      </c>
      <c r="AV112" s="32">
        <v>0</v>
      </c>
      <c r="AW112" s="32">
        <v>0</v>
      </c>
      <c r="AX112" s="32">
        <v>0</v>
      </c>
      <c r="AY112" s="32">
        <v>0</v>
      </c>
      <c r="AZ112" s="32">
        <v>0</v>
      </c>
      <c r="BA112" s="32">
        <v>0</v>
      </c>
      <c r="BB112" s="32">
        <v>0</v>
      </c>
      <c r="BC112">
        <f>COUNTIF(J112:AZ112, "&gt;0")</f>
        <v>6</v>
      </c>
      <c r="BD112" s="13">
        <f>[1]!shannonweaver(J112:AZ112)</f>
        <v>1.6313454208085969</v>
      </c>
      <c r="BE112">
        <f t="shared" si="1"/>
        <v>6</v>
      </c>
    </row>
    <row r="113" spans="1:57">
      <c r="A113" s="13" t="s">
        <v>106</v>
      </c>
      <c r="B113" t="s">
        <v>176</v>
      </c>
      <c r="C113" t="s">
        <v>177</v>
      </c>
      <c r="D113" s="13" t="s">
        <v>319</v>
      </c>
      <c r="E113" s="13" t="s">
        <v>91</v>
      </c>
      <c r="F113" s="13">
        <v>0</v>
      </c>
      <c r="G113" s="13">
        <v>0</v>
      </c>
      <c r="H113" s="13">
        <v>0</v>
      </c>
      <c r="I113" s="13">
        <v>0</v>
      </c>
      <c r="J113" s="32">
        <v>0</v>
      </c>
      <c r="K113" s="32">
        <v>0</v>
      </c>
      <c r="L113" s="13">
        <v>1</v>
      </c>
      <c r="M113" s="32">
        <v>0</v>
      </c>
      <c r="N113" s="32">
        <v>0</v>
      </c>
      <c r="O113" s="32">
        <v>0</v>
      </c>
      <c r="P113" s="32">
        <v>0</v>
      </c>
      <c r="Q113" s="32">
        <v>0</v>
      </c>
      <c r="R113" s="32">
        <v>0</v>
      </c>
      <c r="S113" s="32">
        <v>0</v>
      </c>
      <c r="T113" s="32">
        <v>0</v>
      </c>
      <c r="U113" s="13">
        <v>1</v>
      </c>
      <c r="V113" s="32">
        <v>0</v>
      </c>
      <c r="W113" s="32">
        <v>0</v>
      </c>
      <c r="X113" s="32">
        <v>0</v>
      </c>
      <c r="Y113" s="32">
        <v>0</v>
      </c>
      <c r="Z113" s="32">
        <v>0</v>
      </c>
      <c r="AA113" s="32">
        <v>0</v>
      </c>
      <c r="AB113" s="13">
        <v>3</v>
      </c>
      <c r="AC113" s="32">
        <v>0</v>
      </c>
      <c r="AD113" s="13">
        <v>1</v>
      </c>
      <c r="AE113" s="32">
        <v>0</v>
      </c>
      <c r="AF113" s="32">
        <v>0</v>
      </c>
      <c r="AG113" s="32">
        <v>0</v>
      </c>
      <c r="AH113" s="32">
        <v>0</v>
      </c>
      <c r="AI113" s="32">
        <v>0</v>
      </c>
      <c r="AJ113" s="32">
        <v>0</v>
      </c>
      <c r="AK113" s="32">
        <v>0</v>
      </c>
      <c r="AL113" s="32">
        <v>0</v>
      </c>
      <c r="AM113" s="32">
        <v>0</v>
      </c>
      <c r="AN113" s="32">
        <v>0</v>
      </c>
      <c r="AO113" s="32">
        <v>0</v>
      </c>
      <c r="AP113" s="32">
        <v>0</v>
      </c>
      <c r="AQ113" s="32">
        <v>0</v>
      </c>
      <c r="AR113" s="32">
        <v>0</v>
      </c>
      <c r="AS113" s="32">
        <v>0</v>
      </c>
      <c r="AT113" s="32">
        <v>0</v>
      </c>
      <c r="AU113" s="32">
        <v>0</v>
      </c>
      <c r="AV113" s="32">
        <v>0</v>
      </c>
      <c r="AW113" s="32">
        <v>0</v>
      </c>
      <c r="AX113" s="32">
        <v>0</v>
      </c>
      <c r="AY113" s="32">
        <v>0</v>
      </c>
      <c r="AZ113" s="32">
        <v>0</v>
      </c>
      <c r="BA113" s="13">
        <v>1</v>
      </c>
      <c r="BB113" s="32">
        <v>0</v>
      </c>
      <c r="BC113">
        <f>COUNTIF(J113:AZ113, "&gt;0")</f>
        <v>4</v>
      </c>
      <c r="BD113" s="13">
        <f>[1]!shannonweaver(J113:AZ113)</f>
        <v>1.242453324894</v>
      </c>
      <c r="BE113">
        <f t="shared" si="1"/>
        <v>4</v>
      </c>
    </row>
    <row r="114" spans="1:57">
      <c r="A114" s="13" t="s">
        <v>107</v>
      </c>
      <c r="B114" t="s">
        <v>176</v>
      </c>
      <c r="C114" t="s">
        <v>177</v>
      </c>
      <c r="D114" s="13" t="s">
        <v>319</v>
      </c>
      <c r="E114" s="13" t="s">
        <v>91</v>
      </c>
      <c r="F114" s="13">
        <v>0</v>
      </c>
      <c r="G114" s="13">
        <v>0</v>
      </c>
      <c r="H114" s="13">
        <v>0</v>
      </c>
      <c r="I114" s="13">
        <v>0</v>
      </c>
      <c r="J114" s="32">
        <v>0</v>
      </c>
      <c r="K114" s="32">
        <v>0</v>
      </c>
      <c r="L114" s="13">
        <v>1</v>
      </c>
      <c r="M114" s="32">
        <v>0</v>
      </c>
      <c r="N114" s="32">
        <v>0</v>
      </c>
      <c r="O114" s="32">
        <v>0</v>
      </c>
      <c r="P114" s="32">
        <v>0</v>
      </c>
      <c r="Q114" s="32">
        <v>0</v>
      </c>
      <c r="R114" s="32">
        <v>0</v>
      </c>
      <c r="S114" s="13">
        <v>1</v>
      </c>
      <c r="T114" s="32">
        <v>0</v>
      </c>
      <c r="U114" s="13">
        <v>1</v>
      </c>
      <c r="V114" s="32">
        <v>0</v>
      </c>
      <c r="W114" s="32">
        <v>0</v>
      </c>
      <c r="X114" s="32">
        <v>0</v>
      </c>
      <c r="Y114" s="13">
        <v>2</v>
      </c>
      <c r="Z114" s="32">
        <v>0</v>
      </c>
      <c r="AA114" s="32">
        <v>0</v>
      </c>
      <c r="AB114" s="32">
        <v>0</v>
      </c>
      <c r="AC114" s="32">
        <v>0</v>
      </c>
      <c r="AD114" s="32">
        <v>0</v>
      </c>
      <c r="AE114" s="32">
        <v>0</v>
      </c>
      <c r="AF114" s="32">
        <v>0</v>
      </c>
      <c r="AG114" s="32">
        <v>0</v>
      </c>
      <c r="AH114" s="32">
        <v>0</v>
      </c>
      <c r="AI114" s="32">
        <v>0</v>
      </c>
      <c r="AJ114" s="32">
        <v>0</v>
      </c>
      <c r="AK114" s="32">
        <v>0</v>
      </c>
      <c r="AL114" s="32">
        <v>0</v>
      </c>
      <c r="AM114" s="32">
        <v>0</v>
      </c>
      <c r="AN114" s="32">
        <v>0</v>
      </c>
      <c r="AO114" s="32">
        <v>0</v>
      </c>
      <c r="AP114" s="32">
        <v>0</v>
      </c>
      <c r="AQ114" s="32">
        <v>0</v>
      </c>
      <c r="AR114" s="32">
        <v>0</v>
      </c>
      <c r="AS114" s="32">
        <v>0</v>
      </c>
      <c r="AT114" s="32">
        <v>0</v>
      </c>
      <c r="AU114" s="32">
        <v>0</v>
      </c>
      <c r="AV114" s="32">
        <v>0</v>
      </c>
      <c r="AW114" s="32">
        <v>0</v>
      </c>
      <c r="AX114" s="32">
        <v>0</v>
      </c>
      <c r="AY114" s="32">
        <v>0</v>
      </c>
      <c r="AZ114" s="32">
        <v>0</v>
      </c>
      <c r="BA114" s="32">
        <v>0</v>
      </c>
      <c r="BB114" s="32">
        <v>0</v>
      </c>
      <c r="BC114">
        <f>COUNTIF(J114:AZ114, "&gt;0")</f>
        <v>4</v>
      </c>
      <c r="BD114" s="13">
        <f>[1]!shannonweaver(J114:AZ114)</f>
        <v>1.3321790402101223</v>
      </c>
      <c r="BE114">
        <f t="shared" si="1"/>
        <v>4</v>
      </c>
    </row>
    <row r="115" spans="1:57">
      <c r="A115" s="13" t="s">
        <v>108</v>
      </c>
      <c r="B115" t="s">
        <v>176</v>
      </c>
      <c r="C115" t="s">
        <v>177</v>
      </c>
      <c r="D115" s="13" t="s">
        <v>319</v>
      </c>
      <c r="E115" s="13" t="s">
        <v>91</v>
      </c>
      <c r="F115" s="13">
        <v>0</v>
      </c>
      <c r="G115" s="13">
        <v>0</v>
      </c>
      <c r="H115" s="13">
        <v>0</v>
      </c>
      <c r="I115" s="13">
        <v>0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>
        <v>0</v>
      </c>
      <c r="P115" s="32">
        <v>0</v>
      </c>
      <c r="Q115" s="32">
        <v>0</v>
      </c>
      <c r="R115" s="32">
        <v>0</v>
      </c>
      <c r="S115" s="32">
        <v>0</v>
      </c>
      <c r="T115" s="32">
        <v>0</v>
      </c>
      <c r="U115" s="32">
        <v>0</v>
      </c>
      <c r="V115" s="32">
        <v>0</v>
      </c>
      <c r="W115" s="32">
        <v>0</v>
      </c>
      <c r="X115" s="32">
        <v>0</v>
      </c>
      <c r="Y115" s="13">
        <v>1</v>
      </c>
      <c r="Z115" s="32">
        <v>0</v>
      </c>
      <c r="AA115" s="32">
        <v>0</v>
      </c>
      <c r="AB115" s="32">
        <v>0</v>
      </c>
      <c r="AC115" s="32">
        <v>0</v>
      </c>
      <c r="AD115" s="32">
        <v>0</v>
      </c>
      <c r="AE115" s="32">
        <v>0</v>
      </c>
      <c r="AF115" s="32">
        <v>0</v>
      </c>
      <c r="AG115" s="32">
        <v>0</v>
      </c>
      <c r="AH115" s="32">
        <v>0</v>
      </c>
      <c r="AI115" s="32">
        <v>0</v>
      </c>
      <c r="AJ115" s="32">
        <v>0</v>
      </c>
      <c r="AK115" s="32">
        <v>0</v>
      </c>
      <c r="AL115" s="32">
        <v>0</v>
      </c>
      <c r="AM115" s="32">
        <v>0</v>
      </c>
      <c r="AN115" s="32">
        <v>0</v>
      </c>
      <c r="AO115" s="32">
        <v>0</v>
      </c>
      <c r="AP115" s="32">
        <v>0</v>
      </c>
      <c r="AQ115" s="32">
        <v>0</v>
      </c>
      <c r="AR115" s="32">
        <v>0</v>
      </c>
      <c r="AS115" s="32">
        <v>0</v>
      </c>
      <c r="AT115" s="32">
        <v>0</v>
      </c>
      <c r="AU115" s="32">
        <v>0</v>
      </c>
      <c r="AV115" s="32">
        <v>0</v>
      </c>
      <c r="AW115" s="32">
        <v>0</v>
      </c>
      <c r="AX115" s="32">
        <v>0</v>
      </c>
      <c r="AY115" s="32">
        <v>0</v>
      </c>
      <c r="AZ115" s="32">
        <v>0</v>
      </c>
      <c r="BA115" s="32">
        <v>0</v>
      </c>
      <c r="BB115" s="32">
        <v>0</v>
      </c>
      <c r="BC115">
        <f>COUNTIF(J115:AZ115, "&gt;0")</f>
        <v>1</v>
      </c>
      <c r="BD115" s="13">
        <f>[1]!shannonweaver(J115:AZ115)</f>
        <v>0</v>
      </c>
      <c r="BE115">
        <f t="shared" si="1"/>
        <v>1</v>
      </c>
    </row>
    <row r="116" spans="1:57">
      <c r="A116" s="13" t="s">
        <v>109</v>
      </c>
      <c r="B116" t="s">
        <v>176</v>
      </c>
      <c r="C116" t="s">
        <v>204</v>
      </c>
      <c r="D116" s="13" t="s">
        <v>319</v>
      </c>
      <c r="E116" s="13" t="s">
        <v>91</v>
      </c>
      <c r="F116" s="13">
        <v>0</v>
      </c>
      <c r="G116" s="13">
        <v>0</v>
      </c>
      <c r="H116" s="13">
        <v>0</v>
      </c>
      <c r="I116" s="13">
        <v>0</v>
      </c>
      <c r="J116" s="32">
        <v>0</v>
      </c>
      <c r="K116" s="32">
        <v>0</v>
      </c>
      <c r="L116" s="13">
        <v>3</v>
      </c>
      <c r="M116" s="32">
        <v>0</v>
      </c>
      <c r="N116" s="32">
        <v>0</v>
      </c>
      <c r="O116" s="32">
        <v>0</v>
      </c>
      <c r="P116" s="32">
        <v>0</v>
      </c>
      <c r="Q116" s="32">
        <v>0</v>
      </c>
      <c r="R116" s="32">
        <v>0</v>
      </c>
      <c r="S116" s="32">
        <v>0</v>
      </c>
      <c r="T116" s="32">
        <v>0</v>
      </c>
      <c r="U116" s="32">
        <v>0</v>
      </c>
      <c r="V116" s="32">
        <v>0</v>
      </c>
      <c r="W116" s="32">
        <v>0</v>
      </c>
      <c r="X116" s="32">
        <v>0</v>
      </c>
      <c r="Y116" s="13">
        <v>4</v>
      </c>
      <c r="Z116" s="32">
        <v>0</v>
      </c>
      <c r="AA116" s="13">
        <v>1</v>
      </c>
      <c r="AB116" s="13">
        <v>1</v>
      </c>
      <c r="AC116" s="32">
        <v>0</v>
      </c>
      <c r="AD116" s="32">
        <v>0</v>
      </c>
      <c r="AE116" s="32">
        <v>0</v>
      </c>
      <c r="AF116" s="32">
        <v>0</v>
      </c>
      <c r="AG116" s="32">
        <v>0</v>
      </c>
      <c r="AH116" s="32">
        <v>0</v>
      </c>
      <c r="AI116" s="32">
        <v>0</v>
      </c>
      <c r="AJ116" s="32">
        <v>0</v>
      </c>
      <c r="AK116" s="32">
        <v>0</v>
      </c>
      <c r="AL116" s="32">
        <v>0</v>
      </c>
      <c r="AM116" s="32">
        <v>0</v>
      </c>
      <c r="AN116" s="32">
        <v>0</v>
      </c>
      <c r="AO116" s="32">
        <v>0</v>
      </c>
      <c r="AP116" s="32">
        <v>0</v>
      </c>
      <c r="AQ116" s="32">
        <v>0</v>
      </c>
      <c r="AR116" s="13">
        <v>1</v>
      </c>
      <c r="AS116" s="32">
        <v>0</v>
      </c>
      <c r="AT116" s="32">
        <v>0</v>
      </c>
      <c r="AU116" s="32">
        <v>0</v>
      </c>
      <c r="AV116" s="32">
        <v>0</v>
      </c>
      <c r="AW116" s="32">
        <v>0</v>
      </c>
      <c r="AX116" s="32">
        <v>0</v>
      </c>
      <c r="AY116" s="32">
        <v>0</v>
      </c>
      <c r="AZ116" s="32">
        <v>0</v>
      </c>
      <c r="BA116" s="32">
        <v>0</v>
      </c>
      <c r="BB116" s="32">
        <v>0</v>
      </c>
      <c r="BC116">
        <f>COUNTIF(J116:AZ116, "&gt;0")</f>
        <v>5</v>
      </c>
      <c r="BD116" s="13">
        <f>[1]!shannonweaver(J116:AZ116)</f>
        <v>1.4184836619456564</v>
      </c>
      <c r="BE116">
        <f t="shared" si="1"/>
        <v>5</v>
      </c>
    </row>
    <row r="117" spans="1:57">
      <c r="A117" s="13" t="s">
        <v>110</v>
      </c>
      <c r="B117" t="s">
        <v>176</v>
      </c>
      <c r="C117" t="s">
        <v>204</v>
      </c>
      <c r="D117" s="13" t="s">
        <v>319</v>
      </c>
      <c r="E117" s="13" t="s">
        <v>91</v>
      </c>
      <c r="F117" s="13">
        <v>0</v>
      </c>
      <c r="G117" s="13">
        <v>0</v>
      </c>
      <c r="H117" s="13">
        <v>0</v>
      </c>
      <c r="I117" s="13">
        <v>0</v>
      </c>
      <c r="J117" s="32">
        <v>0</v>
      </c>
      <c r="K117" s="32">
        <v>0</v>
      </c>
      <c r="L117" s="13">
        <v>1</v>
      </c>
      <c r="M117" s="32">
        <v>0</v>
      </c>
      <c r="N117" s="32">
        <v>0</v>
      </c>
      <c r="O117" s="32">
        <v>0</v>
      </c>
      <c r="P117" s="32">
        <v>0</v>
      </c>
      <c r="Q117" s="32">
        <v>0</v>
      </c>
      <c r="R117" s="32">
        <v>0</v>
      </c>
      <c r="S117" s="32">
        <v>0</v>
      </c>
      <c r="T117" s="32">
        <v>0</v>
      </c>
      <c r="U117" s="32">
        <v>0</v>
      </c>
      <c r="V117" s="32">
        <v>0</v>
      </c>
      <c r="W117" s="32">
        <v>0</v>
      </c>
      <c r="X117" s="32">
        <v>0</v>
      </c>
      <c r="Y117" s="13">
        <v>5</v>
      </c>
      <c r="Z117" s="32">
        <v>0</v>
      </c>
      <c r="AA117" s="13">
        <v>4</v>
      </c>
      <c r="AB117" s="13">
        <v>1</v>
      </c>
      <c r="AC117" s="32">
        <v>0</v>
      </c>
      <c r="AD117" s="13">
        <v>1</v>
      </c>
      <c r="AE117" s="32">
        <v>0</v>
      </c>
      <c r="AF117" s="32">
        <v>0</v>
      </c>
      <c r="AG117" s="32">
        <v>0</v>
      </c>
      <c r="AH117" s="32">
        <v>0</v>
      </c>
      <c r="AI117" s="32">
        <v>0</v>
      </c>
      <c r="AJ117" s="32">
        <v>0</v>
      </c>
      <c r="AK117" s="32">
        <v>0</v>
      </c>
      <c r="AL117" s="32">
        <v>0</v>
      </c>
      <c r="AM117" s="32">
        <v>0</v>
      </c>
      <c r="AN117" s="32">
        <v>0</v>
      </c>
      <c r="AO117" s="32">
        <v>0</v>
      </c>
      <c r="AP117" s="32">
        <v>0</v>
      </c>
      <c r="AQ117" s="32">
        <v>0</v>
      </c>
      <c r="AR117" s="32">
        <v>0</v>
      </c>
      <c r="AS117" s="32">
        <v>0</v>
      </c>
      <c r="AT117" s="32">
        <v>0</v>
      </c>
      <c r="AU117" s="32">
        <v>0</v>
      </c>
      <c r="AV117" s="32">
        <v>0</v>
      </c>
      <c r="AW117" s="32">
        <v>0</v>
      </c>
      <c r="AX117" s="32">
        <v>0</v>
      </c>
      <c r="AY117" s="32">
        <v>0</v>
      </c>
      <c r="AZ117" s="32">
        <v>0</v>
      </c>
      <c r="BA117" s="32">
        <v>0</v>
      </c>
      <c r="BB117" s="32">
        <v>0</v>
      </c>
      <c r="BC117">
        <f>COUNTIF(J117:AZ117, "&gt;0")</f>
        <v>5</v>
      </c>
      <c r="BD117" s="13">
        <f>[1]!shannonweaver(J117:AZ117)</f>
        <v>1.3522093992338284</v>
      </c>
      <c r="BE117">
        <f t="shared" si="1"/>
        <v>5</v>
      </c>
    </row>
    <row r="118" spans="1:57">
      <c r="A118" s="13" t="s">
        <v>111</v>
      </c>
      <c r="B118" t="s">
        <v>176</v>
      </c>
      <c r="C118" t="s">
        <v>204</v>
      </c>
      <c r="D118" s="13" t="s">
        <v>319</v>
      </c>
      <c r="E118" s="13" t="s">
        <v>91</v>
      </c>
      <c r="F118" s="13">
        <v>0</v>
      </c>
      <c r="G118" s="13">
        <v>0</v>
      </c>
      <c r="H118" s="13">
        <v>0</v>
      </c>
      <c r="I118" s="13">
        <v>0</v>
      </c>
      <c r="J118" s="32">
        <v>0</v>
      </c>
      <c r="K118" s="32">
        <v>0</v>
      </c>
      <c r="L118" s="13">
        <v>1</v>
      </c>
      <c r="M118" s="13">
        <v>1</v>
      </c>
      <c r="N118" s="32">
        <v>0</v>
      </c>
      <c r="O118" s="32">
        <v>0</v>
      </c>
      <c r="P118" s="32">
        <v>0</v>
      </c>
      <c r="Q118" s="32">
        <v>0</v>
      </c>
      <c r="R118" s="32">
        <v>0</v>
      </c>
      <c r="S118" s="32">
        <v>0</v>
      </c>
      <c r="T118" s="32">
        <v>0</v>
      </c>
      <c r="U118" s="32">
        <v>0</v>
      </c>
      <c r="V118" s="32">
        <v>0</v>
      </c>
      <c r="W118" s="32">
        <v>0</v>
      </c>
      <c r="X118" s="32">
        <v>0</v>
      </c>
      <c r="Y118" s="13">
        <v>2</v>
      </c>
      <c r="Z118" s="32">
        <v>0</v>
      </c>
      <c r="AA118" s="13">
        <v>2</v>
      </c>
      <c r="AB118" s="13">
        <v>9</v>
      </c>
      <c r="AC118" s="32">
        <v>0</v>
      </c>
      <c r="AD118" s="32">
        <v>0</v>
      </c>
      <c r="AE118" s="32">
        <v>0</v>
      </c>
      <c r="AF118" s="32">
        <v>0</v>
      </c>
      <c r="AG118" s="32">
        <v>0</v>
      </c>
      <c r="AH118" s="32">
        <v>0</v>
      </c>
      <c r="AI118" s="32">
        <v>0</v>
      </c>
      <c r="AJ118" s="32">
        <v>0</v>
      </c>
      <c r="AK118" s="32">
        <v>0</v>
      </c>
      <c r="AL118" s="32">
        <v>0</v>
      </c>
      <c r="AM118" s="32">
        <v>0</v>
      </c>
      <c r="AN118" s="32">
        <v>0</v>
      </c>
      <c r="AO118" s="32">
        <v>0</v>
      </c>
      <c r="AP118" s="32">
        <v>0</v>
      </c>
      <c r="AQ118" s="32">
        <v>0</v>
      </c>
      <c r="AR118" s="32">
        <v>0</v>
      </c>
      <c r="AS118" s="32">
        <v>0</v>
      </c>
      <c r="AT118" s="32">
        <v>0</v>
      </c>
      <c r="AU118" s="32">
        <v>0</v>
      </c>
      <c r="AV118" s="32">
        <v>0</v>
      </c>
      <c r="AW118" s="32">
        <v>0</v>
      </c>
      <c r="AX118" s="32">
        <v>0</v>
      </c>
      <c r="AY118" s="32">
        <v>0</v>
      </c>
      <c r="AZ118" s="32">
        <v>0</v>
      </c>
      <c r="BA118" s="32">
        <v>0</v>
      </c>
      <c r="BB118" s="32">
        <v>0</v>
      </c>
      <c r="BC118">
        <f>COUNTIF(J118:AZ118, "&gt;0")</f>
        <v>5</v>
      </c>
      <c r="BD118" s="13">
        <f>[1]!shannonweaver(J118:AZ118)</f>
        <v>1.2048762065511598</v>
      </c>
      <c r="BE118">
        <f t="shared" si="1"/>
        <v>5</v>
      </c>
    </row>
    <row r="119" spans="1:57">
      <c r="A119" s="13" t="s">
        <v>112</v>
      </c>
      <c r="B119" t="s">
        <v>176</v>
      </c>
      <c r="C119" t="s">
        <v>204</v>
      </c>
      <c r="D119" s="13" t="s">
        <v>319</v>
      </c>
      <c r="E119" s="13" t="s">
        <v>91</v>
      </c>
      <c r="F119" s="13">
        <v>0</v>
      </c>
      <c r="G119" s="13">
        <v>0</v>
      </c>
      <c r="H119" s="13">
        <v>0</v>
      </c>
      <c r="I119" s="13">
        <v>0</v>
      </c>
      <c r="J119" s="32">
        <v>0</v>
      </c>
      <c r="K119" s="32">
        <v>0</v>
      </c>
      <c r="L119" s="13">
        <v>3</v>
      </c>
      <c r="M119" s="13">
        <v>0</v>
      </c>
      <c r="N119" s="32">
        <v>0</v>
      </c>
      <c r="O119" s="32">
        <v>0</v>
      </c>
      <c r="P119" s="32">
        <v>0</v>
      </c>
      <c r="Q119" s="13">
        <v>1</v>
      </c>
      <c r="R119" s="32">
        <v>0</v>
      </c>
      <c r="S119" s="13">
        <v>1</v>
      </c>
      <c r="T119" s="32">
        <v>0</v>
      </c>
      <c r="U119" s="13">
        <v>1</v>
      </c>
      <c r="V119" s="32">
        <v>0</v>
      </c>
      <c r="W119" s="32">
        <v>0</v>
      </c>
      <c r="X119" s="32">
        <v>0</v>
      </c>
      <c r="Y119" s="13">
        <v>4</v>
      </c>
      <c r="Z119" s="32">
        <v>0</v>
      </c>
      <c r="AA119" s="13">
        <v>11</v>
      </c>
      <c r="AB119" s="13">
        <v>5</v>
      </c>
      <c r="AC119" s="32">
        <v>0</v>
      </c>
      <c r="AD119" s="32">
        <v>0</v>
      </c>
      <c r="AE119" s="32">
        <v>0</v>
      </c>
      <c r="AF119" s="32">
        <v>0</v>
      </c>
      <c r="AG119" s="32">
        <v>0</v>
      </c>
      <c r="AH119" s="32">
        <v>0</v>
      </c>
      <c r="AI119" s="32">
        <v>0</v>
      </c>
      <c r="AJ119" s="32">
        <v>0</v>
      </c>
      <c r="AK119" s="32">
        <v>0</v>
      </c>
      <c r="AL119" s="32">
        <v>0</v>
      </c>
      <c r="AM119" s="32">
        <v>0</v>
      </c>
      <c r="AN119" s="32">
        <v>0</v>
      </c>
      <c r="AO119" s="32">
        <v>0</v>
      </c>
      <c r="AP119" s="32">
        <v>0</v>
      </c>
      <c r="AQ119" s="32">
        <v>0</v>
      </c>
      <c r="AR119" s="32">
        <v>0</v>
      </c>
      <c r="AS119" s="32">
        <v>0</v>
      </c>
      <c r="AT119" s="32">
        <v>0</v>
      </c>
      <c r="AU119" s="32">
        <v>0</v>
      </c>
      <c r="AV119" s="32">
        <v>0</v>
      </c>
      <c r="AW119" s="32">
        <v>0</v>
      </c>
      <c r="AX119" s="32">
        <v>0</v>
      </c>
      <c r="AY119" s="32">
        <v>0</v>
      </c>
      <c r="AZ119" s="32">
        <v>0</v>
      </c>
      <c r="BA119" s="32">
        <v>0</v>
      </c>
      <c r="BB119" s="32">
        <v>0</v>
      </c>
      <c r="BC119">
        <f>COUNTIF(J119:AZ119, "&gt;0")</f>
        <v>7</v>
      </c>
      <c r="BD119" s="13">
        <f>[1]!shannonweaver(J119:AZ119)</f>
        <v>1.5940560813508486</v>
      </c>
      <c r="BE119">
        <f t="shared" si="1"/>
        <v>7</v>
      </c>
    </row>
    <row r="120" spans="1:57">
      <c r="A120" s="13" t="s">
        <v>113</v>
      </c>
      <c r="B120" t="s">
        <v>176</v>
      </c>
      <c r="C120" t="s">
        <v>204</v>
      </c>
      <c r="D120" s="13" t="s">
        <v>319</v>
      </c>
      <c r="E120" s="13" t="s">
        <v>91</v>
      </c>
      <c r="F120" s="13">
        <v>0</v>
      </c>
      <c r="G120" s="13">
        <v>0</v>
      </c>
      <c r="H120" s="13">
        <v>0</v>
      </c>
      <c r="I120" s="13">
        <v>0</v>
      </c>
      <c r="J120" s="32">
        <v>0</v>
      </c>
      <c r="K120" s="32">
        <v>0</v>
      </c>
      <c r="L120" s="13">
        <v>5</v>
      </c>
      <c r="M120" s="13">
        <v>0</v>
      </c>
      <c r="N120" s="32">
        <v>0</v>
      </c>
      <c r="O120" s="32">
        <v>0</v>
      </c>
      <c r="P120" s="32">
        <v>0</v>
      </c>
      <c r="Q120" s="32">
        <v>0</v>
      </c>
      <c r="R120" s="32">
        <v>0</v>
      </c>
      <c r="S120" s="32">
        <v>0</v>
      </c>
      <c r="T120" s="32">
        <v>0</v>
      </c>
      <c r="U120" s="32">
        <v>0</v>
      </c>
      <c r="V120" s="32">
        <v>0</v>
      </c>
      <c r="W120" s="32">
        <v>0</v>
      </c>
      <c r="X120" s="13">
        <v>1</v>
      </c>
      <c r="Y120" s="13">
        <v>0</v>
      </c>
      <c r="Z120" s="32">
        <v>0</v>
      </c>
      <c r="AA120" s="13">
        <v>4</v>
      </c>
      <c r="AB120" s="13">
        <v>1</v>
      </c>
      <c r="AC120" s="32">
        <v>0</v>
      </c>
      <c r="AD120" s="32">
        <v>0</v>
      </c>
      <c r="AE120" s="32">
        <v>0</v>
      </c>
      <c r="AF120" s="32">
        <v>0</v>
      </c>
      <c r="AG120" s="32">
        <v>0</v>
      </c>
      <c r="AH120" s="32">
        <v>0</v>
      </c>
      <c r="AI120" s="32">
        <v>0</v>
      </c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>
        <v>0</v>
      </c>
      <c r="AS120" s="32">
        <v>0</v>
      </c>
      <c r="AT120" s="32">
        <v>0</v>
      </c>
      <c r="AU120" s="32">
        <v>0</v>
      </c>
      <c r="AV120" s="32">
        <v>0</v>
      </c>
      <c r="AW120" s="32">
        <v>0</v>
      </c>
      <c r="AX120" s="32">
        <v>0</v>
      </c>
      <c r="AY120" s="32">
        <v>0</v>
      </c>
      <c r="AZ120" s="32">
        <v>0</v>
      </c>
      <c r="BA120" s="13">
        <v>1</v>
      </c>
      <c r="BB120" s="32">
        <v>0</v>
      </c>
      <c r="BC120">
        <f>COUNTIF(J120:AZ120, "&gt;0")</f>
        <v>4</v>
      </c>
      <c r="BD120" s="13">
        <f>[1]!shannonweaver(J120:AZ120)</f>
        <v>1.1622255449210921</v>
      </c>
      <c r="BE120">
        <f t="shared" si="1"/>
        <v>4</v>
      </c>
    </row>
    <row r="121" spans="1:57">
      <c r="A121" s="13" t="s">
        <v>114</v>
      </c>
      <c r="B121" t="s">
        <v>176</v>
      </c>
      <c r="C121" t="s">
        <v>204</v>
      </c>
      <c r="D121" s="13" t="s">
        <v>319</v>
      </c>
      <c r="E121" s="13" t="s">
        <v>91</v>
      </c>
      <c r="F121" s="13">
        <v>0</v>
      </c>
      <c r="G121" s="13">
        <v>0</v>
      </c>
      <c r="H121" s="13">
        <v>0</v>
      </c>
      <c r="I121" s="13">
        <v>0</v>
      </c>
      <c r="J121" s="32">
        <v>0</v>
      </c>
      <c r="K121" s="32">
        <v>0</v>
      </c>
      <c r="L121" s="13">
        <v>3</v>
      </c>
      <c r="M121" s="13">
        <v>0</v>
      </c>
      <c r="N121" s="32">
        <v>0</v>
      </c>
      <c r="O121" s="13">
        <v>1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2">
        <v>0</v>
      </c>
      <c r="X121" s="32">
        <v>0</v>
      </c>
      <c r="Y121" s="32">
        <v>0</v>
      </c>
      <c r="Z121" s="32">
        <v>0</v>
      </c>
      <c r="AA121" s="13">
        <v>4</v>
      </c>
      <c r="AB121" s="13">
        <v>0</v>
      </c>
      <c r="AC121" s="32">
        <v>0</v>
      </c>
      <c r="AD121" s="32">
        <v>0</v>
      </c>
      <c r="AE121" s="32">
        <v>0</v>
      </c>
      <c r="AF121" s="32">
        <v>0</v>
      </c>
      <c r="AG121" s="32">
        <v>0</v>
      </c>
      <c r="AH121" s="32">
        <v>0</v>
      </c>
      <c r="AI121" s="32">
        <v>0</v>
      </c>
      <c r="AJ121" s="32">
        <v>0</v>
      </c>
      <c r="AK121" s="32">
        <v>0</v>
      </c>
      <c r="AL121" s="32">
        <v>0</v>
      </c>
      <c r="AM121" s="32">
        <v>0</v>
      </c>
      <c r="AN121" s="32">
        <v>0</v>
      </c>
      <c r="AO121" s="32">
        <v>0</v>
      </c>
      <c r="AP121" s="32">
        <v>0</v>
      </c>
      <c r="AQ121" s="32">
        <v>0</v>
      </c>
      <c r="AR121" s="32">
        <v>0</v>
      </c>
      <c r="AS121" s="32">
        <v>0</v>
      </c>
      <c r="AT121" s="32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2">
        <v>0</v>
      </c>
      <c r="BA121" s="32">
        <v>0</v>
      </c>
      <c r="BB121" s="32">
        <v>0</v>
      </c>
      <c r="BC121">
        <f>COUNTIF(J121:AZ121, "&gt;0")</f>
        <v>3</v>
      </c>
      <c r="BD121" s="13">
        <f>[1]!shannonweaver(J121:AZ121)</f>
        <v>0.97431475286934943</v>
      </c>
      <c r="BE121">
        <f t="shared" si="1"/>
        <v>3</v>
      </c>
    </row>
    <row r="122" spans="1:57">
      <c r="A122" s="13" t="s">
        <v>115</v>
      </c>
      <c r="B122" t="s">
        <v>176</v>
      </c>
      <c r="C122" t="s">
        <v>138</v>
      </c>
      <c r="D122" s="13" t="s">
        <v>319</v>
      </c>
      <c r="E122" s="13" t="s">
        <v>91</v>
      </c>
      <c r="F122" s="13">
        <v>0</v>
      </c>
      <c r="G122" s="13">
        <v>0</v>
      </c>
      <c r="H122" s="13">
        <v>0</v>
      </c>
      <c r="I122" s="13">
        <v>0</v>
      </c>
      <c r="J122" s="32">
        <v>0</v>
      </c>
      <c r="K122" s="32">
        <v>0</v>
      </c>
      <c r="L122" s="13">
        <v>7</v>
      </c>
      <c r="M122" s="13">
        <v>0</v>
      </c>
      <c r="N122" s="32">
        <v>0</v>
      </c>
      <c r="O122" s="32">
        <v>0</v>
      </c>
      <c r="P122" s="32">
        <v>0</v>
      </c>
      <c r="Q122" s="32">
        <v>0</v>
      </c>
      <c r="R122" s="32">
        <v>0</v>
      </c>
      <c r="S122" s="32">
        <v>0</v>
      </c>
      <c r="T122" s="32">
        <v>0</v>
      </c>
      <c r="U122" s="32">
        <v>0</v>
      </c>
      <c r="V122" s="32">
        <v>0</v>
      </c>
      <c r="W122" s="32">
        <v>0</v>
      </c>
      <c r="X122" s="32">
        <v>0</v>
      </c>
      <c r="Y122" s="13">
        <v>1</v>
      </c>
      <c r="Z122" s="32">
        <v>0</v>
      </c>
      <c r="AA122" s="13">
        <v>8</v>
      </c>
      <c r="AB122" s="13">
        <v>13</v>
      </c>
      <c r="AC122" s="32">
        <v>0</v>
      </c>
      <c r="AD122" s="32">
        <v>0</v>
      </c>
      <c r="AE122" s="32">
        <v>0</v>
      </c>
      <c r="AF122" s="32">
        <v>0</v>
      </c>
      <c r="AG122" s="32">
        <v>0</v>
      </c>
      <c r="AH122" s="32">
        <v>0</v>
      </c>
      <c r="AI122" s="32">
        <v>0</v>
      </c>
      <c r="AJ122" s="32">
        <v>0</v>
      </c>
      <c r="AK122" s="32">
        <v>0</v>
      </c>
      <c r="AL122" s="32">
        <v>0</v>
      </c>
      <c r="AM122" s="32">
        <v>0</v>
      </c>
      <c r="AN122" s="32">
        <v>0</v>
      </c>
      <c r="AO122" s="32">
        <v>0</v>
      </c>
      <c r="AP122" s="32">
        <v>0</v>
      </c>
      <c r="AQ122" s="32">
        <v>0</v>
      </c>
      <c r="AR122" s="32">
        <v>0</v>
      </c>
      <c r="AS122" s="32">
        <v>0</v>
      </c>
      <c r="AT122" s="32">
        <v>0</v>
      </c>
      <c r="AU122" s="32">
        <v>0</v>
      </c>
      <c r="AV122" s="32">
        <v>0</v>
      </c>
      <c r="AW122" s="32">
        <v>0</v>
      </c>
      <c r="AX122" s="32">
        <v>0</v>
      </c>
      <c r="AY122" s="32">
        <v>0</v>
      </c>
      <c r="AZ122" s="32">
        <v>0</v>
      </c>
      <c r="BA122" s="32">
        <v>0</v>
      </c>
      <c r="BB122" s="32">
        <v>0</v>
      </c>
      <c r="BC122">
        <f>COUNTIF(J122:AZ122, "&gt;0")</f>
        <v>4</v>
      </c>
      <c r="BD122" s="13">
        <f>[1]!shannonweaver(J122:AZ122)</f>
        <v>1.1741494498545479</v>
      </c>
      <c r="BE122">
        <f t="shared" si="1"/>
        <v>4</v>
      </c>
    </row>
    <row r="123" spans="1:57">
      <c r="A123" s="13" t="s">
        <v>116</v>
      </c>
      <c r="B123" t="s">
        <v>176</v>
      </c>
      <c r="C123" t="s">
        <v>138</v>
      </c>
      <c r="D123" s="13" t="s">
        <v>319</v>
      </c>
      <c r="E123" s="13" t="s">
        <v>91</v>
      </c>
      <c r="F123" s="13">
        <v>0</v>
      </c>
      <c r="G123" s="13">
        <v>0</v>
      </c>
      <c r="H123" s="13">
        <v>0</v>
      </c>
      <c r="I123" s="13">
        <v>0</v>
      </c>
      <c r="J123" s="32">
        <v>0</v>
      </c>
      <c r="K123" s="32">
        <v>0</v>
      </c>
      <c r="L123" s="13">
        <v>5</v>
      </c>
      <c r="M123" s="13">
        <v>0</v>
      </c>
      <c r="N123" s="32">
        <v>0</v>
      </c>
      <c r="O123" s="32">
        <v>0</v>
      </c>
      <c r="P123" s="32">
        <v>0</v>
      </c>
      <c r="Q123" s="32">
        <v>0</v>
      </c>
      <c r="R123" s="13">
        <v>1</v>
      </c>
      <c r="S123" s="32">
        <v>0</v>
      </c>
      <c r="T123" s="32">
        <v>0</v>
      </c>
      <c r="U123" s="13">
        <v>1</v>
      </c>
      <c r="V123" s="13">
        <v>3</v>
      </c>
      <c r="W123" s="32">
        <v>0</v>
      </c>
      <c r="X123" s="32">
        <v>0</v>
      </c>
      <c r="Y123" s="32">
        <v>0</v>
      </c>
      <c r="Z123" s="32">
        <v>0</v>
      </c>
      <c r="AA123" s="13">
        <v>1</v>
      </c>
      <c r="AB123" s="13">
        <v>0</v>
      </c>
      <c r="AC123" s="32">
        <v>0</v>
      </c>
      <c r="AD123" s="32">
        <v>0</v>
      </c>
      <c r="AE123" s="32">
        <v>0</v>
      </c>
      <c r="AF123" s="32">
        <v>0</v>
      </c>
      <c r="AG123" s="32">
        <v>0</v>
      </c>
      <c r="AH123" s="32">
        <v>0</v>
      </c>
      <c r="AI123" s="32">
        <v>0</v>
      </c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>
        <v>0</v>
      </c>
      <c r="AS123" s="32">
        <v>0</v>
      </c>
      <c r="AT123" s="32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2">
        <v>0</v>
      </c>
      <c r="BA123" s="32">
        <v>0</v>
      </c>
      <c r="BB123" s="32">
        <v>0</v>
      </c>
      <c r="BC123">
        <f>COUNTIF(J123:AZ123, "&gt;0")</f>
        <v>5</v>
      </c>
      <c r="BD123" s="13">
        <f>[1]!shannonweaver(J123:AZ123)</f>
        <v>1.3667110520552042</v>
      </c>
      <c r="BE123">
        <f t="shared" si="1"/>
        <v>5</v>
      </c>
    </row>
    <row r="124" spans="1:57">
      <c r="A124" s="23" t="s">
        <v>35</v>
      </c>
      <c r="B124" t="s">
        <v>176</v>
      </c>
      <c r="C124" t="s">
        <v>138</v>
      </c>
      <c r="D124" s="13" t="s">
        <v>319</v>
      </c>
      <c r="E124" s="13" t="s">
        <v>91</v>
      </c>
      <c r="F124" s="13">
        <v>0</v>
      </c>
      <c r="G124" s="13">
        <v>0</v>
      </c>
      <c r="H124" s="13">
        <v>0</v>
      </c>
      <c r="I124" s="13">
        <v>0</v>
      </c>
      <c r="J124" s="32">
        <v>0</v>
      </c>
      <c r="K124" s="32">
        <v>0</v>
      </c>
      <c r="L124" s="13">
        <v>9</v>
      </c>
      <c r="M124" s="13">
        <v>0</v>
      </c>
      <c r="N124" s="32">
        <v>0</v>
      </c>
      <c r="O124" s="32">
        <v>0</v>
      </c>
      <c r="P124" s="32">
        <v>0</v>
      </c>
      <c r="Q124" s="32">
        <v>0</v>
      </c>
      <c r="R124" s="13">
        <v>1</v>
      </c>
      <c r="S124" s="32">
        <v>0</v>
      </c>
      <c r="T124" s="32">
        <v>0</v>
      </c>
      <c r="U124" s="13">
        <v>2</v>
      </c>
      <c r="V124" s="13">
        <v>1</v>
      </c>
      <c r="W124" s="32">
        <v>0</v>
      </c>
      <c r="X124" s="13">
        <v>1</v>
      </c>
      <c r="Y124" s="13">
        <v>1</v>
      </c>
      <c r="Z124" s="32">
        <v>0</v>
      </c>
      <c r="AA124" s="13">
        <v>4</v>
      </c>
      <c r="AB124" s="13">
        <v>5</v>
      </c>
      <c r="AC124" s="32">
        <v>0</v>
      </c>
      <c r="AD124" s="32">
        <v>0</v>
      </c>
      <c r="AE124" s="32">
        <v>0</v>
      </c>
      <c r="AF124" s="32">
        <v>0</v>
      </c>
      <c r="AG124" s="32">
        <v>0</v>
      </c>
      <c r="AH124" s="32">
        <v>0</v>
      </c>
      <c r="AI124" s="32">
        <v>0</v>
      </c>
      <c r="AJ124" s="32">
        <v>0</v>
      </c>
      <c r="AK124" s="32">
        <v>0</v>
      </c>
      <c r="AL124" s="32">
        <v>0</v>
      </c>
      <c r="AM124" s="32">
        <v>0</v>
      </c>
      <c r="AN124" s="32">
        <v>0</v>
      </c>
      <c r="AO124" s="32">
        <v>0</v>
      </c>
      <c r="AP124" s="32">
        <v>0</v>
      </c>
      <c r="AQ124" s="32">
        <v>0</v>
      </c>
      <c r="AR124" s="32">
        <v>0</v>
      </c>
      <c r="AS124" s="32">
        <v>0</v>
      </c>
      <c r="AT124" s="32">
        <v>0</v>
      </c>
      <c r="AU124" s="32">
        <v>0</v>
      </c>
      <c r="AV124" s="32">
        <v>0</v>
      </c>
      <c r="AW124" s="32">
        <v>0</v>
      </c>
      <c r="AX124" s="32">
        <v>0</v>
      </c>
      <c r="AY124" s="32">
        <v>0</v>
      </c>
      <c r="AZ124" s="32">
        <v>0</v>
      </c>
      <c r="BA124" s="32">
        <v>0</v>
      </c>
      <c r="BB124" s="32">
        <v>0</v>
      </c>
      <c r="BC124">
        <f>COUNTIF(J124:AZ124, "&gt;0")</f>
        <v>8</v>
      </c>
      <c r="BD124" s="13">
        <f>[1]!shannonweaver(J124:AZ124)</f>
        <v>1.7299837235231152</v>
      </c>
      <c r="BE124">
        <f t="shared" si="1"/>
        <v>8</v>
      </c>
    </row>
    <row r="125" spans="1:57">
      <c r="A125" s="13" t="s">
        <v>225</v>
      </c>
      <c r="B125" t="s">
        <v>176</v>
      </c>
      <c r="C125" t="s">
        <v>138</v>
      </c>
      <c r="D125" s="13" t="s">
        <v>319</v>
      </c>
      <c r="E125" s="13" t="s">
        <v>91</v>
      </c>
      <c r="F125" s="13">
        <v>0</v>
      </c>
      <c r="G125" s="13">
        <v>0</v>
      </c>
      <c r="H125" s="13">
        <v>0</v>
      </c>
      <c r="I125" s="13">
        <v>0</v>
      </c>
      <c r="J125" s="32">
        <v>0</v>
      </c>
      <c r="K125" s="32">
        <v>0</v>
      </c>
      <c r="L125" s="13">
        <v>9</v>
      </c>
      <c r="M125" s="13">
        <v>1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13">
        <v>2</v>
      </c>
      <c r="T125" s="32">
        <v>0</v>
      </c>
      <c r="U125" s="13">
        <v>1</v>
      </c>
      <c r="V125" s="13">
        <v>0</v>
      </c>
      <c r="W125" s="32">
        <v>0</v>
      </c>
      <c r="X125" s="32">
        <v>0</v>
      </c>
      <c r="Y125" s="32">
        <v>0</v>
      </c>
      <c r="Z125" s="32">
        <v>0</v>
      </c>
      <c r="AA125" s="13">
        <v>7</v>
      </c>
      <c r="AB125" s="13">
        <v>3</v>
      </c>
      <c r="AC125" s="32">
        <v>0</v>
      </c>
      <c r="AD125" s="32">
        <v>0</v>
      </c>
      <c r="AE125" s="32">
        <v>0</v>
      </c>
      <c r="AF125" s="32">
        <v>0</v>
      </c>
      <c r="AG125" s="32">
        <v>0</v>
      </c>
      <c r="AH125" s="32">
        <v>0</v>
      </c>
      <c r="AI125" s="32">
        <v>0</v>
      </c>
      <c r="AJ125" s="13">
        <v>1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>
        <v>0</v>
      </c>
      <c r="AS125" s="32">
        <v>0</v>
      </c>
      <c r="AT125" s="32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2">
        <v>0</v>
      </c>
      <c r="BA125" s="32">
        <v>0</v>
      </c>
      <c r="BB125" s="32">
        <v>0</v>
      </c>
      <c r="BC125">
        <f>COUNTIF(J125:AZ125, "&gt;0")</f>
        <v>7</v>
      </c>
      <c r="BD125" s="13">
        <f>[1]!shannonweaver(J125:AZ125)</f>
        <v>1.5914486859088879</v>
      </c>
      <c r="BE125">
        <f t="shared" si="1"/>
        <v>7</v>
      </c>
    </row>
    <row r="126" spans="1:57">
      <c r="A126" s="13" t="s">
        <v>226</v>
      </c>
      <c r="B126" t="s">
        <v>176</v>
      </c>
      <c r="C126" t="s">
        <v>138</v>
      </c>
      <c r="D126" s="13" t="s">
        <v>319</v>
      </c>
      <c r="E126" s="13" t="s">
        <v>91</v>
      </c>
      <c r="F126" s="13">
        <v>0</v>
      </c>
      <c r="G126" s="13">
        <v>0</v>
      </c>
      <c r="H126" s="13">
        <v>0</v>
      </c>
      <c r="I126" s="13">
        <v>0</v>
      </c>
      <c r="J126" s="32">
        <v>0</v>
      </c>
      <c r="K126" s="32">
        <v>0</v>
      </c>
      <c r="L126" s="13">
        <v>8</v>
      </c>
      <c r="M126" s="13">
        <v>0</v>
      </c>
      <c r="N126" s="32">
        <v>0</v>
      </c>
      <c r="O126" s="32">
        <v>0</v>
      </c>
      <c r="P126" s="32">
        <v>0</v>
      </c>
      <c r="Q126" s="32">
        <v>0</v>
      </c>
      <c r="R126" s="13">
        <v>1</v>
      </c>
      <c r="S126" s="13">
        <v>3</v>
      </c>
      <c r="T126" s="32">
        <v>0</v>
      </c>
      <c r="U126" s="13">
        <v>1</v>
      </c>
      <c r="V126" s="13">
        <v>0</v>
      </c>
      <c r="W126" s="32">
        <v>0</v>
      </c>
      <c r="X126" s="32">
        <v>0</v>
      </c>
      <c r="Y126" s="13">
        <v>2</v>
      </c>
      <c r="Z126" s="32">
        <v>0</v>
      </c>
      <c r="AA126" s="13">
        <v>7</v>
      </c>
      <c r="AB126" s="13">
        <v>7</v>
      </c>
      <c r="AC126" s="32">
        <v>0</v>
      </c>
      <c r="AD126" s="32">
        <v>0</v>
      </c>
      <c r="AE126" s="32">
        <v>0</v>
      </c>
      <c r="AF126" s="32">
        <v>0</v>
      </c>
      <c r="AG126" s="32">
        <v>0</v>
      </c>
      <c r="AH126" s="32">
        <v>0</v>
      </c>
      <c r="AI126" s="32">
        <v>0</v>
      </c>
      <c r="AJ126" s="32">
        <v>0</v>
      </c>
      <c r="AK126" s="32">
        <v>0</v>
      </c>
      <c r="AL126" s="32">
        <v>0</v>
      </c>
      <c r="AM126" s="32">
        <v>0</v>
      </c>
      <c r="AN126" s="32">
        <v>0</v>
      </c>
      <c r="AO126" s="32">
        <v>0</v>
      </c>
      <c r="AP126" s="32">
        <v>0</v>
      </c>
      <c r="AQ126" s="32">
        <v>0</v>
      </c>
      <c r="AR126" s="32">
        <v>0</v>
      </c>
      <c r="AS126" s="32">
        <v>0</v>
      </c>
      <c r="AT126" s="32">
        <v>0</v>
      </c>
      <c r="AU126" s="32">
        <v>0</v>
      </c>
      <c r="AV126" s="32">
        <v>0</v>
      </c>
      <c r="AW126" s="32">
        <v>0</v>
      </c>
      <c r="AX126" s="13">
        <v>1</v>
      </c>
      <c r="AY126" s="32">
        <v>0</v>
      </c>
      <c r="AZ126" s="32">
        <v>0</v>
      </c>
      <c r="BA126" s="32">
        <v>0</v>
      </c>
      <c r="BB126" s="32">
        <v>0</v>
      </c>
      <c r="BC126">
        <f>COUNTIF(J126:AZ126, "&gt;0")</f>
        <v>8</v>
      </c>
      <c r="BD126" s="13">
        <f>[1]!shannonweaver(J126:AZ126)</f>
        <v>1.7825171934175787</v>
      </c>
      <c r="BE126">
        <f t="shared" si="1"/>
        <v>8</v>
      </c>
    </row>
    <row r="127" spans="1:57">
      <c r="A127" s="13" t="s">
        <v>227</v>
      </c>
      <c r="B127" t="s">
        <v>176</v>
      </c>
      <c r="C127" t="s">
        <v>138</v>
      </c>
      <c r="D127" s="13" t="s">
        <v>319</v>
      </c>
      <c r="E127" s="13" t="s">
        <v>91</v>
      </c>
      <c r="F127" s="13">
        <v>0</v>
      </c>
      <c r="G127" s="13">
        <v>0</v>
      </c>
      <c r="H127" s="13">
        <v>0</v>
      </c>
      <c r="I127" s="13">
        <v>0</v>
      </c>
      <c r="J127" s="32">
        <v>0</v>
      </c>
      <c r="K127" s="32">
        <v>0</v>
      </c>
      <c r="L127" s="13">
        <v>10</v>
      </c>
      <c r="M127" s="13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13">
        <v>1</v>
      </c>
      <c r="T127" s="13">
        <v>1</v>
      </c>
      <c r="U127" s="13">
        <v>0</v>
      </c>
      <c r="V127" s="13">
        <v>0</v>
      </c>
      <c r="W127" s="32">
        <v>0</v>
      </c>
      <c r="X127" s="32">
        <v>0</v>
      </c>
      <c r="Y127" s="13">
        <v>3</v>
      </c>
      <c r="Z127" s="32">
        <v>0</v>
      </c>
      <c r="AA127" s="13">
        <v>6</v>
      </c>
      <c r="AB127" s="13">
        <v>5</v>
      </c>
      <c r="AC127" s="32">
        <v>0</v>
      </c>
      <c r="AD127" s="13">
        <v>2</v>
      </c>
      <c r="AE127" s="32">
        <v>0</v>
      </c>
      <c r="AF127" s="32">
        <v>0</v>
      </c>
      <c r="AG127" s="32">
        <v>0</v>
      </c>
      <c r="AH127" s="32">
        <v>0</v>
      </c>
      <c r="AI127" s="32">
        <v>0</v>
      </c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13">
        <v>1</v>
      </c>
      <c r="AS127" s="32">
        <v>0</v>
      </c>
      <c r="AT127" s="32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2">
        <v>0</v>
      </c>
      <c r="BA127" s="32">
        <v>0</v>
      </c>
      <c r="BB127" s="32">
        <v>0</v>
      </c>
      <c r="BC127">
        <f>COUNTIF(J127:AZ127, "&gt;0")</f>
        <v>8</v>
      </c>
      <c r="BD127" s="13">
        <f>[1]!shannonweaver(J127:AZ127)</f>
        <v>1.7636500184484221</v>
      </c>
      <c r="BE127">
        <f t="shared" si="1"/>
        <v>8</v>
      </c>
    </row>
    <row r="128" spans="1:57">
      <c r="A128" t="s">
        <v>251</v>
      </c>
      <c r="B128" t="s">
        <v>176</v>
      </c>
      <c r="C128" t="s">
        <v>207</v>
      </c>
      <c r="D128" s="13" t="s">
        <v>320</v>
      </c>
      <c r="E128" s="13" t="s">
        <v>91</v>
      </c>
      <c r="F128" s="13">
        <v>0</v>
      </c>
      <c r="G128" s="13">
        <v>0</v>
      </c>
      <c r="H128" s="13">
        <v>0</v>
      </c>
      <c r="I128" s="13">
        <v>0</v>
      </c>
      <c r="J128" s="32">
        <v>0</v>
      </c>
      <c r="K128" s="32">
        <v>0</v>
      </c>
      <c r="L128" s="13">
        <v>2</v>
      </c>
      <c r="M128" s="13">
        <v>0</v>
      </c>
      <c r="N128" s="32">
        <v>0</v>
      </c>
      <c r="O128" s="32">
        <v>0</v>
      </c>
      <c r="P128" s="32">
        <v>0</v>
      </c>
      <c r="Q128" s="32">
        <v>0</v>
      </c>
      <c r="R128" s="13">
        <v>1</v>
      </c>
      <c r="S128" s="13">
        <v>0</v>
      </c>
      <c r="T128" s="13">
        <v>0</v>
      </c>
      <c r="U128" s="13">
        <v>0</v>
      </c>
      <c r="V128" s="13">
        <v>0</v>
      </c>
      <c r="W128" s="32">
        <v>0</v>
      </c>
      <c r="X128" s="32">
        <v>0</v>
      </c>
      <c r="Y128" s="13">
        <v>3</v>
      </c>
      <c r="Z128" s="32">
        <v>0</v>
      </c>
      <c r="AA128" s="32">
        <v>0</v>
      </c>
      <c r="AB128" s="32">
        <v>0</v>
      </c>
      <c r="AC128" s="32">
        <v>0</v>
      </c>
      <c r="AD128" s="32">
        <v>0</v>
      </c>
      <c r="AE128" s="32">
        <v>0</v>
      </c>
      <c r="AF128" s="32">
        <v>0</v>
      </c>
      <c r="AG128" s="32">
        <v>0</v>
      </c>
      <c r="AH128" s="32">
        <v>0</v>
      </c>
      <c r="AI128" s="32">
        <v>0</v>
      </c>
      <c r="AJ128" s="32">
        <v>0</v>
      </c>
      <c r="AK128" s="32">
        <v>0</v>
      </c>
      <c r="AL128" s="32">
        <v>0</v>
      </c>
      <c r="AM128" s="32">
        <v>0</v>
      </c>
      <c r="AN128" s="32">
        <v>0</v>
      </c>
      <c r="AO128" s="32">
        <v>0</v>
      </c>
      <c r="AP128" s="32">
        <v>0</v>
      </c>
      <c r="AQ128" s="32">
        <v>0</v>
      </c>
      <c r="AR128" s="32">
        <v>0</v>
      </c>
      <c r="AS128" s="32">
        <v>0</v>
      </c>
      <c r="AT128" s="32">
        <v>0</v>
      </c>
      <c r="AU128" s="32">
        <v>0</v>
      </c>
      <c r="AV128" s="13">
        <v>4</v>
      </c>
      <c r="AW128" s="32">
        <v>0</v>
      </c>
      <c r="AX128" s="32">
        <v>0</v>
      </c>
      <c r="AY128" s="32">
        <v>0</v>
      </c>
      <c r="AZ128" s="32">
        <v>0</v>
      </c>
      <c r="BA128" s="32">
        <v>0</v>
      </c>
      <c r="BB128" s="32">
        <v>0</v>
      </c>
      <c r="BC128">
        <f>COUNTIF(J128:AZ128, "&gt;0")</f>
        <v>4</v>
      </c>
      <c r="BD128" s="13">
        <f>[1]!shannonweaver(J128:AZ128)</f>
        <v>1.2798542258336676</v>
      </c>
      <c r="BE128">
        <f t="shared" si="1"/>
        <v>4</v>
      </c>
    </row>
    <row r="129" spans="1:57">
      <c r="A129" s="13" t="s">
        <v>252</v>
      </c>
      <c r="B129" t="s">
        <v>176</v>
      </c>
      <c r="C129" t="s">
        <v>207</v>
      </c>
      <c r="D129" s="13" t="s">
        <v>320</v>
      </c>
      <c r="E129" s="13" t="s">
        <v>91</v>
      </c>
      <c r="F129" s="13">
        <v>0</v>
      </c>
      <c r="G129" s="13">
        <v>0</v>
      </c>
      <c r="H129" s="13">
        <v>0</v>
      </c>
      <c r="I129" s="13">
        <v>0</v>
      </c>
      <c r="J129" s="32">
        <v>0</v>
      </c>
      <c r="K129" s="32">
        <v>0</v>
      </c>
      <c r="L129" s="13">
        <v>3</v>
      </c>
      <c r="M129" s="13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13">
        <v>1</v>
      </c>
      <c r="V129" s="13">
        <v>0</v>
      </c>
      <c r="W129" s="32">
        <v>0</v>
      </c>
      <c r="X129" s="32">
        <v>0</v>
      </c>
      <c r="Y129" s="32">
        <v>0</v>
      </c>
      <c r="Z129" s="32">
        <v>0</v>
      </c>
      <c r="AA129" s="32">
        <v>0</v>
      </c>
      <c r="AB129" s="32">
        <v>0</v>
      </c>
      <c r="AC129" s="32">
        <v>0</v>
      </c>
      <c r="AD129" s="32">
        <v>0</v>
      </c>
      <c r="AE129" s="32">
        <v>0</v>
      </c>
      <c r="AF129" s="32">
        <v>0</v>
      </c>
      <c r="AG129" s="32">
        <v>0</v>
      </c>
      <c r="AH129" s="32">
        <v>0</v>
      </c>
      <c r="AI129" s="32">
        <v>0</v>
      </c>
      <c r="AJ129" s="32">
        <v>0</v>
      </c>
      <c r="AK129" s="32">
        <v>0</v>
      </c>
      <c r="AL129" s="13">
        <v>1</v>
      </c>
      <c r="AM129" s="32">
        <v>0</v>
      </c>
      <c r="AN129" s="32">
        <v>0</v>
      </c>
      <c r="AO129" s="32">
        <v>0</v>
      </c>
      <c r="AP129" s="32">
        <v>0</v>
      </c>
      <c r="AQ129" s="32">
        <v>0</v>
      </c>
      <c r="AR129" s="32">
        <v>0</v>
      </c>
      <c r="AS129" s="32">
        <v>0</v>
      </c>
      <c r="AT129" s="32">
        <v>0</v>
      </c>
      <c r="AU129" s="32">
        <v>0</v>
      </c>
      <c r="AV129" s="32">
        <v>0</v>
      </c>
      <c r="AW129" s="32">
        <v>0</v>
      </c>
      <c r="AX129" s="32">
        <v>0</v>
      </c>
      <c r="AY129" s="32">
        <v>0</v>
      </c>
      <c r="AZ129" s="32">
        <v>0</v>
      </c>
      <c r="BA129" s="32">
        <v>0</v>
      </c>
      <c r="BB129" s="32">
        <v>0</v>
      </c>
      <c r="BC129">
        <f>COUNTIF(J129:AZ129, "&gt;0")</f>
        <v>3</v>
      </c>
      <c r="BD129" s="13">
        <f>[1]!shannonweaver(J129:AZ129)</f>
        <v>0.95027053923323468</v>
      </c>
      <c r="BE129">
        <f t="shared" si="1"/>
        <v>3</v>
      </c>
    </row>
    <row r="130" spans="1:57">
      <c r="A130" s="13" t="s">
        <v>253</v>
      </c>
      <c r="B130" t="s">
        <v>176</v>
      </c>
      <c r="C130" t="s">
        <v>207</v>
      </c>
      <c r="D130" s="13" t="s">
        <v>320</v>
      </c>
      <c r="E130" s="13" t="s">
        <v>91</v>
      </c>
      <c r="F130" s="13">
        <v>0</v>
      </c>
      <c r="G130" s="13">
        <v>0</v>
      </c>
      <c r="H130" s="13">
        <v>0</v>
      </c>
      <c r="I130" s="13">
        <v>0</v>
      </c>
      <c r="J130" s="32">
        <v>0</v>
      </c>
      <c r="K130" s="32">
        <v>0</v>
      </c>
      <c r="L130" s="13">
        <v>1</v>
      </c>
      <c r="M130" s="13">
        <v>0</v>
      </c>
      <c r="N130" s="32">
        <v>0</v>
      </c>
      <c r="O130" s="13">
        <v>1</v>
      </c>
      <c r="P130" s="32">
        <v>0</v>
      </c>
      <c r="Q130" s="32">
        <v>0</v>
      </c>
      <c r="R130" s="13">
        <v>1</v>
      </c>
      <c r="S130" s="32">
        <v>0</v>
      </c>
      <c r="T130" s="32">
        <v>0</v>
      </c>
      <c r="U130" s="13">
        <v>1</v>
      </c>
      <c r="V130" s="13">
        <v>0</v>
      </c>
      <c r="W130" s="32">
        <v>0</v>
      </c>
      <c r="X130" s="32">
        <v>0</v>
      </c>
      <c r="Y130" s="13">
        <v>6</v>
      </c>
      <c r="Z130" s="32">
        <v>0</v>
      </c>
      <c r="AA130" s="32">
        <v>0</v>
      </c>
      <c r="AB130" s="32">
        <v>0</v>
      </c>
      <c r="AC130" s="32">
        <v>0</v>
      </c>
      <c r="AD130" s="32">
        <v>0</v>
      </c>
      <c r="AE130" s="32">
        <v>0</v>
      </c>
      <c r="AF130" s="32">
        <v>0</v>
      </c>
      <c r="AG130" s="32">
        <v>0</v>
      </c>
      <c r="AH130" s="32">
        <v>0</v>
      </c>
      <c r="AI130" s="13">
        <v>1</v>
      </c>
      <c r="AJ130" s="32">
        <v>0</v>
      </c>
      <c r="AK130" s="32">
        <v>0</v>
      </c>
      <c r="AL130" s="32">
        <v>0</v>
      </c>
      <c r="AM130" s="32">
        <v>0</v>
      </c>
      <c r="AN130" s="32">
        <v>0</v>
      </c>
      <c r="AO130" s="32">
        <v>0</v>
      </c>
      <c r="AP130" s="32">
        <v>0</v>
      </c>
      <c r="AQ130" s="32">
        <v>0</v>
      </c>
      <c r="AR130" s="32">
        <v>0</v>
      </c>
      <c r="AS130" s="32">
        <v>0</v>
      </c>
      <c r="AT130" s="32">
        <v>0</v>
      </c>
      <c r="AU130" s="32">
        <v>0</v>
      </c>
      <c r="AV130" s="32">
        <v>0</v>
      </c>
      <c r="AW130" s="32">
        <v>0</v>
      </c>
      <c r="AX130" s="32">
        <v>0</v>
      </c>
      <c r="AY130" s="32">
        <v>0</v>
      </c>
      <c r="AZ130" s="32">
        <v>0</v>
      </c>
      <c r="BA130" s="32">
        <v>0</v>
      </c>
      <c r="BB130" s="32">
        <v>0</v>
      </c>
      <c r="BC130">
        <f>COUNTIF(J130:AZ130, "&gt;0")</f>
        <v>6</v>
      </c>
      <c r="BD130" s="13">
        <f>[1]!shannonweaver(J130:AZ130)</f>
        <v>1.4205719259467045</v>
      </c>
      <c r="BE130">
        <f t="shared" si="1"/>
        <v>6</v>
      </c>
    </row>
    <row r="131" spans="1:57">
      <c r="A131" s="13" t="s">
        <v>55</v>
      </c>
      <c r="B131" t="s">
        <v>176</v>
      </c>
      <c r="C131" t="s">
        <v>207</v>
      </c>
      <c r="D131" s="13" t="s">
        <v>320</v>
      </c>
      <c r="E131" s="13" t="s">
        <v>91</v>
      </c>
      <c r="F131" s="13">
        <v>0</v>
      </c>
      <c r="G131" s="13">
        <v>0</v>
      </c>
      <c r="H131" s="13">
        <v>0</v>
      </c>
      <c r="I131" s="13">
        <v>0</v>
      </c>
      <c r="J131" s="32">
        <v>0</v>
      </c>
      <c r="K131" s="32">
        <v>0</v>
      </c>
      <c r="L131" s="13">
        <v>1</v>
      </c>
      <c r="M131" s="13">
        <v>0</v>
      </c>
      <c r="N131" s="32">
        <v>0</v>
      </c>
      <c r="O131" s="32">
        <v>0</v>
      </c>
      <c r="P131" s="32">
        <v>0</v>
      </c>
      <c r="Q131" s="32">
        <v>0</v>
      </c>
      <c r="R131" s="32">
        <v>0</v>
      </c>
      <c r="S131" s="13">
        <v>1</v>
      </c>
      <c r="T131" s="13">
        <v>1</v>
      </c>
      <c r="U131" s="13">
        <v>0</v>
      </c>
      <c r="V131" s="13">
        <v>0</v>
      </c>
      <c r="W131" s="32">
        <v>0</v>
      </c>
      <c r="X131" s="32">
        <v>0</v>
      </c>
      <c r="Y131" s="13">
        <v>2</v>
      </c>
      <c r="Z131" s="32">
        <v>0</v>
      </c>
      <c r="AA131" s="13">
        <v>1</v>
      </c>
      <c r="AB131" s="32">
        <v>0</v>
      </c>
      <c r="AC131" s="32">
        <v>0</v>
      </c>
      <c r="AD131" s="32">
        <v>0</v>
      </c>
      <c r="AE131" s="32">
        <v>0</v>
      </c>
      <c r="AF131" s="32">
        <v>0</v>
      </c>
      <c r="AG131" s="32">
        <v>0</v>
      </c>
      <c r="AH131" s="32">
        <v>0</v>
      </c>
      <c r="AI131" s="32">
        <v>0</v>
      </c>
      <c r="AJ131" s="32">
        <v>0</v>
      </c>
      <c r="AK131" s="32">
        <v>0</v>
      </c>
      <c r="AL131" s="32">
        <v>0</v>
      </c>
      <c r="AM131" s="32">
        <v>0</v>
      </c>
      <c r="AN131" s="32">
        <v>0</v>
      </c>
      <c r="AO131" s="32">
        <v>0</v>
      </c>
      <c r="AP131" s="32">
        <v>0</v>
      </c>
      <c r="AQ131" s="32">
        <v>0</v>
      </c>
      <c r="AR131" s="32">
        <v>0</v>
      </c>
      <c r="AS131" s="32">
        <v>0</v>
      </c>
      <c r="AT131" s="32">
        <v>0</v>
      </c>
      <c r="AU131" s="32">
        <v>0</v>
      </c>
      <c r="AV131" s="13">
        <v>1</v>
      </c>
      <c r="AW131" s="32">
        <v>0</v>
      </c>
      <c r="AX131" s="32">
        <v>0</v>
      </c>
      <c r="AY131" s="32">
        <v>0</v>
      </c>
      <c r="AZ131" s="32">
        <v>0</v>
      </c>
      <c r="BA131" s="32">
        <v>0</v>
      </c>
      <c r="BB131" s="32">
        <v>0</v>
      </c>
      <c r="BC131">
        <f>COUNTIF(J131:AZ131, "&gt;0")</f>
        <v>6</v>
      </c>
      <c r="BD131" s="13">
        <f>[1]!shannonweaver(J131:AZ131)</f>
        <v>1.7478680974667573</v>
      </c>
      <c r="BE131">
        <f t="shared" ref="BE131:BE194" si="2">COUNTIF(I131:AY131, "&gt;0")</f>
        <v>6</v>
      </c>
    </row>
    <row r="132" spans="1:57">
      <c r="A132" s="13" t="s">
        <v>56</v>
      </c>
      <c r="B132" t="s">
        <v>176</v>
      </c>
      <c r="C132" t="s">
        <v>207</v>
      </c>
      <c r="D132" s="13" t="s">
        <v>320</v>
      </c>
      <c r="E132" s="13" t="s">
        <v>91</v>
      </c>
      <c r="F132" s="13">
        <v>0</v>
      </c>
      <c r="G132" s="13">
        <v>0</v>
      </c>
      <c r="H132" s="13">
        <v>0</v>
      </c>
      <c r="I132" s="13">
        <v>0</v>
      </c>
      <c r="J132" s="32">
        <v>0</v>
      </c>
      <c r="K132" s="32">
        <v>0</v>
      </c>
      <c r="L132" s="13">
        <v>1</v>
      </c>
      <c r="M132" s="13">
        <v>0</v>
      </c>
      <c r="N132" s="32">
        <v>0</v>
      </c>
      <c r="O132" s="32">
        <v>0</v>
      </c>
      <c r="P132" s="32">
        <v>0</v>
      </c>
      <c r="Q132" s="32">
        <v>0</v>
      </c>
      <c r="R132" s="32">
        <v>0</v>
      </c>
      <c r="S132" s="32">
        <v>0</v>
      </c>
      <c r="T132" s="32">
        <v>0</v>
      </c>
      <c r="U132" s="32">
        <v>0</v>
      </c>
      <c r="V132" s="32">
        <v>0</v>
      </c>
      <c r="W132" s="32">
        <v>0</v>
      </c>
      <c r="X132" s="13">
        <v>1</v>
      </c>
      <c r="Y132" s="13">
        <v>2</v>
      </c>
      <c r="Z132" s="32">
        <v>0</v>
      </c>
      <c r="AA132" s="13">
        <v>2</v>
      </c>
      <c r="AB132" s="13">
        <v>1</v>
      </c>
      <c r="AC132" s="32">
        <v>0</v>
      </c>
      <c r="AD132" s="32">
        <v>0</v>
      </c>
      <c r="AE132" s="32">
        <v>0</v>
      </c>
      <c r="AF132" s="32">
        <v>0</v>
      </c>
      <c r="AG132" s="32">
        <v>0</v>
      </c>
      <c r="AH132" s="32">
        <v>0</v>
      </c>
      <c r="AI132" s="32">
        <v>0</v>
      </c>
      <c r="AJ132" s="32">
        <v>0</v>
      </c>
      <c r="AK132" s="32">
        <v>0</v>
      </c>
      <c r="AL132" s="32">
        <v>0</v>
      </c>
      <c r="AM132" s="32">
        <v>0</v>
      </c>
      <c r="AN132" s="32">
        <v>0</v>
      </c>
      <c r="AO132" s="32">
        <v>0</v>
      </c>
      <c r="AP132" s="32">
        <v>0</v>
      </c>
      <c r="AQ132" s="32">
        <v>0</v>
      </c>
      <c r="AR132" s="32">
        <v>0</v>
      </c>
      <c r="AS132" s="32">
        <v>0</v>
      </c>
      <c r="AT132" s="32">
        <v>0</v>
      </c>
      <c r="AU132" s="32">
        <v>0</v>
      </c>
      <c r="AV132" s="13">
        <v>1</v>
      </c>
      <c r="AW132" s="32">
        <v>0</v>
      </c>
      <c r="AX132" s="32">
        <v>0</v>
      </c>
      <c r="AY132" s="32">
        <v>0</v>
      </c>
      <c r="AZ132" s="32">
        <v>0</v>
      </c>
      <c r="BA132" s="32">
        <v>0</v>
      </c>
      <c r="BB132" s="32">
        <v>0</v>
      </c>
      <c r="BC132">
        <f>COUNTIF(J132:AZ132, "&gt;0")</f>
        <v>6</v>
      </c>
      <c r="BD132" s="13">
        <f>[1]!shannonweaver(J132:AZ132)</f>
        <v>1.7328679513998633</v>
      </c>
      <c r="BE132">
        <f t="shared" si="2"/>
        <v>6</v>
      </c>
    </row>
    <row r="133" spans="1:57">
      <c r="A133" s="13" t="s">
        <v>57</v>
      </c>
      <c r="B133" t="s">
        <v>176</v>
      </c>
      <c r="C133" t="s">
        <v>207</v>
      </c>
      <c r="D133" s="13" t="s">
        <v>320</v>
      </c>
      <c r="E133" s="13" t="s">
        <v>91</v>
      </c>
      <c r="F133" s="13">
        <v>0</v>
      </c>
      <c r="G133" s="13">
        <v>0</v>
      </c>
      <c r="H133" s="13">
        <v>0</v>
      </c>
      <c r="I133" s="13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13">
        <v>1</v>
      </c>
      <c r="R133" s="32">
        <v>0</v>
      </c>
      <c r="S133" s="32">
        <v>0</v>
      </c>
      <c r="T133" s="13">
        <v>2</v>
      </c>
      <c r="U133" s="32">
        <v>0</v>
      </c>
      <c r="V133" s="32">
        <v>0</v>
      </c>
      <c r="W133" s="32">
        <v>0</v>
      </c>
      <c r="X133" s="32">
        <v>0</v>
      </c>
      <c r="Y133" s="13">
        <v>4</v>
      </c>
      <c r="Z133" s="32">
        <v>0</v>
      </c>
      <c r="AA133" s="13">
        <v>1</v>
      </c>
      <c r="AB133" s="13">
        <v>4</v>
      </c>
      <c r="AC133" s="32">
        <v>0</v>
      </c>
      <c r="AD133" s="13">
        <v>2</v>
      </c>
      <c r="AE133" s="32">
        <v>0</v>
      </c>
      <c r="AF133" s="32">
        <v>0</v>
      </c>
      <c r="AG133" s="32">
        <v>0</v>
      </c>
      <c r="AH133" s="32">
        <v>0</v>
      </c>
      <c r="AI133" s="32">
        <v>0</v>
      </c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>
        <v>0</v>
      </c>
      <c r="AS133" s="32">
        <v>0</v>
      </c>
      <c r="AT133" s="32">
        <v>0</v>
      </c>
      <c r="AU133" s="32">
        <v>0</v>
      </c>
      <c r="AV133" s="13">
        <v>1</v>
      </c>
      <c r="AW133" s="32">
        <v>0</v>
      </c>
      <c r="AX133" s="32">
        <v>0</v>
      </c>
      <c r="AY133" s="32">
        <v>0</v>
      </c>
      <c r="AZ133" s="32">
        <v>0</v>
      </c>
      <c r="BA133" s="32">
        <v>0</v>
      </c>
      <c r="BB133" s="32">
        <v>0</v>
      </c>
      <c r="BC133">
        <f>COUNTIF(J133:AZ133, "&gt;0")</f>
        <v>7</v>
      </c>
      <c r="BD133" s="13">
        <f>[1]!shannonweaver(J133:AZ133)</f>
        <v>1.7838539603556165</v>
      </c>
      <c r="BE133">
        <f t="shared" si="2"/>
        <v>7</v>
      </c>
    </row>
    <row r="134" spans="1:57">
      <c r="A134" s="13" t="s">
        <v>58</v>
      </c>
      <c r="B134" t="s">
        <v>176</v>
      </c>
      <c r="C134" t="s">
        <v>213</v>
      </c>
      <c r="D134" s="13" t="s">
        <v>320</v>
      </c>
      <c r="E134" s="13" t="s">
        <v>91</v>
      </c>
      <c r="F134" s="13">
        <v>0</v>
      </c>
      <c r="G134" s="13">
        <v>0</v>
      </c>
      <c r="H134" s="13">
        <v>0</v>
      </c>
      <c r="I134" s="13">
        <v>0</v>
      </c>
      <c r="J134" s="32">
        <v>0</v>
      </c>
      <c r="K134" s="32">
        <v>0</v>
      </c>
      <c r="L134" s="13">
        <v>3</v>
      </c>
      <c r="M134" s="32">
        <v>0</v>
      </c>
      <c r="N134" s="32">
        <v>0</v>
      </c>
      <c r="O134" s="32">
        <v>0</v>
      </c>
      <c r="P134" s="32">
        <v>0</v>
      </c>
      <c r="Q134" s="32">
        <v>0</v>
      </c>
      <c r="R134" s="32">
        <v>0</v>
      </c>
      <c r="S134" s="32">
        <v>0</v>
      </c>
      <c r="T134" s="32">
        <v>0</v>
      </c>
      <c r="U134" s="32">
        <v>0</v>
      </c>
      <c r="V134" s="32">
        <v>0</v>
      </c>
      <c r="W134" s="32">
        <v>0</v>
      </c>
      <c r="X134" s="32">
        <v>0</v>
      </c>
      <c r="Y134" s="13">
        <v>5</v>
      </c>
      <c r="Z134" s="32">
        <v>0</v>
      </c>
      <c r="AA134" s="13">
        <v>13</v>
      </c>
      <c r="AB134" s="13">
        <v>6</v>
      </c>
      <c r="AC134" s="32">
        <v>0</v>
      </c>
      <c r="AD134" s="32">
        <v>0</v>
      </c>
      <c r="AE134" s="32">
        <v>0</v>
      </c>
      <c r="AF134" s="32">
        <v>0</v>
      </c>
      <c r="AG134" s="32">
        <v>0</v>
      </c>
      <c r="AH134" s="32">
        <v>0</v>
      </c>
      <c r="AI134" s="32">
        <v>0</v>
      </c>
      <c r="AJ134" s="13">
        <v>1</v>
      </c>
      <c r="AK134" s="32">
        <v>0</v>
      </c>
      <c r="AL134" s="32">
        <v>0</v>
      </c>
      <c r="AM134" s="32">
        <v>0</v>
      </c>
      <c r="AN134" s="32">
        <v>0</v>
      </c>
      <c r="AO134" s="32">
        <v>0</v>
      </c>
      <c r="AP134" s="32">
        <v>0</v>
      </c>
      <c r="AQ134" s="32">
        <v>0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32">
        <v>0</v>
      </c>
      <c r="AX134" s="32">
        <v>0</v>
      </c>
      <c r="AY134" s="32">
        <v>0</v>
      </c>
      <c r="AZ134" s="32">
        <v>0</v>
      </c>
      <c r="BA134" s="32">
        <v>0</v>
      </c>
      <c r="BB134" s="32">
        <v>0</v>
      </c>
      <c r="BC134">
        <f>COUNTIF(J134:AZ134, "&gt;0")</f>
        <v>5</v>
      </c>
      <c r="BD134" s="13">
        <f>[1]!shannonweaver(J134:AZ134)</f>
        <v>1.3522786212272346</v>
      </c>
      <c r="BE134">
        <f t="shared" si="2"/>
        <v>5</v>
      </c>
    </row>
    <row r="135" spans="1:57">
      <c r="A135" s="13" t="s">
        <v>60</v>
      </c>
      <c r="B135" t="s">
        <v>176</v>
      </c>
      <c r="C135" t="s">
        <v>213</v>
      </c>
      <c r="D135" s="13" t="s">
        <v>320</v>
      </c>
      <c r="E135" s="13" t="s">
        <v>91</v>
      </c>
      <c r="F135" s="13">
        <v>0</v>
      </c>
      <c r="G135" s="13">
        <v>0</v>
      </c>
      <c r="H135" s="13">
        <v>0</v>
      </c>
      <c r="I135" s="13">
        <v>0</v>
      </c>
      <c r="J135" s="32">
        <v>0</v>
      </c>
      <c r="K135" s="32">
        <v>0</v>
      </c>
      <c r="L135" s="13">
        <v>4</v>
      </c>
      <c r="M135" s="32">
        <v>0</v>
      </c>
      <c r="N135" s="32">
        <v>0</v>
      </c>
      <c r="O135" s="32">
        <v>0</v>
      </c>
      <c r="P135" s="32">
        <v>0</v>
      </c>
      <c r="Q135" s="32">
        <v>0</v>
      </c>
      <c r="R135" s="32">
        <v>0</v>
      </c>
      <c r="S135" s="13">
        <v>1</v>
      </c>
      <c r="T135" s="32">
        <v>0</v>
      </c>
      <c r="U135" s="13">
        <v>1</v>
      </c>
      <c r="V135" s="32">
        <v>0</v>
      </c>
      <c r="W135" s="32">
        <v>0</v>
      </c>
      <c r="X135" s="32">
        <v>0</v>
      </c>
      <c r="Y135" s="13">
        <v>4</v>
      </c>
      <c r="Z135" s="32">
        <v>0</v>
      </c>
      <c r="AA135" s="13">
        <v>3</v>
      </c>
      <c r="AB135" s="13">
        <v>0</v>
      </c>
      <c r="AC135" s="32">
        <v>0</v>
      </c>
      <c r="AD135" s="32">
        <v>0</v>
      </c>
      <c r="AE135" s="32">
        <v>0</v>
      </c>
      <c r="AF135" s="32">
        <v>0</v>
      </c>
      <c r="AG135" s="32">
        <v>0</v>
      </c>
      <c r="AH135" s="32">
        <v>0</v>
      </c>
      <c r="AI135" s="32">
        <v>0</v>
      </c>
      <c r="AJ135" s="32">
        <v>0</v>
      </c>
      <c r="AK135" s="32">
        <v>0</v>
      </c>
      <c r="AL135" s="32">
        <v>0</v>
      </c>
      <c r="AM135" s="32">
        <v>0</v>
      </c>
      <c r="AN135" s="32">
        <v>0</v>
      </c>
      <c r="AO135" s="32">
        <v>0</v>
      </c>
      <c r="AP135" s="32">
        <v>0</v>
      </c>
      <c r="AQ135" s="32">
        <v>0</v>
      </c>
      <c r="AR135" s="32">
        <v>0</v>
      </c>
      <c r="AS135" s="32">
        <v>0</v>
      </c>
      <c r="AT135" s="32">
        <v>0</v>
      </c>
      <c r="AU135" s="32">
        <v>0</v>
      </c>
      <c r="AV135" s="32">
        <v>0</v>
      </c>
      <c r="AW135" s="32">
        <v>0</v>
      </c>
      <c r="AX135" s="32">
        <v>0</v>
      </c>
      <c r="AY135" s="32">
        <v>0</v>
      </c>
      <c r="AZ135" s="32">
        <v>0</v>
      </c>
      <c r="BA135" s="32">
        <v>0</v>
      </c>
      <c r="BB135" s="32">
        <v>0</v>
      </c>
      <c r="BC135">
        <f>COUNTIF(J135:AZ135, "&gt;0")</f>
        <v>5</v>
      </c>
      <c r="BD135" s="13">
        <f>[1]!shannonweaver(J135:AZ135)</f>
        <v>1.458319222464348</v>
      </c>
      <c r="BE135">
        <f t="shared" si="2"/>
        <v>5</v>
      </c>
    </row>
    <row r="136" spans="1:57">
      <c r="A136" s="13" t="s">
        <v>79</v>
      </c>
      <c r="B136" t="s">
        <v>176</v>
      </c>
      <c r="C136" t="s">
        <v>213</v>
      </c>
      <c r="D136" s="13" t="s">
        <v>320</v>
      </c>
      <c r="E136" s="13" t="s">
        <v>91</v>
      </c>
      <c r="F136" s="13">
        <v>0</v>
      </c>
      <c r="G136" s="13">
        <v>0</v>
      </c>
      <c r="H136" s="13">
        <v>0</v>
      </c>
      <c r="I136" s="13">
        <v>0</v>
      </c>
      <c r="J136" s="32">
        <v>0</v>
      </c>
      <c r="K136" s="32">
        <v>0</v>
      </c>
      <c r="L136" s="13">
        <v>1</v>
      </c>
      <c r="M136" s="32">
        <v>0</v>
      </c>
      <c r="N136" s="32">
        <v>0</v>
      </c>
      <c r="O136" s="32">
        <v>0</v>
      </c>
      <c r="P136" s="32">
        <v>0</v>
      </c>
      <c r="Q136" s="32">
        <v>0</v>
      </c>
      <c r="R136" s="32">
        <v>0</v>
      </c>
      <c r="S136" s="32">
        <v>0</v>
      </c>
      <c r="T136" s="13">
        <v>1</v>
      </c>
      <c r="U136" s="13">
        <v>0</v>
      </c>
      <c r="V136" s="32">
        <v>0</v>
      </c>
      <c r="W136" s="32">
        <v>0</v>
      </c>
      <c r="X136" s="32">
        <v>0</v>
      </c>
      <c r="Y136" s="13">
        <v>1</v>
      </c>
      <c r="Z136" s="32">
        <v>0</v>
      </c>
      <c r="AA136" s="13">
        <v>6</v>
      </c>
      <c r="AB136" s="13">
        <v>3</v>
      </c>
      <c r="AC136" s="32">
        <v>0</v>
      </c>
      <c r="AD136" s="32">
        <v>0</v>
      </c>
      <c r="AE136" s="32">
        <v>0</v>
      </c>
      <c r="AF136" s="32">
        <v>0</v>
      </c>
      <c r="AG136" s="32">
        <v>0</v>
      </c>
      <c r="AH136" s="32">
        <v>0</v>
      </c>
      <c r="AI136" s="32">
        <v>0</v>
      </c>
      <c r="AJ136" s="32">
        <v>0</v>
      </c>
      <c r="AK136" s="32">
        <v>0</v>
      </c>
      <c r="AL136" s="32">
        <v>0</v>
      </c>
      <c r="AM136" s="32">
        <v>0</v>
      </c>
      <c r="AN136" s="32">
        <v>0</v>
      </c>
      <c r="AO136" s="32">
        <v>0</v>
      </c>
      <c r="AP136" s="32">
        <v>0</v>
      </c>
      <c r="AQ136" s="32">
        <v>0</v>
      </c>
      <c r="AR136" s="32">
        <v>0</v>
      </c>
      <c r="AS136" s="32">
        <v>0</v>
      </c>
      <c r="AT136" s="32">
        <v>0</v>
      </c>
      <c r="AU136" s="32">
        <v>0</v>
      </c>
      <c r="AV136" s="32">
        <v>0</v>
      </c>
      <c r="AW136" s="32">
        <v>0</v>
      </c>
      <c r="AX136" s="32">
        <v>0</v>
      </c>
      <c r="AY136" s="32">
        <v>0</v>
      </c>
      <c r="AZ136" s="32">
        <v>0</v>
      </c>
      <c r="BA136" s="13">
        <v>1</v>
      </c>
      <c r="BB136" s="32">
        <v>0</v>
      </c>
      <c r="BC136">
        <f>COUNTIF(J136:AZ136, "&gt;0")</f>
        <v>5</v>
      </c>
      <c r="BD136" s="13">
        <f>[1]!shannonweaver(J136:AZ136)</f>
        <v>1.3143738430069454</v>
      </c>
      <c r="BE136">
        <f t="shared" si="2"/>
        <v>5</v>
      </c>
    </row>
    <row r="137" spans="1:57">
      <c r="A137" s="13" t="s">
        <v>80</v>
      </c>
      <c r="B137" t="s">
        <v>176</v>
      </c>
      <c r="C137" t="s">
        <v>213</v>
      </c>
      <c r="D137" s="13" t="s">
        <v>320</v>
      </c>
      <c r="E137" s="13" t="s">
        <v>91</v>
      </c>
      <c r="F137" s="13">
        <v>0</v>
      </c>
      <c r="G137" s="13">
        <v>0</v>
      </c>
      <c r="H137" s="13">
        <v>0</v>
      </c>
      <c r="I137" s="13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>
        <v>0</v>
      </c>
      <c r="P137" s="32">
        <v>0</v>
      </c>
      <c r="Q137" s="32">
        <v>0</v>
      </c>
      <c r="R137" s="32">
        <v>0</v>
      </c>
      <c r="S137" s="13">
        <v>1</v>
      </c>
      <c r="T137" s="13">
        <v>0</v>
      </c>
      <c r="U137" s="13">
        <v>0</v>
      </c>
      <c r="V137" s="32">
        <v>0</v>
      </c>
      <c r="W137" s="32">
        <v>0</v>
      </c>
      <c r="X137" s="32">
        <v>0</v>
      </c>
      <c r="Y137" s="13">
        <v>4</v>
      </c>
      <c r="Z137" s="32">
        <v>0</v>
      </c>
      <c r="AA137" s="13">
        <v>9</v>
      </c>
      <c r="AB137" s="13">
        <v>0</v>
      </c>
      <c r="AC137" s="32">
        <v>0</v>
      </c>
      <c r="AD137" s="32">
        <v>0</v>
      </c>
      <c r="AE137" s="32">
        <v>0</v>
      </c>
      <c r="AF137" s="32">
        <v>0</v>
      </c>
      <c r="AG137" s="32">
        <v>0</v>
      </c>
      <c r="AH137" s="32">
        <v>0</v>
      </c>
      <c r="AI137" s="32">
        <v>0</v>
      </c>
      <c r="AJ137" s="32">
        <v>0</v>
      </c>
      <c r="AK137" s="32">
        <v>0</v>
      </c>
      <c r="AL137" s="32">
        <v>0</v>
      </c>
      <c r="AM137" s="32">
        <v>0</v>
      </c>
      <c r="AN137" s="32">
        <v>0</v>
      </c>
      <c r="AO137" s="32">
        <v>0</v>
      </c>
      <c r="AP137" s="32">
        <v>0</v>
      </c>
      <c r="AQ137" s="32">
        <v>0</v>
      </c>
      <c r="AR137" s="32">
        <v>0</v>
      </c>
      <c r="AS137" s="32">
        <v>0</v>
      </c>
      <c r="AT137" s="32">
        <v>0</v>
      </c>
      <c r="AU137" s="32">
        <v>0</v>
      </c>
      <c r="AV137" s="32">
        <v>0</v>
      </c>
      <c r="AW137" s="32">
        <v>0</v>
      </c>
      <c r="AX137" s="32">
        <v>0</v>
      </c>
      <c r="AY137" s="32">
        <v>0</v>
      </c>
      <c r="AZ137" s="32">
        <v>0</v>
      </c>
      <c r="BA137" s="32">
        <v>0</v>
      </c>
      <c r="BB137" s="32">
        <v>0</v>
      </c>
      <c r="BC137">
        <f>COUNTIF(J137:AZ137, "&gt;0")</f>
        <v>3</v>
      </c>
      <c r="BD137" s="13">
        <f>[1]!shannonweaver(J137:AZ137)</f>
        <v>0.8304717124362917</v>
      </c>
      <c r="BE137">
        <f t="shared" si="2"/>
        <v>3</v>
      </c>
    </row>
    <row r="138" spans="1:57">
      <c r="A138" s="14" t="s">
        <v>16</v>
      </c>
      <c r="B138" t="s">
        <v>176</v>
      </c>
      <c r="C138" t="s">
        <v>213</v>
      </c>
      <c r="D138" s="13" t="s">
        <v>320</v>
      </c>
      <c r="E138" s="13" t="s">
        <v>91</v>
      </c>
      <c r="F138" s="13">
        <v>0</v>
      </c>
      <c r="G138" s="13">
        <v>0</v>
      </c>
      <c r="H138" s="13">
        <v>0</v>
      </c>
      <c r="I138" s="13">
        <v>0</v>
      </c>
      <c r="J138" s="32">
        <v>0</v>
      </c>
      <c r="K138" s="32">
        <v>0</v>
      </c>
      <c r="L138" s="13">
        <v>3</v>
      </c>
      <c r="M138" s="32">
        <v>0</v>
      </c>
      <c r="N138" s="32">
        <v>0</v>
      </c>
      <c r="O138" s="32">
        <v>0</v>
      </c>
      <c r="P138" s="32">
        <v>0</v>
      </c>
      <c r="Q138" s="32">
        <v>0</v>
      </c>
      <c r="R138" s="32">
        <v>0</v>
      </c>
      <c r="S138" s="32">
        <v>0</v>
      </c>
      <c r="T138" s="32">
        <v>0</v>
      </c>
      <c r="U138" s="32">
        <v>0</v>
      </c>
      <c r="V138" s="32">
        <v>0</v>
      </c>
      <c r="W138" s="32">
        <v>0</v>
      </c>
      <c r="X138" s="32">
        <v>0</v>
      </c>
      <c r="Y138" s="13">
        <v>7</v>
      </c>
      <c r="Z138" s="32">
        <v>0</v>
      </c>
      <c r="AA138" s="32">
        <v>0</v>
      </c>
      <c r="AB138" s="13">
        <v>11</v>
      </c>
      <c r="AC138" s="32">
        <v>0</v>
      </c>
      <c r="AD138" s="32">
        <v>0</v>
      </c>
      <c r="AE138" s="32">
        <v>0</v>
      </c>
      <c r="AF138" s="32">
        <v>0</v>
      </c>
      <c r="AG138" s="32">
        <v>0</v>
      </c>
      <c r="AH138" s="32">
        <v>0</v>
      </c>
      <c r="AI138" s="32">
        <v>0</v>
      </c>
      <c r="AJ138" s="32">
        <v>0</v>
      </c>
      <c r="AK138" s="32">
        <v>0</v>
      </c>
      <c r="AL138" s="32">
        <v>0</v>
      </c>
      <c r="AM138" s="32">
        <v>0</v>
      </c>
      <c r="AN138" s="32">
        <v>0</v>
      </c>
      <c r="AO138" s="32">
        <v>0</v>
      </c>
      <c r="AP138" s="32">
        <v>0</v>
      </c>
      <c r="AQ138" s="32">
        <v>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32">
        <v>0</v>
      </c>
      <c r="AX138" s="32">
        <v>0</v>
      </c>
      <c r="AY138" s="32">
        <v>0</v>
      </c>
      <c r="AZ138" s="32">
        <v>0</v>
      </c>
      <c r="BA138" s="32">
        <v>0</v>
      </c>
      <c r="BB138" s="32">
        <v>0</v>
      </c>
      <c r="BC138">
        <f>COUNTIF(J138:AZ138, "&gt;0")</f>
        <v>3</v>
      </c>
      <c r="BD138" s="13">
        <f>[1]!shannonweaver(J138:AZ138)</f>
        <v>0.98290072771515646</v>
      </c>
      <c r="BE138">
        <f t="shared" si="2"/>
        <v>3</v>
      </c>
    </row>
    <row r="139" spans="1:57">
      <c r="A139" s="13" t="s">
        <v>81</v>
      </c>
      <c r="B139" t="s">
        <v>176</v>
      </c>
      <c r="C139" t="s">
        <v>213</v>
      </c>
      <c r="D139" s="13" t="s">
        <v>320</v>
      </c>
      <c r="E139" s="13" t="s">
        <v>91</v>
      </c>
      <c r="F139" s="13">
        <v>0</v>
      </c>
      <c r="G139" s="13">
        <v>0</v>
      </c>
      <c r="H139" s="13">
        <v>0</v>
      </c>
      <c r="I139" s="13">
        <v>0</v>
      </c>
      <c r="J139" s="32">
        <v>0</v>
      </c>
      <c r="K139" s="32">
        <v>0</v>
      </c>
      <c r="L139" s="13">
        <v>1</v>
      </c>
      <c r="M139" s="32">
        <v>0</v>
      </c>
      <c r="N139" s="32">
        <v>0</v>
      </c>
      <c r="O139" s="32">
        <v>0</v>
      </c>
      <c r="P139" s="32">
        <v>0</v>
      </c>
      <c r="Q139" s="32">
        <v>0</v>
      </c>
      <c r="R139" s="32">
        <v>0</v>
      </c>
      <c r="S139" s="13">
        <v>1</v>
      </c>
      <c r="T139" s="32">
        <v>0</v>
      </c>
      <c r="U139" s="32">
        <v>0</v>
      </c>
      <c r="V139" s="32">
        <v>0</v>
      </c>
      <c r="W139" s="32">
        <v>0</v>
      </c>
      <c r="X139" s="32">
        <v>0</v>
      </c>
      <c r="Y139" s="13">
        <v>7</v>
      </c>
      <c r="Z139" s="32">
        <v>0</v>
      </c>
      <c r="AA139" s="13">
        <v>8</v>
      </c>
      <c r="AB139" s="13">
        <v>5</v>
      </c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2">
        <v>0</v>
      </c>
      <c r="AU139" s="32">
        <v>0</v>
      </c>
      <c r="AV139" s="32">
        <v>0</v>
      </c>
      <c r="AW139" s="32">
        <v>0</v>
      </c>
      <c r="AX139" s="32">
        <v>0</v>
      </c>
      <c r="AY139" s="32">
        <v>0</v>
      </c>
      <c r="AZ139" s="32">
        <v>0</v>
      </c>
      <c r="BA139" s="32">
        <v>0</v>
      </c>
      <c r="BB139" s="32">
        <v>0</v>
      </c>
      <c r="BC139">
        <f>COUNTIF(J139:AZ139, "&gt;0")</f>
        <v>5</v>
      </c>
      <c r="BD139" s="13">
        <f>[1]!shannonweaver(J139:AZ139)</f>
        <v>1.3499473197675713</v>
      </c>
      <c r="BE139">
        <f t="shared" si="2"/>
        <v>5</v>
      </c>
    </row>
    <row r="140" spans="1:57">
      <c r="A140" s="13" t="s">
        <v>240</v>
      </c>
      <c r="B140" t="s">
        <v>176</v>
      </c>
      <c r="C140" t="s">
        <v>220</v>
      </c>
      <c r="D140" s="13" t="s">
        <v>320</v>
      </c>
      <c r="E140" s="13" t="s">
        <v>91</v>
      </c>
      <c r="F140" s="13">
        <v>0</v>
      </c>
      <c r="G140" s="13">
        <v>0</v>
      </c>
      <c r="H140" s="13">
        <v>0</v>
      </c>
      <c r="I140" s="13">
        <v>0</v>
      </c>
      <c r="J140" s="32">
        <v>0</v>
      </c>
      <c r="K140" s="32">
        <v>0</v>
      </c>
      <c r="L140" s="13">
        <v>2</v>
      </c>
      <c r="M140" s="32">
        <v>0</v>
      </c>
      <c r="N140" s="32">
        <v>0</v>
      </c>
      <c r="O140" s="13">
        <v>1</v>
      </c>
      <c r="P140" s="32">
        <v>0</v>
      </c>
      <c r="Q140" s="32">
        <v>0</v>
      </c>
      <c r="R140" s="32">
        <v>0</v>
      </c>
      <c r="S140" s="32">
        <v>0</v>
      </c>
      <c r="T140" s="32">
        <v>0</v>
      </c>
      <c r="U140" s="32">
        <v>0</v>
      </c>
      <c r="V140" s="32">
        <v>0</v>
      </c>
      <c r="W140" s="32">
        <v>0</v>
      </c>
      <c r="X140" s="32">
        <v>0</v>
      </c>
      <c r="Y140" s="13">
        <v>4</v>
      </c>
      <c r="Z140" s="32">
        <v>0</v>
      </c>
      <c r="AA140" s="13">
        <v>3</v>
      </c>
      <c r="AB140" s="13">
        <v>3</v>
      </c>
      <c r="AC140" s="32">
        <v>0</v>
      </c>
      <c r="AD140" s="32">
        <v>0</v>
      </c>
      <c r="AE140" s="32">
        <v>0</v>
      </c>
      <c r="AF140" s="13">
        <v>1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0</v>
      </c>
      <c r="AP140" s="32">
        <v>0</v>
      </c>
      <c r="AQ140" s="32">
        <v>0</v>
      </c>
      <c r="AR140" s="32">
        <v>0</v>
      </c>
      <c r="AS140" s="32">
        <v>0</v>
      </c>
      <c r="AT140" s="32">
        <v>0</v>
      </c>
      <c r="AU140" s="32">
        <v>0</v>
      </c>
      <c r="AV140" s="32">
        <v>0</v>
      </c>
      <c r="AW140" s="32">
        <v>0</v>
      </c>
      <c r="AX140" s="32">
        <v>0</v>
      </c>
      <c r="AY140" s="32">
        <v>0</v>
      </c>
      <c r="AZ140" s="32">
        <v>0</v>
      </c>
      <c r="BA140" s="32">
        <v>0</v>
      </c>
      <c r="BB140" s="32">
        <v>0</v>
      </c>
      <c r="BC140">
        <f>COUNTIF(J140:AZ140, "&gt;0")</f>
        <v>6</v>
      </c>
      <c r="BD140" s="13">
        <f>[1]!shannonweaver(J140:AZ140)</f>
        <v>1.6731183626432509</v>
      </c>
      <c r="BE140">
        <f t="shared" si="2"/>
        <v>6</v>
      </c>
    </row>
    <row r="141" spans="1:57">
      <c r="A141" s="13" t="s">
        <v>241</v>
      </c>
      <c r="B141" t="s">
        <v>176</v>
      </c>
      <c r="C141" t="s">
        <v>220</v>
      </c>
      <c r="D141" s="13" t="s">
        <v>320</v>
      </c>
      <c r="E141" s="13" t="s">
        <v>91</v>
      </c>
      <c r="F141" s="13">
        <v>0</v>
      </c>
      <c r="G141" s="13">
        <v>0</v>
      </c>
      <c r="H141" s="13">
        <v>0</v>
      </c>
      <c r="I141" s="13">
        <v>0</v>
      </c>
      <c r="J141" s="32">
        <v>0</v>
      </c>
      <c r="K141" s="32">
        <v>0</v>
      </c>
      <c r="L141" s="13">
        <v>3</v>
      </c>
      <c r="M141" s="32">
        <v>0</v>
      </c>
      <c r="N141" s="32">
        <v>0</v>
      </c>
      <c r="O141" s="32">
        <v>0</v>
      </c>
      <c r="P141" s="32">
        <v>0</v>
      </c>
      <c r="Q141" s="32">
        <v>0</v>
      </c>
      <c r="R141" s="32">
        <v>0</v>
      </c>
      <c r="S141" s="32">
        <v>0</v>
      </c>
      <c r="T141" s="13">
        <v>1</v>
      </c>
      <c r="U141" s="32">
        <v>0</v>
      </c>
      <c r="V141" s="32">
        <v>0</v>
      </c>
      <c r="W141" s="32">
        <v>0</v>
      </c>
      <c r="X141" s="13">
        <v>2</v>
      </c>
      <c r="Y141" s="13">
        <v>1</v>
      </c>
      <c r="Z141" s="32">
        <v>0</v>
      </c>
      <c r="AA141" s="13">
        <v>2</v>
      </c>
      <c r="AB141" s="13">
        <v>5</v>
      </c>
      <c r="AC141" s="32">
        <v>0</v>
      </c>
      <c r="AD141" s="32">
        <v>0</v>
      </c>
      <c r="AE141" s="32">
        <v>0</v>
      </c>
      <c r="AF141" s="32">
        <v>0</v>
      </c>
      <c r="AG141" s="32">
        <v>0</v>
      </c>
      <c r="AH141" s="32">
        <v>0</v>
      </c>
      <c r="AI141" s="32">
        <v>0</v>
      </c>
      <c r="AJ141" s="32">
        <v>0</v>
      </c>
      <c r="AK141" s="32">
        <v>0</v>
      </c>
      <c r="AL141" s="32">
        <v>0</v>
      </c>
      <c r="AM141" s="32">
        <v>0</v>
      </c>
      <c r="AN141" s="32">
        <v>0</v>
      </c>
      <c r="AO141" s="32">
        <v>0</v>
      </c>
      <c r="AP141" s="32">
        <v>0</v>
      </c>
      <c r="AQ141" s="32">
        <v>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32">
        <v>0</v>
      </c>
      <c r="AX141" s="32">
        <v>0</v>
      </c>
      <c r="AY141" s="13">
        <v>1</v>
      </c>
      <c r="AZ141" s="32">
        <v>0</v>
      </c>
      <c r="BA141" s="32">
        <v>0</v>
      </c>
      <c r="BB141" s="32">
        <v>0</v>
      </c>
      <c r="BC141">
        <f>COUNTIF(J141:AZ141, "&gt;0")</f>
        <v>7</v>
      </c>
      <c r="BD141" s="13">
        <f>[1]!shannonweaver(J141:AZ141)</f>
        <v>1.7670091910745693</v>
      </c>
      <c r="BE141">
        <f t="shared" si="2"/>
        <v>7</v>
      </c>
    </row>
    <row r="142" spans="1:57">
      <c r="A142" s="13" t="s">
        <v>243</v>
      </c>
      <c r="B142" t="s">
        <v>176</v>
      </c>
      <c r="C142" t="s">
        <v>220</v>
      </c>
      <c r="D142" s="13" t="s">
        <v>320</v>
      </c>
      <c r="E142" s="13" t="s">
        <v>91</v>
      </c>
      <c r="F142" s="13">
        <v>0</v>
      </c>
      <c r="G142" s="13">
        <v>0</v>
      </c>
      <c r="H142" s="13">
        <v>0</v>
      </c>
      <c r="I142" s="13">
        <v>0</v>
      </c>
      <c r="J142" s="32">
        <v>0</v>
      </c>
      <c r="K142" s="32">
        <v>0</v>
      </c>
      <c r="L142" s="13">
        <v>1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13">
        <v>1</v>
      </c>
      <c r="T142" s="13">
        <v>0</v>
      </c>
      <c r="U142" s="32">
        <v>0</v>
      </c>
      <c r="V142" s="13">
        <v>1</v>
      </c>
      <c r="W142" s="32">
        <v>0</v>
      </c>
      <c r="X142" s="32">
        <v>0</v>
      </c>
      <c r="Y142" s="13">
        <v>8</v>
      </c>
      <c r="Z142" s="32">
        <v>0</v>
      </c>
      <c r="AA142" s="13">
        <v>6</v>
      </c>
      <c r="AB142" s="13">
        <v>13</v>
      </c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2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2">
        <v>0</v>
      </c>
      <c r="BA142" s="13">
        <v>1</v>
      </c>
      <c r="BB142" s="32">
        <v>0</v>
      </c>
      <c r="BC142">
        <f>COUNTIF(J142:AZ142, "&gt;0")</f>
        <v>6</v>
      </c>
      <c r="BD142" s="13">
        <f>[1]!shannonweaver(J142:AZ142)</f>
        <v>1.376849688468589</v>
      </c>
      <c r="BE142">
        <f t="shared" si="2"/>
        <v>6</v>
      </c>
    </row>
    <row r="143" spans="1:57">
      <c r="A143" s="13" t="s">
        <v>244</v>
      </c>
      <c r="B143" t="s">
        <v>176</v>
      </c>
      <c r="C143" t="s">
        <v>220</v>
      </c>
      <c r="D143" s="13" t="s">
        <v>320</v>
      </c>
      <c r="E143" s="13" t="s">
        <v>91</v>
      </c>
      <c r="F143" s="13">
        <v>0</v>
      </c>
      <c r="G143" s="13">
        <v>0</v>
      </c>
      <c r="H143" s="13">
        <v>0</v>
      </c>
      <c r="I143" s="13">
        <v>0</v>
      </c>
      <c r="J143" s="32">
        <v>0</v>
      </c>
      <c r="K143" s="32">
        <v>0</v>
      </c>
      <c r="L143" s="13">
        <v>1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2">
        <v>0</v>
      </c>
      <c r="X143" s="32">
        <v>0</v>
      </c>
      <c r="Y143" s="13">
        <v>2</v>
      </c>
      <c r="Z143" s="32">
        <v>0</v>
      </c>
      <c r="AA143" s="13">
        <v>2</v>
      </c>
      <c r="AB143" s="13">
        <v>14</v>
      </c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2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2">
        <v>0</v>
      </c>
      <c r="BA143" s="32">
        <v>0</v>
      </c>
      <c r="BB143" s="32">
        <v>0</v>
      </c>
      <c r="BC143">
        <f>COUNTIF(J143:AZ143, "&gt;0")</f>
        <v>4</v>
      </c>
      <c r="BD143" s="13">
        <f>[1]!shannonweaver(J143:AZ143)</f>
        <v>0.85394469827941943</v>
      </c>
      <c r="BE143">
        <f t="shared" si="2"/>
        <v>4</v>
      </c>
    </row>
    <row r="144" spans="1:57">
      <c r="A144" s="13" t="s">
        <v>245</v>
      </c>
      <c r="B144" t="s">
        <v>176</v>
      </c>
      <c r="C144" t="s">
        <v>220</v>
      </c>
      <c r="D144" s="13" t="s">
        <v>320</v>
      </c>
      <c r="E144" s="13" t="s">
        <v>91</v>
      </c>
      <c r="F144" s="13">
        <v>0</v>
      </c>
      <c r="G144" s="13">
        <v>0</v>
      </c>
      <c r="H144" s="13">
        <v>0</v>
      </c>
      <c r="I144" s="13">
        <v>0</v>
      </c>
      <c r="J144" s="32">
        <v>0</v>
      </c>
      <c r="K144" s="32">
        <v>0</v>
      </c>
      <c r="L144" s="13">
        <v>1</v>
      </c>
      <c r="M144" s="32">
        <v>0</v>
      </c>
      <c r="N144" s="32">
        <v>0</v>
      </c>
      <c r="O144" s="13">
        <v>1</v>
      </c>
      <c r="P144" s="32">
        <v>0</v>
      </c>
      <c r="Q144" s="32">
        <v>0</v>
      </c>
      <c r="R144" s="32">
        <v>0</v>
      </c>
      <c r="S144" s="32">
        <v>0</v>
      </c>
      <c r="T144" s="32">
        <v>0</v>
      </c>
      <c r="U144" s="32">
        <v>0</v>
      </c>
      <c r="V144" s="32">
        <v>0</v>
      </c>
      <c r="W144" s="32">
        <v>0</v>
      </c>
      <c r="X144" s="32">
        <v>0</v>
      </c>
      <c r="Y144" s="13">
        <v>8</v>
      </c>
      <c r="Z144" s="32">
        <v>0</v>
      </c>
      <c r="AA144" s="13">
        <v>2</v>
      </c>
      <c r="AB144" s="13">
        <v>4</v>
      </c>
      <c r="AC144" s="32">
        <v>0</v>
      </c>
      <c r="AD144" s="32">
        <v>0</v>
      </c>
      <c r="AE144" s="32">
        <v>0</v>
      </c>
      <c r="AF144" s="32">
        <v>0</v>
      </c>
      <c r="AG144" s="32">
        <v>0</v>
      </c>
      <c r="AH144" s="32">
        <v>0</v>
      </c>
      <c r="AI144" s="32">
        <v>0</v>
      </c>
      <c r="AJ144" s="32">
        <v>0</v>
      </c>
      <c r="AK144" s="32">
        <v>0</v>
      </c>
      <c r="AL144" s="32">
        <v>0</v>
      </c>
      <c r="AM144" s="32">
        <v>0</v>
      </c>
      <c r="AN144" s="32">
        <v>0</v>
      </c>
      <c r="AO144" s="32">
        <v>0</v>
      </c>
      <c r="AP144" s="32">
        <v>0</v>
      </c>
      <c r="AQ144" s="32">
        <v>0</v>
      </c>
      <c r="AR144" s="32">
        <v>0</v>
      </c>
      <c r="AS144" s="32">
        <v>0</v>
      </c>
      <c r="AT144" s="32">
        <v>0</v>
      </c>
      <c r="AU144" s="32">
        <v>0</v>
      </c>
      <c r="AV144" s="32">
        <v>0</v>
      </c>
      <c r="AW144" s="32">
        <v>0</v>
      </c>
      <c r="AX144" s="32">
        <v>0</v>
      </c>
      <c r="AY144" s="32">
        <v>0</v>
      </c>
      <c r="AZ144" s="13">
        <v>1</v>
      </c>
      <c r="BA144" s="13">
        <v>1</v>
      </c>
      <c r="BB144" s="32">
        <v>0</v>
      </c>
      <c r="BC144">
        <f>COUNTIF(J144:AZ144, "&gt;0")</f>
        <v>6</v>
      </c>
      <c r="BD144" s="13">
        <f>[1]!shannonweaver(J144:AZ144)</f>
        <v>1.4469189829363256</v>
      </c>
      <c r="BE144">
        <f t="shared" si="2"/>
        <v>5</v>
      </c>
    </row>
    <row r="145" spans="1:57">
      <c r="A145" s="13" t="s">
        <v>247</v>
      </c>
      <c r="B145" t="s">
        <v>176</v>
      </c>
      <c r="C145" t="s">
        <v>220</v>
      </c>
      <c r="D145" s="13" t="s">
        <v>320</v>
      </c>
      <c r="E145" s="13" t="s">
        <v>91</v>
      </c>
      <c r="F145" s="13">
        <v>0</v>
      </c>
      <c r="G145" s="13">
        <v>0</v>
      </c>
      <c r="H145" s="13">
        <v>0</v>
      </c>
      <c r="I145" s="13">
        <v>0</v>
      </c>
      <c r="J145" s="32">
        <v>0</v>
      </c>
      <c r="K145" s="32">
        <v>0</v>
      </c>
      <c r="L145" s="13">
        <v>1</v>
      </c>
      <c r="M145" s="32">
        <v>0</v>
      </c>
      <c r="N145" s="32">
        <v>0</v>
      </c>
      <c r="O145" s="32">
        <v>0</v>
      </c>
      <c r="P145" s="32">
        <v>0</v>
      </c>
      <c r="Q145" s="32">
        <v>0</v>
      </c>
      <c r="R145" s="32">
        <v>0</v>
      </c>
      <c r="S145" s="32">
        <v>0</v>
      </c>
      <c r="T145" s="32">
        <v>0</v>
      </c>
      <c r="U145" s="32">
        <v>0</v>
      </c>
      <c r="V145" s="32">
        <v>0</v>
      </c>
      <c r="W145" s="32">
        <v>0</v>
      </c>
      <c r="X145" s="32">
        <v>0</v>
      </c>
      <c r="Y145" s="13">
        <v>4</v>
      </c>
      <c r="Z145" s="32">
        <v>0</v>
      </c>
      <c r="AA145" s="13">
        <v>1</v>
      </c>
      <c r="AB145" s="13">
        <v>3</v>
      </c>
      <c r="AC145" s="32">
        <v>0</v>
      </c>
      <c r="AD145" s="32">
        <v>0</v>
      </c>
      <c r="AE145" s="32">
        <v>0</v>
      </c>
      <c r="AF145" s="32">
        <v>0</v>
      </c>
      <c r="AG145" s="32">
        <v>0</v>
      </c>
      <c r="AH145" s="32">
        <v>0</v>
      </c>
      <c r="AI145" s="32">
        <v>0</v>
      </c>
      <c r="AJ145" s="32">
        <v>0</v>
      </c>
      <c r="AK145" s="32">
        <v>0</v>
      </c>
      <c r="AL145" s="32">
        <v>0</v>
      </c>
      <c r="AM145" s="32">
        <v>0</v>
      </c>
      <c r="AN145" s="32">
        <v>0</v>
      </c>
      <c r="AO145" s="32">
        <v>0</v>
      </c>
      <c r="AP145" s="32">
        <v>0</v>
      </c>
      <c r="AQ145" s="32">
        <v>0</v>
      </c>
      <c r="AR145" s="32">
        <v>0</v>
      </c>
      <c r="AS145" s="32">
        <v>0</v>
      </c>
      <c r="AT145" s="32">
        <v>0</v>
      </c>
      <c r="AU145" s="32">
        <v>0</v>
      </c>
      <c r="AV145" s="32">
        <v>0</v>
      </c>
      <c r="AW145" s="32">
        <v>0</v>
      </c>
      <c r="AX145" s="32">
        <v>0</v>
      </c>
      <c r="AY145" s="32">
        <v>0</v>
      </c>
      <c r="AZ145" s="32">
        <v>0</v>
      </c>
      <c r="BA145" s="32">
        <v>0</v>
      </c>
      <c r="BB145" s="32">
        <v>0</v>
      </c>
      <c r="BC145">
        <f>COUNTIF(J145:AZ145, "&gt;0")</f>
        <v>4</v>
      </c>
      <c r="BD145" s="13">
        <f>[1]!shannonweaver(J145:AZ145)</f>
        <v>1.2148896539491205</v>
      </c>
      <c r="BE145">
        <f t="shared" si="2"/>
        <v>4</v>
      </c>
    </row>
    <row r="146" spans="1:57">
      <c r="A146" t="s">
        <v>182</v>
      </c>
      <c r="B146" t="s">
        <v>183</v>
      </c>
      <c r="C146" t="s">
        <v>184</v>
      </c>
      <c r="D146" s="13" t="s">
        <v>319</v>
      </c>
      <c r="E146" s="13" t="s">
        <v>283</v>
      </c>
      <c r="F146" s="13">
        <v>0</v>
      </c>
      <c r="G146" s="13">
        <v>0</v>
      </c>
      <c r="H146" s="13">
        <v>0</v>
      </c>
      <c r="I146" s="13">
        <v>0</v>
      </c>
      <c r="J146" s="32">
        <v>0</v>
      </c>
      <c r="K146" s="32">
        <v>0</v>
      </c>
      <c r="L146" s="32">
        <v>0</v>
      </c>
      <c r="M146" s="32">
        <v>0</v>
      </c>
      <c r="N146" s="32">
        <v>0</v>
      </c>
      <c r="O146" s="32">
        <v>0</v>
      </c>
      <c r="P146" s="32">
        <v>0</v>
      </c>
      <c r="Q146" s="32">
        <v>0</v>
      </c>
      <c r="R146" s="32">
        <v>0</v>
      </c>
      <c r="S146" s="13">
        <v>1</v>
      </c>
      <c r="T146" s="32">
        <v>0</v>
      </c>
      <c r="U146" s="32">
        <v>0</v>
      </c>
      <c r="V146" s="32">
        <v>0</v>
      </c>
      <c r="W146" s="32">
        <v>0</v>
      </c>
      <c r="X146" s="32">
        <v>0</v>
      </c>
      <c r="Y146" s="32">
        <v>0</v>
      </c>
      <c r="Z146" s="32">
        <v>0</v>
      </c>
      <c r="AA146" s="32">
        <v>0</v>
      </c>
      <c r="AB146" s="13">
        <v>2</v>
      </c>
      <c r="AC146" s="32">
        <v>0</v>
      </c>
      <c r="AD146" s="32">
        <v>0</v>
      </c>
      <c r="AE146" s="32">
        <v>0</v>
      </c>
      <c r="AF146" s="32">
        <v>0</v>
      </c>
      <c r="AG146" s="32">
        <v>0</v>
      </c>
      <c r="AH146" s="32">
        <v>0</v>
      </c>
      <c r="AI146" s="32">
        <v>0</v>
      </c>
      <c r="AJ146" s="32">
        <v>0</v>
      </c>
      <c r="AK146" s="32">
        <v>0</v>
      </c>
      <c r="AL146" s="32">
        <v>0</v>
      </c>
      <c r="AM146" s="32">
        <v>0</v>
      </c>
      <c r="AN146" s="32">
        <v>0</v>
      </c>
      <c r="AO146" s="32">
        <v>0</v>
      </c>
      <c r="AP146" s="32">
        <v>0</v>
      </c>
      <c r="AQ146" s="32">
        <v>0</v>
      </c>
      <c r="AR146" s="32">
        <v>0</v>
      </c>
      <c r="AS146" s="32">
        <v>0</v>
      </c>
      <c r="AT146" s="32">
        <v>0</v>
      </c>
      <c r="AU146" s="32">
        <v>0</v>
      </c>
      <c r="AV146" s="32">
        <v>0</v>
      </c>
      <c r="AW146" s="32">
        <v>0</v>
      </c>
      <c r="AX146" s="32">
        <v>0</v>
      </c>
      <c r="AY146" s="32">
        <v>0</v>
      </c>
      <c r="AZ146" s="32">
        <v>0</v>
      </c>
      <c r="BA146" s="13">
        <v>3</v>
      </c>
      <c r="BB146" s="32">
        <v>0</v>
      </c>
      <c r="BC146">
        <f>COUNTIF(J146:AZ146, "&gt;0")</f>
        <v>2</v>
      </c>
      <c r="BD146" s="13">
        <f>[1]!shannonweaver(J146:AZ146)</f>
        <v>0.63651416829481278</v>
      </c>
      <c r="BE146">
        <f t="shared" si="2"/>
        <v>2</v>
      </c>
    </row>
    <row r="147" spans="1:57">
      <c r="A147" t="s">
        <v>185</v>
      </c>
      <c r="B147" t="s">
        <v>183</v>
      </c>
      <c r="C147" t="s">
        <v>184</v>
      </c>
      <c r="D147" s="13" t="s">
        <v>319</v>
      </c>
      <c r="E147" s="13" t="s">
        <v>283</v>
      </c>
      <c r="F147" s="13">
        <v>0</v>
      </c>
      <c r="G147" s="13">
        <v>0</v>
      </c>
      <c r="H147" s="13">
        <v>0</v>
      </c>
      <c r="I147" s="13">
        <v>0</v>
      </c>
      <c r="J147" s="13">
        <v>1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0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2">
        <v>0</v>
      </c>
      <c r="X147" s="32">
        <v>0</v>
      </c>
      <c r="Y147" s="13">
        <v>2</v>
      </c>
      <c r="Z147" s="32">
        <v>0</v>
      </c>
      <c r="AA147" s="32">
        <v>0</v>
      </c>
      <c r="AB147" s="32">
        <v>0</v>
      </c>
      <c r="AC147" s="32">
        <v>0</v>
      </c>
      <c r="AD147" s="32">
        <v>0</v>
      </c>
      <c r="AE147" s="32">
        <v>0</v>
      </c>
      <c r="AF147" s="32">
        <v>0</v>
      </c>
      <c r="AG147" s="32">
        <v>0</v>
      </c>
      <c r="AH147" s="32">
        <v>0</v>
      </c>
      <c r="AI147" s="32">
        <v>0</v>
      </c>
      <c r="AJ147" s="32">
        <v>0</v>
      </c>
      <c r="AK147" s="32">
        <v>0</v>
      </c>
      <c r="AL147" s="32">
        <v>0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>
        <v>0</v>
      </c>
      <c r="AS147" s="32">
        <v>0</v>
      </c>
      <c r="AT147" s="32">
        <v>0</v>
      </c>
      <c r="AU147" s="32">
        <v>0</v>
      </c>
      <c r="AV147" s="32">
        <v>0</v>
      </c>
      <c r="AW147" s="32">
        <v>0</v>
      </c>
      <c r="AX147" s="32">
        <v>0</v>
      </c>
      <c r="AY147" s="32">
        <v>0</v>
      </c>
      <c r="AZ147" s="32">
        <v>0</v>
      </c>
      <c r="BA147" s="32">
        <v>0</v>
      </c>
      <c r="BB147" s="32">
        <v>0</v>
      </c>
      <c r="BC147">
        <f>COUNTIF(J147:AZ147, "&gt;0")</f>
        <v>2</v>
      </c>
      <c r="BD147" s="13">
        <f>[1]!shannonweaver(J147:AZ147)</f>
        <v>0.63651416829481278</v>
      </c>
      <c r="BE147">
        <f t="shared" si="2"/>
        <v>2</v>
      </c>
    </row>
    <row r="148" spans="1:57">
      <c r="A148" t="s">
        <v>186</v>
      </c>
      <c r="B148" t="s">
        <v>183</v>
      </c>
      <c r="C148" t="s">
        <v>184</v>
      </c>
      <c r="D148" s="13" t="s">
        <v>319</v>
      </c>
      <c r="E148" s="13" t="s">
        <v>283</v>
      </c>
      <c r="F148" s="13">
        <v>0</v>
      </c>
      <c r="G148" s="13">
        <v>0</v>
      </c>
      <c r="H148" s="13">
        <v>0</v>
      </c>
      <c r="I148" s="13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2">
        <v>0</v>
      </c>
      <c r="X148" s="32">
        <v>0</v>
      </c>
      <c r="Y148" s="32">
        <v>0</v>
      </c>
      <c r="Z148" s="32">
        <v>0</v>
      </c>
      <c r="AA148" s="32">
        <v>0</v>
      </c>
      <c r="AB148" s="32">
        <v>0</v>
      </c>
      <c r="AC148" s="32">
        <v>0</v>
      </c>
      <c r="AD148" s="32">
        <v>0</v>
      </c>
      <c r="AE148" s="32">
        <v>0</v>
      </c>
      <c r="AF148" s="32">
        <v>0</v>
      </c>
      <c r="AG148" s="32">
        <v>0</v>
      </c>
      <c r="AH148" s="32">
        <v>0</v>
      </c>
      <c r="AI148" s="32">
        <v>0</v>
      </c>
      <c r="AJ148" s="32">
        <v>0</v>
      </c>
      <c r="AK148" s="32">
        <v>0</v>
      </c>
      <c r="AL148" s="32">
        <v>0</v>
      </c>
      <c r="AM148" s="32">
        <v>0</v>
      </c>
      <c r="AN148" s="32">
        <v>0</v>
      </c>
      <c r="AO148" s="32">
        <v>0</v>
      </c>
      <c r="AP148" s="32">
        <v>0</v>
      </c>
      <c r="AQ148" s="32">
        <v>0</v>
      </c>
      <c r="AR148" s="32">
        <v>0</v>
      </c>
      <c r="AS148" s="32">
        <v>0</v>
      </c>
      <c r="AT148" s="32">
        <v>0</v>
      </c>
      <c r="AU148" s="32">
        <v>0</v>
      </c>
      <c r="AV148" s="32">
        <v>0</v>
      </c>
      <c r="AW148" s="32">
        <v>0</v>
      </c>
      <c r="AX148" s="32">
        <v>0</v>
      </c>
      <c r="AY148" s="32">
        <v>0</v>
      </c>
      <c r="AZ148" s="32">
        <v>0</v>
      </c>
      <c r="BA148" s="32">
        <v>0</v>
      </c>
      <c r="BB148" s="32">
        <v>0</v>
      </c>
      <c r="BC148">
        <f>COUNTIF(J148:AZ148, "&gt;0")</f>
        <v>0</v>
      </c>
      <c r="BD148" s="13" t="e">
        <f>[1]!shannonweaver(J148:AZ148)</f>
        <v>#VALUE!</v>
      </c>
      <c r="BE148">
        <f t="shared" si="2"/>
        <v>0</v>
      </c>
    </row>
    <row r="149" spans="1:57">
      <c r="A149" t="s">
        <v>187</v>
      </c>
      <c r="B149" t="s">
        <v>183</v>
      </c>
      <c r="C149" t="s">
        <v>184</v>
      </c>
      <c r="D149" s="13" t="s">
        <v>319</v>
      </c>
      <c r="E149" s="13" t="s">
        <v>283</v>
      </c>
      <c r="F149" s="13">
        <v>0</v>
      </c>
      <c r="G149" s="13">
        <v>0</v>
      </c>
      <c r="H149" s="13">
        <v>0</v>
      </c>
      <c r="I149" s="13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2">
        <v>0</v>
      </c>
      <c r="X149" s="32">
        <v>0</v>
      </c>
      <c r="Y149" s="13">
        <v>2</v>
      </c>
      <c r="Z149" s="32">
        <v>0</v>
      </c>
      <c r="AA149" s="32">
        <v>0</v>
      </c>
      <c r="AB149" s="32">
        <v>0</v>
      </c>
      <c r="AC149" s="32">
        <v>0</v>
      </c>
      <c r="AD149" s="32">
        <v>0</v>
      </c>
      <c r="AE149" s="32">
        <v>0</v>
      </c>
      <c r="AF149" s="32">
        <v>0</v>
      </c>
      <c r="AG149" s="32">
        <v>0</v>
      </c>
      <c r="AH149" s="32">
        <v>0</v>
      </c>
      <c r="AI149" s="32">
        <v>0</v>
      </c>
      <c r="AJ149" s="32">
        <v>0</v>
      </c>
      <c r="AK149" s="32">
        <v>0</v>
      </c>
      <c r="AL149" s="32">
        <v>0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>
        <v>0</v>
      </c>
      <c r="AS149" s="32">
        <v>0</v>
      </c>
      <c r="AT149" s="32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2">
        <v>0</v>
      </c>
      <c r="BA149" s="13">
        <v>1</v>
      </c>
      <c r="BB149" s="32">
        <v>0</v>
      </c>
      <c r="BC149">
        <f>COUNTIF(J149:AZ149, "&gt;0")</f>
        <v>1</v>
      </c>
      <c r="BD149" s="13">
        <f>[1]!shannonweaver(J149:AZ149)</f>
        <v>0</v>
      </c>
      <c r="BE149">
        <f t="shared" si="2"/>
        <v>1</v>
      </c>
    </row>
    <row r="150" spans="1:57">
      <c r="A150" t="s">
        <v>188</v>
      </c>
      <c r="B150" t="s">
        <v>183</v>
      </c>
      <c r="C150" t="s">
        <v>184</v>
      </c>
      <c r="D150" s="13" t="s">
        <v>319</v>
      </c>
      <c r="E150" s="13" t="s">
        <v>283</v>
      </c>
      <c r="F150" s="13">
        <v>0</v>
      </c>
      <c r="G150" s="13">
        <v>0</v>
      </c>
      <c r="H150" s="13">
        <v>0</v>
      </c>
      <c r="I150" s="13">
        <v>0</v>
      </c>
      <c r="J150" s="32">
        <v>0</v>
      </c>
      <c r="K150" s="32">
        <v>0</v>
      </c>
      <c r="L150" s="32">
        <v>0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2">
        <v>0</v>
      </c>
      <c r="X150" s="32">
        <v>0</v>
      </c>
      <c r="Y150" s="13">
        <v>1</v>
      </c>
      <c r="Z150" s="32">
        <v>0</v>
      </c>
      <c r="AA150" s="32">
        <v>0</v>
      </c>
      <c r="AB150" s="32">
        <v>0</v>
      </c>
      <c r="AC150" s="32">
        <v>0</v>
      </c>
      <c r="AD150" s="32">
        <v>0</v>
      </c>
      <c r="AE150" s="32">
        <v>0</v>
      </c>
      <c r="AF150" s="32">
        <v>0</v>
      </c>
      <c r="AG150" s="32">
        <v>0</v>
      </c>
      <c r="AH150" s="32">
        <v>0</v>
      </c>
      <c r="AI150" s="32">
        <v>0</v>
      </c>
      <c r="AJ150" s="32">
        <v>0</v>
      </c>
      <c r="AK150" s="32">
        <v>0</v>
      </c>
      <c r="AL150" s="32">
        <v>0</v>
      </c>
      <c r="AM150" s="32">
        <v>0</v>
      </c>
      <c r="AN150" s="32">
        <v>0</v>
      </c>
      <c r="AO150" s="32">
        <v>0</v>
      </c>
      <c r="AP150" s="32">
        <v>0</v>
      </c>
      <c r="AQ150" s="32">
        <v>0</v>
      </c>
      <c r="AR150" s="32">
        <v>0</v>
      </c>
      <c r="AS150" s="32">
        <v>0</v>
      </c>
      <c r="AT150" s="32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2">
        <v>0</v>
      </c>
      <c r="BA150" s="32">
        <v>0</v>
      </c>
      <c r="BB150" s="32">
        <v>0</v>
      </c>
      <c r="BC150">
        <f>COUNTIF(J150:AZ150, "&gt;0")</f>
        <v>1</v>
      </c>
      <c r="BD150" s="13">
        <f>[1]!shannonweaver(J150:AZ150)</f>
        <v>0</v>
      </c>
      <c r="BE150">
        <f t="shared" si="2"/>
        <v>1</v>
      </c>
    </row>
    <row r="151" spans="1:57">
      <c r="A151" t="s">
        <v>189</v>
      </c>
      <c r="B151" t="s">
        <v>183</v>
      </c>
      <c r="C151" t="s">
        <v>184</v>
      </c>
      <c r="D151" s="13" t="s">
        <v>319</v>
      </c>
      <c r="E151" s="13" t="s">
        <v>283</v>
      </c>
      <c r="F151" s="13">
        <v>0</v>
      </c>
      <c r="G151" s="13">
        <v>0</v>
      </c>
      <c r="H151" s="13">
        <v>0</v>
      </c>
      <c r="I151" s="13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2">
        <v>0</v>
      </c>
      <c r="X151" s="32">
        <v>0</v>
      </c>
      <c r="Y151" s="13">
        <v>4</v>
      </c>
      <c r="Z151" s="32">
        <v>0</v>
      </c>
      <c r="AA151" s="32">
        <v>0</v>
      </c>
      <c r="AB151" s="32">
        <v>0</v>
      </c>
      <c r="AC151" s="32">
        <v>0</v>
      </c>
      <c r="AD151" s="32">
        <v>0</v>
      </c>
      <c r="AE151" s="32">
        <v>0</v>
      </c>
      <c r="AF151" s="32">
        <v>0</v>
      </c>
      <c r="AG151" s="32">
        <v>0</v>
      </c>
      <c r="AH151" s="32">
        <v>0</v>
      </c>
      <c r="AI151" s="32">
        <v>0</v>
      </c>
      <c r="AJ151" s="32">
        <v>0</v>
      </c>
      <c r="AK151" s="32">
        <v>0</v>
      </c>
      <c r="AL151" s="32">
        <v>0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>
        <v>0</v>
      </c>
      <c r="AS151" s="32">
        <v>0</v>
      </c>
      <c r="AT151" s="32">
        <v>0</v>
      </c>
      <c r="AU151" s="32">
        <v>0</v>
      </c>
      <c r="AV151" s="13">
        <v>1</v>
      </c>
      <c r="AW151" s="32">
        <v>0</v>
      </c>
      <c r="AX151" s="32">
        <v>0</v>
      </c>
      <c r="AY151" s="32">
        <v>0</v>
      </c>
      <c r="AZ151" s="32">
        <v>0</v>
      </c>
      <c r="BA151" s="32">
        <v>0</v>
      </c>
      <c r="BB151" s="32">
        <v>0</v>
      </c>
      <c r="BC151">
        <f>COUNTIF(J151:AZ151, "&gt;0")</f>
        <v>2</v>
      </c>
      <c r="BD151" s="13">
        <f>[1]!shannonweaver(J151:AZ151)</f>
        <v>0.50040242353818787</v>
      </c>
      <c r="BE151">
        <f t="shared" si="2"/>
        <v>2</v>
      </c>
    </row>
    <row r="152" spans="1:57">
      <c r="A152" t="s">
        <v>190</v>
      </c>
      <c r="B152" t="s">
        <v>183</v>
      </c>
      <c r="C152" t="s">
        <v>191</v>
      </c>
      <c r="D152" s="13" t="s">
        <v>319</v>
      </c>
      <c r="E152" s="13" t="s">
        <v>283</v>
      </c>
      <c r="F152" s="13">
        <v>0</v>
      </c>
      <c r="G152" s="13">
        <v>0</v>
      </c>
      <c r="H152" s="13">
        <v>0</v>
      </c>
      <c r="I152" s="13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2">
        <v>0</v>
      </c>
      <c r="X152" s="32">
        <v>0</v>
      </c>
      <c r="Y152" s="32">
        <v>0</v>
      </c>
      <c r="Z152" s="32">
        <v>0</v>
      </c>
      <c r="AA152" s="32">
        <v>0</v>
      </c>
      <c r="AB152" s="32">
        <v>0</v>
      </c>
      <c r="AC152" s="32">
        <v>0</v>
      </c>
      <c r="AD152" s="32">
        <v>0</v>
      </c>
      <c r="AE152" s="32">
        <v>0</v>
      </c>
      <c r="AF152" s="32">
        <v>0</v>
      </c>
      <c r="AG152" s="32">
        <v>0</v>
      </c>
      <c r="AH152" s="32">
        <v>0</v>
      </c>
      <c r="AI152" s="32">
        <v>0</v>
      </c>
      <c r="AJ152" s="32">
        <v>0</v>
      </c>
      <c r="AK152" s="32">
        <v>0</v>
      </c>
      <c r="AL152" s="32">
        <v>0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>
        <v>0</v>
      </c>
      <c r="AS152" s="32">
        <v>0</v>
      </c>
      <c r="AT152" s="32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2">
        <v>0</v>
      </c>
      <c r="BA152" s="32">
        <v>0</v>
      </c>
      <c r="BB152" s="32">
        <v>0</v>
      </c>
      <c r="BC152">
        <f>COUNTIF(J152:AZ152, "&gt;0")</f>
        <v>0</v>
      </c>
      <c r="BD152" s="13">
        <v>0</v>
      </c>
      <c r="BE152">
        <f t="shared" si="2"/>
        <v>0</v>
      </c>
    </row>
    <row r="153" spans="1:57">
      <c r="A153" t="s">
        <v>192</v>
      </c>
      <c r="B153" t="s">
        <v>183</v>
      </c>
      <c r="C153" t="s">
        <v>191</v>
      </c>
      <c r="D153" s="13" t="s">
        <v>319</v>
      </c>
      <c r="E153" s="13" t="s">
        <v>283</v>
      </c>
      <c r="F153" s="13">
        <v>0</v>
      </c>
      <c r="G153" s="13">
        <v>0</v>
      </c>
      <c r="H153" s="13">
        <v>0</v>
      </c>
      <c r="I153" s="13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2">
        <v>0</v>
      </c>
      <c r="X153" s="32">
        <v>0</v>
      </c>
      <c r="Y153" s="32">
        <v>0</v>
      </c>
      <c r="Z153" s="32">
        <v>0</v>
      </c>
      <c r="AA153" s="32">
        <v>0</v>
      </c>
      <c r="AB153" s="32">
        <v>0</v>
      </c>
      <c r="AC153" s="32">
        <v>0</v>
      </c>
      <c r="AD153" s="32">
        <v>0</v>
      </c>
      <c r="AE153" s="32">
        <v>0</v>
      </c>
      <c r="AF153" s="32">
        <v>0</v>
      </c>
      <c r="AG153" s="32">
        <v>0</v>
      </c>
      <c r="AH153" s="32">
        <v>0</v>
      </c>
      <c r="AI153" s="32">
        <v>0</v>
      </c>
      <c r="AJ153" s="32">
        <v>0</v>
      </c>
      <c r="AK153" s="32">
        <v>0</v>
      </c>
      <c r="AL153" s="32">
        <v>0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>
        <v>0</v>
      </c>
      <c r="AS153" s="32">
        <v>0</v>
      </c>
      <c r="AT153" s="32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2">
        <v>0</v>
      </c>
      <c r="BA153" s="32">
        <v>0</v>
      </c>
      <c r="BB153" s="32">
        <v>0</v>
      </c>
      <c r="BC153">
        <f>COUNTIF(J153:AZ153, "&gt;0")</f>
        <v>0</v>
      </c>
      <c r="BD153" s="13" t="e">
        <f>[1]!shannonweaver(J153:AZ153)</f>
        <v>#VALUE!</v>
      </c>
      <c r="BE153">
        <f t="shared" si="2"/>
        <v>0</v>
      </c>
    </row>
    <row r="154" spans="1:57">
      <c r="A154" t="s">
        <v>193</v>
      </c>
      <c r="B154" t="s">
        <v>183</v>
      </c>
      <c r="C154" t="s">
        <v>191</v>
      </c>
      <c r="D154" s="13" t="s">
        <v>319</v>
      </c>
      <c r="E154" s="13" t="s">
        <v>283</v>
      </c>
      <c r="F154" s="13">
        <v>0</v>
      </c>
      <c r="G154" s="13">
        <v>0</v>
      </c>
      <c r="H154" s="13">
        <v>0</v>
      </c>
      <c r="I154" s="13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2">
        <v>0</v>
      </c>
      <c r="X154" s="32">
        <v>0</v>
      </c>
      <c r="Y154" s="32">
        <v>0</v>
      </c>
      <c r="Z154" s="32">
        <v>0</v>
      </c>
      <c r="AA154" s="32">
        <v>0</v>
      </c>
      <c r="AB154" s="32">
        <v>0</v>
      </c>
      <c r="AC154" s="32">
        <v>0</v>
      </c>
      <c r="AD154" s="32">
        <v>0</v>
      </c>
      <c r="AE154" s="32">
        <v>0</v>
      </c>
      <c r="AF154" s="32">
        <v>0</v>
      </c>
      <c r="AG154" s="32">
        <v>0</v>
      </c>
      <c r="AH154" s="32">
        <v>0</v>
      </c>
      <c r="AI154" s="32">
        <v>0</v>
      </c>
      <c r="AJ154" s="32">
        <v>0</v>
      </c>
      <c r="AK154" s="32">
        <v>0</v>
      </c>
      <c r="AL154" s="32">
        <v>0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>
        <v>0</v>
      </c>
      <c r="AS154" s="32">
        <v>0</v>
      </c>
      <c r="AT154" s="13">
        <v>1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2">
        <v>0</v>
      </c>
      <c r="BA154" s="32">
        <v>0</v>
      </c>
      <c r="BB154" s="32">
        <v>0</v>
      </c>
      <c r="BC154">
        <f>COUNTIF(J154:AZ154, "&gt;0")</f>
        <v>1</v>
      </c>
      <c r="BD154" s="13">
        <f>[1]!shannonweaver(J154:AZ154)</f>
        <v>0</v>
      </c>
      <c r="BE154">
        <f t="shared" si="2"/>
        <v>1</v>
      </c>
    </row>
    <row r="155" spans="1:57">
      <c r="A155" t="s">
        <v>12</v>
      </c>
      <c r="B155" t="s">
        <v>183</v>
      </c>
      <c r="C155" t="s">
        <v>191</v>
      </c>
      <c r="D155" s="13" t="s">
        <v>319</v>
      </c>
      <c r="E155" s="13" t="s">
        <v>283</v>
      </c>
      <c r="F155" s="13">
        <v>0</v>
      </c>
      <c r="G155" s="13">
        <v>0</v>
      </c>
      <c r="H155" s="13">
        <v>0</v>
      </c>
      <c r="I155" s="13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13">
        <v>1</v>
      </c>
      <c r="U155" s="32">
        <v>0</v>
      </c>
      <c r="V155" s="13">
        <v>1</v>
      </c>
      <c r="W155" s="32">
        <v>0</v>
      </c>
      <c r="X155" s="32">
        <v>0</v>
      </c>
      <c r="Y155" s="32">
        <v>0</v>
      </c>
      <c r="Z155" s="32">
        <v>0</v>
      </c>
      <c r="AA155" s="32">
        <v>0</v>
      </c>
      <c r="AB155" s="13">
        <v>1</v>
      </c>
      <c r="AC155" s="32">
        <v>0</v>
      </c>
      <c r="AD155" s="32">
        <v>0</v>
      </c>
      <c r="AE155" s="32">
        <v>0</v>
      </c>
      <c r="AF155" s="32">
        <v>0</v>
      </c>
      <c r="AG155" s="32">
        <v>0</v>
      </c>
      <c r="AH155" s="32">
        <v>0</v>
      </c>
      <c r="AI155" s="32">
        <v>0</v>
      </c>
      <c r="AJ155" s="32">
        <v>0</v>
      </c>
      <c r="AK155" s="32">
        <v>0</v>
      </c>
      <c r="AL155" s="32">
        <v>0</v>
      </c>
      <c r="AM155" s="32">
        <v>0</v>
      </c>
      <c r="AN155" s="32">
        <v>0</v>
      </c>
      <c r="AO155" s="32">
        <v>0</v>
      </c>
      <c r="AP155" s="32">
        <v>0</v>
      </c>
      <c r="AQ155" s="32">
        <v>0</v>
      </c>
      <c r="AR155" s="32">
        <v>0</v>
      </c>
      <c r="AS155" s="32">
        <v>0</v>
      </c>
      <c r="AT155" s="32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2">
        <v>0</v>
      </c>
      <c r="BA155" s="32">
        <v>0</v>
      </c>
      <c r="BB155" s="32">
        <v>0</v>
      </c>
      <c r="BC155">
        <f>COUNTIF(J155:AZ155, "&gt;0")</f>
        <v>3</v>
      </c>
      <c r="BD155" s="13">
        <f>[1]!shannonweaver(J155:AZ155)</f>
        <v>1.0986122886681096</v>
      </c>
      <c r="BE155">
        <f t="shared" si="2"/>
        <v>3</v>
      </c>
    </row>
    <row r="156" spans="1:57">
      <c r="A156" t="s">
        <v>13</v>
      </c>
      <c r="B156" t="s">
        <v>183</v>
      </c>
      <c r="C156" t="s">
        <v>191</v>
      </c>
      <c r="D156" s="13" t="s">
        <v>319</v>
      </c>
      <c r="E156" s="13" t="s">
        <v>283</v>
      </c>
      <c r="F156" s="13">
        <v>0</v>
      </c>
      <c r="G156" s="13">
        <v>0</v>
      </c>
      <c r="H156" s="13">
        <v>0</v>
      </c>
      <c r="I156" s="13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13">
        <v>1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2">
        <v>0</v>
      </c>
      <c r="X156" s="32">
        <v>0</v>
      </c>
      <c r="Y156" s="13">
        <v>3</v>
      </c>
      <c r="Z156" s="32">
        <v>0</v>
      </c>
      <c r="AA156" s="32">
        <v>0</v>
      </c>
      <c r="AB156" s="32">
        <v>0</v>
      </c>
      <c r="AC156" s="32">
        <v>0</v>
      </c>
      <c r="AD156" s="32">
        <v>0</v>
      </c>
      <c r="AE156" s="32">
        <v>0</v>
      </c>
      <c r="AF156" s="32">
        <v>0</v>
      </c>
      <c r="AG156" s="32">
        <v>0</v>
      </c>
      <c r="AH156" s="32">
        <v>0</v>
      </c>
      <c r="AI156" s="32">
        <v>0</v>
      </c>
      <c r="AJ156" s="32">
        <v>0</v>
      </c>
      <c r="AK156" s="32">
        <v>0</v>
      </c>
      <c r="AL156" s="32">
        <v>0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>
        <v>0</v>
      </c>
      <c r="AS156" s="32">
        <v>0</v>
      </c>
      <c r="AT156" s="32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2">
        <v>0</v>
      </c>
      <c r="BA156" s="32">
        <v>0</v>
      </c>
      <c r="BB156" s="32">
        <v>0</v>
      </c>
      <c r="BC156">
        <f>COUNTIF(J156:AZ156, "&gt;0")</f>
        <v>2</v>
      </c>
      <c r="BD156" s="13">
        <f>[1]!shannonweaver(J156:AZ156)</f>
        <v>0.56233514461880829</v>
      </c>
      <c r="BE156">
        <f t="shared" si="2"/>
        <v>2</v>
      </c>
    </row>
    <row r="157" spans="1:57">
      <c r="A157" t="s">
        <v>14</v>
      </c>
      <c r="B157" t="s">
        <v>183</v>
      </c>
      <c r="C157" t="s">
        <v>191</v>
      </c>
      <c r="D157" s="13" t="s">
        <v>319</v>
      </c>
      <c r="E157" s="13" t="s">
        <v>283</v>
      </c>
      <c r="F157" s="13">
        <v>0</v>
      </c>
      <c r="G157" s="13">
        <v>0</v>
      </c>
      <c r="H157" s="13">
        <v>0</v>
      </c>
      <c r="I157" s="13">
        <v>0</v>
      </c>
      <c r="J157" s="32">
        <v>0</v>
      </c>
      <c r="K157" s="32">
        <v>0</v>
      </c>
      <c r="L157" s="32">
        <v>0</v>
      </c>
      <c r="M157" s="32">
        <v>0</v>
      </c>
      <c r="N157" s="13">
        <v>1</v>
      </c>
      <c r="O157" s="32">
        <v>0</v>
      </c>
      <c r="P157" s="32">
        <v>0</v>
      </c>
      <c r="Q157" s="32">
        <v>0</v>
      </c>
      <c r="R157" s="32">
        <v>0</v>
      </c>
      <c r="S157" s="13">
        <v>1</v>
      </c>
      <c r="T157" s="32">
        <v>0</v>
      </c>
      <c r="U157" s="32">
        <v>0</v>
      </c>
      <c r="V157" s="32">
        <v>0</v>
      </c>
      <c r="W157" s="32">
        <v>0</v>
      </c>
      <c r="X157" s="32">
        <v>0</v>
      </c>
      <c r="Y157" s="32">
        <v>0</v>
      </c>
      <c r="Z157" s="32">
        <v>0</v>
      </c>
      <c r="AA157" s="32">
        <v>0</v>
      </c>
      <c r="AB157" s="32">
        <v>0</v>
      </c>
      <c r="AC157" s="32">
        <v>0</v>
      </c>
      <c r="AD157" s="32">
        <v>0</v>
      </c>
      <c r="AE157" s="32">
        <v>0</v>
      </c>
      <c r="AF157" s="32">
        <v>0</v>
      </c>
      <c r="AG157" s="32">
        <v>0</v>
      </c>
      <c r="AH157" s="32">
        <v>0</v>
      </c>
      <c r="AI157" s="32">
        <v>0</v>
      </c>
      <c r="AJ157" s="32">
        <v>0</v>
      </c>
      <c r="AK157" s="32">
        <v>0</v>
      </c>
      <c r="AL157" s="32">
        <v>0</v>
      </c>
      <c r="AM157" s="32">
        <v>0</v>
      </c>
      <c r="AN157" s="32">
        <v>0</v>
      </c>
      <c r="AO157" s="13">
        <v>1</v>
      </c>
      <c r="AP157" s="32">
        <v>0</v>
      </c>
      <c r="AQ157" s="32">
        <v>0</v>
      </c>
      <c r="AR157" s="13">
        <v>1</v>
      </c>
      <c r="AS157" s="32">
        <v>0</v>
      </c>
      <c r="AT157" s="32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2">
        <v>0</v>
      </c>
      <c r="BA157" s="32">
        <v>0</v>
      </c>
      <c r="BB157" s="32">
        <v>0</v>
      </c>
      <c r="BC157">
        <f>COUNTIF(J157:AZ157, "&gt;0")</f>
        <v>4</v>
      </c>
      <c r="BD157" s="13">
        <f>[1]!shannonweaver(J157:AZ157)</f>
        <v>1.3862943611198906</v>
      </c>
      <c r="BE157">
        <f t="shared" si="2"/>
        <v>4</v>
      </c>
    </row>
    <row r="158" spans="1:57">
      <c r="A158" t="s">
        <v>15</v>
      </c>
      <c r="B158" t="s">
        <v>183</v>
      </c>
      <c r="C158" t="s">
        <v>255</v>
      </c>
      <c r="D158" s="13" t="s">
        <v>319</v>
      </c>
      <c r="E158" s="13" t="s">
        <v>283</v>
      </c>
      <c r="F158" s="13">
        <v>0</v>
      </c>
      <c r="G158" s="13">
        <v>0</v>
      </c>
      <c r="H158" s="13">
        <v>0</v>
      </c>
      <c r="I158" s="13">
        <v>0</v>
      </c>
      <c r="J158" s="32">
        <v>0</v>
      </c>
      <c r="K158" s="32">
        <v>0</v>
      </c>
      <c r="L158" s="13">
        <v>1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2">
        <v>0</v>
      </c>
      <c r="X158" s="32">
        <v>0</v>
      </c>
      <c r="Y158" s="32">
        <v>0</v>
      </c>
      <c r="Z158" s="32">
        <v>0</v>
      </c>
      <c r="AA158" s="32">
        <v>0</v>
      </c>
      <c r="AB158" s="13">
        <v>1</v>
      </c>
      <c r="AC158" s="32">
        <v>0</v>
      </c>
      <c r="AD158" s="32">
        <v>0</v>
      </c>
      <c r="AE158" s="32">
        <v>0</v>
      </c>
      <c r="AF158" s="32">
        <v>0</v>
      </c>
      <c r="AG158" s="32">
        <v>0</v>
      </c>
      <c r="AH158" s="32">
        <v>0</v>
      </c>
      <c r="AI158" s="32">
        <v>0</v>
      </c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>
        <v>0</v>
      </c>
      <c r="AS158" s="32">
        <v>0</v>
      </c>
      <c r="AT158" s="32">
        <v>0</v>
      </c>
      <c r="AU158" s="32">
        <v>0</v>
      </c>
      <c r="AV158" s="32">
        <v>0</v>
      </c>
      <c r="AW158" s="13">
        <v>1</v>
      </c>
      <c r="AX158" s="32">
        <v>0</v>
      </c>
      <c r="AY158" s="32">
        <v>0</v>
      </c>
      <c r="AZ158" s="32">
        <v>0</v>
      </c>
      <c r="BA158" s="32">
        <v>0</v>
      </c>
      <c r="BB158" s="32">
        <v>0</v>
      </c>
      <c r="BC158">
        <f>COUNTIF(J158:AZ158, "&gt;0")</f>
        <v>3</v>
      </c>
      <c r="BD158" s="13">
        <f>[1]!shannonweaver(J158:AZ158)</f>
        <v>1.0986122886681096</v>
      </c>
      <c r="BE158">
        <f t="shared" si="2"/>
        <v>3</v>
      </c>
    </row>
    <row r="159" spans="1:57">
      <c r="A159" t="s">
        <v>256</v>
      </c>
      <c r="B159" t="s">
        <v>183</v>
      </c>
      <c r="C159" t="s">
        <v>255</v>
      </c>
      <c r="D159" s="13" t="s">
        <v>319</v>
      </c>
      <c r="E159" s="13" t="s">
        <v>283</v>
      </c>
      <c r="F159" s="13">
        <v>0</v>
      </c>
      <c r="G159" s="13">
        <v>0</v>
      </c>
      <c r="H159" s="13">
        <v>0</v>
      </c>
      <c r="I159" s="13">
        <v>0</v>
      </c>
      <c r="J159" s="32">
        <v>0</v>
      </c>
      <c r="K159" s="32">
        <v>0</v>
      </c>
      <c r="L159" s="13">
        <v>1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2">
        <v>0</v>
      </c>
      <c r="X159" s="32">
        <v>0</v>
      </c>
      <c r="Y159" s="32">
        <v>0</v>
      </c>
      <c r="Z159" s="32">
        <v>0</v>
      </c>
      <c r="AA159" s="32">
        <v>0</v>
      </c>
      <c r="AB159" s="32">
        <v>0</v>
      </c>
      <c r="AC159" s="32">
        <v>0</v>
      </c>
      <c r="AD159" s="32">
        <v>0</v>
      </c>
      <c r="AE159" s="32">
        <v>0</v>
      </c>
      <c r="AF159" s="32">
        <v>0</v>
      </c>
      <c r="AG159" s="32">
        <v>0</v>
      </c>
      <c r="AH159" s="32">
        <v>0</v>
      </c>
      <c r="AI159" s="32">
        <v>0</v>
      </c>
      <c r="AJ159" s="32">
        <v>0</v>
      </c>
      <c r="AK159" s="32">
        <v>0</v>
      </c>
      <c r="AL159" s="32">
        <v>0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>
        <v>0</v>
      </c>
      <c r="AS159" s="32">
        <v>0</v>
      </c>
      <c r="AT159" s="32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2">
        <v>0</v>
      </c>
      <c r="BA159" s="32">
        <v>0</v>
      </c>
      <c r="BB159" s="32">
        <v>0</v>
      </c>
      <c r="BC159">
        <f>COUNTIF(J159:AZ159, "&gt;0")</f>
        <v>1</v>
      </c>
      <c r="BD159" s="13">
        <f>[1]!shannonweaver(J159:AZ159)</f>
        <v>0</v>
      </c>
      <c r="BE159">
        <f t="shared" si="2"/>
        <v>1</v>
      </c>
    </row>
    <row r="160" spans="1:57">
      <c r="A160" t="s">
        <v>257</v>
      </c>
      <c r="B160" t="s">
        <v>183</v>
      </c>
      <c r="C160" t="s">
        <v>255</v>
      </c>
      <c r="D160" s="13" t="s">
        <v>319</v>
      </c>
      <c r="E160" s="13" t="s">
        <v>283</v>
      </c>
      <c r="F160" s="13">
        <v>0</v>
      </c>
      <c r="G160" s="13">
        <v>0</v>
      </c>
      <c r="H160" s="13">
        <v>0</v>
      </c>
      <c r="I160" s="13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2">
        <v>0</v>
      </c>
      <c r="X160" s="32">
        <v>0</v>
      </c>
      <c r="Y160" s="32">
        <v>0</v>
      </c>
      <c r="Z160" s="32">
        <v>0</v>
      </c>
      <c r="AA160" s="32">
        <v>0</v>
      </c>
      <c r="AB160" s="32">
        <v>0</v>
      </c>
      <c r="AC160" s="32">
        <v>0</v>
      </c>
      <c r="AD160" s="32">
        <v>0</v>
      </c>
      <c r="AE160" s="32">
        <v>0</v>
      </c>
      <c r="AF160" s="32">
        <v>0</v>
      </c>
      <c r="AG160" s="32">
        <v>0</v>
      </c>
      <c r="AH160" s="32">
        <v>0</v>
      </c>
      <c r="AI160" s="32">
        <v>0</v>
      </c>
      <c r="AJ160" s="32">
        <v>0</v>
      </c>
      <c r="AK160" s="32">
        <v>0</v>
      </c>
      <c r="AL160" s="32">
        <v>0</v>
      </c>
      <c r="AM160" s="32">
        <v>0</v>
      </c>
      <c r="AN160" s="32">
        <v>0</v>
      </c>
      <c r="AO160" s="32">
        <v>0</v>
      </c>
      <c r="AP160" s="32">
        <v>0</v>
      </c>
      <c r="AQ160" s="32">
        <v>0</v>
      </c>
      <c r="AR160" s="32">
        <v>0</v>
      </c>
      <c r="AS160" s="32">
        <v>0</v>
      </c>
      <c r="AT160" s="32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2">
        <v>0</v>
      </c>
      <c r="BA160" s="32">
        <v>0</v>
      </c>
      <c r="BB160" s="32">
        <v>0</v>
      </c>
      <c r="BC160">
        <f>COUNTIF(J160:AZ160, "&gt;0")</f>
        <v>0</v>
      </c>
      <c r="BD160" s="13">
        <v>0</v>
      </c>
      <c r="BE160">
        <f t="shared" si="2"/>
        <v>0</v>
      </c>
    </row>
    <row r="161" spans="1:57">
      <c r="A161" t="s">
        <v>258</v>
      </c>
      <c r="B161" t="s">
        <v>183</v>
      </c>
      <c r="C161" t="s">
        <v>255</v>
      </c>
      <c r="D161" s="13" t="s">
        <v>319</v>
      </c>
      <c r="E161" s="13" t="s">
        <v>283</v>
      </c>
      <c r="F161" s="13">
        <v>0</v>
      </c>
      <c r="G161" s="13">
        <v>0</v>
      </c>
      <c r="H161" s="13">
        <v>0</v>
      </c>
      <c r="I161" s="13">
        <v>0</v>
      </c>
      <c r="J161" s="32">
        <v>0</v>
      </c>
      <c r="K161" s="32">
        <v>0</v>
      </c>
      <c r="L161" s="13">
        <v>1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2">
        <v>0</v>
      </c>
      <c r="X161" s="32">
        <v>0</v>
      </c>
      <c r="Y161" s="32">
        <v>0</v>
      </c>
      <c r="Z161" s="32">
        <v>0</v>
      </c>
      <c r="AA161" s="32">
        <v>0</v>
      </c>
      <c r="AB161" s="32">
        <v>0</v>
      </c>
      <c r="AC161" s="32">
        <v>0</v>
      </c>
      <c r="AD161" s="32">
        <v>0</v>
      </c>
      <c r="AE161" s="32">
        <v>0</v>
      </c>
      <c r="AF161" s="32">
        <v>0</v>
      </c>
      <c r="AG161" s="32">
        <v>0</v>
      </c>
      <c r="AH161" s="32">
        <v>0</v>
      </c>
      <c r="AI161" s="32">
        <v>0</v>
      </c>
      <c r="AJ161" s="32">
        <v>0</v>
      </c>
      <c r="AK161" s="32">
        <v>0</v>
      </c>
      <c r="AL161" s="32">
        <v>0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>
        <v>0</v>
      </c>
      <c r="AS161" s="32">
        <v>0</v>
      </c>
      <c r="AT161" s="32">
        <v>0</v>
      </c>
      <c r="AU161" s="32">
        <v>0</v>
      </c>
      <c r="AV161" s="32">
        <v>0</v>
      </c>
      <c r="AW161" s="32">
        <v>0</v>
      </c>
      <c r="AX161" s="32">
        <v>0</v>
      </c>
      <c r="AY161" s="32">
        <v>0</v>
      </c>
      <c r="AZ161" s="32">
        <v>0</v>
      </c>
      <c r="BA161" s="32">
        <v>0</v>
      </c>
      <c r="BB161" s="32">
        <v>0</v>
      </c>
      <c r="BC161">
        <f>COUNTIF(J161:AZ161, "&gt;0")</f>
        <v>1</v>
      </c>
      <c r="BD161" s="13">
        <f>[1]!shannonweaver(J161:AZ161)</f>
        <v>0</v>
      </c>
      <c r="BE161">
        <f t="shared" si="2"/>
        <v>1</v>
      </c>
    </row>
    <row r="162" spans="1:57">
      <c r="A162" t="s">
        <v>259</v>
      </c>
      <c r="B162" t="s">
        <v>183</v>
      </c>
      <c r="C162" t="s">
        <v>255</v>
      </c>
      <c r="D162" s="13" t="s">
        <v>319</v>
      </c>
      <c r="E162" s="13" t="s">
        <v>283</v>
      </c>
      <c r="F162" s="13">
        <v>0</v>
      </c>
      <c r="G162" s="13">
        <v>0</v>
      </c>
      <c r="H162" s="13">
        <v>0</v>
      </c>
      <c r="I162" s="13">
        <v>0</v>
      </c>
      <c r="J162" s="32">
        <v>0</v>
      </c>
      <c r="K162" s="32">
        <v>0</v>
      </c>
      <c r="L162" s="13">
        <v>1</v>
      </c>
      <c r="M162" s="32">
        <v>0</v>
      </c>
      <c r="N162" s="32">
        <v>0</v>
      </c>
      <c r="O162" s="32">
        <v>0</v>
      </c>
      <c r="P162" s="32">
        <v>0</v>
      </c>
      <c r="Q162" s="32">
        <v>0</v>
      </c>
      <c r="R162" s="32">
        <v>0</v>
      </c>
      <c r="S162" s="32">
        <v>0</v>
      </c>
      <c r="T162" s="32">
        <v>0</v>
      </c>
      <c r="U162" s="32">
        <v>0</v>
      </c>
      <c r="V162" s="32">
        <v>0</v>
      </c>
      <c r="W162" s="32">
        <v>0</v>
      </c>
      <c r="X162" s="32">
        <v>0</v>
      </c>
      <c r="Y162" s="32">
        <v>0</v>
      </c>
      <c r="Z162" s="32">
        <v>0</v>
      </c>
      <c r="AA162" s="32">
        <v>0</v>
      </c>
      <c r="AB162" s="32">
        <v>0</v>
      </c>
      <c r="AC162" s="32">
        <v>0</v>
      </c>
      <c r="AD162" s="32">
        <v>0</v>
      </c>
      <c r="AE162" s="32">
        <v>0</v>
      </c>
      <c r="AF162" s="32">
        <v>0</v>
      </c>
      <c r="AG162" s="32">
        <v>0</v>
      </c>
      <c r="AH162" s="32">
        <v>0</v>
      </c>
      <c r="AI162" s="32">
        <v>0</v>
      </c>
      <c r="AJ162" s="32">
        <v>0</v>
      </c>
      <c r="AK162" s="32">
        <v>0</v>
      </c>
      <c r="AL162" s="32">
        <v>0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>
        <v>0</v>
      </c>
      <c r="AS162" s="32">
        <v>0</v>
      </c>
      <c r="AT162" s="32">
        <v>0</v>
      </c>
      <c r="AU162" s="32">
        <v>0</v>
      </c>
      <c r="AV162" s="32">
        <v>0</v>
      </c>
      <c r="AW162" s="32">
        <v>0</v>
      </c>
      <c r="AX162" s="32">
        <v>0</v>
      </c>
      <c r="AY162" s="32">
        <v>0</v>
      </c>
      <c r="AZ162" s="32">
        <v>0</v>
      </c>
      <c r="BA162" s="32">
        <v>0</v>
      </c>
      <c r="BB162" s="32">
        <v>0</v>
      </c>
      <c r="BC162">
        <f>COUNTIF(J162:AZ162, "&gt;0")</f>
        <v>1</v>
      </c>
      <c r="BD162" s="13">
        <f>[1]!shannonweaver(J162:AZ162)</f>
        <v>0</v>
      </c>
      <c r="BE162">
        <f t="shared" si="2"/>
        <v>1</v>
      </c>
    </row>
    <row r="163" spans="1:57">
      <c r="A163" t="s">
        <v>260</v>
      </c>
      <c r="B163" t="s">
        <v>183</v>
      </c>
      <c r="C163" t="s">
        <v>255</v>
      </c>
      <c r="D163" s="13" t="s">
        <v>319</v>
      </c>
      <c r="E163" s="13" t="s">
        <v>283</v>
      </c>
      <c r="F163" s="13">
        <v>0</v>
      </c>
      <c r="G163" s="13">
        <v>0</v>
      </c>
      <c r="H163" s="13">
        <v>0</v>
      </c>
      <c r="I163" s="13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>
        <v>0</v>
      </c>
      <c r="P163" s="32">
        <v>0</v>
      </c>
      <c r="Q163" s="32">
        <v>0</v>
      </c>
      <c r="R163" s="32">
        <v>0</v>
      </c>
      <c r="S163" s="32">
        <v>0</v>
      </c>
      <c r="T163" s="32">
        <v>0</v>
      </c>
      <c r="U163" s="32">
        <v>0</v>
      </c>
      <c r="V163" s="32">
        <v>0</v>
      </c>
      <c r="W163" s="32">
        <v>0</v>
      </c>
      <c r="X163" s="32">
        <v>0</v>
      </c>
      <c r="Y163" s="32">
        <v>0</v>
      </c>
      <c r="Z163" s="32">
        <v>0</v>
      </c>
      <c r="AA163" s="32">
        <v>0</v>
      </c>
      <c r="AB163" s="32">
        <v>0</v>
      </c>
      <c r="AC163" s="32">
        <v>0</v>
      </c>
      <c r="AD163" s="32">
        <v>0</v>
      </c>
      <c r="AE163" s="32">
        <v>0</v>
      </c>
      <c r="AF163" s="32">
        <v>0</v>
      </c>
      <c r="AG163" s="32">
        <v>0</v>
      </c>
      <c r="AH163" s="32">
        <v>0</v>
      </c>
      <c r="AI163" s="32">
        <v>0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>
        <v>0</v>
      </c>
      <c r="AS163" s="32">
        <v>0</v>
      </c>
      <c r="AT163" s="32">
        <v>0</v>
      </c>
      <c r="AU163" s="32">
        <v>0</v>
      </c>
      <c r="AV163" s="13">
        <v>1</v>
      </c>
      <c r="AW163" s="32">
        <v>0</v>
      </c>
      <c r="AX163" s="32">
        <v>0</v>
      </c>
      <c r="AY163" s="32">
        <v>0</v>
      </c>
      <c r="AZ163" s="32">
        <v>0</v>
      </c>
      <c r="BA163" s="32">
        <v>0</v>
      </c>
      <c r="BB163" s="32">
        <v>0</v>
      </c>
      <c r="BC163">
        <f>COUNTIF(J163:AZ163, "&gt;0")</f>
        <v>1</v>
      </c>
      <c r="BD163" s="13">
        <f>[1]!shannonweaver(J163:AZ163)</f>
        <v>0</v>
      </c>
      <c r="BE163">
        <f t="shared" si="2"/>
        <v>1</v>
      </c>
    </row>
    <row r="164" spans="1:57">
      <c r="A164" t="s">
        <v>261</v>
      </c>
      <c r="B164" t="s">
        <v>183</v>
      </c>
      <c r="C164" t="s">
        <v>262</v>
      </c>
      <c r="D164" s="13" t="s">
        <v>320</v>
      </c>
      <c r="E164" s="13" t="s">
        <v>283</v>
      </c>
      <c r="F164" s="13">
        <v>0</v>
      </c>
      <c r="G164" s="13">
        <v>0</v>
      </c>
      <c r="H164" s="13">
        <v>0</v>
      </c>
      <c r="I164" s="13">
        <v>0</v>
      </c>
      <c r="J164" s="32">
        <v>0</v>
      </c>
      <c r="K164" s="32">
        <v>0</v>
      </c>
      <c r="L164" s="32">
        <v>0</v>
      </c>
      <c r="M164" s="32">
        <v>0</v>
      </c>
      <c r="N164" s="32">
        <v>0</v>
      </c>
      <c r="O164" s="32">
        <v>0</v>
      </c>
      <c r="P164" s="32">
        <v>0</v>
      </c>
      <c r="Q164" s="32">
        <v>0</v>
      </c>
      <c r="R164" s="32">
        <v>0</v>
      </c>
      <c r="S164" s="32">
        <v>0</v>
      </c>
      <c r="T164" s="32">
        <v>0</v>
      </c>
      <c r="U164" s="32">
        <v>0</v>
      </c>
      <c r="V164" s="32">
        <v>0</v>
      </c>
      <c r="W164" s="32">
        <v>0</v>
      </c>
      <c r="X164" s="32">
        <v>0</v>
      </c>
      <c r="Y164" s="32">
        <v>0</v>
      </c>
      <c r="Z164" s="32">
        <v>0</v>
      </c>
      <c r="AA164" s="32">
        <v>0</v>
      </c>
      <c r="AB164" s="13">
        <v>1</v>
      </c>
      <c r="AC164" s="32">
        <v>0</v>
      </c>
      <c r="AD164" s="32">
        <v>0</v>
      </c>
      <c r="AE164" s="32">
        <v>0</v>
      </c>
      <c r="AF164" s="32">
        <v>0</v>
      </c>
      <c r="AG164" s="32">
        <v>0</v>
      </c>
      <c r="AH164" s="32">
        <v>0</v>
      </c>
      <c r="AI164" s="32">
        <v>0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>
        <v>0</v>
      </c>
      <c r="AS164" s="32">
        <v>0</v>
      </c>
      <c r="AT164" s="32">
        <v>0</v>
      </c>
      <c r="AU164" s="32">
        <v>0</v>
      </c>
      <c r="AV164" s="32">
        <v>0</v>
      </c>
      <c r="AW164" s="32">
        <v>0</v>
      </c>
      <c r="AX164" s="32">
        <v>0</v>
      </c>
      <c r="AY164" s="32">
        <v>0</v>
      </c>
      <c r="AZ164" s="32">
        <v>0</v>
      </c>
      <c r="BA164" s="32">
        <v>0</v>
      </c>
      <c r="BB164" s="32">
        <v>0</v>
      </c>
      <c r="BC164">
        <f>COUNTIF(J164:AZ164, "&gt;0")</f>
        <v>1</v>
      </c>
      <c r="BD164" s="13">
        <f>[1]!shannonweaver(J164:AZ164)</f>
        <v>0</v>
      </c>
      <c r="BE164">
        <f t="shared" si="2"/>
        <v>1</v>
      </c>
    </row>
    <row r="165" spans="1:57">
      <c r="A165" t="s">
        <v>263</v>
      </c>
      <c r="B165" t="s">
        <v>183</v>
      </c>
      <c r="C165" t="s">
        <v>262</v>
      </c>
      <c r="D165" s="13" t="s">
        <v>320</v>
      </c>
      <c r="E165" s="13" t="s">
        <v>283</v>
      </c>
      <c r="F165" s="13">
        <v>0</v>
      </c>
      <c r="G165" s="13">
        <v>0</v>
      </c>
      <c r="H165" s="13">
        <v>0</v>
      </c>
      <c r="I165" s="13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2">
        <v>0</v>
      </c>
      <c r="X165" s="32">
        <v>0</v>
      </c>
      <c r="Y165" s="32">
        <v>0</v>
      </c>
      <c r="Z165" s="32">
        <v>0</v>
      </c>
      <c r="AA165" s="32">
        <v>0</v>
      </c>
      <c r="AB165" s="32">
        <v>0</v>
      </c>
      <c r="AC165" s="32">
        <v>0</v>
      </c>
      <c r="AD165" s="32">
        <v>0</v>
      </c>
      <c r="AE165" s="32">
        <v>0</v>
      </c>
      <c r="AF165" s="32">
        <v>0</v>
      </c>
      <c r="AG165" s="32">
        <v>0</v>
      </c>
      <c r="AH165" s="32">
        <v>0</v>
      </c>
      <c r="AI165" s="32">
        <v>0</v>
      </c>
      <c r="AJ165" s="32">
        <v>0</v>
      </c>
      <c r="AK165" s="32">
        <v>0</v>
      </c>
      <c r="AL165" s="32">
        <v>0</v>
      </c>
      <c r="AM165" s="32">
        <v>0</v>
      </c>
      <c r="AN165" s="32">
        <v>0</v>
      </c>
      <c r="AO165" s="32">
        <v>0</v>
      </c>
      <c r="AP165" s="32">
        <v>0</v>
      </c>
      <c r="AQ165" s="32">
        <v>0</v>
      </c>
      <c r="AR165" s="32">
        <v>0</v>
      </c>
      <c r="AS165" s="32">
        <v>0</v>
      </c>
      <c r="AT165" s="32">
        <v>0</v>
      </c>
      <c r="AU165" s="32">
        <v>0</v>
      </c>
      <c r="AV165" s="32">
        <v>0</v>
      </c>
      <c r="AW165" s="32">
        <v>0</v>
      </c>
      <c r="AX165" s="32">
        <v>0</v>
      </c>
      <c r="AY165" s="32">
        <v>0</v>
      </c>
      <c r="AZ165" s="32">
        <v>0</v>
      </c>
      <c r="BA165" s="13">
        <v>1</v>
      </c>
      <c r="BB165" s="32">
        <v>0</v>
      </c>
      <c r="BC165">
        <f>COUNTIF(J165:AZ165, "&gt;0")</f>
        <v>0</v>
      </c>
      <c r="BD165" s="13" t="e">
        <f>[1]!shannonweaver(J165:AZ165)</f>
        <v>#VALUE!</v>
      </c>
      <c r="BE165">
        <f t="shared" si="2"/>
        <v>0</v>
      </c>
    </row>
    <row r="166" spans="1:57">
      <c r="A166" t="s">
        <v>264</v>
      </c>
      <c r="B166" t="s">
        <v>183</v>
      </c>
      <c r="C166" t="s">
        <v>262</v>
      </c>
      <c r="D166" s="13" t="s">
        <v>320</v>
      </c>
      <c r="E166" s="13" t="s">
        <v>283</v>
      </c>
      <c r="F166" s="13">
        <v>0</v>
      </c>
      <c r="G166" s="13">
        <v>0</v>
      </c>
      <c r="H166" s="13">
        <v>0</v>
      </c>
      <c r="I166" s="13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>
        <v>0</v>
      </c>
      <c r="P166" s="32">
        <v>0</v>
      </c>
      <c r="Q166" s="32">
        <v>0</v>
      </c>
      <c r="R166" s="32">
        <v>0</v>
      </c>
      <c r="S166" s="32">
        <v>0</v>
      </c>
      <c r="T166" s="32">
        <v>0</v>
      </c>
      <c r="U166" s="32">
        <v>0</v>
      </c>
      <c r="V166" s="32">
        <v>0</v>
      </c>
      <c r="W166" s="32">
        <v>0</v>
      </c>
      <c r="X166" s="32">
        <v>0</v>
      </c>
      <c r="Y166" s="32">
        <v>0</v>
      </c>
      <c r="Z166" s="32">
        <v>0</v>
      </c>
      <c r="AA166" s="32">
        <v>0</v>
      </c>
      <c r="AB166" s="32">
        <v>0</v>
      </c>
      <c r="AC166" s="32">
        <v>0</v>
      </c>
      <c r="AD166" s="32">
        <v>0</v>
      </c>
      <c r="AE166" s="32">
        <v>0</v>
      </c>
      <c r="AF166" s="32">
        <v>0</v>
      </c>
      <c r="AG166" s="32">
        <v>0</v>
      </c>
      <c r="AH166" s="32">
        <v>0</v>
      </c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>
        <v>0</v>
      </c>
      <c r="AS166" s="32">
        <v>0</v>
      </c>
      <c r="AT166" s="32">
        <v>0</v>
      </c>
      <c r="AU166" s="32">
        <v>0</v>
      </c>
      <c r="AV166" s="32">
        <v>0</v>
      </c>
      <c r="AW166" s="32">
        <v>0</v>
      </c>
      <c r="AX166" s="32">
        <v>0</v>
      </c>
      <c r="AY166" s="32">
        <v>0</v>
      </c>
      <c r="AZ166" s="32">
        <v>0</v>
      </c>
      <c r="BA166" s="32">
        <v>0</v>
      </c>
      <c r="BB166" s="32">
        <v>0</v>
      </c>
      <c r="BC166">
        <f>COUNTIF(J166:AZ166, "&gt;0")</f>
        <v>0</v>
      </c>
      <c r="BD166" s="13">
        <v>0</v>
      </c>
      <c r="BE166">
        <f t="shared" si="2"/>
        <v>0</v>
      </c>
    </row>
    <row r="167" spans="1:57">
      <c r="A167" t="s">
        <v>265</v>
      </c>
      <c r="B167" t="s">
        <v>183</v>
      </c>
      <c r="C167" t="s">
        <v>262</v>
      </c>
      <c r="D167" s="13" t="s">
        <v>320</v>
      </c>
      <c r="E167" s="13" t="s">
        <v>283</v>
      </c>
      <c r="F167" s="13">
        <v>0</v>
      </c>
      <c r="G167" s="13">
        <v>0</v>
      </c>
      <c r="H167" s="13">
        <v>0</v>
      </c>
      <c r="I167" s="13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2">
        <v>0</v>
      </c>
      <c r="X167" s="32">
        <v>0</v>
      </c>
      <c r="Y167" s="32">
        <v>0</v>
      </c>
      <c r="Z167" s="32">
        <v>0</v>
      </c>
      <c r="AA167" s="32">
        <v>0</v>
      </c>
      <c r="AB167" s="32">
        <v>0</v>
      </c>
      <c r="AC167" s="32">
        <v>0</v>
      </c>
      <c r="AD167" s="32">
        <v>0</v>
      </c>
      <c r="AE167" s="32">
        <v>0</v>
      </c>
      <c r="AF167" s="32">
        <v>0</v>
      </c>
      <c r="AG167" s="32">
        <v>0</v>
      </c>
      <c r="AH167" s="32">
        <v>0</v>
      </c>
      <c r="AI167" s="32">
        <v>0</v>
      </c>
      <c r="AJ167" s="13">
        <v>1</v>
      </c>
      <c r="AK167" s="32">
        <v>0</v>
      </c>
      <c r="AL167" s="32">
        <v>0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>
        <v>0</v>
      </c>
      <c r="AS167" s="32">
        <v>0</v>
      </c>
      <c r="AT167" s="32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2">
        <v>0</v>
      </c>
      <c r="BA167" s="32">
        <v>0</v>
      </c>
      <c r="BB167" s="32">
        <v>0</v>
      </c>
      <c r="BC167">
        <f>COUNTIF(J167:AZ167, "&gt;0")</f>
        <v>1</v>
      </c>
      <c r="BD167" s="13">
        <f>[1]!shannonweaver(J167:AZ167)</f>
        <v>0</v>
      </c>
      <c r="BE167">
        <f t="shared" si="2"/>
        <v>1</v>
      </c>
    </row>
    <row r="168" spans="1:57">
      <c r="A168" t="s">
        <v>266</v>
      </c>
      <c r="B168" t="s">
        <v>183</v>
      </c>
      <c r="C168" t="s">
        <v>262</v>
      </c>
      <c r="D168" s="13" t="s">
        <v>320</v>
      </c>
      <c r="E168" s="13" t="s">
        <v>283</v>
      </c>
      <c r="F168" s="13">
        <v>0</v>
      </c>
      <c r="G168" s="13">
        <v>0</v>
      </c>
      <c r="H168" s="13">
        <v>0</v>
      </c>
      <c r="I168" s="13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2">
        <v>0</v>
      </c>
      <c r="X168" s="32">
        <v>0</v>
      </c>
      <c r="Y168" s="13">
        <v>2</v>
      </c>
      <c r="Z168" s="32">
        <v>0</v>
      </c>
      <c r="AA168" s="32">
        <v>0</v>
      </c>
      <c r="AB168" s="13">
        <v>1</v>
      </c>
      <c r="AC168" s="32">
        <v>0</v>
      </c>
      <c r="AD168" s="32">
        <v>0</v>
      </c>
      <c r="AE168" s="32">
        <v>0</v>
      </c>
      <c r="AF168" s="32">
        <v>0</v>
      </c>
      <c r="AG168" s="32">
        <v>0</v>
      </c>
      <c r="AH168" s="32">
        <v>0</v>
      </c>
      <c r="AI168" s="32">
        <v>0</v>
      </c>
      <c r="AJ168" s="32">
        <v>0</v>
      </c>
      <c r="AK168" s="32">
        <v>0</v>
      </c>
      <c r="AL168" s="32">
        <v>0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>
        <v>0</v>
      </c>
      <c r="AS168" s="32">
        <v>0</v>
      </c>
      <c r="AT168" s="32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2">
        <v>0</v>
      </c>
      <c r="BA168" s="32">
        <v>0</v>
      </c>
      <c r="BB168" s="32">
        <v>0</v>
      </c>
      <c r="BC168">
        <f>COUNTIF(J168:AZ168, "&gt;0")</f>
        <v>2</v>
      </c>
      <c r="BD168" s="13">
        <f>[1]!shannonweaver(J168:AZ168)</f>
        <v>0.63651416829481278</v>
      </c>
      <c r="BE168">
        <f t="shared" si="2"/>
        <v>2</v>
      </c>
    </row>
    <row r="169" spans="1:57">
      <c r="A169" t="s">
        <v>267</v>
      </c>
      <c r="B169" t="s">
        <v>183</v>
      </c>
      <c r="C169" t="s">
        <v>262</v>
      </c>
      <c r="D169" s="13" t="s">
        <v>320</v>
      </c>
      <c r="E169" s="13" t="s">
        <v>283</v>
      </c>
      <c r="F169" s="13">
        <v>0</v>
      </c>
      <c r="G169" s="13">
        <v>0</v>
      </c>
      <c r="H169" s="13">
        <v>0</v>
      </c>
      <c r="I169" s="13">
        <v>0</v>
      </c>
      <c r="J169" s="32">
        <v>0</v>
      </c>
      <c r="K169" s="32">
        <v>0</v>
      </c>
      <c r="L169" s="13">
        <v>1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2">
        <v>0</v>
      </c>
      <c r="X169" s="32">
        <v>0</v>
      </c>
      <c r="Y169" s="32">
        <v>0</v>
      </c>
      <c r="Z169" s="32">
        <v>0</v>
      </c>
      <c r="AA169" s="32">
        <v>0</v>
      </c>
      <c r="AB169" s="32">
        <v>0</v>
      </c>
      <c r="AC169" s="32">
        <v>0</v>
      </c>
      <c r="AD169" s="32">
        <v>0</v>
      </c>
      <c r="AE169" s="32">
        <v>0</v>
      </c>
      <c r="AF169" s="32">
        <v>0</v>
      </c>
      <c r="AG169" s="32">
        <v>0</v>
      </c>
      <c r="AH169" s="32">
        <v>0</v>
      </c>
      <c r="AI169" s="32">
        <v>0</v>
      </c>
      <c r="AJ169" s="32">
        <v>0</v>
      </c>
      <c r="AK169" s="32">
        <v>0</v>
      </c>
      <c r="AL169" s="32">
        <v>0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>
        <v>0</v>
      </c>
      <c r="AS169" s="32">
        <v>0</v>
      </c>
      <c r="AT169" s="32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2">
        <v>0</v>
      </c>
      <c r="BA169" s="32">
        <v>0</v>
      </c>
      <c r="BB169" s="32">
        <v>0</v>
      </c>
      <c r="BC169">
        <f>COUNTIF(J169:AZ169, "&gt;0")</f>
        <v>1</v>
      </c>
      <c r="BD169" s="13">
        <f>[1]!shannonweaver(J169:AZ169)</f>
        <v>0</v>
      </c>
      <c r="BE169">
        <f t="shared" si="2"/>
        <v>1</v>
      </c>
    </row>
    <row r="170" spans="1:57">
      <c r="A170" t="s">
        <v>268</v>
      </c>
      <c r="B170" t="s">
        <v>183</v>
      </c>
      <c r="C170" t="s">
        <v>269</v>
      </c>
      <c r="D170" s="13" t="s">
        <v>320</v>
      </c>
      <c r="E170" s="13" t="s">
        <v>283</v>
      </c>
      <c r="F170" s="13">
        <v>0</v>
      </c>
      <c r="G170" s="13">
        <v>0</v>
      </c>
      <c r="H170" s="13">
        <v>0</v>
      </c>
      <c r="I170" s="13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2">
        <v>0</v>
      </c>
      <c r="X170" s="32">
        <v>0</v>
      </c>
      <c r="Y170" s="32">
        <v>0</v>
      </c>
      <c r="Z170" s="32">
        <v>0</v>
      </c>
      <c r="AA170" s="32">
        <v>0</v>
      </c>
      <c r="AB170" s="32">
        <v>0</v>
      </c>
      <c r="AC170" s="32">
        <v>0</v>
      </c>
      <c r="AD170" s="32">
        <v>0</v>
      </c>
      <c r="AE170" s="32">
        <v>0</v>
      </c>
      <c r="AF170" s="32">
        <v>0</v>
      </c>
      <c r="AG170" s="32">
        <v>0</v>
      </c>
      <c r="AH170" s="32">
        <v>0</v>
      </c>
      <c r="AI170" s="32">
        <v>0</v>
      </c>
      <c r="AJ170" s="32">
        <v>0</v>
      </c>
      <c r="AK170" s="32">
        <v>0</v>
      </c>
      <c r="AL170" s="32">
        <v>0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>
        <v>0</v>
      </c>
      <c r="AS170" s="32">
        <v>0</v>
      </c>
      <c r="AT170" s="32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2">
        <v>0</v>
      </c>
      <c r="BA170" s="32">
        <v>0</v>
      </c>
      <c r="BB170" s="32">
        <v>0</v>
      </c>
      <c r="BC170">
        <f>COUNTIF(J170:AZ170, "&gt;0")</f>
        <v>0</v>
      </c>
      <c r="BD170" s="13" t="e">
        <f>[1]!shannonweaver(J170:AZ170)</f>
        <v>#VALUE!</v>
      </c>
      <c r="BE170">
        <f t="shared" si="2"/>
        <v>0</v>
      </c>
    </row>
    <row r="171" spans="1:57">
      <c r="A171" t="s">
        <v>39</v>
      </c>
      <c r="B171" t="s">
        <v>183</v>
      </c>
      <c r="C171" t="s">
        <v>269</v>
      </c>
      <c r="D171" s="13" t="s">
        <v>320</v>
      </c>
      <c r="E171" s="13" t="s">
        <v>283</v>
      </c>
      <c r="F171" s="13">
        <v>0</v>
      </c>
      <c r="G171" s="13">
        <v>0</v>
      </c>
      <c r="H171" s="13">
        <v>0</v>
      </c>
      <c r="I171" s="13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13">
        <v>1</v>
      </c>
      <c r="U171" s="32">
        <v>0</v>
      </c>
      <c r="V171" s="32">
        <v>0</v>
      </c>
      <c r="W171" s="32">
        <v>0</v>
      </c>
      <c r="X171" s="32">
        <v>0</v>
      </c>
      <c r="Y171" s="32">
        <v>0</v>
      </c>
      <c r="Z171" s="32">
        <v>0</v>
      </c>
      <c r="AA171" s="32">
        <v>0</v>
      </c>
      <c r="AB171" s="32">
        <v>0</v>
      </c>
      <c r="AC171" s="32">
        <v>0</v>
      </c>
      <c r="AD171" s="32">
        <v>0</v>
      </c>
      <c r="AE171" s="32">
        <v>0</v>
      </c>
      <c r="AF171" s="32">
        <v>0</v>
      </c>
      <c r="AG171" s="32">
        <v>0</v>
      </c>
      <c r="AH171" s="32">
        <v>0</v>
      </c>
      <c r="AI171" s="32">
        <v>0</v>
      </c>
      <c r="AJ171" s="32">
        <v>0</v>
      </c>
      <c r="AK171" s="32">
        <v>0</v>
      </c>
      <c r="AL171" s="32">
        <v>0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>
        <v>0</v>
      </c>
      <c r="AS171" s="32">
        <v>0</v>
      </c>
      <c r="AT171" s="32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2">
        <v>0</v>
      </c>
      <c r="BA171" s="32">
        <v>0</v>
      </c>
      <c r="BB171" s="32">
        <v>0</v>
      </c>
      <c r="BC171">
        <f>COUNTIF(J171:AZ171, "&gt;0")</f>
        <v>1</v>
      </c>
      <c r="BD171" s="13">
        <f>[1]!shannonweaver(J171:AZ171)</f>
        <v>0</v>
      </c>
      <c r="BE171">
        <f t="shared" si="2"/>
        <v>1</v>
      </c>
    </row>
    <row r="172" spans="1:57">
      <c r="A172" t="s">
        <v>40</v>
      </c>
      <c r="B172" t="s">
        <v>183</v>
      </c>
      <c r="C172" t="s">
        <v>269</v>
      </c>
      <c r="D172" s="13" t="s">
        <v>320</v>
      </c>
      <c r="E172" s="13" t="s">
        <v>283</v>
      </c>
      <c r="F172" s="13">
        <v>0</v>
      </c>
      <c r="G172" s="13">
        <v>0</v>
      </c>
      <c r="H172" s="13">
        <v>0</v>
      </c>
      <c r="I172" s="13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2">
        <v>0</v>
      </c>
      <c r="X172" s="32">
        <v>0</v>
      </c>
      <c r="Y172" s="32">
        <v>0</v>
      </c>
      <c r="Z172" s="32">
        <v>0</v>
      </c>
      <c r="AA172" s="32">
        <v>0</v>
      </c>
      <c r="AB172" s="32">
        <v>0</v>
      </c>
      <c r="AC172" s="32">
        <v>0</v>
      </c>
      <c r="AD172" s="32">
        <v>0</v>
      </c>
      <c r="AE172" s="32">
        <v>0</v>
      </c>
      <c r="AF172" s="32">
        <v>0</v>
      </c>
      <c r="AG172" s="32">
        <v>0</v>
      </c>
      <c r="AH172" s="32">
        <v>0</v>
      </c>
      <c r="AI172" s="32">
        <v>0</v>
      </c>
      <c r="AJ172" s="32">
        <v>0</v>
      </c>
      <c r="AK172" s="32">
        <v>0</v>
      </c>
      <c r="AL172" s="32">
        <v>0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>
        <v>0</v>
      </c>
      <c r="AS172" s="32">
        <v>0</v>
      </c>
      <c r="AT172" s="32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2">
        <v>0</v>
      </c>
      <c r="BA172" s="32">
        <v>0</v>
      </c>
      <c r="BB172" s="32">
        <v>0</v>
      </c>
      <c r="BC172">
        <f>COUNTIF(J172:AZ172, "&gt;0")</f>
        <v>0</v>
      </c>
      <c r="BD172" s="13" t="e">
        <f>[1]!shannonweaver(J172:AZ172)</f>
        <v>#VALUE!</v>
      </c>
      <c r="BE172">
        <f t="shared" si="2"/>
        <v>0</v>
      </c>
    </row>
    <row r="173" spans="1:57">
      <c r="A173" t="s">
        <v>41</v>
      </c>
      <c r="B173" t="s">
        <v>183</v>
      </c>
      <c r="C173" t="s">
        <v>269</v>
      </c>
      <c r="D173" s="13" t="s">
        <v>320</v>
      </c>
      <c r="E173" s="13" t="s">
        <v>283</v>
      </c>
      <c r="F173" s="13">
        <v>0</v>
      </c>
      <c r="G173" s="13">
        <v>0</v>
      </c>
      <c r="H173" s="13">
        <v>0</v>
      </c>
      <c r="I173" s="13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>
        <v>0</v>
      </c>
      <c r="P173" s="32">
        <v>0</v>
      </c>
      <c r="Q173" s="32">
        <v>0</v>
      </c>
      <c r="R173" s="32">
        <v>0</v>
      </c>
      <c r="S173" s="32">
        <v>0</v>
      </c>
      <c r="T173" s="32">
        <v>0</v>
      </c>
      <c r="U173" s="32">
        <v>0</v>
      </c>
      <c r="V173" s="32">
        <v>0</v>
      </c>
      <c r="W173" s="32">
        <v>0</v>
      </c>
      <c r="X173" s="32">
        <v>0</v>
      </c>
      <c r="Y173" s="32">
        <v>0</v>
      </c>
      <c r="Z173" s="32">
        <v>0</v>
      </c>
      <c r="AA173" s="32">
        <v>0</v>
      </c>
      <c r="AB173" s="32">
        <v>0</v>
      </c>
      <c r="AC173" s="32">
        <v>0</v>
      </c>
      <c r="AD173" s="32">
        <v>0</v>
      </c>
      <c r="AE173" s="32">
        <v>0</v>
      </c>
      <c r="AF173" s="32">
        <v>0</v>
      </c>
      <c r="AG173" s="32">
        <v>0</v>
      </c>
      <c r="AH173" s="32">
        <v>0</v>
      </c>
      <c r="AI173" s="32">
        <v>0</v>
      </c>
      <c r="AJ173" s="32">
        <v>0</v>
      </c>
      <c r="AK173" s="32">
        <v>0</v>
      </c>
      <c r="AL173" s="32">
        <v>0</v>
      </c>
      <c r="AM173" s="32">
        <v>0</v>
      </c>
      <c r="AN173" s="32">
        <v>0</v>
      </c>
      <c r="AO173" s="32">
        <v>0</v>
      </c>
      <c r="AP173" s="32">
        <v>0</v>
      </c>
      <c r="AQ173" s="32">
        <v>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32">
        <v>0</v>
      </c>
      <c r="AX173" s="32">
        <v>0</v>
      </c>
      <c r="AY173" s="32">
        <v>0</v>
      </c>
      <c r="AZ173" s="32">
        <v>0</v>
      </c>
      <c r="BA173" s="32">
        <v>0</v>
      </c>
      <c r="BB173" s="32">
        <v>0</v>
      </c>
      <c r="BC173">
        <f>COUNTIF(J173:AZ173, "&gt;0")</f>
        <v>0</v>
      </c>
      <c r="BD173" s="13" t="e">
        <f>[1]!shannonweaver(J173:AZ173)</f>
        <v>#VALUE!</v>
      </c>
      <c r="BE173">
        <f t="shared" si="2"/>
        <v>0</v>
      </c>
    </row>
    <row r="174" spans="1:57">
      <c r="A174" t="s">
        <v>42</v>
      </c>
      <c r="B174" t="s">
        <v>183</v>
      </c>
      <c r="C174" t="s">
        <v>269</v>
      </c>
      <c r="D174" s="13" t="s">
        <v>320</v>
      </c>
      <c r="E174" s="13" t="s">
        <v>283</v>
      </c>
      <c r="F174" s="13">
        <v>0</v>
      </c>
      <c r="G174" s="13">
        <v>0</v>
      </c>
      <c r="H174" s="13">
        <v>0</v>
      </c>
      <c r="I174" s="13">
        <v>0</v>
      </c>
      <c r="J174" s="32">
        <v>0</v>
      </c>
      <c r="K174" s="32">
        <v>0</v>
      </c>
      <c r="L174" s="13">
        <v>1</v>
      </c>
      <c r="M174" s="32">
        <v>0</v>
      </c>
      <c r="N174" s="32">
        <v>0</v>
      </c>
      <c r="O174" s="32">
        <v>0</v>
      </c>
      <c r="P174" s="32">
        <v>0</v>
      </c>
      <c r="Q174" s="32">
        <v>0</v>
      </c>
      <c r="R174" s="32">
        <v>0</v>
      </c>
      <c r="S174" s="32">
        <v>0</v>
      </c>
      <c r="T174" s="32">
        <v>0</v>
      </c>
      <c r="U174" s="32">
        <v>0</v>
      </c>
      <c r="V174" s="32">
        <v>0</v>
      </c>
      <c r="W174" s="32">
        <v>0</v>
      </c>
      <c r="X174" s="32">
        <v>0</v>
      </c>
      <c r="Y174" s="32">
        <v>0</v>
      </c>
      <c r="Z174" s="32">
        <v>0</v>
      </c>
      <c r="AA174" s="32">
        <v>0</v>
      </c>
      <c r="AB174" s="32">
        <v>0</v>
      </c>
      <c r="AC174" s="32">
        <v>0</v>
      </c>
      <c r="AD174" s="32">
        <v>0</v>
      </c>
      <c r="AE174" s="32">
        <v>0</v>
      </c>
      <c r="AF174" s="32">
        <v>0</v>
      </c>
      <c r="AG174" s="32">
        <v>0</v>
      </c>
      <c r="AH174" s="32">
        <v>0</v>
      </c>
      <c r="AI174" s="32">
        <v>0</v>
      </c>
      <c r="AJ174" s="32">
        <v>0</v>
      </c>
      <c r="AK174" s="32">
        <v>0</v>
      </c>
      <c r="AL174" s="32">
        <v>0</v>
      </c>
      <c r="AM174" s="32">
        <v>0</v>
      </c>
      <c r="AN174" s="32">
        <v>0</v>
      </c>
      <c r="AO174" s="32">
        <v>0</v>
      </c>
      <c r="AP174" s="32">
        <v>0</v>
      </c>
      <c r="AQ174" s="32">
        <v>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32">
        <v>0</v>
      </c>
      <c r="AX174" s="32">
        <v>0</v>
      </c>
      <c r="AY174" s="32">
        <v>0</v>
      </c>
      <c r="AZ174" s="32">
        <v>0</v>
      </c>
      <c r="BA174" s="32">
        <v>0</v>
      </c>
      <c r="BB174" s="32">
        <v>0</v>
      </c>
      <c r="BC174">
        <f>COUNTIF(J174:AZ174, "&gt;0")</f>
        <v>1</v>
      </c>
      <c r="BD174" s="13">
        <f>[1]!shannonweaver(J174:AZ174)</f>
        <v>0</v>
      </c>
      <c r="BE174">
        <f t="shared" si="2"/>
        <v>1</v>
      </c>
    </row>
    <row r="175" spans="1:57">
      <c r="A175" t="s">
        <v>43</v>
      </c>
      <c r="B175" t="s">
        <v>183</v>
      </c>
      <c r="C175" t="s">
        <v>269</v>
      </c>
      <c r="D175" s="13" t="s">
        <v>320</v>
      </c>
      <c r="E175" s="13" t="s">
        <v>283</v>
      </c>
      <c r="F175" s="13">
        <v>0</v>
      </c>
      <c r="G175" s="13">
        <v>0</v>
      </c>
      <c r="H175" s="13">
        <v>0</v>
      </c>
      <c r="I175" s="13">
        <v>0</v>
      </c>
      <c r="J175" s="32">
        <v>0</v>
      </c>
      <c r="K175" s="32">
        <v>0</v>
      </c>
      <c r="L175" s="32">
        <v>0</v>
      </c>
      <c r="M175" s="32">
        <v>0</v>
      </c>
      <c r="N175" s="32">
        <v>0</v>
      </c>
      <c r="O175" s="32">
        <v>0</v>
      </c>
      <c r="P175" s="32">
        <v>0</v>
      </c>
      <c r="Q175" s="32">
        <v>0</v>
      </c>
      <c r="R175" s="32">
        <v>0</v>
      </c>
      <c r="S175" s="32">
        <v>0</v>
      </c>
      <c r="T175" s="32">
        <v>0</v>
      </c>
      <c r="U175" s="32">
        <v>0</v>
      </c>
      <c r="V175" s="32">
        <v>0</v>
      </c>
      <c r="W175" s="32">
        <v>0</v>
      </c>
      <c r="X175" s="32">
        <v>0</v>
      </c>
      <c r="Y175" s="32">
        <v>0</v>
      </c>
      <c r="Z175" s="32">
        <v>0</v>
      </c>
      <c r="AA175" s="32">
        <v>0</v>
      </c>
      <c r="AB175" s="32">
        <v>0</v>
      </c>
      <c r="AC175" s="32">
        <v>0</v>
      </c>
      <c r="AD175" s="32">
        <v>0</v>
      </c>
      <c r="AE175" s="32">
        <v>0</v>
      </c>
      <c r="AF175" s="32">
        <v>0</v>
      </c>
      <c r="AG175" s="32">
        <v>0</v>
      </c>
      <c r="AH175" s="32">
        <v>0</v>
      </c>
      <c r="AI175" s="32">
        <v>0</v>
      </c>
      <c r="AJ175" s="32">
        <v>0</v>
      </c>
      <c r="AK175" s="32">
        <v>0</v>
      </c>
      <c r="AL175" s="32">
        <v>0</v>
      </c>
      <c r="AM175" s="32">
        <v>0</v>
      </c>
      <c r="AN175" s="32">
        <v>0</v>
      </c>
      <c r="AO175" s="32">
        <v>0</v>
      </c>
      <c r="AP175" s="32">
        <v>0</v>
      </c>
      <c r="AQ175" s="32">
        <v>0</v>
      </c>
      <c r="AR175" s="32">
        <v>0</v>
      </c>
      <c r="AS175" s="32">
        <v>0</v>
      </c>
      <c r="AT175" s="32">
        <v>0</v>
      </c>
      <c r="AU175" s="32">
        <v>0</v>
      </c>
      <c r="AV175" s="32">
        <v>0</v>
      </c>
      <c r="AW175" s="32">
        <v>0</v>
      </c>
      <c r="AX175" s="32">
        <v>0</v>
      </c>
      <c r="AY175" s="32">
        <v>0</v>
      </c>
      <c r="AZ175" s="32">
        <v>0</v>
      </c>
      <c r="BA175" s="32">
        <v>0</v>
      </c>
      <c r="BB175" s="32">
        <v>0</v>
      </c>
      <c r="BC175">
        <f>COUNTIF(J175:AZ175, "&gt;0")</f>
        <v>0</v>
      </c>
      <c r="BD175" s="13">
        <v>0</v>
      </c>
      <c r="BE175">
        <f t="shared" si="2"/>
        <v>0</v>
      </c>
    </row>
    <row r="176" spans="1:57">
      <c r="A176" t="s">
        <v>44</v>
      </c>
      <c r="B176" t="s">
        <v>183</v>
      </c>
      <c r="C176" t="s">
        <v>45</v>
      </c>
      <c r="D176" s="13" t="s">
        <v>320</v>
      </c>
      <c r="E176" s="13" t="s">
        <v>283</v>
      </c>
      <c r="F176" s="13">
        <v>0</v>
      </c>
      <c r="G176" s="13">
        <v>0</v>
      </c>
      <c r="H176" s="13">
        <v>0</v>
      </c>
      <c r="I176" s="13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>
        <v>0</v>
      </c>
      <c r="P176" s="32">
        <v>0</v>
      </c>
      <c r="Q176" s="32">
        <v>0</v>
      </c>
      <c r="R176" s="32">
        <v>0</v>
      </c>
      <c r="S176" s="32">
        <v>0</v>
      </c>
      <c r="T176" s="32">
        <v>0</v>
      </c>
      <c r="U176" s="32">
        <v>0</v>
      </c>
      <c r="V176" s="32">
        <v>0</v>
      </c>
      <c r="W176" s="32">
        <v>0</v>
      </c>
      <c r="X176" s="32">
        <v>0</v>
      </c>
      <c r="Y176" s="32">
        <v>0</v>
      </c>
      <c r="Z176" s="32">
        <v>0</v>
      </c>
      <c r="AA176" s="32">
        <v>0</v>
      </c>
      <c r="AB176" s="32">
        <v>0</v>
      </c>
      <c r="AC176" s="32">
        <v>0</v>
      </c>
      <c r="AD176" s="32">
        <v>0</v>
      </c>
      <c r="AE176" s="32">
        <v>0</v>
      </c>
      <c r="AF176" s="32">
        <v>0</v>
      </c>
      <c r="AG176" s="32">
        <v>0</v>
      </c>
      <c r="AH176" s="32">
        <v>0</v>
      </c>
      <c r="AI176" s="32">
        <v>0</v>
      </c>
      <c r="AJ176" s="32">
        <v>0</v>
      </c>
      <c r="AK176" s="32">
        <v>0</v>
      </c>
      <c r="AL176" s="32">
        <v>0</v>
      </c>
      <c r="AM176" s="32">
        <v>0</v>
      </c>
      <c r="AN176" s="32">
        <v>0</v>
      </c>
      <c r="AO176" s="32">
        <v>0</v>
      </c>
      <c r="AP176" s="32">
        <v>0</v>
      </c>
      <c r="AQ176" s="32">
        <v>0</v>
      </c>
      <c r="AR176" s="32">
        <v>0</v>
      </c>
      <c r="AS176" s="32">
        <v>0</v>
      </c>
      <c r="AT176" s="32">
        <v>0</v>
      </c>
      <c r="AU176" s="32">
        <v>0</v>
      </c>
      <c r="AV176" s="32">
        <v>0</v>
      </c>
      <c r="AW176" s="32">
        <v>0</v>
      </c>
      <c r="AX176" s="32">
        <v>0</v>
      </c>
      <c r="AY176" s="32">
        <v>0</v>
      </c>
      <c r="AZ176" s="32">
        <v>0</v>
      </c>
      <c r="BA176" s="32">
        <v>0</v>
      </c>
      <c r="BB176" s="32">
        <v>0</v>
      </c>
      <c r="BC176">
        <f>COUNTIF(J176:AZ176, "&gt;0")</f>
        <v>0</v>
      </c>
      <c r="BD176" s="13">
        <v>0</v>
      </c>
      <c r="BE176">
        <f t="shared" si="2"/>
        <v>0</v>
      </c>
    </row>
    <row r="177" spans="1:57">
      <c r="A177" t="s">
        <v>46</v>
      </c>
      <c r="B177" t="s">
        <v>183</v>
      </c>
      <c r="C177" t="s">
        <v>45</v>
      </c>
      <c r="D177" s="13" t="s">
        <v>320</v>
      </c>
      <c r="E177" s="13" t="s">
        <v>283</v>
      </c>
      <c r="F177" s="13">
        <v>0</v>
      </c>
      <c r="G177" s="13">
        <v>0</v>
      </c>
      <c r="H177" s="13">
        <v>0</v>
      </c>
      <c r="I177" s="13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>
        <v>0</v>
      </c>
      <c r="P177" s="32">
        <v>0</v>
      </c>
      <c r="Q177" s="32">
        <v>0</v>
      </c>
      <c r="R177" s="32">
        <v>0</v>
      </c>
      <c r="S177" s="32">
        <v>0</v>
      </c>
      <c r="T177" s="32">
        <v>0</v>
      </c>
      <c r="U177" s="32">
        <v>0</v>
      </c>
      <c r="V177" s="32">
        <v>0</v>
      </c>
      <c r="W177" s="32">
        <v>0</v>
      </c>
      <c r="X177" s="32">
        <v>0</v>
      </c>
      <c r="Y177" s="13">
        <v>1</v>
      </c>
      <c r="Z177" s="32">
        <v>0</v>
      </c>
      <c r="AA177" s="32">
        <v>0</v>
      </c>
      <c r="AB177" s="32">
        <v>0</v>
      </c>
      <c r="AC177" s="32">
        <v>0</v>
      </c>
      <c r="AD177" s="32">
        <v>0</v>
      </c>
      <c r="AE177" s="32">
        <v>0</v>
      </c>
      <c r="AF177" s="32">
        <v>0</v>
      </c>
      <c r="AG177" s="32">
        <v>0</v>
      </c>
      <c r="AH177" s="32">
        <v>0</v>
      </c>
      <c r="AI177" s="32">
        <v>0</v>
      </c>
      <c r="AJ177" s="32">
        <v>0</v>
      </c>
      <c r="AK177" s="32">
        <v>0</v>
      </c>
      <c r="AL177" s="32">
        <v>0</v>
      </c>
      <c r="AM177" s="32">
        <v>0</v>
      </c>
      <c r="AN177" s="32">
        <v>0</v>
      </c>
      <c r="AO177" s="32">
        <v>0</v>
      </c>
      <c r="AP177" s="32">
        <v>0</v>
      </c>
      <c r="AQ177" s="13">
        <v>1</v>
      </c>
      <c r="AR177" s="32">
        <v>0</v>
      </c>
      <c r="AS177" s="32">
        <v>0</v>
      </c>
      <c r="AT177" s="32">
        <v>0</v>
      </c>
      <c r="AU177" s="32">
        <v>0</v>
      </c>
      <c r="AV177" s="32">
        <v>0</v>
      </c>
      <c r="AW177" s="32">
        <v>0</v>
      </c>
      <c r="AX177" s="32">
        <v>0</v>
      </c>
      <c r="AY177" s="32">
        <v>0</v>
      </c>
      <c r="AZ177" s="32">
        <v>0</v>
      </c>
      <c r="BA177" s="32">
        <v>0</v>
      </c>
      <c r="BB177" s="32">
        <v>0</v>
      </c>
      <c r="BC177">
        <f>COUNTIF(J177:AZ177, "&gt;0")</f>
        <v>2</v>
      </c>
      <c r="BD177" s="13">
        <f>[1]!shannonweaver(J177:AZ177)</f>
        <v>0.69314718055994529</v>
      </c>
      <c r="BE177">
        <f t="shared" si="2"/>
        <v>2</v>
      </c>
    </row>
    <row r="178" spans="1:57">
      <c r="A178" t="s">
        <v>47</v>
      </c>
      <c r="B178" t="s">
        <v>183</v>
      </c>
      <c r="C178" t="s">
        <v>45</v>
      </c>
      <c r="D178" s="13" t="s">
        <v>320</v>
      </c>
      <c r="E178" s="13" t="s">
        <v>283</v>
      </c>
      <c r="F178" s="13">
        <v>0</v>
      </c>
      <c r="G178" s="13">
        <v>0</v>
      </c>
      <c r="H178" s="13">
        <v>0</v>
      </c>
      <c r="I178" s="13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>
        <v>0</v>
      </c>
      <c r="P178" s="32">
        <v>0</v>
      </c>
      <c r="Q178" s="32">
        <v>0</v>
      </c>
      <c r="R178" s="32">
        <v>0</v>
      </c>
      <c r="S178" s="32">
        <v>0</v>
      </c>
      <c r="T178" s="32">
        <v>0</v>
      </c>
      <c r="U178" s="32">
        <v>0</v>
      </c>
      <c r="V178" s="32">
        <v>0</v>
      </c>
      <c r="W178" s="32">
        <v>0</v>
      </c>
      <c r="X178" s="32">
        <v>0</v>
      </c>
      <c r="Y178" s="32">
        <v>0</v>
      </c>
      <c r="Z178" s="32">
        <v>0</v>
      </c>
      <c r="AA178" s="32">
        <v>0</v>
      </c>
      <c r="AB178" s="32">
        <v>0</v>
      </c>
      <c r="AC178" s="32">
        <v>0</v>
      </c>
      <c r="AD178" s="32">
        <v>0</v>
      </c>
      <c r="AE178" s="32">
        <v>0</v>
      </c>
      <c r="AF178" s="32">
        <v>0</v>
      </c>
      <c r="AG178" s="32">
        <v>0</v>
      </c>
      <c r="AH178" s="13">
        <v>1</v>
      </c>
      <c r="AI178" s="32">
        <v>0</v>
      </c>
      <c r="AJ178" s="32">
        <v>0</v>
      </c>
      <c r="AK178" s="32">
        <v>0</v>
      </c>
      <c r="AL178" s="32">
        <v>0</v>
      </c>
      <c r="AM178" s="32">
        <v>0</v>
      </c>
      <c r="AN178" s="32">
        <v>0</v>
      </c>
      <c r="AO178" s="32">
        <v>0</v>
      </c>
      <c r="AP178" s="32">
        <v>0</v>
      </c>
      <c r="AQ178" s="32">
        <v>0</v>
      </c>
      <c r="AR178" s="32">
        <v>0</v>
      </c>
      <c r="AS178" s="32">
        <v>0</v>
      </c>
      <c r="AT178" s="32">
        <v>0</v>
      </c>
      <c r="AU178" s="32">
        <v>0</v>
      </c>
      <c r="AV178" s="32">
        <v>0</v>
      </c>
      <c r="AW178" s="32">
        <v>0</v>
      </c>
      <c r="AX178" s="32">
        <v>0</v>
      </c>
      <c r="AY178" s="32">
        <v>0</v>
      </c>
      <c r="AZ178" s="32">
        <v>0</v>
      </c>
      <c r="BA178" s="32">
        <v>0</v>
      </c>
      <c r="BB178" s="32">
        <v>0</v>
      </c>
      <c r="BC178">
        <f>COUNTIF(J178:AZ178, "&gt;0")</f>
        <v>1</v>
      </c>
      <c r="BD178" s="13">
        <f>[1]!shannonweaver(J178:AZ178)</f>
        <v>0</v>
      </c>
      <c r="BE178">
        <f t="shared" si="2"/>
        <v>1</v>
      </c>
    </row>
    <row r="179" spans="1:57">
      <c r="A179" t="s">
        <v>48</v>
      </c>
      <c r="B179" t="s">
        <v>183</v>
      </c>
      <c r="C179" t="s">
        <v>45</v>
      </c>
      <c r="D179" s="13" t="s">
        <v>320</v>
      </c>
      <c r="E179" s="13" t="s">
        <v>283</v>
      </c>
      <c r="F179" s="13">
        <v>0</v>
      </c>
      <c r="G179" s="13">
        <v>0</v>
      </c>
      <c r="H179" s="13">
        <v>0</v>
      </c>
      <c r="I179" s="13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>
        <v>0</v>
      </c>
      <c r="P179" s="32">
        <v>0</v>
      </c>
      <c r="Q179" s="32">
        <v>0</v>
      </c>
      <c r="R179" s="32">
        <v>0</v>
      </c>
      <c r="S179" s="32">
        <v>0</v>
      </c>
      <c r="T179" s="32">
        <v>0</v>
      </c>
      <c r="U179" s="32">
        <v>0</v>
      </c>
      <c r="V179" s="32">
        <v>0</v>
      </c>
      <c r="W179" s="32">
        <v>0</v>
      </c>
      <c r="X179" s="32">
        <v>0</v>
      </c>
      <c r="Y179" s="32">
        <v>0</v>
      </c>
      <c r="Z179" s="32">
        <v>0</v>
      </c>
      <c r="AA179" s="32">
        <v>0</v>
      </c>
      <c r="AB179" s="32">
        <v>0</v>
      </c>
      <c r="AC179" s="32">
        <v>0</v>
      </c>
      <c r="AD179" s="32">
        <v>0</v>
      </c>
      <c r="AE179" s="32">
        <v>0</v>
      </c>
      <c r="AF179" s="32">
        <v>0</v>
      </c>
      <c r="AG179" s="32">
        <v>0</v>
      </c>
      <c r="AH179" s="32">
        <v>0</v>
      </c>
      <c r="AI179" s="32">
        <v>0</v>
      </c>
      <c r="AJ179" s="32">
        <v>0</v>
      </c>
      <c r="AK179" s="32">
        <v>0</v>
      </c>
      <c r="AL179" s="32">
        <v>0</v>
      </c>
      <c r="AM179" s="32">
        <v>0</v>
      </c>
      <c r="AN179" s="32">
        <v>0</v>
      </c>
      <c r="AO179" s="32">
        <v>0</v>
      </c>
      <c r="AP179" s="32">
        <v>0</v>
      </c>
      <c r="AQ179" s="32">
        <v>0</v>
      </c>
      <c r="AR179" s="32">
        <v>0</v>
      </c>
      <c r="AS179" s="32">
        <v>0</v>
      </c>
      <c r="AT179" s="32">
        <v>0</v>
      </c>
      <c r="AU179" s="32">
        <v>0</v>
      </c>
      <c r="AV179" s="32">
        <v>0</v>
      </c>
      <c r="AW179" s="32">
        <v>0</v>
      </c>
      <c r="AX179" s="32">
        <v>0</v>
      </c>
      <c r="AY179" s="32">
        <v>0</v>
      </c>
      <c r="AZ179" s="32">
        <v>0</v>
      </c>
      <c r="BA179" s="32">
        <v>0</v>
      </c>
      <c r="BB179" s="32">
        <v>0</v>
      </c>
      <c r="BC179">
        <f>COUNTIF(J179:AZ179, "&gt;0")</f>
        <v>0</v>
      </c>
      <c r="BD179" s="13">
        <v>0</v>
      </c>
      <c r="BE179">
        <f t="shared" si="2"/>
        <v>0</v>
      </c>
    </row>
    <row r="180" spans="1:57">
      <c r="A180" t="s">
        <v>49</v>
      </c>
      <c r="B180" t="s">
        <v>183</v>
      </c>
      <c r="C180" t="s">
        <v>45</v>
      </c>
      <c r="D180" s="13" t="s">
        <v>320</v>
      </c>
      <c r="E180" s="13" t="s">
        <v>283</v>
      </c>
      <c r="F180" s="13">
        <v>0</v>
      </c>
      <c r="G180" s="13">
        <v>0</v>
      </c>
      <c r="H180" s="13">
        <v>0</v>
      </c>
      <c r="I180" s="13">
        <v>0</v>
      </c>
      <c r="J180" s="32">
        <v>0</v>
      </c>
      <c r="K180" s="32">
        <v>0</v>
      </c>
      <c r="L180" s="32">
        <v>0</v>
      </c>
      <c r="M180" s="32">
        <v>0</v>
      </c>
      <c r="N180" s="32">
        <v>0</v>
      </c>
      <c r="O180" s="32">
        <v>0</v>
      </c>
      <c r="P180" s="32">
        <v>0</v>
      </c>
      <c r="Q180" s="32">
        <v>0</v>
      </c>
      <c r="R180" s="32">
        <v>0</v>
      </c>
      <c r="S180" s="32">
        <v>0</v>
      </c>
      <c r="T180" s="32">
        <v>0</v>
      </c>
      <c r="U180" s="32">
        <v>0</v>
      </c>
      <c r="V180" s="32">
        <v>0</v>
      </c>
      <c r="W180" s="32">
        <v>0</v>
      </c>
      <c r="X180" s="32">
        <v>0</v>
      </c>
      <c r="Y180" s="32">
        <v>0</v>
      </c>
      <c r="Z180" s="32">
        <v>0</v>
      </c>
      <c r="AA180" s="32">
        <v>0</v>
      </c>
      <c r="AB180" s="32">
        <v>0</v>
      </c>
      <c r="AC180" s="32">
        <v>0</v>
      </c>
      <c r="AD180" s="32">
        <v>0</v>
      </c>
      <c r="AE180" s="32">
        <v>0</v>
      </c>
      <c r="AF180" s="32">
        <v>0</v>
      </c>
      <c r="AG180" s="32">
        <v>0</v>
      </c>
      <c r="AH180" s="32">
        <v>0</v>
      </c>
      <c r="AI180" s="32">
        <v>0</v>
      </c>
      <c r="AJ180" s="32">
        <v>0</v>
      </c>
      <c r="AK180" s="32">
        <v>0</v>
      </c>
      <c r="AL180" s="32">
        <v>0</v>
      </c>
      <c r="AM180" s="32">
        <v>0</v>
      </c>
      <c r="AN180" s="32">
        <v>0</v>
      </c>
      <c r="AO180" s="32">
        <v>0</v>
      </c>
      <c r="AP180" s="32">
        <v>0</v>
      </c>
      <c r="AQ180" s="32">
        <v>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32">
        <v>0</v>
      </c>
      <c r="AX180" s="32">
        <v>0</v>
      </c>
      <c r="AY180" s="32">
        <v>0</v>
      </c>
      <c r="AZ180" s="32">
        <v>0</v>
      </c>
      <c r="BA180" s="32">
        <v>0</v>
      </c>
      <c r="BB180" s="32">
        <v>0</v>
      </c>
      <c r="BC180">
        <f>COUNTIF(J180:AZ180, "&gt;0")</f>
        <v>0</v>
      </c>
      <c r="BD180" s="13" t="e">
        <f>[1]!shannonweaver(J180:AZ180)</f>
        <v>#VALUE!</v>
      </c>
      <c r="BE180">
        <f t="shared" si="2"/>
        <v>0</v>
      </c>
    </row>
    <row r="181" spans="1:57">
      <c r="A181" t="s">
        <v>50</v>
      </c>
      <c r="B181" t="s">
        <v>183</v>
      </c>
      <c r="C181" t="s">
        <v>45</v>
      </c>
      <c r="D181" s="13" t="s">
        <v>320</v>
      </c>
      <c r="E181" s="13" t="s">
        <v>283</v>
      </c>
      <c r="F181" s="13">
        <v>0</v>
      </c>
      <c r="G181" s="13">
        <v>0</v>
      </c>
      <c r="H181" s="13">
        <v>0</v>
      </c>
      <c r="I181" s="13">
        <v>0</v>
      </c>
      <c r="J181" s="32">
        <v>0</v>
      </c>
      <c r="K181" s="32">
        <v>0</v>
      </c>
      <c r="L181" s="32">
        <v>0</v>
      </c>
      <c r="M181" s="32">
        <v>0</v>
      </c>
      <c r="N181" s="13">
        <v>1</v>
      </c>
      <c r="O181" s="32">
        <v>0</v>
      </c>
      <c r="P181" s="32">
        <v>0</v>
      </c>
      <c r="Q181" s="32">
        <v>0</v>
      </c>
      <c r="R181" s="32">
        <v>0</v>
      </c>
      <c r="S181" s="32">
        <v>0</v>
      </c>
      <c r="T181" s="32">
        <v>0</v>
      </c>
      <c r="U181" s="32">
        <v>0</v>
      </c>
      <c r="V181" s="32">
        <v>0</v>
      </c>
      <c r="W181" s="32">
        <v>0</v>
      </c>
      <c r="X181" s="32">
        <v>0</v>
      </c>
      <c r="Y181" s="32">
        <v>0</v>
      </c>
      <c r="Z181" s="32">
        <v>0</v>
      </c>
      <c r="AA181" s="32">
        <v>0</v>
      </c>
      <c r="AB181" s="32">
        <v>0</v>
      </c>
      <c r="AC181" s="32">
        <v>0</v>
      </c>
      <c r="AD181" s="32">
        <v>0</v>
      </c>
      <c r="AE181" s="32">
        <v>0</v>
      </c>
      <c r="AF181" s="32">
        <v>0</v>
      </c>
      <c r="AG181" s="32">
        <v>0</v>
      </c>
      <c r="AH181" s="32">
        <v>0</v>
      </c>
      <c r="AI181" s="32">
        <v>0</v>
      </c>
      <c r="AJ181" s="32">
        <v>0</v>
      </c>
      <c r="AK181" s="32">
        <v>0</v>
      </c>
      <c r="AL181" s="32">
        <v>0</v>
      </c>
      <c r="AM181" s="32">
        <v>0</v>
      </c>
      <c r="AN181" s="32">
        <v>0</v>
      </c>
      <c r="AO181" s="32">
        <v>0</v>
      </c>
      <c r="AP181" s="32">
        <v>0</v>
      </c>
      <c r="AQ181" s="32">
        <v>0</v>
      </c>
      <c r="AR181" s="32">
        <v>0</v>
      </c>
      <c r="AS181" s="32">
        <v>0</v>
      </c>
      <c r="AT181" s="32">
        <v>0</v>
      </c>
      <c r="AU181" s="32">
        <v>0</v>
      </c>
      <c r="AV181" s="32">
        <v>0</v>
      </c>
      <c r="AW181" s="32">
        <v>0</v>
      </c>
      <c r="AX181" s="32">
        <v>0</v>
      </c>
      <c r="AY181" s="32">
        <v>0</v>
      </c>
      <c r="AZ181" s="32">
        <v>0</v>
      </c>
      <c r="BA181" s="32">
        <v>0</v>
      </c>
      <c r="BB181" s="32">
        <v>0</v>
      </c>
      <c r="BC181">
        <f>COUNTIF(J181:AZ181, "&gt;0")</f>
        <v>1</v>
      </c>
      <c r="BD181" s="13">
        <f>[1]!shannonweaver(J181:AZ181)</f>
        <v>0</v>
      </c>
      <c r="BE181">
        <f t="shared" si="2"/>
        <v>1</v>
      </c>
    </row>
    <row r="182" spans="1:57">
      <c r="A182" t="s">
        <v>152</v>
      </c>
      <c r="B182" t="s">
        <v>183</v>
      </c>
      <c r="C182" t="s">
        <v>184</v>
      </c>
      <c r="D182" s="13" t="s">
        <v>319</v>
      </c>
      <c r="E182" s="13" t="s">
        <v>91</v>
      </c>
      <c r="F182" s="13">
        <v>0</v>
      </c>
      <c r="G182" s="13">
        <v>0</v>
      </c>
      <c r="H182" s="13">
        <v>0</v>
      </c>
      <c r="I182" s="13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>
        <v>0</v>
      </c>
      <c r="P182" s="32">
        <v>0</v>
      </c>
      <c r="Q182" s="32">
        <v>0</v>
      </c>
      <c r="R182" s="32">
        <v>0</v>
      </c>
      <c r="S182" s="32">
        <v>0</v>
      </c>
      <c r="T182" s="32">
        <v>0</v>
      </c>
      <c r="U182" s="32">
        <v>0</v>
      </c>
      <c r="V182" s="32">
        <v>0</v>
      </c>
      <c r="W182" s="32">
        <v>0</v>
      </c>
      <c r="X182" s="32">
        <v>0</v>
      </c>
      <c r="Y182" s="32">
        <v>0</v>
      </c>
      <c r="Z182" s="32">
        <v>0</v>
      </c>
      <c r="AA182" s="32">
        <v>0</v>
      </c>
      <c r="AB182" s="32">
        <v>0</v>
      </c>
      <c r="AC182" s="32">
        <v>0</v>
      </c>
      <c r="AD182" s="32">
        <v>0</v>
      </c>
      <c r="AE182" s="32">
        <v>0</v>
      </c>
      <c r="AF182" s="32">
        <v>0</v>
      </c>
      <c r="AG182" s="32">
        <v>0</v>
      </c>
      <c r="AH182" s="32">
        <v>0</v>
      </c>
      <c r="AI182" s="32">
        <v>0</v>
      </c>
      <c r="AJ182" s="32">
        <v>0</v>
      </c>
      <c r="AK182" s="32">
        <v>0</v>
      </c>
      <c r="AL182" s="32">
        <v>0</v>
      </c>
      <c r="AM182" s="32">
        <v>0</v>
      </c>
      <c r="AN182" s="32">
        <v>0</v>
      </c>
      <c r="AO182" s="32">
        <v>0</v>
      </c>
      <c r="AP182" s="32">
        <v>0</v>
      </c>
      <c r="AQ182" s="32">
        <v>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32">
        <v>0</v>
      </c>
      <c r="AX182" s="32">
        <v>0</v>
      </c>
      <c r="AY182" s="32">
        <v>0</v>
      </c>
      <c r="AZ182" s="32">
        <v>0</v>
      </c>
      <c r="BA182" s="32">
        <v>0</v>
      </c>
      <c r="BB182" s="32">
        <v>0</v>
      </c>
      <c r="BC182">
        <f>COUNTIF(J182:AZ182, "&gt;0")</f>
        <v>0</v>
      </c>
      <c r="BD182" s="13">
        <v>0</v>
      </c>
      <c r="BE182">
        <f t="shared" si="2"/>
        <v>0</v>
      </c>
    </row>
    <row r="183" spans="1:57">
      <c r="A183" t="s">
        <v>153</v>
      </c>
      <c r="B183" t="s">
        <v>183</v>
      </c>
      <c r="C183" t="s">
        <v>184</v>
      </c>
      <c r="D183" s="13" t="s">
        <v>319</v>
      </c>
      <c r="E183" s="13" t="s">
        <v>91</v>
      </c>
      <c r="F183" s="13">
        <v>0</v>
      </c>
      <c r="G183" s="13">
        <v>0</v>
      </c>
      <c r="H183" s="13">
        <v>0</v>
      </c>
      <c r="I183" s="13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>
        <v>0</v>
      </c>
      <c r="P183" s="32">
        <v>0</v>
      </c>
      <c r="Q183" s="32">
        <v>0</v>
      </c>
      <c r="R183" s="32">
        <v>0</v>
      </c>
      <c r="S183" s="32">
        <v>0</v>
      </c>
      <c r="T183" s="32">
        <v>0</v>
      </c>
      <c r="U183" s="32">
        <v>0</v>
      </c>
      <c r="V183" s="32">
        <v>0</v>
      </c>
      <c r="W183" s="32">
        <v>0</v>
      </c>
      <c r="X183" s="32">
        <v>0</v>
      </c>
      <c r="Y183" s="32">
        <v>0</v>
      </c>
      <c r="Z183" s="32">
        <v>0</v>
      </c>
      <c r="AA183" s="13">
        <v>1</v>
      </c>
      <c r="AB183" s="13">
        <v>1</v>
      </c>
      <c r="AC183" s="32">
        <v>0</v>
      </c>
      <c r="AD183" s="32">
        <v>0</v>
      </c>
      <c r="AE183" s="32">
        <v>0</v>
      </c>
      <c r="AF183" s="32">
        <v>0</v>
      </c>
      <c r="AG183" s="32">
        <v>0</v>
      </c>
      <c r="AH183" s="32">
        <v>0</v>
      </c>
      <c r="AI183" s="32">
        <v>0</v>
      </c>
      <c r="AJ183" s="32">
        <v>0</v>
      </c>
      <c r="AK183" s="32">
        <v>0</v>
      </c>
      <c r="AL183" s="32">
        <v>0</v>
      </c>
      <c r="AM183" s="32">
        <v>0</v>
      </c>
      <c r="AN183" s="32">
        <v>0</v>
      </c>
      <c r="AO183" s="32">
        <v>0</v>
      </c>
      <c r="AP183" s="32">
        <v>0</v>
      </c>
      <c r="AQ183" s="32">
        <v>0</v>
      </c>
      <c r="AR183" s="32">
        <v>0</v>
      </c>
      <c r="AS183" s="32">
        <v>0</v>
      </c>
      <c r="AT183" s="32">
        <v>0</v>
      </c>
      <c r="AU183" s="32">
        <v>0</v>
      </c>
      <c r="AV183" s="32">
        <v>0</v>
      </c>
      <c r="AW183" s="32">
        <v>0</v>
      </c>
      <c r="AX183" s="32">
        <v>0</v>
      </c>
      <c r="AY183" s="32">
        <v>0</v>
      </c>
      <c r="AZ183" s="32">
        <v>0</v>
      </c>
      <c r="BA183" s="32">
        <v>0</v>
      </c>
      <c r="BB183" s="32">
        <v>0</v>
      </c>
      <c r="BC183">
        <f>COUNTIF(J183:AZ183, "&gt;0")</f>
        <v>2</v>
      </c>
      <c r="BD183" s="13">
        <f>[1]!shannonweaver(J183:AZ183)</f>
        <v>0.69314718055994529</v>
      </c>
      <c r="BE183">
        <f t="shared" si="2"/>
        <v>2</v>
      </c>
    </row>
    <row r="184" spans="1:57">
      <c r="A184" t="s">
        <v>154</v>
      </c>
      <c r="B184" t="s">
        <v>183</v>
      </c>
      <c r="C184" t="s">
        <v>184</v>
      </c>
      <c r="D184" s="13" t="s">
        <v>319</v>
      </c>
      <c r="E184" s="13" t="s">
        <v>91</v>
      </c>
      <c r="F184" s="13">
        <v>0</v>
      </c>
      <c r="G184" s="13">
        <v>0</v>
      </c>
      <c r="H184" s="13">
        <v>0</v>
      </c>
      <c r="I184" s="13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>
        <v>0</v>
      </c>
      <c r="P184" s="32">
        <v>0</v>
      </c>
      <c r="Q184" s="32">
        <v>0</v>
      </c>
      <c r="R184" s="32">
        <v>0</v>
      </c>
      <c r="S184" s="13">
        <v>1</v>
      </c>
      <c r="T184" s="32">
        <v>0</v>
      </c>
      <c r="U184" s="32">
        <v>0</v>
      </c>
      <c r="V184" s="32">
        <v>0</v>
      </c>
      <c r="W184" s="32">
        <v>0</v>
      </c>
      <c r="X184" s="32">
        <v>0</v>
      </c>
      <c r="Y184" s="32">
        <v>0</v>
      </c>
      <c r="Z184" s="32">
        <v>0</v>
      </c>
      <c r="AA184" s="32">
        <v>0</v>
      </c>
      <c r="AB184" s="13">
        <v>1</v>
      </c>
      <c r="AC184" s="32">
        <v>0</v>
      </c>
      <c r="AD184" s="32">
        <v>0</v>
      </c>
      <c r="AE184" s="32">
        <v>0</v>
      </c>
      <c r="AF184" s="32">
        <v>0</v>
      </c>
      <c r="AG184" s="32">
        <v>0</v>
      </c>
      <c r="AH184" s="32">
        <v>0</v>
      </c>
      <c r="AI184" s="32">
        <v>0</v>
      </c>
      <c r="AJ184" s="32">
        <v>0</v>
      </c>
      <c r="AK184" s="32">
        <v>0</v>
      </c>
      <c r="AL184" s="32">
        <v>0</v>
      </c>
      <c r="AM184" s="32">
        <v>0</v>
      </c>
      <c r="AN184" s="32">
        <v>0</v>
      </c>
      <c r="AO184" s="32">
        <v>0</v>
      </c>
      <c r="AP184" s="32">
        <v>0</v>
      </c>
      <c r="AQ184" s="32">
        <v>0</v>
      </c>
      <c r="AR184" s="32">
        <v>0</v>
      </c>
      <c r="AS184" s="32">
        <v>0</v>
      </c>
      <c r="AT184" s="32">
        <v>0</v>
      </c>
      <c r="AU184" s="32">
        <v>0</v>
      </c>
      <c r="AV184" s="32">
        <v>0</v>
      </c>
      <c r="AW184" s="32">
        <v>0</v>
      </c>
      <c r="AX184" s="32">
        <v>0</v>
      </c>
      <c r="AY184" s="32">
        <v>0</v>
      </c>
      <c r="AZ184" s="32">
        <v>0</v>
      </c>
      <c r="BA184" s="32">
        <v>0</v>
      </c>
      <c r="BB184" s="32">
        <v>0</v>
      </c>
      <c r="BC184">
        <f>COUNTIF(J184:AZ184, "&gt;0")</f>
        <v>2</v>
      </c>
      <c r="BD184" s="13">
        <f>[1]!shannonweaver(J184:AZ184)</f>
        <v>0.69314718055994529</v>
      </c>
      <c r="BE184">
        <f t="shared" si="2"/>
        <v>2</v>
      </c>
    </row>
    <row r="185" spans="1:57">
      <c r="A185" t="s">
        <v>155</v>
      </c>
      <c r="B185" t="s">
        <v>183</v>
      </c>
      <c r="C185" t="s">
        <v>184</v>
      </c>
      <c r="D185" s="13" t="s">
        <v>319</v>
      </c>
      <c r="E185" s="13" t="s">
        <v>91</v>
      </c>
      <c r="F185" s="13">
        <v>0</v>
      </c>
      <c r="G185" s="13">
        <v>0</v>
      </c>
      <c r="H185" s="13">
        <v>0</v>
      </c>
      <c r="I185" s="13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2">
        <v>0</v>
      </c>
      <c r="P185" s="32">
        <v>0</v>
      </c>
      <c r="Q185" s="32">
        <v>0</v>
      </c>
      <c r="R185" s="32">
        <v>0</v>
      </c>
      <c r="S185" s="32">
        <v>0</v>
      </c>
      <c r="T185" s="32">
        <v>0</v>
      </c>
      <c r="U185" s="32">
        <v>0</v>
      </c>
      <c r="V185" s="32">
        <v>0</v>
      </c>
      <c r="W185" s="32">
        <v>0</v>
      </c>
      <c r="X185" s="32">
        <v>0</v>
      </c>
      <c r="Y185" s="32">
        <v>0</v>
      </c>
      <c r="Z185" s="32">
        <v>0</v>
      </c>
      <c r="AA185" s="32">
        <v>0</v>
      </c>
      <c r="AB185" s="32">
        <v>0</v>
      </c>
      <c r="AC185" s="32">
        <v>0</v>
      </c>
      <c r="AD185" s="32">
        <v>0</v>
      </c>
      <c r="AE185" s="32">
        <v>0</v>
      </c>
      <c r="AF185" s="32">
        <v>0</v>
      </c>
      <c r="AG185" s="32">
        <v>0</v>
      </c>
      <c r="AH185" s="32">
        <v>0</v>
      </c>
      <c r="AI185" s="32">
        <v>0</v>
      </c>
      <c r="AJ185" s="32">
        <v>0</v>
      </c>
      <c r="AK185" s="32">
        <v>0</v>
      </c>
      <c r="AL185" s="32">
        <v>0</v>
      </c>
      <c r="AM185" s="32">
        <v>0</v>
      </c>
      <c r="AN185" s="32">
        <v>0</v>
      </c>
      <c r="AO185" s="32">
        <v>0</v>
      </c>
      <c r="AP185" s="32">
        <v>0</v>
      </c>
      <c r="AQ185" s="32">
        <v>0</v>
      </c>
      <c r="AR185" s="32">
        <v>0</v>
      </c>
      <c r="AS185" s="32">
        <v>0</v>
      </c>
      <c r="AT185" s="32">
        <v>0</v>
      </c>
      <c r="AU185" s="32">
        <v>0</v>
      </c>
      <c r="AV185" s="32">
        <v>0</v>
      </c>
      <c r="AW185" s="32">
        <v>0</v>
      </c>
      <c r="AX185" s="32">
        <v>0</v>
      </c>
      <c r="AY185" s="32">
        <v>0</v>
      </c>
      <c r="AZ185" s="32">
        <v>0</v>
      </c>
      <c r="BA185" s="32">
        <v>0</v>
      </c>
      <c r="BB185" s="32">
        <v>0</v>
      </c>
      <c r="BC185">
        <f>COUNTIF(J185:AZ185, "&gt;0")</f>
        <v>0</v>
      </c>
      <c r="BD185" s="13" t="e">
        <f>[1]!shannonweaver(J185:AZ185)</f>
        <v>#VALUE!</v>
      </c>
      <c r="BE185">
        <f t="shared" si="2"/>
        <v>0</v>
      </c>
    </row>
    <row r="186" spans="1:57">
      <c r="A186" t="s">
        <v>156</v>
      </c>
      <c r="B186" t="s">
        <v>183</v>
      </c>
      <c r="C186" t="s">
        <v>184</v>
      </c>
      <c r="D186" s="13" t="s">
        <v>319</v>
      </c>
      <c r="E186" s="13" t="s">
        <v>91</v>
      </c>
      <c r="F186" s="13">
        <v>0</v>
      </c>
      <c r="G186" s="13">
        <v>0</v>
      </c>
      <c r="H186" s="13">
        <v>0</v>
      </c>
      <c r="I186" s="13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>
        <v>0</v>
      </c>
      <c r="P186" s="32">
        <v>0</v>
      </c>
      <c r="Q186" s="32">
        <v>0</v>
      </c>
      <c r="R186" s="32">
        <v>0</v>
      </c>
      <c r="S186" s="13">
        <v>1</v>
      </c>
      <c r="T186" s="32">
        <v>0</v>
      </c>
      <c r="U186" s="32">
        <v>0</v>
      </c>
      <c r="V186" s="32">
        <v>0</v>
      </c>
      <c r="W186" s="32">
        <v>0</v>
      </c>
      <c r="X186" s="32">
        <v>0</v>
      </c>
      <c r="Y186" s="13">
        <v>2</v>
      </c>
      <c r="Z186" s="32">
        <v>0</v>
      </c>
      <c r="AA186" s="13">
        <v>1</v>
      </c>
      <c r="AB186" s="32">
        <v>0</v>
      </c>
      <c r="AC186" s="32">
        <v>0</v>
      </c>
      <c r="AD186" s="32">
        <v>0</v>
      </c>
      <c r="AE186" s="32">
        <v>0</v>
      </c>
      <c r="AF186" s="32">
        <v>0</v>
      </c>
      <c r="AG186" s="32">
        <v>0</v>
      </c>
      <c r="AH186" s="32">
        <v>0</v>
      </c>
      <c r="AI186" s="32">
        <v>0</v>
      </c>
      <c r="AJ186" s="32">
        <v>0</v>
      </c>
      <c r="AK186" s="32">
        <v>0</v>
      </c>
      <c r="AL186" s="32">
        <v>0</v>
      </c>
      <c r="AM186" s="32">
        <v>0</v>
      </c>
      <c r="AN186" s="32">
        <v>0</v>
      </c>
      <c r="AO186" s="32">
        <v>0</v>
      </c>
      <c r="AP186" s="32">
        <v>0</v>
      </c>
      <c r="AQ186" s="32">
        <v>0</v>
      </c>
      <c r="AR186" s="32">
        <v>0</v>
      </c>
      <c r="AS186" s="32">
        <v>0</v>
      </c>
      <c r="AT186" s="32">
        <v>0</v>
      </c>
      <c r="AU186" s="32">
        <v>0</v>
      </c>
      <c r="AV186" s="32">
        <v>0</v>
      </c>
      <c r="AW186" s="32">
        <v>0</v>
      </c>
      <c r="AX186" s="32">
        <v>0</v>
      </c>
      <c r="AY186" s="32">
        <v>0</v>
      </c>
      <c r="AZ186" s="32">
        <v>0</v>
      </c>
      <c r="BA186" s="32">
        <v>0</v>
      </c>
      <c r="BB186" s="32">
        <v>0</v>
      </c>
      <c r="BC186">
        <f>COUNTIF(J186:AZ186, "&gt;0")</f>
        <v>3</v>
      </c>
      <c r="BD186" s="13">
        <f>[1]!shannonweaver(J186:AZ186)</f>
        <v>1.0397207708399179</v>
      </c>
      <c r="BE186">
        <f t="shared" si="2"/>
        <v>3</v>
      </c>
    </row>
    <row r="187" spans="1:57">
      <c r="A187" t="s">
        <v>157</v>
      </c>
      <c r="B187" t="s">
        <v>183</v>
      </c>
      <c r="C187" t="s">
        <v>184</v>
      </c>
      <c r="D187" s="13" t="s">
        <v>319</v>
      </c>
      <c r="E187" s="13" t="s">
        <v>91</v>
      </c>
      <c r="F187" s="13">
        <v>0</v>
      </c>
      <c r="G187" s="13">
        <v>0</v>
      </c>
      <c r="H187" s="13">
        <v>0</v>
      </c>
      <c r="I187" s="13">
        <v>0</v>
      </c>
      <c r="J187" s="32">
        <v>0</v>
      </c>
      <c r="K187" s="32">
        <v>0</v>
      </c>
      <c r="L187" s="32">
        <v>0</v>
      </c>
      <c r="M187" s="32">
        <v>0</v>
      </c>
      <c r="N187" s="32">
        <v>0</v>
      </c>
      <c r="O187" s="32">
        <v>0</v>
      </c>
      <c r="P187" s="32">
        <v>0</v>
      </c>
      <c r="Q187" s="32">
        <v>0</v>
      </c>
      <c r="R187" s="32">
        <v>0</v>
      </c>
      <c r="S187" s="13">
        <v>1</v>
      </c>
      <c r="T187" s="32">
        <v>0</v>
      </c>
      <c r="U187" s="32">
        <v>0</v>
      </c>
      <c r="V187" s="32">
        <v>0</v>
      </c>
      <c r="W187" s="32">
        <v>0</v>
      </c>
      <c r="X187" s="32">
        <v>0</v>
      </c>
      <c r="Y187" s="13">
        <v>1</v>
      </c>
      <c r="Z187" s="32">
        <v>0</v>
      </c>
      <c r="AA187" s="32">
        <v>0</v>
      </c>
      <c r="AB187" s="32">
        <v>0</v>
      </c>
      <c r="AC187" s="32">
        <v>0</v>
      </c>
      <c r="AD187" s="32">
        <v>0</v>
      </c>
      <c r="AE187" s="32">
        <v>0</v>
      </c>
      <c r="AF187" s="32">
        <v>0</v>
      </c>
      <c r="AG187" s="32">
        <v>0</v>
      </c>
      <c r="AH187" s="32">
        <v>0</v>
      </c>
      <c r="AI187" s="32">
        <v>0</v>
      </c>
      <c r="AJ187" s="32">
        <v>0</v>
      </c>
      <c r="AK187" s="32">
        <v>0</v>
      </c>
      <c r="AL187" s="32">
        <v>0</v>
      </c>
      <c r="AM187" s="32">
        <v>0</v>
      </c>
      <c r="AN187" s="32">
        <v>0</v>
      </c>
      <c r="AO187" s="32">
        <v>0</v>
      </c>
      <c r="AP187" s="32">
        <v>0</v>
      </c>
      <c r="AQ187" s="32">
        <v>0</v>
      </c>
      <c r="AR187" s="32">
        <v>0</v>
      </c>
      <c r="AS187" s="32">
        <v>0</v>
      </c>
      <c r="AT187" s="32">
        <v>0</v>
      </c>
      <c r="AU187" s="32">
        <v>0</v>
      </c>
      <c r="AV187" s="13">
        <v>2</v>
      </c>
      <c r="AW187" s="32">
        <v>0</v>
      </c>
      <c r="AX187" s="32">
        <v>0</v>
      </c>
      <c r="AY187" s="32">
        <v>0</v>
      </c>
      <c r="AZ187" s="32">
        <v>0</v>
      </c>
      <c r="BA187" s="32">
        <v>0</v>
      </c>
      <c r="BB187" s="32">
        <v>0</v>
      </c>
      <c r="BC187">
        <f>COUNTIF(J187:AZ187, "&gt;0")</f>
        <v>3</v>
      </c>
      <c r="BD187" s="13">
        <f>[1]!shannonweaver(J187:AZ187)</f>
        <v>1.0397207708399179</v>
      </c>
      <c r="BE187">
        <f t="shared" si="2"/>
        <v>3</v>
      </c>
    </row>
    <row r="188" spans="1:57">
      <c r="A188" t="s">
        <v>158</v>
      </c>
      <c r="B188" t="s">
        <v>183</v>
      </c>
      <c r="C188" t="s">
        <v>191</v>
      </c>
      <c r="D188" s="13" t="s">
        <v>319</v>
      </c>
      <c r="E188" s="13" t="s">
        <v>91</v>
      </c>
      <c r="F188" s="13">
        <v>0</v>
      </c>
      <c r="G188" s="13">
        <v>0</v>
      </c>
      <c r="H188" s="13">
        <v>0</v>
      </c>
      <c r="I188" s="13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>
        <v>0</v>
      </c>
      <c r="P188" s="13">
        <v>1</v>
      </c>
      <c r="Q188" s="32">
        <v>0</v>
      </c>
      <c r="R188" s="32">
        <v>0</v>
      </c>
      <c r="S188" s="32">
        <v>0</v>
      </c>
      <c r="T188" s="32">
        <v>0</v>
      </c>
      <c r="U188" s="32">
        <v>0</v>
      </c>
      <c r="V188" s="32">
        <v>0</v>
      </c>
      <c r="W188" s="32">
        <v>0</v>
      </c>
      <c r="X188" s="32">
        <v>0</v>
      </c>
      <c r="Y188" s="32">
        <v>0</v>
      </c>
      <c r="Z188" s="32">
        <v>0</v>
      </c>
      <c r="AA188" s="32">
        <v>0</v>
      </c>
      <c r="AB188" s="32">
        <v>0</v>
      </c>
      <c r="AC188" s="32">
        <v>0</v>
      </c>
      <c r="AD188" s="32">
        <v>0</v>
      </c>
      <c r="AE188" s="32">
        <v>0</v>
      </c>
      <c r="AF188" s="32">
        <v>0</v>
      </c>
      <c r="AG188" s="32">
        <v>0</v>
      </c>
      <c r="AH188" s="32">
        <v>0</v>
      </c>
      <c r="AI188" s="32">
        <v>0</v>
      </c>
      <c r="AJ188" s="32">
        <v>0</v>
      </c>
      <c r="AK188" s="32">
        <v>0</v>
      </c>
      <c r="AL188" s="32">
        <v>0</v>
      </c>
      <c r="AM188" s="32">
        <v>0</v>
      </c>
      <c r="AN188" s="32">
        <v>0</v>
      </c>
      <c r="AO188" s="32">
        <v>0</v>
      </c>
      <c r="AP188" s="32">
        <v>0</v>
      </c>
      <c r="AQ188" s="32">
        <v>0</v>
      </c>
      <c r="AR188" s="32">
        <v>0</v>
      </c>
      <c r="AS188" s="32">
        <v>0</v>
      </c>
      <c r="AT188" s="32">
        <v>0</v>
      </c>
      <c r="AU188" s="32">
        <v>0</v>
      </c>
      <c r="AV188" s="32">
        <v>0</v>
      </c>
      <c r="AW188" s="32">
        <v>0</v>
      </c>
      <c r="AX188" s="13">
        <v>1</v>
      </c>
      <c r="AY188" s="32">
        <v>0</v>
      </c>
      <c r="AZ188" s="32">
        <v>0</v>
      </c>
      <c r="BA188" s="32">
        <v>0</v>
      </c>
      <c r="BB188" s="32">
        <v>0</v>
      </c>
      <c r="BC188">
        <f>COUNTIF(J188:AZ188, "&gt;0")</f>
        <v>2</v>
      </c>
      <c r="BD188" s="13">
        <f>[1]!shannonweaver(J188:AZ188)</f>
        <v>0.69314718055994529</v>
      </c>
      <c r="BE188">
        <f t="shared" si="2"/>
        <v>2</v>
      </c>
    </row>
    <row r="189" spans="1:57">
      <c r="A189" t="s">
        <v>159</v>
      </c>
      <c r="B189" t="s">
        <v>183</v>
      </c>
      <c r="C189" t="s">
        <v>191</v>
      </c>
      <c r="D189" s="13" t="s">
        <v>319</v>
      </c>
      <c r="E189" s="13" t="s">
        <v>91</v>
      </c>
      <c r="F189" s="13">
        <v>0</v>
      </c>
      <c r="G189" s="13">
        <v>0</v>
      </c>
      <c r="H189" s="13">
        <v>0</v>
      </c>
      <c r="I189" s="13">
        <v>0</v>
      </c>
      <c r="J189" s="32">
        <v>0</v>
      </c>
      <c r="K189" s="32">
        <v>0</v>
      </c>
      <c r="L189" s="13">
        <v>1</v>
      </c>
      <c r="M189" s="32">
        <v>0</v>
      </c>
      <c r="N189" s="32">
        <v>0</v>
      </c>
      <c r="O189" s="32">
        <v>0</v>
      </c>
      <c r="P189" s="13">
        <v>1</v>
      </c>
      <c r="Q189" s="32">
        <v>0</v>
      </c>
      <c r="R189" s="32">
        <v>0</v>
      </c>
      <c r="S189" s="32">
        <v>0</v>
      </c>
      <c r="T189" s="32">
        <v>0</v>
      </c>
      <c r="U189" s="32">
        <v>0</v>
      </c>
      <c r="V189" s="32">
        <v>0</v>
      </c>
      <c r="W189" s="32">
        <v>0</v>
      </c>
      <c r="X189" s="32">
        <v>0</v>
      </c>
      <c r="Y189" s="13">
        <v>2</v>
      </c>
      <c r="Z189" s="32">
        <v>0</v>
      </c>
      <c r="AA189" s="32">
        <v>0</v>
      </c>
      <c r="AB189" s="32">
        <v>0</v>
      </c>
      <c r="AC189" s="32">
        <v>0</v>
      </c>
      <c r="AD189" s="32">
        <v>0</v>
      </c>
      <c r="AE189" s="32">
        <v>0</v>
      </c>
      <c r="AF189" s="32">
        <v>0</v>
      </c>
      <c r="AG189" s="32">
        <v>0</v>
      </c>
      <c r="AH189" s="32">
        <v>0</v>
      </c>
      <c r="AI189" s="32">
        <v>0</v>
      </c>
      <c r="AJ189" s="32">
        <v>0</v>
      </c>
      <c r="AK189" s="32">
        <v>0</v>
      </c>
      <c r="AL189" s="32">
        <v>0</v>
      </c>
      <c r="AM189" s="32">
        <v>0</v>
      </c>
      <c r="AN189" s="32">
        <v>0</v>
      </c>
      <c r="AO189" s="32">
        <v>0</v>
      </c>
      <c r="AP189" s="32">
        <v>0</v>
      </c>
      <c r="AQ189" s="32">
        <v>0</v>
      </c>
      <c r="AR189" s="32">
        <v>0</v>
      </c>
      <c r="AS189" s="32">
        <v>0</v>
      </c>
      <c r="AT189" s="32">
        <v>0</v>
      </c>
      <c r="AU189" s="32">
        <v>0</v>
      </c>
      <c r="AV189" s="32">
        <v>0</v>
      </c>
      <c r="AW189" s="32">
        <v>0</v>
      </c>
      <c r="AX189" s="32">
        <v>0</v>
      </c>
      <c r="AY189" s="32">
        <v>0</v>
      </c>
      <c r="AZ189" s="32">
        <v>0</v>
      </c>
      <c r="BA189" s="32">
        <v>0</v>
      </c>
      <c r="BB189" s="32">
        <v>0</v>
      </c>
      <c r="BC189">
        <f>COUNTIF(J189:AZ189, "&gt;0")</f>
        <v>3</v>
      </c>
      <c r="BD189" s="13">
        <f>[1]!shannonweaver(J189:AZ189)</f>
        <v>1.0397207708399179</v>
      </c>
      <c r="BE189">
        <f t="shared" si="2"/>
        <v>3</v>
      </c>
    </row>
    <row r="190" spans="1:57">
      <c r="A190" t="s">
        <v>160</v>
      </c>
      <c r="B190" t="s">
        <v>183</v>
      </c>
      <c r="C190" t="s">
        <v>191</v>
      </c>
      <c r="D190" s="13" t="s">
        <v>319</v>
      </c>
      <c r="E190" s="13" t="s">
        <v>91</v>
      </c>
      <c r="F190" s="13">
        <v>0</v>
      </c>
      <c r="G190" s="13">
        <v>0</v>
      </c>
      <c r="H190" s="13">
        <v>0</v>
      </c>
      <c r="I190" s="13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>
        <v>0</v>
      </c>
      <c r="P190" s="13">
        <v>1</v>
      </c>
      <c r="Q190" s="32">
        <v>0</v>
      </c>
      <c r="R190" s="32">
        <v>0</v>
      </c>
      <c r="S190" s="32">
        <v>0</v>
      </c>
      <c r="T190" s="32">
        <v>0</v>
      </c>
      <c r="U190" s="32">
        <v>0</v>
      </c>
      <c r="V190" s="32">
        <v>0</v>
      </c>
      <c r="W190" s="32">
        <v>0</v>
      </c>
      <c r="X190" s="32">
        <v>0</v>
      </c>
      <c r="Y190" s="13">
        <v>2</v>
      </c>
      <c r="Z190" s="32">
        <v>0</v>
      </c>
      <c r="AA190" s="32">
        <v>0</v>
      </c>
      <c r="AB190" s="32">
        <v>0</v>
      </c>
      <c r="AC190" s="32">
        <v>0</v>
      </c>
      <c r="AD190" s="32">
        <v>0</v>
      </c>
      <c r="AE190" s="32">
        <v>0</v>
      </c>
      <c r="AF190" s="32">
        <v>0</v>
      </c>
      <c r="AG190" s="32">
        <v>0</v>
      </c>
      <c r="AH190" s="13">
        <v>1</v>
      </c>
      <c r="AI190" s="32">
        <v>0</v>
      </c>
      <c r="AJ190" s="32">
        <v>0</v>
      </c>
      <c r="AK190" s="32">
        <v>0</v>
      </c>
      <c r="AL190" s="32">
        <v>0</v>
      </c>
      <c r="AM190" s="32">
        <v>0</v>
      </c>
      <c r="AN190" s="32">
        <v>0</v>
      </c>
      <c r="AO190" s="32">
        <v>0</v>
      </c>
      <c r="AP190" s="32">
        <v>0</v>
      </c>
      <c r="AQ190" s="32">
        <v>0</v>
      </c>
      <c r="AR190" s="32">
        <v>0</v>
      </c>
      <c r="AS190" s="32">
        <v>0</v>
      </c>
      <c r="AT190" s="32">
        <v>0</v>
      </c>
      <c r="AU190" s="32">
        <v>0</v>
      </c>
      <c r="AV190" s="32">
        <v>0</v>
      </c>
      <c r="AW190" s="32">
        <v>0</v>
      </c>
      <c r="AX190" s="32">
        <v>0</v>
      </c>
      <c r="AY190" s="32">
        <v>0</v>
      </c>
      <c r="AZ190" s="32">
        <v>0</v>
      </c>
      <c r="BA190" s="32">
        <v>0</v>
      </c>
      <c r="BB190" s="32">
        <v>0</v>
      </c>
      <c r="BC190">
        <f>COUNTIF(J190:AZ190, "&gt;0")</f>
        <v>3</v>
      </c>
      <c r="BD190" s="13">
        <f>[1]!shannonweaver(J190:AZ190)</f>
        <v>1.0397207708399179</v>
      </c>
      <c r="BE190">
        <f t="shared" si="2"/>
        <v>3</v>
      </c>
    </row>
    <row r="191" spans="1:57">
      <c r="A191" t="s">
        <v>161</v>
      </c>
      <c r="B191" t="s">
        <v>183</v>
      </c>
      <c r="C191" t="s">
        <v>191</v>
      </c>
      <c r="D191" s="13" t="s">
        <v>319</v>
      </c>
      <c r="E191" s="13" t="s">
        <v>91</v>
      </c>
      <c r="F191" s="13">
        <v>0</v>
      </c>
      <c r="G191" s="13">
        <v>0</v>
      </c>
      <c r="H191" s="13">
        <v>0</v>
      </c>
      <c r="I191" s="13">
        <v>0</v>
      </c>
      <c r="J191" s="32">
        <v>0</v>
      </c>
      <c r="K191" s="32">
        <v>0</v>
      </c>
      <c r="L191" s="13">
        <v>2</v>
      </c>
      <c r="M191" s="32">
        <v>0</v>
      </c>
      <c r="N191" s="32">
        <v>0</v>
      </c>
      <c r="O191" s="32">
        <v>0</v>
      </c>
      <c r="P191" s="32">
        <v>0</v>
      </c>
      <c r="Q191" s="32">
        <v>0</v>
      </c>
      <c r="R191" s="32">
        <v>0</v>
      </c>
      <c r="S191" s="32">
        <v>0</v>
      </c>
      <c r="T191" s="32">
        <v>0</v>
      </c>
      <c r="U191" s="32">
        <v>0</v>
      </c>
      <c r="V191" s="32">
        <v>0</v>
      </c>
      <c r="W191" s="32">
        <v>0</v>
      </c>
      <c r="X191" s="32">
        <v>0</v>
      </c>
      <c r="Y191" s="32">
        <v>0</v>
      </c>
      <c r="Z191" s="32">
        <v>0</v>
      </c>
      <c r="AA191" s="32">
        <v>0</v>
      </c>
      <c r="AB191" s="32">
        <v>0</v>
      </c>
      <c r="AC191" s="32">
        <v>0</v>
      </c>
      <c r="AD191" s="13">
        <v>1</v>
      </c>
      <c r="AE191" s="32">
        <v>0</v>
      </c>
      <c r="AF191" s="32">
        <v>0</v>
      </c>
      <c r="AG191" s="32">
        <v>0</v>
      </c>
      <c r="AH191" s="32">
        <v>0</v>
      </c>
      <c r="AI191" s="32">
        <v>0</v>
      </c>
      <c r="AJ191" s="32">
        <v>0</v>
      </c>
      <c r="AK191" s="32">
        <v>0</v>
      </c>
      <c r="AL191" s="32">
        <v>0</v>
      </c>
      <c r="AM191" s="32">
        <v>0</v>
      </c>
      <c r="AN191" s="32">
        <v>0</v>
      </c>
      <c r="AO191" s="32">
        <v>0</v>
      </c>
      <c r="AP191" s="32">
        <v>0</v>
      </c>
      <c r="AQ191" s="13">
        <v>1</v>
      </c>
      <c r="AR191" s="32">
        <v>0</v>
      </c>
      <c r="AS191" s="32">
        <v>0</v>
      </c>
      <c r="AT191" s="32">
        <v>0</v>
      </c>
      <c r="AU191" s="32">
        <v>0</v>
      </c>
      <c r="AV191" s="32">
        <v>0</v>
      </c>
      <c r="AW191" s="32">
        <v>0</v>
      </c>
      <c r="AX191" s="32">
        <v>0</v>
      </c>
      <c r="AY191" s="32">
        <v>0</v>
      </c>
      <c r="AZ191" s="32">
        <v>0</v>
      </c>
      <c r="BA191" s="32">
        <v>0</v>
      </c>
      <c r="BB191" s="32">
        <v>0</v>
      </c>
      <c r="BC191">
        <f>COUNTIF(J191:AZ191, "&gt;0")</f>
        <v>3</v>
      </c>
      <c r="BD191" s="13">
        <f>[1]!shannonweaver(J191:AZ191)</f>
        <v>1.0397207708399179</v>
      </c>
      <c r="BE191">
        <f t="shared" si="2"/>
        <v>3</v>
      </c>
    </row>
    <row r="192" spans="1:57">
      <c r="A192" t="s">
        <v>162</v>
      </c>
      <c r="B192" t="s">
        <v>183</v>
      </c>
      <c r="C192" t="s">
        <v>191</v>
      </c>
      <c r="D192" s="13" t="s">
        <v>319</v>
      </c>
      <c r="E192" s="13" t="s">
        <v>91</v>
      </c>
      <c r="F192" s="13">
        <v>0</v>
      </c>
      <c r="G192" s="13">
        <v>0</v>
      </c>
      <c r="H192" s="13">
        <v>0</v>
      </c>
      <c r="I192" s="13">
        <v>0</v>
      </c>
      <c r="J192" s="32">
        <v>0</v>
      </c>
      <c r="K192" s="32">
        <v>0</v>
      </c>
      <c r="L192" s="32">
        <v>0</v>
      </c>
      <c r="M192" s="32">
        <v>0</v>
      </c>
      <c r="N192" s="32">
        <v>0</v>
      </c>
      <c r="O192" s="32">
        <v>0</v>
      </c>
      <c r="P192" s="32">
        <v>0</v>
      </c>
      <c r="Q192" s="32">
        <v>0</v>
      </c>
      <c r="R192" s="32">
        <v>0</v>
      </c>
      <c r="S192" s="32">
        <v>0</v>
      </c>
      <c r="T192" s="32">
        <v>0</v>
      </c>
      <c r="U192" s="32">
        <v>0</v>
      </c>
      <c r="V192" s="32">
        <v>0</v>
      </c>
      <c r="W192" s="32">
        <v>0</v>
      </c>
      <c r="X192" s="32">
        <v>0</v>
      </c>
      <c r="Y192" s="32">
        <v>0</v>
      </c>
      <c r="Z192" s="32">
        <v>0</v>
      </c>
      <c r="AA192" s="13">
        <v>2</v>
      </c>
      <c r="AB192" s="32">
        <v>0</v>
      </c>
      <c r="AC192" s="32">
        <v>0</v>
      </c>
      <c r="AD192" s="13">
        <v>2</v>
      </c>
      <c r="AE192" s="32">
        <v>0</v>
      </c>
      <c r="AF192" s="32">
        <v>0</v>
      </c>
      <c r="AG192" s="32">
        <v>0</v>
      </c>
      <c r="AH192" s="32">
        <v>0</v>
      </c>
      <c r="AI192" s="32">
        <v>0</v>
      </c>
      <c r="AJ192" s="13">
        <v>1</v>
      </c>
      <c r="AK192" s="32">
        <v>0</v>
      </c>
      <c r="AL192" s="32">
        <v>0</v>
      </c>
      <c r="AM192" s="32">
        <v>0</v>
      </c>
      <c r="AN192" s="32">
        <v>0</v>
      </c>
      <c r="AO192" s="32">
        <v>0</v>
      </c>
      <c r="AP192" s="32">
        <v>0</v>
      </c>
      <c r="AQ192" s="32">
        <v>0</v>
      </c>
      <c r="AR192" s="32">
        <v>0</v>
      </c>
      <c r="AS192" s="32">
        <v>0</v>
      </c>
      <c r="AT192" s="32">
        <v>0</v>
      </c>
      <c r="AU192" s="32">
        <v>0</v>
      </c>
      <c r="AV192" s="32">
        <v>0</v>
      </c>
      <c r="AW192" s="32">
        <v>0</v>
      </c>
      <c r="AX192" s="32">
        <v>0</v>
      </c>
      <c r="AY192" s="32">
        <v>0</v>
      </c>
      <c r="AZ192" s="32">
        <v>0</v>
      </c>
      <c r="BA192" s="32">
        <v>0</v>
      </c>
      <c r="BB192" s="32">
        <v>0</v>
      </c>
      <c r="BC192">
        <f>COUNTIF(J192:AZ192, "&gt;0")</f>
        <v>3</v>
      </c>
      <c r="BD192" s="13">
        <f>[1]!shannonweaver(J192:AZ192)</f>
        <v>1.0549201679861442</v>
      </c>
      <c r="BE192">
        <f t="shared" si="2"/>
        <v>3</v>
      </c>
    </row>
    <row r="193" spans="1:57">
      <c r="A193" t="s">
        <v>163</v>
      </c>
      <c r="B193" t="s">
        <v>183</v>
      </c>
      <c r="C193" t="s">
        <v>191</v>
      </c>
      <c r="D193" s="13" t="s">
        <v>319</v>
      </c>
      <c r="E193" s="13" t="s">
        <v>91</v>
      </c>
      <c r="F193" s="13">
        <v>0</v>
      </c>
      <c r="G193" s="13">
        <v>0</v>
      </c>
      <c r="H193" s="13">
        <v>0</v>
      </c>
      <c r="I193" s="13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>
        <v>0</v>
      </c>
      <c r="P193" s="32">
        <v>0</v>
      </c>
      <c r="Q193" s="32">
        <v>0</v>
      </c>
      <c r="R193" s="32">
        <v>0</v>
      </c>
      <c r="S193" s="32">
        <v>0</v>
      </c>
      <c r="T193" s="32">
        <v>0</v>
      </c>
      <c r="U193" s="32">
        <v>0</v>
      </c>
      <c r="V193" s="32">
        <v>0</v>
      </c>
      <c r="W193" s="32">
        <v>0</v>
      </c>
      <c r="X193" s="32">
        <v>0</v>
      </c>
      <c r="Y193" s="32">
        <v>0</v>
      </c>
      <c r="Z193" s="32">
        <v>0</v>
      </c>
      <c r="AA193" s="13">
        <v>1</v>
      </c>
      <c r="AB193" s="32">
        <v>0</v>
      </c>
      <c r="AC193" s="32">
        <v>0</v>
      </c>
      <c r="AD193" s="13">
        <v>2</v>
      </c>
      <c r="AE193" s="32">
        <v>0</v>
      </c>
      <c r="AF193" s="32">
        <v>0</v>
      </c>
      <c r="AG193" s="32">
        <v>0</v>
      </c>
      <c r="AH193" s="32">
        <v>0</v>
      </c>
      <c r="AI193" s="32">
        <v>0</v>
      </c>
      <c r="AJ193" s="32">
        <v>0</v>
      </c>
      <c r="AK193" s="32">
        <v>0</v>
      </c>
      <c r="AL193" s="32">
        <v>0</v>
      </c>
      <c r="AM193" s="32">
        <v>0</v>
      </c>
      <c r="AN193" s="32">
        <v>0</v>
      </c>
      <c r="AO193" s="32">
        <v>0</v>
      </c>
      <c r="AP193" s="32">
        <v>0</v>
      </c>
      <c r="AQ193" s="32">
        <v>0</v>
      </c>
      <c r="AR193" s="32">
        <v>0</v>
      </c>
      <c r="AS193" s="32">
        <v>0</v>
      </c>
      <c r="AT193" s="32">
        <v>0</v>
      </c>
      <c r="AU193" s="32">
        <v>0</v>
      </c>
      <c r="AV193" s="32">
        <v>0</v>
      </c>
      <c r="AW193" s="32">
        <v>0</v>
      </c>
      <c r="AX193" s="32">
        <v>0</v>
      </c>
      <c r="AY193" s="32">
        <v>0</v>
      </c>
      <c r="AZ193" s="32">
        <v>0</v>
      </c>
      <c r="BA193" s="32">
        <v>0</v>
      </c>
      <c r="BB193" s="32">
        <v>0</v>
      </c>
      <c r="BC193">
        <f>COUNTIF(J193:AZ193, "&gt;0")</f>
        <v>2</v>
      </c>
      <c r="BD193" s="13">
        <f>[1]!shannonweaver(J193:AZ193)</f>
        <v>0.63651416829481278</v>
      </c>
      <c r="BE193">
        <f t="shared" si="2"/>
        <v>2</v>
      </c>
    </row>
    <row r="194" spans="1:57">
      <c r="A194" t="s">
        <v>164</v>
      </c>
      <c r="B194" t="s">
        <v>183</v>
      </c>
      <c r="C194" t="s">
        <v>255</v>
      </c>
      <c r="D194" s="13" t="s">
        <v>319</v>
      </c>
      <c r="E194" s="13" t="s">
        <v>91</v>
      </c>
      <c r="F194" s="13">
        <v>0</v>
      </c>
      <c r="G194" s="13">
        <v>0</v>
      </c>
      <c r="H194" s="13">
        <v>0</v>
      </c>
      <c r="I194" s="13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>
        <v>0</v>
      </c>
      <c r="P194" s="32">
        <v>0</v>
      </c>
      <c r="Q194" s="32">
        <v>0</v>
      </c>
      <c r="R194" s="32">
        <v>0</v>
      </c>
      <c r="S194" s="32">
        <v>0</v>
      </c>
      <c r="T194" s="32">
        <v>0</v>
      </c>
      <c r="U194" s="32">
        <v>0</v>
      </c>
      <c r="V194" s="32">
        <v>0</v>
      </c>
      <c r="W194" s="32">
        <v>0</v>
      </c>
      <c r="X194" s="32">
        <v>0</v>
      </c>
      <c r="Y194" s="13">
        <v>1</v>
      </c>
      <c r="Z194" s="32">
        <v>0</v>
      </c>
      <c r="AA194" s="32">
        <v>0</v>
      </c>
      <c r="AB194" s="32">
        <v>0</v>
      </c>
      <c r="AC194" s="32">
        <v>0</v>
      </c>
      <c r="AD194" s="32">
        <v>0</v>
      </c>
      <c r="AE194" s="32">
        <v>0</v>
      </c>
      <c r="AF194" s="32">
        <v>0</v>
      </c>
      <c r="AG194" s="32">
        <v>0</v>
      </c>
      <c r="AH194" s="32">
        <v>0</v>
      </c>
      <c r="AI194" s="32">
        <v>0</v>
      </c>
      <c r="AJ194" s="32">
        <v>0</v>
      </c>
      <c r="AK194" s="32">
        <v>0</v>
      </c>
      <c r="AL194" s="32">
        <v>0</v>
      </c>
      <c r="AM194" s="32">
        <v>0</v>
      </c>
      <c r="AN194" s="32">
        <v>0</v>
      </c>
      <c r="AO194" s="32">
        <v>0</v>
      </c>
      <c r="AP194" s="32">
        <v>0</v>
      </c>
      <c r="AQ194" s="32">
        <v>0</v>
      </c>
      <c r="AR194" s="32">
        <v>0</v>
      </c>
      <c r="AS194" s="32">
        <v>0</v>
      </c>
      <c r="AT194" s="32">
        <v>0</v>
      </c>
      <c r="AU194" s="32">
        <v>0</v>
      </c>
      <c r="AV194" s="13">
        <v>1</v>
      </c>
      <c r="AW194" s="32">
        <v>0</v>
      </c>
      <c r="AX194" s="32">
        <v>0</v>
      </c>
      <c r="AY194" s="32">
        <v>0</v>
      </c>
      <c r="AZ194" s="32">
        <v>0</v>
      </c>
      <c r="BA194" s="32">
        <v>0</v>
      </c>
      <c r="BB194" s="32">
        <v>0</v>
      </c>
      <c r="BC194">
        <f t="shared" ref="BC194:BC217" si="3">COUNTIF(J194:AZ194, "&gt;0")</f>
        <v>2</v>
      </c>
      <c r="BD194" s="13">
        <f>[1]!shannonweaver(J194:AZ194)</f>
        <v>0.69314718055994529</v>
      </c>
      <c r="BE194">
        <f t="shared" si="2"/>
        <v>2</v>
      </c>
    </row>
    <row r="195" spans="1:57">
      <c r="A195" t="s">
        <v>165</v>
      </c>
      <c r="B195" t="s">
        <v>183</v>
      </c>
      <c r="C195" t="s">
        <v>255</v>
      </c>
      <c r="D195" s="13" t="s">
        <v>319</v>
      </c>
      <c r="E195" s="13" t="s">
        <v>91</v>
      </c>
      <c r="F195" s="13">
        <v>0</v>
      </c>
      <c r="G195" s="13">
        <v>0</v>
      </c>
      <c r="H195" s="13">
        <v>0</v>
      </c>
      <c r="I195" s="13">
        <v>0</v>
      </c>
      <c r="J195" s="32">
        <v>0</v>
      </c>
      <c r="K195" s="32">
        <v>0</v>
      </c>
      <c r="L195" s="32">
        <v>0</v>
      </c>
      <c r="M195" s="13">
        <v>1</v>
      </c>
      <c r="N195" s="32">
        <v>0</v>
      </c>
      <c r="O195" s="32">
        <v>0</v>
      </c>
      <c r="P195" s="32">
        <v>0</v>
      </c>
      <c r="Q195" s="32">
        <v>0</v>
      </c>
      <c r="R195" s="32">
        <v>0</v>
      </c>
      <c r="S195" s="32">
        <v>0</v>
      </c>
      <c r="T195" s="32">
        <v>0</v>
      </c>
      <c r="U195" s="32">
        <v>0</v>
      </c>
      <c r="V195" s="32">
        <v>0</v>
      </c>
      <c r="W195" s="32">
        <v>0</v>
      </c>
      <c r="X195" s="32">
        <v>0</v>
      </c>
      <c r="Y195" s="32">
        <v>0</v>
      </c>
      <c r="Z195" s="32">
        <v>0</v>
      </c>
      <c r="AA195" s="13">
        <v>1</v>
      </c>
      <c r="AB195" s="32">
        <v>0</v>
      </c>
      <c r="AC195" s="32">
        <v>0</v>
      </c>
      <c r="AD195" s="32">
        <v>0</v>
      </c>
      <c r="AE195" s="32">
        <v>0</v>
      </c>
      <c r="AF195" s="32">
        <v>0</v>
      </c>
      <c r="AG195" s="32">
        <v>0</v>
      </c>
      <c r="AH195" s="32">
        <v>0</v>
      </c>
      <c r="AI195" s="32">
        <v>0</v>
      </c>
      <c r="AJ195" s="32">
        <v>0</v>
      </c>
      <c r="AK195" s="32">
        <v>0</v>
      </c>
      <c r="AL195" s="32">
        <v>0</v>
      </c>
      <c r="AM195" s="32">
        <v>0</v>
      </c>
      <c r="AN195" s="32">
        <v>0</v>
      </c>
      <c r="AO195" s="32">
        <v>0</v>
      </c>
      <c r="AP195" s="32">
        <v>0</v>
      </c>
      <c r="AQ195" s="32">
        <v>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32">
        <v>0</v>
      </c>
      <c r="AX195" s="32">
        <v>0</v>
      </c>
      <c r="AY195" s="32">
        <v>0</v>
      </c>
      <c r="AZ195" s="32">
        <v>0</v>
      </c>
      <c r="BA195" s="32">
        <v>0</v>
      </c>
      <c r="BB195" s="32">
        <v>0</v>
      </c>
      <c r="BC195">
        <f t="shared" si="3"/>
        <v>2</v>
      </c>
      <c r="BD195" s="13">
        <f>[1]!shannonweaver(J195:AZ195)</f>
        <v>0.69314718055994529</v>
      </c>
      <c r="BE195">
        <f t="shared" ref="BE195:BE217" si="4">COUNTIF(I195:AY195, "&gt;0")</f>
        <v>2</v>
      </c>
    </row>
    <row r="196" spans="1:57">
      <c r="A196" t="s">
        <v>166</v>
      </c>
      <c r="B196" t="s">
        <v>183</v>
      </c>
      <c r="C196" t="s">
        <v>255</v>
      </c>
      <c r="D196" s="13" t="s">
        <v>319</v>
      </c>
      <c r="E196" s="13" t="s">
        <v>91</v>
      </c>
      <c r="F196" s="13">
        <v>0</v>
      </c>
      <c r="G196" s="13">
        <v>0</v>
      </c>
      <c r="H196" s="13">
        <v>0</v>
      </c>
      <c r="I196" s="13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>
        <v>0</v>
      </c>
      <c r="P196" s="32">
        <v>0</v>
      </c>
      <c r="Q196" s="32">
        <v>0</v>
      </c>
      <c r="R196" s="32">
        <v>0</v>
      </c>
      <c r="S196" s="32">
        <v>0</v>
      </c>
      <c r="T196" s="32">
        <v>0</v>
      </c>
      <c r="U196" s="32">
        <v>0</v>
      </c>
      <c r="V196" s="32">
        <v>0</v>
      </c>
      <c r="W196" s="32">
        <v>0</v>
      </c>
      <c r="X196" s="32">
        <v>0</v>
      </c>
      <c r="Y196" s="13">
        <v>1</v>
      </c>
      <c r="Z196" s="32">
        <v>0</v>
      </c>
      <c r="AA196" s="13">
        <v>1</v>
      </c>
      <c r="AB196" s="32">
        <v>0</v>
      </c>
      <c r="AC196" s="32">
        <v>0</v>
      </c>
      <c r="AD196" s="32">
        <v>0</v>
      </c>
      <c r="AE196" s="32">
        <v>0</v>
      </c>
      <c r="AF196" s="32">
        <v>0</v>
      </c>
      <c r="AG196" s="32">
        <v>0</v>
      </c>
      <c r="AH196" s="32">
        <v>0</v>
      </c>
      <c r="AI196" s="32">
        <v>0</v>
      </c>
      <c r="AJ196" s="32">
        <v>0</v>
      </c>
      <c r="AK196" s="32">
        <v>0</v>
      </c>
      <c r="AL196" s="32">
        <v>0</v>
      </c>
      <c r="AM196" s="32">
        <v>0</v>
      </c>
      <c r="AN196" s="32">
        <v>0</v>
      </c>
      <c r="AO196" s="32">
        <v>0</v>
      </c>
      <c r="AP196" s="32">
        <v>0</v>
      </c>
      <c r="AQ196" s="32">
        <v>0</v>
      </c>
      <c r="AR196" s="32">
        <v>0</v>
      </c>
      <c r="AS196" s="32">
        <v>0</v>
      </c>
      <c r="AT196" s="32">
        <v>0</v>
      </c>
      <c r="AU196" s="32">
        <v>0</v>
      </c>
      <c r="AV196" s="32">
        <v>0</v>
      </c>
      <c r="AW196" s="32">
        <v>0</v>
      </c>
      <c r="AX196" s="32">
        <v>0</v>
      </c>
      <c r="AY196" s="32">
        <v>0</v>
      </c>
      <c r="AZ196" s="32">
        <v>0</v>
      </c>
      <c r="BA196" s="32">
        <v>0</v>
      </c>
      <c r="BB196" s="32">
        <v>0</v>
      </c>
      <c r="BC196">
        <f t="shared" si="3"/>
        <v>2</v>
      </c>
      <c r="BD196" s="13">
        <f>[1]!shannonweaver(J196:AZ196)</f>
        <v>0.69314718055994529</v>
      </c>
      <c r="BE196">
        <f t="shared" si="4"/>
        <v>2</v>
      </c>
    </row>
    <row r="197" spans="1:57">
      <c r="A197" t="s">
        <v>167</v>
      </c>
      <c r="B197" t="s">
        <v>183</v>
      </c>
      <c r="C197" t="s">
        <v>255</v>
      </c>
      <c r="D197" s="13" t="s">
        <v>319</v>
      </c>
      <c r="E197" s="13" t="s">
        <v>91</v>
      </c>
      <c r="F197" s="13">
        <v>0</v>
      </c>
      <c r="G197" s="13">
        <v>0</v>
      </c>
      <c r="H197" s="13">
        <v>0</v>
      </c>
      <c r="I197" s="13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13">
        <v>1</v>
      </c>
      <c r="P197" s="32">
        <v>0</v>
      </c>
      <c r="Q197" s="32">
        <v>0</v>
      </c>
      <c r="R197" s="32">
        <v>0</v>
      </c>
      <c r="S197" s="32">
        <v>0</v>
      </c>
      <c r="T197" s="13">
        <v>1</v>
      </c>
      <c r="U197" s="32">
        <v>0</v>
      </c>
      <c r="V197" s="32">
        <v>0</v>
      </c>
      <c r="W197" s="32">
        <v>0</v>
      </c>
      <c r="X197" s="32">
        <v>0</v>
      </c>
      <c r="Y197" s="13">
        <v>1</v>
      </c>
      <c r="Z197" s="32">
        <v>0</v>
      </c>
      <c r="AA197" s="32">
        <v>0</v>
      </c>
      <c r="AB197" s="32">
        <v>0</v>
      </c>
      <c r="AC197" s="32">
        <v>0</v>
      </c>
      <c r="AD197" s="32">
        <v>0</v>
      </c>
      <c r="AE197" s="32">
        <v>0</v>
      </c>
      <c r="AF197" s="32">
        <v>0</v>
      </c>
      <c r="AG197" s="32">
        <v>0</v>
      </c>
      <c r="AH197" s="32">
        <v>0</v>
      </c>
      <c r="AI197" s="32">
        <v>0</v>
      </c>
      <c r="AJ197" s="32">
        <v>0</v>
      </c>
      <c r="AK197" s="32">
        <v>0</v>
      </c>
      <c r="AL197" s="32">
        <v>0</v>
      </c>
      <c r="AM197" s="32">
        <v>0</v>
      </c>
      <c r="AN197" s="32">
        <v>0</v>
      </c>
      <c r="AO197" s="32">
        <v>0</v>
      </c>
      <c r="AP197" s="32">
        <v>0</v>
      </c>
      <c r="AQ197" s="32">
        <v>0</v>
      </c>
      <c r="AR197" s="32">
        <v>0</v>
      </c>
      <c r="AS197" s="32">
        <v>0</v>
      </c>
      <c r="AT197" s="32">
        <v>0</v>
      </c>
      <c r="AU197" s="32">
        <v>0</v>
      </c>
      <c r="AV197" s="13">
        <v>1</v>
      </c>
      <c r="AW197" s="32">
        <v>0</v>
      </c>
      <c r="AX197" s="32">
        <v>0</v>
      </c>
      <c r="AY197" s="32">
        <v>0</v>
      </c>
      <c r="AZ197" s="32">
        <v>0</v>
      </c>
      <c r="BA197" s="32">
        <v>0</v>
      </c>
      <c r="BB197" s="32">
        <v>0</v>
      </c>
      <c r="BC197">
        <f t="shared" si="3"/>
        <v>4</v>
      </c>
      <c r="BD197" s="13">
        <f>[1]!shannonweaver(J197:AZ197)</f>
        <v>1.3862943611198906</v>
      </c>
      <c r="BE197">
        <f t="shared" si="4"/>
        <v>4</v>
      </c>
    </row>
    <row r="198" spans="1:57">
      <c r="A198" t="s">
        <v>168</v>
      </c>
      <c r="B198" t="s">
        <v>183</v>
      </c>
      <c r="C198" t="s">
        <v>255</v>
      </c>
      <c r="D198" s="13" t="s">
        <v>319</v>
      </c>
      <c r="E198" s="13" t="s">
        <v>91</v>
      </c>
      <c r="F198" s="13">
        <v>0</v>
      </c>
      <c r="G198" s="13">
        <v>0</v>
      </c>
      <c r="H198" s="13">
        <v>0</v>
      </c>
      <c r="I198" s="13">
        <v>0</v>
      </c>
      <c r="J198" s="32">
        <v>0</v>
      </c>
      <c r="K198" s="32">
        <v>0</v>
      </c>
      <c r="L198" s="13">
        <v>1</v>
      </c>
      <c r="M198" s="32">
        <v>0</v>
      </c>
      <c r="N198" s="32">
        <v>0</v>
      </c>
      <c r="O198" s="32">
        <v>0</v>
      </c>
      <c r="P198" s="32">
        <v>0</v>
      </c>
      <c r="Q198" s="32">
        <v>0</v>
      </c>
      <c r="R198" s="32">
        <v>0</v>
      </c>
      <c r="S198" s="32">
        <v>0</v>
      </c>
      <c r="T198" s="32">
        <v>0</v>
      </c>
      <c r="U198" s="32">
        <v>0</v>
      </c>
      <c r="V198" s="32">
        <v>0</v>
      </c>
      <c r="W198" s="32">
        <v>0</v>
      </c>
      <c r="X198" s="32">
        <v>0</v>
      </c>
      <c r="Y198" s="32">
        <v>0</v>
      </c>
      <c r="Z198" s="32">
        <v>0</v>
      </c>
      <c r="AA198" s="32">
        <v>0</v>
      </c>
      <c r="AB198" s="32">
        <v>0</v>
      </c>
      <c r="AC198" s="32">
        <v>0</v>
      </c>
      <c r="AD198" s="32">
        <v>0</v>
      </c>
      <c r="AE198" s="32">
        <v>0</v>
      </c>
      <c r="AF198" s="32">
        <v>0</v>
      </c>
      <c r="AG198" s="32">
        <v>0</v>
      </c>
      <c r="AH198" s="32">
        <v>0</v>
      </c>
      <c r="AI198" s="32">
        <v>0</v>
      </c>
      <c r="AJ198" s="32">
        <v>0</v>
      </c>
      <c r="AK198" s="32">
        <v>0</v>
      </c>
      <c r="AL198" s="32">
        <v>0</v>
      </c>
      <c r="AM198" s="32">
        <v>0</v>
      </c>
      <c r="AN198" s="32">
        <v>0</v>
      </c>
      <c r="AO198" s="32">
        <v>0</v>
      </c>
      <c r="AP198" s="32">
        <v>0</v>
      </c>
      <c r="AQ198" s="32">
        <v>0</v>
      </c>
      <c r="AR198" s="32">
        <v>0</v>
      </c>
      <c r="AS198" s="32">
        <v>0</v>
      </c>
      <c r="AT198" s="32">
        <v>0</v>
      </c>
      <c r="AU198" s="32">
        <v>0</v>
      </c>
      <c r="AV198" s="32">
        <v>0</v>
      </c>
      <c r="AW198" s="32">
        <v>0</v>
      </c>
      <c r="AX198" s="32">
        <v>0</v>
      </c>
      <c r="AY198" s="32">
        <v>0</v>
      </c>
      <c r="AZ198" s="32">
        <v>0</v>
      </c>
      <c r="BA198" s="32">
        <v>0</v>
      </c>
      <c r="BB198" s="32">
        <v>0</v>
      </c>
      <c r="BC198">
        <f t="shared" si="3"/>
        <v>1</v>
      </c>
      <c r="BD198" s="13">
        <f>[1]!shannonweaver(J198:AZ198)</f>
        <v>0</v>
      </c>
      <c r="BE198">
        <f t="shared" si="4"/>
        <v>1</v>
      </c>
    </row>
    <row r="199" spans="1:57">
      <c r="A199" t="s">
        <v>169</v>
      </c>
      <c r="B199" t="s">
        <v>183</v>
      </c>
      <c r="C199" t="s">
        <v>255</v>
      </c>
      <c r="D199" s="13" t="s">
        <v>319</v>
      </c>
      <c r="E199" s="13" t="s">
        <v>91</v>
      </c>
      <c r="F199" s="13">
        <v>0</v>
      </c>
      <c r="G199" s="13">
        <v>0</v>
      </c>
      <c r="H199" s="13">
        <v>0</v>
      </c>
      <c r="I199" s="13">
        <v>0</v>
      </c>
      <c r="J199" s="32">
        <v>0</v>
      </c>
      <c r="K199" s="32">
        <v>0</v>
      </c>
      <c r="L199" s="13">
        <v>2</v>
      </c>
      <c r="M199" s="13">
        <v>1</v>
      </c>
      <c r="N199" s="32">
        <v>0</v>
      </c>
      <c r="O199" s="32">
        <v>0</v>
      </c>
      <c r="P199" s="32">
        <v>0</v>
      </c>
      <c r="Q199" s="32">
        <v>0</v>
      </c>
      <c r="R199" s="32">
        <v>0</v>
      </c>
      <c r="S199" s="32">
        <v>0</v>
      </c>
      <c r="T199" s="32">
        <v>0</v>
      </c>
      <c r="U199" s="32">
        <v>0</v>
      </c>
      <c r="V199" s="32">
        <v>0</v>
      </c>
      <c r="W199" s="32">
        <v>0</v>
      </c>
      <c r="X199" s="32">
        <v>0</v>
      </c>
      <c r="Y199" s="32">
        <v>0</v>
      </c>
      <c r="Z199" s="13">
        <v>1</v>
      </c>
      <c r="AA199" s="13">
        <v>1</v>
      </c>
      <c r="AB199" s="32">
        <v>0</v>
      </c>
      <c r="AC199" s="32">
        <v>0</v>
      </c>
      <c r="AD199" s="32">
        <v>0</v>
      </c>
      <c r="AE199" s="32">
        <v>0</v>
      </c>
      <c r="AF199" s="32">
        <v>0</v>
      </c>
      <c r="AG199" s="32">
        <v>0</v>
      </c>
      <c r="AH199" s="32">
        <v>0</v>
      </c>
      <c r="AI199" s="32">
        <v>0</v>
      </c>
      <c r="AJ199" s="32">
        <v>0</v>
      </c>
      <c r="AK199" s="32">
        <v>0</v>
      </c>
      <c r="AL199" s="32">
        <v>0</v>
      </c>
      <c r="AM199" s="32">
        <v>0</v>
      </c>
      <c r="AN199" s="32">
        <v>0</v>
      </c>
      <c r="AO199" s="32">
        <v>0</v>
      </c>
      <c r="AP199" s="32">
        <v>0</v>
      </c>
      <c r="AQ199" s="32">
        <v>0</v>
      </c>
      <c r="AR199" s="32">
        <v>0</v>
      </c>
      <c r="AS199" s="32">
        <v>0</v>
      </c>
      <c r="AT199" s="32">
        <v>0</v>
      </c>
      <c r="AU199" s="32">
        <v>0</v>
      </c>
      <c r="AV199" s="32">
        <v>0</v>
      </c>
      <c r="AW199" s="32">
        <v>0</v>
      </c>
      <c r="AX199" s="32">
        <v>0</v>
      </c>
      <c r="AY199" s="13">
        <v>1</v>
      </c>
      <c r="AZ199" s="32">
        <v>0</v>
      </c>
      <c r="BA199" s="32">
        <v>0</v>
      </c>
      <c r="BB199" s="32">
        <v>0</v>
      </c>
      <c r="BC199">
        <f t="shared" si="3"/>
        <v>5</v>
      </c>
      <c r="BD199" s="13">
        <f>[1]!shannonweaver(J199:AZ199)</f>
        <v>1.5607104090414063</v>
      </c>
      <c r="BE199">
        <f t="shared" si="4"/>
        <v>5</v>
      </c>
    </row>
    <row r="200" spans="1:57">
      <c r="A200" t="s">
        <v>170</v>
      </c>
      <c r="B200" t="s">
        <v>183</v>
      </c>
      <c r="C200" t="s">
        <v>262</v>
      </c>
      <c r="D200" s="13" t="s">
        <v>320</v>
      </c>
      <c r="E200" s="13" t="s">
        <v>91</v>
      </c>
      <c r="F200" s="13">
        <v>0</v>
      </c>
      <c r="G200" s="13">
        <v>0</v>
      </c>
      <c r="H200" s="13">
        <v>0</v>
      </c>
      <c r="I200" s="13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>
        <v>0</v>
      </c>
      <c r="P200" s="32">
        <v>0</v>
      </c>
      <c r="Q200" s="32">
        <v>0</v>
      </c>
      <c r="R200" s="32">
        <v>0</v>
      </c>
      <c r="S200" s="32">
        <v>0</v>
      </c>
      <c r="T200" s="32">
        <v>0</v>
      </c>
      <c r="U200" s="32">
        <v>0</v>
      </c>
      <c r="V200" s="32">
        <v>0</v>
      </c>
      <c r="W200" s="32">
        <v>0</v>
      </c>
      <c r="X200" s="32">
        <v>0</v>
      </c>
      <c r="Y200" s="13">
        <v>1</v>
      </c>
      <c r="Z200" s="13">
        <v>0</v>
      </c>
      <c r="AA200" s="13">
        <v>0</v>
      </c>
      <c r="AB200" s="32">
        <v>0</v>
      </c>
      <c r="AC200" s="32">
        <v>0</v>
      </c>
      <c r="AD200" s="32">
        <v>0</v>
      </c>
      <c r="AE200" s="32">
        <v>0</v>
      </c>
      <c r="AF200" s="32">
        <v>0</v>
      </c>
      <c r="AG200" s="32">
        <v>0</v>
      </c>
      <c r="AH200" s="32">
        <v>0</v>
      </c>
      <c r="AI200" s="32">
        <v>0</v>
      </c>
      <c r="AJ200" s="13">
        <v>3</v>
      </c>
      <c r="AK200" s="32">
        <v>0</v>
      </c>
      <c r="AL200" s="32">
        <v>0</v>
      </c>
      <c r="AM200" s="32">
        <v>0</v>
      </c>
      <c r="AN200" s="32">
        <v>0</v>
      </c>
      <c r="AO200" s="32">
        <v>0</v>
      </c>
      <c r="AP200" s="32">
        <v>0</v>
      </c>
      <c r="AQ200" s="32">
        <v>0</v>
      </c>
      <c r="AR200" s="32">
        <v>0</v>
      </c>
      <c r="AS200" s="32">
        <v>0</v>
      </c>
      <c r="AT200" s="32">
        <v>0</v>
      </c>
      <c r="AU200" s="32">
        <v>0</v>
      </c>
      <c r="AV200" s="32">
        <v>0</v>
      </c>
      <c r="AW200" s="32">
        <v>0</v>
      </c>
      <c r="AX200" s="32">
        <v>0</v>
      </c>
      <c r="AY200" s="32">
        <v>0</v>
      </c>
      <c r="AZ200" s="32">
        <v>0</v>
      </c>
      <c r="BA200" s="32">
        <v>0</v>
      </c>
      <c r="BB200" s="32">
        <v>0</v>
      </c>
      <c r="BC200">
        <f t="shared" si="3"/>
        <v>2</v>
      </c>
      <c r="BD200" s="13">
        <f>[1]!shannonweaver(J200:AZ200)</f>
        <v>0.56233514461880829</v>
      </c>
      <c r="BE200">
        <f t="shared" si="4"/>
        <v>2</v>
      </c>
    </row>
    <row r="201" spans="1:57">
      <c r="A201" t="s">
        <v>125</v>
      </c>
      <c r="B201" t="s">
        <v>183</v>
      </c>
      <c r="C201" t="s">
        <v>262</v>
      </c>
      <c r="D201" s="13" t="s">
        <v>320</v>
      </c>
      <c r="E201" s="13" t="s">
        <v>91</v>
      </c>
      <c r="F201" s="13">
        <v>0</v>
      </c>
      <c r="G201" s="13">
        <v>1</v>
      </c>
      <c r="H201" s="13">
        <v>0</v>
      </c>
      <c r="I201" s="13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>
        <v>0</v>
      </c>
      <c r="P201" s="32">
        <v>0</v>
      </c>
      <c r="Q201" s="32">
        <v>0</v>
      </c>
      <c r="R201" s="32">
        <v>0</v>
      </c>
      <c r="S201" s="32">
        <v>0</v>
      </c>
      <c r="T201" s="32">
        <v>0</v>
      </c>
      <c r="U201" s="32">
        <v>0</v>
      </c>
      <c r="V201" s="32">
        <v>0</v>
      </c>
      <c r="W201" s="32">
        <v>0</v>
      </c>
      <c r="X201" s="32">
        <v>0</v>
      </c>
      <c r="Y201" s="32">
        <v>0</v>
      </c>
      <c r="Z201" s="32">
        <v>0</v>
      </c>
      <c r="AA201" s="32">
        <v>0</v>
      </c>
      <c r="AB201" s="32">
        <v>0</v>
      </c>
      <c r="AC201" s="32">
        <v>0</v>
      </c>
      <c r="AD201" s="32">
        <v>0</v>
      </c>
      <c r="AE201" s="32">
        <v>0</v>
      </c>
      <c r="AF201" s="32">
        <v>0</v>
      </c>
      <c r="AG201" s="32">
        <v>0</v>
      </c>
      <c r="AH201" s="32">
        <v>0</v>
      </c>
      <c r="AI201" s="32">
        <v>0</v>
      </c>
      <c r="AJ201" s="32">
        <v>0</v>
      </c>
      <c r="AK201" s="32">
        <v>0</v>
      </c>
      <c r="AL201" s="32">
        <v>0</v>
      </c>
      <c r="AM201" s="32">
        <v>0</v>
      </c>
      <c r="AN201" s="32">
        <v>0</v>
      </c>
      <c r="AO201" s="32">
        <v>0</v>
      </c>
      <c r="AP201" s="32">
        <v>0</v>
      </c>
      <c r="AQ201" s="32">
        <v>0</v>
      </c>
      <c r="AR201" s="32">
        <v>0</v>
      </c>
      <c r="AS201" s="32">
        <v>0</v>
      </c>
      <c r="AT201" s="32">
        <v>0</v>
      </c>
      <c r="AU201" s="32">
        <v>0</v>
      </c>
      <c r="AV201" s="32">
        <v>0</v>
      </c>
      <c r="AW201" s="32">
        <v>0</v>
      </c>
      <c r="AX201" s="32">
        <v>0</v>
      </c>
      <c r="AY201" s="32">
        <v>0</v>
      </c>
      <c r="AZ201" s="32">
        <v>0</v>
      </c>
      <c r="BA201" s="13">
        <v>1</v>
      </c>
      <c r="BB201" s="32">
        <v>0</v>
      </c>
      <c r="BC201">
        <f t="shared" si="3"/>
        <v>0</v>
      </c>
      <c r="BD201" s="13" t="e">
        <f>[1]!shannonweaver(J201:AZ201)</f>
        <v>#VALUE!</v>
      </c>
      <c r="BE201">
        <f t="shared" si="4"/>
        <v>0</v>
      </c>
    </row>
    <row r="202" spans="1:57">
      <c r="A202" t="s">
        <v>126</v>
      </c>
      <c r="B202" t="s">
        <v>183</v>
      </c>
      <c r="C202" t="s">
        <v>262</v>
      </c>
      <c r="D202" s="13" t="s">
        <v>320</v>
      </c>
      <c r="E202" s="13" t="s">
        <v>91</v>
      </c>
      <c r="F202" s="13">
        <v>0</v>
      </c>
      <c r="G202" s="13">
        <v>0</v>
      </c>
      <c r="H202" s="13">
        <v>0</v>
      </c>
      <c r="I202" s="13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>
        <v>0</v>
      </c>
      <c r="P202" s="32">
        <v>0</v>
      </c>
      <c r="Q202" s="32">
        <v>0</v>
      </c>
      <c r="R202" s="32">
        <v>0</v>
      </c>
      <c r="S202" s="32">
        <v>0</v>
      </c>
      <c r="T202" s="32">
        <v>0</v>
      </c>
      <c r="U202" s="32">
        <v>0</v>
      </c>
      <c r="V202" s="32">
        <v>0</v>
      </c>
      <c r="W202" s="32">
        <v>0</v>
      </c>
      <c r="X202" s="32">
        <v>0</v>
      </c>
      <c r="Y202" s="13">
        <v>1</v>
      </c>
      <c r="Z202" s="32">
        <v>0</v>
      </c>
      <c r="AA202" s="32">
        <v>0</v>
      </c>
      <c r="AB202" s="32">
        <v>0</v>
      </c>
      <c r="AC202" s="32">
        <v>0</v>
      </c>
      <c r="AD202" s="32">
        <v>0</v>
      </c>
      <c r="AE202" s="32">
        <v>0</v>
      </c>
      <c r="AF202" s="32">
        <v>0</v>
      </c>
      <c r="AG202" s="32">
        <v>0</v>
      </c>
      <c r="AH202" s="32">
        <v>0</v>
      </c>
      <c r="AI202" s="32">
        <v>0</v>
      </c>
      <c r="AJ202" s="13">
        <v>1</v>
      </c>
      <c r="AK202" s="32">
        <v>0</v>
      </c>
      <c r="AL202" s="32">
        <v>0</v>
      </c>
      <c r="AM202" s="32">
        <v>0</v>
      </c>
      <c r="AN202" s="32">
        <v>0</v>
      </c>
      <c r="AO202" s="32">
        <v>0</v>
      </c>
      <c r="AP202" s="32">
        <v>0</v>
      </c>
      <c r="AQ202" s="32">
        <v>0</v>
      </c>
      <c r="AR202" s="32">
        <v>0</v>
      </c>
      <c r="AS202" s="32">
        <v>0</v>
      </c>
      <c r="AT202" s="32">
        <v>0</v>
      </c>
      <c r="AU202" s="32">
        <v>0</v>
      </c>
      <c r="AV202" s="32">
        <v>0</v>
      </c>
      <c r="AW202" s="32">
        <v>0</v>
      </c>
      <c r="AX202" s="32">
        <v>0</v>
      </c>
      <c r="AY202" s="32">
        <v>0</v>
      </c>
      <c r="AZ202" s="32">
        <v>0</v>
      </c>
      <c r="BA202" s="13">
        <v>1</v>
      </c>
      <c r="BB202" s="32">
        <v>0</v>
      </c>
      <c r="BC202">
        <f t="shared" si="3"/>
        <v>2</v>
      </c>
      <c r="BD202" s="13">
        <f>[1]!shannonweaver(J202:AZ202)</f>
        <v>0.69314718055994529</v>
      </c>
      <c r="BE202">
        <f t="shared" si="4"/>
        <v>2</v>
      </c>
    </row>
    <row r="203" spans="1:57">
      <c r="A203" t="s">
        <v>127</v>
      </c>
      <c r="B203" t="s">
        <v>183</v>
      </c>
      <c r="C203" t="s">
        <v>262</v>
      </c>
      <c r="D203" s="13" t="s">
        <v>320</v>
      </c>
      <c r="E203" s="13" t="s">
        <v>91</v>
      </c>
      <c r="F203" s="13">
        <v>0</v>
      </c>
      <c r="G203" s="13">
        <v>0</v>
      </c>
      <c r="H203" s="13">
        <v>0</v>
      </c>
      <c r="I203" s="13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>
        <v>0</v>
      </c>
      <c r="P203" s="32">
        <v>0</v>
      </c>
      <c r="Q203" s="32">
        <v>0</v>
      </c>
      <c r="R203" s="32">
        <v>0</v>
      </c>
      <c r="S203" s="32">
        <v>0</v>
      </c>
      <c r="T203" s="32">
        <v>0</v>
      </c>
      <c r="U203" s="32">
        <v>0</v>
      </c>
      <c r="V203" s="32">
        <v>0</v>
      </c>
      <c r="W203" s="32">
        <v>0</v>
      </c>
      <c r="X203" s="32">
        <v>0</v>
      </c>
      <c r="Y203" s="32">
        <v>0</v>
      </c>
      <c r="Z203" s="32">
        <v>0</v>
      </c>
      <c r="AA203" s="32">
        <v>0</v>
      </c>
      <c r="AB203" s="32">
        <v>0</v>
      </c>
      <c r="AC203" s="32">
        <v>0</v>
      </c>
      <c r="AD203" s="32">
        <v>0</v>
      </c>
      <c r="AE203" s="32">
        <v>0</v>
      </c>
      <c r="AF203" s="32">
        <v>0</v>
      </c>
      <c r="AG203" s="32">
        <v>0</v>
      </c>
      <c r="AH203" s="32">
        <v>0</v>
      </c>
      <c r="AI203" s="32">
        <v>0</v>
      </c>
      <c r="AJ203" s="32">
        <v>0</v>
      </c>
      <c r="AK203" s="32">
        <v>0</v>
      </c>
      <c r="AL203" s="32">
        <v>0</v>
      </c>
      <c r="AM203" s="32">
        <v>0</v>
      </c>
      <c r="AN203" s="32">
        <v>0</v>
      </c>
      <c r="AO203" s="32">
        <v>0</v>
      </c>
      <c r="AP203" s="32">
        <v>0</v>
      </c>
      <c r="AQ203" s="32">
        <v>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32">
        <v>0</v>
      </c>
      <c r="AX203" s="32">
        <v>0</v>
      </c>
      <c r="AY203" s="32">
        <v>0</v>
      </c>
      <c r="AZ203" s="32">
        <v>0</v>
      </c>
      <c r="BA203" s="32">
        <v>0</v>
      </c>
      <c r="BB203" s="32">
        <v>0</v>
      </c>
      <c r="BC203">
        <f t="shared" si="3"/>
        <v>0</v>
      </c>
      <c r="BD203" s="13">
        <v>0</v>
      </c>
      <c r="BE203">
        <f t="shared" si="4"/>
        <v>0</v>
      </c>
    </row>
    <row r="204" spans="1:57">
      <c r="A204" t="s">
        <v>128</v>
      </c>
      <c r="B204" t="s">
        <v>183</v>
      </c>
      <c r="C204" t="s">
        <v>262</v>
      </c>
      <c r="D204" s="13" t="s">
        <v>320</v>
      </c>
      <c r="E204" s="13" t="s">
        <v>91</v>
      </c>
      <c r="F204" s="13">
        <v>0</v>
      </c>
      <c r="G204" s="13">
        <v>0</v>
      </c>
      <c r="H204" s="13">
        <v>0</v>
      </c>
      <c r="I204" s="13">
        <v>0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>
        <v>0</v>
      </c>
      <c r="P204" s="32">
        <v>0</v>
      </c>
      <c r="Q204" s="32">
        <v>0</v>
      </c>
      <c r="R204" s="32">
        <v>0</v>
      </c>
      <c r="S204" s="32">
        <v>0</v>
      </c>
      <c r="T204" s="32">
        <v>0</v>
      </c>
      <c r="U204" s="32">
        <v>0</v>
      </c>
      <c r="V204" s="32">
        <v>0</v>
      </c>
      <c r="W204" s="32">
        <v>0</v>
      </c>
      <c r="X204" s="32">
        <v>0</v>
      </c>
      <c r="Y204" s="32">
        <v>0</v>
      </c>
      <c r="Z204" s="32">
        <v>0</v>
      </c>
      <c r="AA204" s="32">
        <v>0</v>
      </c>
      <c r="AB204" s="32">
        <v>0</v>
      </c>
      <c r="AC204" s="32">
        <v>0</v>
      </c>
      <c r="AD204" s="32">
        <v>0</v>
      </c>
      <c r="AE204" s="32">
        <v>0</v>
      </c>
      <c r="AF204" s="32">
        <v>0</v>
      </c>
      <c r="AG204" s="32">
        <v>0</v>
      </c>
      <c r="AH204" s="32">
        <v>0</v>
      </c>
      <c r="AI204" s="32">
        <v>0</v>
      </c>
      <c r="AJ204" s="32">
        <v>0</v>
      </c>
      <c r="AK204" s="32">
        <v>0</v>
      </c>
      <c r="AL204" s="32">
        <v>0</v>
      </c>
      <c r="AM204" s="32">
        <v>0</v>
      </c>
      <c r="AN204" s="32">
        <v>0</v>
      </c>
      <c r="AO204" s="32">
        <v>0</v>
      </c>
      <c r="AP204" s="32">
        <v>0</v>
      </c>
      <c r="AQ204" s="32">
        <v>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32">
        <v>0</v>
      </c>
      <c r="AX204" s="32">
        <v>0</v>
      </c>
      <c r="AY204" s="32">
        <v>0</v>
      </c>
      <c r="AZ204" s="32">
        <v>0</v>
      </c>
      <c r="BA204" s="32">
        <v>0</v>
      </c>
      <c r="BB204" s="32">
        <v>0</v>
      </c>
      <c r="BC204">
        <f t="shared" si="3"/>
        <v>0</v>
      </c>
      <c r="BD204" s="13" t="e">
        <f>[1]!shannonweaver(J204:AZ204)</f>
        <v>#VALUE!</v>
      </c>
      <c r="BE204">
        <f t="shared" si="4"/>
        <v>0</v>
      </c>
    </row>
    <row r="205" spans="1:57">
      <c r="A205" t="s">
        <v>129</v>
      </c>
      <c r="B205" t="s">
        <v>183</v>
      </c>
      <c r="C205" t="s">
        <v>262</v>
      </c>
      <c r="D205" s="13" t="s">
        <v>320</v>
      </c>
      <c r="E205" s="13" t="s">
        <v>91</v>
      </c>
      <c r="F205" s="13">
        <v>0</v>
      </c>
      <c r="G205" s="13">
        <v>0</v>
      </c>
      <c r="H205" s="13">
        <v>0</v>
      </c>
      <c r="I205" s="13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>
        <v>0</v>
      </c>
      <c r="P205" s="32">
        <v>0</v>
      </c>
      <c r="Q205" s="32">
        <v>0</v>
      </c>
      <c r="R205" s="32">
        <v>0</v>
      </c>
      <c r="S205" s="32">
        <v>0</v>
      </c>
      <c r="T205" s="32">
        <v>0</v>
      </c>
      <c r="U205" s="32">
        <v>0</v>
      </c>
      <c r="V205" s="32">
        <v>0</v>
      </c>
      <c r="W205" s="32">
        <v>0</v>
      </c>
      <c r="X205" s="32">
        <v>0</v>
      </c>
      <c r="Y205" s="32">
        <v>0</v>
      </c>
      <c r="Z205" s="32">
        <v>0</v>
      </c>
      <c r="AA205" s="32">
        <v>0</v>
      </c>
      <c r="AB205" s="32">
        <v>0</v>
      </c>
      <c r="AC205" s="32">
        <v>0</v>
      </c>
      <c r="AD205" s="13">
        <v>1</v>
      </c>
      <c r="AE205" s="32">
        <v>0</v>
      </c>
      <c r="AF205" s="32">
        <v>0</v>
      </c>
      <c r="AG205" s="32">
        <v>0</v>
      </c>
      <c r="AH205" s="32">
        <v>0</v>
      </c>
      <c r="AI205" s="32">
        <v>0</v>
      </c>
      <c r="AJ205" s="32">
        <v>0</v>
      </c>
      <c r="AK205" s="32">
        <v>0</v>
      </c>
      <c r="AL205" s="32">
        <v>0</v>
      </c>
      <c r="AM205" s="32">
        <v>0</v>
      </c>
      <c r="AN205" s="32">
        <v>0</v>
      </c>
      <c r="AO205" s="32">
        <v>0</v>
      </c>
      <c r="AP205" s="32">
        <v>0</v>
      </c>
      <c r="AQ205" s="32">
        <v>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32">
        <v>0</v>
      </c>
      <c r="AX205" s="32">
        <v>0</v>
      </c>
      <c r="AY205" s="32">
        <v>0</v>
      </c>
      <c r="AZ205" s="32">
        <v>0</v>
      </c>
      <c r="BA205" s="32">
        <v>0</v>
      </c>
      <c r="BB205" s="32">
        <v>0</v>
      </c>
      <c r="BC205">
        <f t="shared" si="3"/>
        <v>1</v>
      </c>
      <c r="BD205" s="13">
        <f>[1]!shannonweaver(J205:AZ205)</f>
        <v>0</v>
      </c>
      <c r="BE205">
        <f t="shared" si="4"/>
        <v>1</v>
      </c>
    </row>
    <row r="206" spans="1:57">
      <c r="A206" t="s">
        <v>180</v>
      </c>
      <c r="B206" t="s">
        <v>183</v>
      </c>
      <c r="C206" t="s">
        <v>269</v>
      </c>
      <c r="D206" s="13" t="s">
        <v>320</v>
      </c>
      <c r="E206" s="13" t="s">
        <v>91</v>
      </c>
      <c r="F206" s="13">
        <v>0</v>
      </c>
      <c r="G206" s="13">
        <v>0</v>
      </c>
      <c r="H206" s="13">
        <v>0</v>
      </c>
      <c r="I206" s="13">
        <v>0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>
        <v>0</v>
      </c>
      <c r="P206" s="32">
        <v>0</v>
      </c>
      <c r="Q206" s="32">
        <v>0</v>
      </c>
      <c r="R206" s="32">
        <v>0</v>
      </c>
      <c r="S206" s="13">
        <v>1</v>
      </c>
      <c r="T206" s="32">
        <v>0</v>
      </c>
      <c r="U206" s="32">
        <v>0</v>
      </c>
      <c r="V206" s="32">
        <v>0</v>
      </c>
      <c r="W206" s="32">
        <v>0</v>
      </c>
      <c r="X206" s="32">
        <v>0</v>
      </c>
      <c r="Y206" s="32">
        <v>0</v>
      </c>
      <c r="Z206" s="32">
        <v>0</v>
      </c>
      <c r="AA206" s="32">
        <v>0</v>
      </c>
      <c r="AB206" s="32">
        <v>0</v>
      </c>
      <c r="AC206" s="32">
        <v>0</v>
      </c>
      <c r="AD206" s="32">
        <v>0</v>
      </c>
      <c r="AE206" s="32">
        <v>0</v>
      </c>
      <c r="AF206" s="32">
        <v>0</v>
      </c>
      <c r="AG206" s="32">
        <v>0</v>
      </c>
      <c r="AH206" s="32">
        <v>0</v>
      </c>
      <c r="AI206" s="32">
        <v>0</v>
      </c>
      <c r="AJ206" s="32">
        <v>0</v>
      </c>
      <c r="AK206" s="32">
        <v>0</v>
      </c>
      <c r="AL206" s="32">
        <v>0</v>
      </c>
      <c r="AM206" s="32">
        <v>0</v>
      </c>
      <c r="AN206" s="32">
        <v>0</v>
      </c>
      <c r="AO206" s="32">
        <v>0</v>
      </c>
      <c r="AP206" s="32">
        <v>0</v>
      </c>
      <c r="AQ206" s="32">
        <v>0</v>
      </c>
      <c r="AR206" s="32">
        <v>0</v>
      </c>
      <c r="AS206" s="32">
        <v>0</v>
      </c>
      <c r="AT206" s="32">
        <v>0</v>
      </c>
      <c r="AU206" s="32">
        <v>0</v>
      </c>
      <c r="AV206" s="32">
        <v>0</v>
      </c>
      <c r="AW206" s="32">
        <v>0</v>
      </c>
      <c r="AX206" s="32">
        <v>0</v>
      </c>
      <c r="AY206" s="32">
        <v>0</v>
      </c>
      <c r="AZ206" s="32">
        <v>0</v>
      </c>
      <c r="BA206" s="32">
        <v>0</v>
      </c>
      <c r="BB206" s="32">
        <v>0</v>
      </c>
      <c r="BC206">
        <f t="shared" si="3"/>
        <v>1</v>
      </c>
      <c r="BD206" s="13">
        <f>[1]!shannonweaver(J206:AZ206)</f>
        <v>0</v>
      </c>
      <c r="BE206">
        <f t="shared" si="4"/>
        <v>1</v>
      </c>
    </row>
    <row r="207" spans="1:57">
      <c r="A207" t="s">
        <v>130</v>
      </c>
      <c r="B207" t="s">
        <v>183</v>
      </c>
      <c r="C207" t="s">
        <v>269</v>
      </c>
      <c r="D207" s="13" t="s">
        <v>320</v>
      </c>
      <c r="E207" s="13" t="s">
        <v>91</v>
      </c>
      <c r="F207" s="13">
        <v>0</v>
      </c>
      <c r="G207" s="13">
        <v>1</v>
      </c>
      <c r="H207" s="13">
        <v>0</v>
      </c>
      <c r="I207" s="13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>
        <v>0</v>
      </c>
      <c r="P207" s="32">
        <v>0</v>
      </c>
      <c r="Q207" s="32">
        <v>0</v>
      </c>
      <c r="R207" s="32">
        <v>0</v>
      </c>
      <c r="S207" s="32">
        <v>0</v>
      </c>
      <c r="T207" s="32">
        <v>0</v>
      </c>
      <c r="U207" s="32">
        <v>0</v>
      </c>
      <c r="V207" s="32">
        <v>0</v>
      </c>
      <c r="W207" s="32">
        <v>0</v>
      </c>
      <c r="X207" s="32">
        <v>0</v>
      </c>
      <c r="Y207" s="32">
        <v>0</v>
      </c>
      <c r="Z207" s="32">
        <v>0</v>
      </c>
      <c r="AA207" s="32">
        <v>0</v>
      </c>
      <c r="AB207" s="32">
        <v>0</v>
      </c>
      <c r="AC207" s="32">
        <v>0</v>
      </c>
      <c r="AD207" s="32">
        <v>0</v>
      </c>
      <c r="AE207" s="32">
        <v>0</v>
      </c>
      <c r="AF207" s="32">
        <v>0</v>
      </c>
      <c r="AG207" s="32">
        <v>0</v>
      </c>
      <c r="AH207" s="32">
        <v>0</v>
      </c>
      <c r="AI207" s="32">
        <v>0</v>
      </c>
      <c r="AJ207" s="32">
        <v>0</v>
      </c>
      <c r="AK207" s="32">
        <v>0</v>
      </c>
      <c r="AL207" s="32">
        <v>0</v>
      </c>
      <c r="AM207" s="32">
        <v>0</v>
      </c>
      <c r="AN207" s="32">
        <v>0</v>
      </c>
      <c r="AO207" s="32">
        <v>0</v>
      </c>
      <c r="AP207" s="32">
        <v>0</v>
      </c>
      <c r="AQ207" s="32">
        <v>0</v>
      </c>
      <c r="AR207" s="32">
        <v>0</v>
      </c>
      <c r="AS207" s="32">
        <v>0</v>
      </c>
      <c r="AT207" s="32">
        <v>0</v>
      </c>
      <c r="AU207" s="32">
        <v>0</v>
      </c>
      <c r="AV207" s="32">
        <v>0</v>
      </c>
      <c r="AW207" s="32">
        <v>0</v>
      </c>
      <c r="AX207" s="32">
        <v>0</v>
      </c>
      <c r="AY207" s="32">
        <v>0</v>
      </c>
      <c r="AZ207" s="32">
        <v>0</v>
      </c>
      <c r="BA207" s="32">
        <v>0</v>
      </c>
      <c r="BB207" s="32">
        <v>0</v>
      </c>
      <c r="BC207">
        <f t="shared" si="3"/>
        <v>0</v>
      </c>
      <c r="BD207" s="13">
        <v>0</v>
      </c>
      <c r="BE207">
        <f t="shared" si="4"/>
        <v>0</v>
      </c>
    </row>
    <row r="208" spans="1:57">
      <c r="A208" t="s">
        <v>131</v>
      </c>
      <c r="B208" t="s">
        <v>183</v>
      </c>
      <c r="C208" t="s">
        <v>269</v>
      </c>
      <c r="D208" s="13" t="s">
        <v>320</v>
      </c>
      <c r="E208" s="13" t="s">
        <v>91</v>
      </c>
      <c r="F208" s="13">
        <v>0</v>
      </c>
      <c r="G208" s="13">
        <v>0</v>
      </c>
      <c r="H208" s="13">
        <v>0</v>
      </c>
      <c r="I208" s="13">
        <v>0</v>
      </c>
      <c r="J208" s="32">
        <v>0</v>
      </c>
      <c r="K208" s="32">
        <v>0</v>
      </c>
      <c r="L208" s="13">
        <v>2</v>
      </c>
      <c r="M208" s="32">
        <v>0</v>
      </c>
      <c r="N208" s="32">
        <v>0</v>
      </c>
      <c r="O208" s="32">
        <v>0</v>
      </c>
      <c r="P208" s="32">
        <v>0</v>
      </c>
      <c r="Q208" s="32">
        <v>0</v>
      </c>
      <c r="R208" s="32">
        <v>0</v>
      </c>
      <c r="S208" s="13">
        <v>1</v>
      </c>
      <c r="T208" s="32">
        <v>0</v>
      </c>
      <c r="U208" s="32">
        <v>0</v>
      </c>
      <c r="V208" s="32">
        <v>0</v>
      </c>
      <c r="W208" s="13">
        <v>1</v>
      </c>
      <c r="X208" s="32">
        <v>0</v>
      </c>
      <c r="Y208" s="32">
        <v>0</v>
      </c>
      <c r="Z208" s="32">
        <v>0</v>
      </c>
      <c r="AA208" s="32">
        <v>0</v>
      </c>
      <c r="AB208" s="13">
        <v>2</v>
      </c>
      <c r="AC208" s="32">
        <v>0</v>
      </c>
      <c r="AD208" s="32">
        <v>0</v>
      </c>
      <c r="AE208" s="32">
        <v>0</v>
      </c>
      <c r="AF208" s="32">
        <v>0</v>
      </c>
      <c r="AG208" s="32">
        <v>0</v>
      </c>
      <c r="AH208" s="13">
        <v>1</v>
      </c>
      <c r="AI208" s="32">
        <v>0</v>
      </c>
      <c r="AJ208" s="32">
        <v>0</v>
      </c>
      <c r="AK208" s="32">
        <v>0</v>
      </c>
      <c r="AL208" s="32">
        <v>0</v>
      </c>
      <c r="AM208" s="32">
        <v>0</v>
      </c>
      <c r="AN208" s="32">
        <v>0</v>
      </c>
      <c r="AO208" s="32">
        <v>0</v>
      </c>
      <c r="AP208" s="32">
        <v>0</v>
      </c>
      <c r="AQ208" s="32">
        <v>0</v>
      </c>
      <c r="AR208" s="32">
        <v>0</v>
      </c>
      <c r="AS208" s="32">
        <v>0</v>
      </c>
      <c r="AT208" s="32">
        <v>0</v>
      </c>
      <c r="AU208" s="32">
        <v>0</v>
      </c>
      <c r="AV208" s="32">
        <v>0</v>
      </c>
      <c r="AW208" s="32">
        <v>0</v>
      </c>
      <c r="AX208" s="32">
        <v>0</v>
      </c>
      <c r="AY208" s="32">
        <v>0</v>
      </c>
      <c r="AZ208" s="32">
        <v>0</v>
      </c>
      <c r="BA208" s="32">
        <v>0</v>
      </c>
      <c r="BB208" s="32">
        <v>0</v>
      </c>
      <c r="BC208">
        <f t="shared" si="3"/>
        <v>5</v>
      </c>
      <c r="BD208" s="13">
        <f>[1]!shannonweaver(J208:AZ208)</f>
        <v>1.5498260458782016</v>
      </c>
      <c r="BE208">
        <f t="shared" si="4"/>
        <v>5</v>
      </c>
    </row>
    <row r="209" spans="1:57">
      <c r="A209" t="s">
        <v>132</v>
      </c>
      <c r="B209" t="s">
        <v>183</v>
      </c>
      <c r="C209" t="s">
        <v>269</v>
      </c>
      <c r="D209" s="13" t="s">
        <v>320</v>
      </c>
      <c r="E209" s="13" t="s">
        <v>91</v>
      </c>
      <c r="F209" s="13">
        <v>0</v>
      </c>
      <c r="G209" s="13">
        <v>0</v>
      </c>
      <c r="H209" s="13">
        <v>0</v>
      </c>
      <c r="I209" s="13">
        <v>0</v>
      </c>
      <c r="J209" s="32">
        <v>0</v>
      </c>
      <c r="K209" s="32">
        <v>0</v>
      </c>
      <c r="L209" s="32">
        <v>0</v>
      </c>
      <c r="M209" s="32">
        <v>0</v>
      </c>
      <c r="N209" s="32">
        <v>0</v>
      </c>
      <c r="O209" s="32">
        <v>0</v>
      </c>
      <c r="P209" s="32">
        <v>0</v>
      </c>
      <c r="Q209" s="32">
        <v>0</v>
      </c>
      <c r="R209" s="32">
        <v>0</v>
      </c>
      <c r="S209" s="32">
        <v>0</v>
      </c>
      <c r="T209" s="32">
        <v>0</v>
      </c>
      <c r="U209" s="32">
        <v>0</v>
      </c>
      <c r="V209" s="32">
        <v>0</v>
      </c>
      <c r="W209" s="32">
        <v>0</v>
      </c>
      <c r="X209" s="32">
        <v>0</v>
      </c>
      <c r="Y209" s="32">
        <v>0</v>
      </c>
      <c r="Z209" s="32">
        <v>0</v>
      </c>
      <c r="AA209" s="32">
        <v>0</v>
      </c>
      <c r="AB209" s="32">
        <v>0</v>
      </c>
      <c r="AC209" s="32">
        <v>0</v>
      </c>
      <c r="AD209" s="32">
        <v>0</v>
      </c>
      <c r="AE209" s="32">
        <v>0</v>
      </c>
      <c r="AF209" s="32">
        <v>0</v>
      </c>
      <c r="AG209" s="32">
        <v>0</v>
      </c>
      <c r="AH209" s="32">
        <v>0</v>
      </c>
      <c r="AI209" s="32">
        <v>0</v>
      </c>
      <c r="AJ209" s="32">
        <v>0</v>
      </c>
      <c r="AK209" s="32">
        <v>0</v>
      </c>
      <c r="AL209" s="32">
        <v>0</v>
      </c>
      <c r="AM209" s="32">
        <v>0</v>
      </c>
      <c r="AN209" s="32">
        <v>0</v>
      </c>
      <c r="AO209" s="32">
        <v>0</v>
      </c>
      <c r="AP209" s="32">
        <v>0</v>
      </c>
      <c r="AQ209" s="32">
        <v>0</v>
      </c>
      <c r="AR209" s="32">
        <v>0</v>
      </c>
      <c r="AS209" s="32">
        <v>0</v>
      </c>
      <c r="AT209" s="32">
        <v>0</v>
      </c>
      <c r="AU209" s="32">
        <v>0</v>
      </c>
      <c r="AV209" s="32">
        <v>0</v>
      </c>
      <c r="AW209" s="32">
        <v>0</v>
      </c>
      <c r="AX209" s="32">
        <v>0</v>
      </c>
      <c r="AY209" s="32">
        <v>0</v>
      </c>
      <c r="AZ209" s="32">
        <v>0</v>
      </c>
      <c r="BA209" s="32">
        <v>0</v>
      </c>
      <c r="BB209" s="32">
        <v>0</v>
      </c>
      <c r="BC209">
        <f t="shared" si="3"/>
        <v>0</v>
      </c>
      <c r="BD209" s="13">
        <v>0</v>
      </c>
      <c r="BE209">
        <f t="shared" si="4"/>
        <v>0</v>
      </c>
    </row>
    <row r="210" spans="1:57">
      <c r="A210" t="s">
        <v>133</v>
      </c>
      <c r="B210" t="s">
        <v>183</v>
      </c>
      <c r="C210" t="s">
        <v>269</v>
      </c>
      <c r="D210" s="13" t="s">
        <v>320</v>
      </c>
      <c r="E210" s="13" t="s">
        <v>91</v>
      </c>
      <c r="F210" s="13">
        <v>0</v>
      </c>
      <c r="G210" s="13">
        <v>0</v>
      </c>
      <c r="H210" s="13">
        <v>0</v>
      </c>
      <c r="I210" s="13">
        <v>0</v>
      </c>
      <c r="J210" s="32">
        <v>0</v>
      </c>
      <c r="K210" s="32">
        <v>0</v>
      </c>
      <c r="L210" s="32">
        <v>0</v>
      </c>
      <c r="M210" s="32">
        <v>0</v>
      </c>
      <c r="N210" s="13">
        <v>1</v>
      </c>
      <c r="O210" s="32">
        <v>0</v>
      </c>
      <c r="P210" s="32">
        <v>0</v>
      </c>
      <c r="Q210" s="32">
        <v>0</v>
      </c>
      <c r="R210" s="32">
        <v>0</v>
      </c>
      <c r="S210" s="32">
        <v>0</v>
      </c>
      <c r="T210" s="32">
        <v>0</v>
      </c>
      <c r="U210" s="32">
        <v>0</v>
      </c>
      <c r="V210" s="32">
        <v>0</v>
      </c>
      <c r="W210" s="32">
        <v>0</v>
      </c>
      <c r="X210" s="32">
        <v>0</v>
      </c>
      <c r="Y210" s="32">
        <v>0</v>
      </c>
      <c r="Z210" s="32">
        <v>0</v>
      </c>
      <c r="AA210" s="13">
        <v>1</v>
      </c>
      <c r="AB210" s="32">
        <v>0</v>
      </c>
      <c r="AC210" s="32">
        <v>0</v>
      </c>
      <c r="AD210" s="32">
        <v>0</v>
      </c>
      <c r="AE210" s="32">
        <v>0</v>
      </c>
      <c r="AF210" s="32">
        <v>0</v>
      </c>
      <c r="AG210" s="32">
        <v>0</v>
      </c>
      <c r="AH210" s="32">
        <v>0</v>
      </c>
      <c r="AI210" s="32">
        <v>0</v>
      </c>
      <c r="AJ210" s="32">
        <v>0</v>
      </c>
      <c r="AK210" s="32">
        <v>0</v>
      </c>
      <c r="AL210" s="32">
        <v>0</v>
      </c>
      <c r="AM210" s="32">
        <v>0</v>
      </c>
      <c r="AN210" s="32">
        <v>0</v>
      </c>
      <c r="AO210" s="32">
        <v>0</v>
      </c>
      <c r="AP210" s="32">
        <v>0</v>
      </c>
      <c r="AQ210" s="32">
        <v>0</v>
      </c>
      <c r="AR210" s="32">
        <v>0</v>
      </c>
      <c r="AS210" s="32">
        <v>0</v>
      </c>
      <c r="AT210" s="32">
        <v>0</v>
      </c>
      <c r="AU210" s="32">
        <v>0</v>
      </c>
      <c r="AV210" s="32">
        <v>0</v>
      </c>
      <c r="AW210" s="32">
        <v>0</v>
      </c>
      <c r="AX210" s="32">
        <v>0</v>
      </c>
      <c r="AY210" s="32">
        <v>0</v>
      </c>
      <c r="AZ210" s="32">
        <v>0</v>
      </c>
      <c r="BA210" s="32">
        <v>0</v>
      </c>
      <c r="BB210" s="32">
        <v>0</v>
      </c>
      <c r="BC210">
        <f t="shared" si="3"/>
        <v>2</v>
      </c>
      <c r="BD210" s="13">
        <f>[1]!shannonweaver(J210:AZ210)</f>
        <v>0.69314718055994529</v>
      </c>
      <c r="BE210">
        <f t="shared" si="4"/>
        <v>2</v>
      </c>
    </row>
    <row r="211" spans="1:57">
      <c r="A211" t="s">
        <v>134</v>
      </c>
      <c r="B211" t="s">
        <v>183</v>
      </c>
      <c r="C211" t="s">
        <v>269</v>
      </c>
      <c r="D211" s="13" t="s">
        <v>320</v>
      </c>
      <c r="E211" s="13" t="s">
        <v>91</v>
      </c>
      <c r="F211" s="13">
        <v>0</v>
      </c>
      <c r="G211" s="13">
        <v>1</v>
      </c>
      <c r="H211" s="13">
        <v>0</v>
      </c>
      <c r="I211" s="13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>
        <v>0</v>
      </c>
      <c r="P211" s="32">
        <v>0</v>
      </c>
      <c r="Q211" s="32">
        <v>0</v>
      </c>
      <c r="R211" s="32">
        <v>0</v>
      </c>
      <c r="S211" s="32">
        <v>0</v>
      </c>
      <c r="T211" s="32">
        <v>0</v>
      </c>
      <c r="U211" s="32">
        <v>0</v>
      </c>
      <c r="V211" s="32">
        <v>0</v>
      </c>
      <c r="W211" s="32">
        <v>0</v>
      </c>
      <c r="X211" s="32">
        <v>0</v>
      </c>
      <c r="Y211" s="32">
        <v>0</v>
      </c>
      <c r="Z211" s="32">
        <v>0</v>
      </c>
      <c r="AA211" s="32">
        <v>0</v>
      </c>
      <c r="AB211" s="32">
        <v>0</v>
      </c>
      <c r="AC211" s="32">
        <v>0</v>
      </c>
      <c r="AD211" s="32">
        <v>0</v>
      </c>
      <c r="AE211" s="32">
        <v>0</v>
      </c>
      <c r="AF211" s="32">
        <v>0</v>
      </c>
      <c r="AG211" s="32">
        <v>0</v>
      </c>
      <c r="AH211" s="32">
        <v>0</v>
      </c>
      <c r="AI211" s="32">
        <v>0</v>
      </c>
      <c r="AJ211" s="32">
        <v>0</v>
      </c>
      <c r="AK211" s="32">
        <v>0</v>
      </c>
      <c r="AL211" s="32">
        <v>0</v>
      </c>
      <c r="AM211" s="32">
        <v>0</v>
      </c>
      <c r="AN211" s="32">
        <v>0</v>
      </c>
      <c r="AO211" s="32">
        <v>0</v>
      </c>
      <c r="AP211" s="32">
        <v>0</v>
      </c>
      <c r="AQ211" s="32">
        <v>0</v>
      </c>
      <c r="AR211" s="32">
        <v>0</v>
      </c>
      <c r="AS211" s="32">
        <v>0</v>
      </c>
      <c r="AT211" s="32">
        <v>0</v>
      </c>
      <c r="AU211" s="32">
        <v>0</v>
      </c>
      <c r="AV211" s="32">
        <v>0</v>
      </c>
      <c r="AW211" s="32">
        <v>0</v>
      </c>
      <c r="AX211" s="32">
        <v>0</v>
      </c>
      <c r="AY211" s="32">
        <v>0</v>
      </c>
      <c r="AZ211" s="32">
        <v>0</v>
      </c>
      <c r="BA211" s="32">
        <v>0</v>
      </c>
      <c r="BB211" s="32">
        <v>0</v>
      </c>
      <c r="BC211">
        <f t="shared" si="3"/>
        <v>0</v>
      </c>
      <c r="BD211" s="13" t="e">
        <f>[1]!shannonweaver(J211:AZ211)</f>
        <v>#VALUE!</v>
      </c>
      <c r="BE211">
        <f t="shared" si="4"/>
        <v>0</v>
      </c>
    </row>
    <row r="212" spans="1:57">
      <c r="A212" t="s">
        <v>135</v>
      </c>
      <c r="B212" t="s">
        <v>183</v>
      </c>
      <c r="C212" t="s">
        <v>45</v>
      </c>
      <c r="D212" s="13" t="s">
        <v>320</v>
      </c>
      <c r="E212" s="13" t="s">
        <v>91</v>
      </c>
      <c r="F212" s="13">
        <v>0</v>
      </c>
      <c r="G212" s="13">
        <v>0</v>
      </c>
      <c r="H212" s="13">
        <v>0</v>
      </c>
      <c r="I212" s="13">
        <v>0</v>
      </c>
      <c r="J212" s="32">
        <v>0</v>
      </c>
      <c r="K212" s="32">
        <v>0</v>
      </c>
      <c r="L212" s="32">
        <v>0</v>
      </c>
      <c r="M212" s="32">
        <v>0</v>
      </c>
      <c r="N212" s="32">
        <v>0</v>
      </c>
      <c r="O212" s="32">
        <v>0</v>
      </c>
      <c r="P212" s="32">
        <v>0</v>
      </c>
      <c r="Q212" s="32">
        <v>0</v>
      </c>
      <c r="R212" s="32">
        <v>0</v>
      </c>
      <c r="S212" s="32">
        <v>0</v>
      </c>
      <c r="T212" s="32">
        <v>0</v>
      </c>
      <c r="U212" s="32">
        <v>0</v>
      </c>
      <c r="V212" s="32">
        <v>0</v>
      </c>
      <c r="W212" s="32">
        <v>0</v>
      </c>
      <c r="X212" s="32">
        <v>0</v>
      </c>
      <c r="Y212" s="32">
        <v>0</v>
      </c>
      <c r="Z212" s="32">
        <v>0</v>
      </c>
      <c r="AA212" s="13">
        <v>1</v>
      </c>
      <c r="AB212" s="32">
        <v>0</v>
      </c>
      <c r="AC212" s="32">
        <v>0</v>
      </c>
      <c r="AD212" s="13">
        <v>1</v>
      </c>
      <c r="AE212" s="32">
        <v>0</v>
      </c>
      <c r="AF212" s="32">
        <v>0</v>
      </c>
      <c r="AG212" s="32">
        <v>0</v>
      </c>
      <c r="AH212" s="32">
        <v>0</v>
      </c>
      <c r="AI212" s="32">
        <v>0</v>
      </c>
      <c r="AJ212" s="32">
        <v>0</v>
      </c>
      <c r="AK212" s="32">
        <v>0</v>
      </c>
      <c r="AL212" s="32">
        <v>0</v>
      </c>
      <c r="AM212" s="32">
        <v>0</v>
      </c>
      <c r="AN212" s="32">
        <v>0</v>
      </c>
      <c r="AO212" s="32">
        <v>0</v>
      </c>
      <c r="AP212" s="32">
        <v>0</v>
      </c>
      <c r="AQ212" s="32">
        <v>0</v>
      </c>
      <c r="AR212" s="32">
        <v>0</v>
      </c>
      <c r="AS212" s="32">
        <v>0</v>
      </c>
      <c r="AT212" s="32">
        <v>0</v>
      </c>
      <c r="AU212" s="32">
        <v>0</v>
      </c>
      <c r="AV212" s="13">
        <v>1</v>
      </c>
      <c r="AW212" s="32">
        <v>0</v>
      </c>
      <c r="AX212" s="32">
        <v>0</v>
      </c>
      <c r="AY212" s="32">
        <v>0</v>
      </c>
      <c r="AZ212" s="32">
        <v>0</v>
      </c>
      <c r="BA212" s="32">
        <v>0</v>
      </c>
      <c r="BB212" s="32">
        <v>0</v>
      </c>
      <c r="BC212">
        <f t="shared" si="3"/>
        <v>3</v>
      </c>
      <c r="BD212" s="13">
        <f>[1]!shannonweaver(J212:AZ212)</f>
        <v>1.0986122886681096</v>
      </c>
      <c r="BE212">
        <f t="shared" si="4"/>
        <v>3</v>
      </c>
    </row>
    <row r="213" spans="1:57">
      <c r="A213" t="s">
        <v>136</v>
      </c>
      <c r="B213" t="s">
        <v>183</v>
      </c>
      <c r="C213" t="s">
        <v>45</v>
      </c>
      <c r="D213" s="13" t="s">
        <v>320</v>
      </c>
      <c r="E213" s="13" t="s">
        <v>91</v>
      </c>
      <c r="F213" s="13">
        <v>0</v>
      </c>
      <c r="G213" s="13">
        <v>0</v>
      </c>
      <c r="H213" s="13">
        <v>0</v>
      </c>
      <c r="I213" s="13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>
        <v>0</v>
      </c>
      <c r="P213" s="32">
        <v>0</v>
      </c>
      <c r="Q213" s="32">
        <v>0</v>
      </c>
      <c r="R213" s="13">
        <v>1</v>
      </c>
      <c r="S213" s="32">
        <v>0</v>
      </c>
      <c r="T213" s="32">
        <v>0</v>
      </c>
      <c r="U213" s="32">
        <v>0</v>
      </c>
      <c r="V213" s="32">
        <v>0</v>
      </c>
      <c r="W213" s="32">
        <v>0</v>
      </c>
      <c r="X213" s="32">
        <v>0</v>
      </c>
      <c r="Y213" s="32">
        <v>0</v>
      </c>
      <c r="Z213" s="32">
        <v>0</v>
      </c>
      <c r="AA213" s="32">
        <v>0</v>
      </c>
      <c r="AB213" s="32">
        <v>0</v>
      </c>
      <c r="AC213" s="32">
        <v>0</v>
      </c>
      <c r="AD213" s="13">
        <v>1</v>
      </c>
      <c r="AE213" s="32">
        <v>0</v>
      </c>
      <c r="AF213" s="32">
        <v>0</v>
      </c>
      <c r="AG213" s="32">
        <v>0</v>
      </c>
      <c r="AH213" s="32">
        <v>0</v>
      </c>
      <c r="AI213" s="32">
        <v>0</v>
      </c>
      <c r="AJ213" s="32">
        <v>0</v>
      </c>
      <c r="AK213" s="32">
        <v>0</v>
      </c>
      <c r="AL213" s="32">
        <v>0</v>
      </c>
      <c r="AM213" s="32">
        <v>0</v>
      </c>
      <c r="AN213" s="32">
        <v>0</v>
      </c>
      <c r="AO213" s="32">
        <v>0</v>
      </c>
      <c r="AP213" s="32">
        <v>0</v>
      </c>
      <c r="AQ213" s="32">
        <v>0</v>
      </c>
      <c r="AR213" s="32">
        <v>0</v>
      </c>
      <c r="AS213" s="32">
        <v>0</v>
      </c>
      <c r="AT213" s="32">
        <v>0</v>
      </c>
      <c r="AU213" s="32">
        <v>0</v>
      </c>
      <c r="AV213" s="32">
        <v>0</v>
      </c>
      <c r="AW213" s="32">
        <v>0</v>
      </c>
      <c r="AX213" s="32">
        <v>0</v>
      </c>
      <c r="AY213" s="32">
        <v>0</v>
      </c>
      <c r="AZ213" s="32">
        <v>0</v>
      </c>
      <c r="BA213" s="32">
        <v>0</v>
      </c>
      <c r="BB213" s="32">
        <v>0</v>
      </c>
      <c r="BC213">
        <f t="shared" si="3"/>
        <v>2</v>
      </c>
      <c r="BD213" s="13">
        <f>[1]!shannonweaver(J213:AZ213)</f>
        <v>0.69314718055994529</v>
      </c>
      <c r="BE213">
        <f t="shared" si="4"/>
        <v>2</v>
      </c>
    </row>
    <row r="214" spans="1:57">
      <c r="A214" t="s">
        <v>194</v>
      </c>
      <c r="B214" t="s">
        <v>183</v>
      </c>
      <c r="C214" t="s">
        <v>45</v>
      </c>
      <c r="D214" s="13" t="s">
        <v>320</v>
      </c>
      <c r="E214" s="13" t="s">
        <v>91</v>
      </c>
      <c r="F214" s="13">
        <v>0</v>
      </c>
      <c r="G214" s="13">
        <v>0</v>
      </c>
      <c r="H214" s="13">
        <v>0</v>
      </c>
      <c r="I214" s="13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>
        <v>0</v>
      </c>
      <c r="P214" s="32">
        <v>0</v>
      </c>
      <c r="Q214" s="32">
        <v>0</v>
      </c>
      <c r="R214" s="32">
        <v>0</v>
      </c>
      <c r="S214" s="32">
        <v>0</v>
      </c>
      <c r="T214" s="32">
        <v>0</v>
      </c>
      <c r="U214" s="32">
        <v>0</v>
      </c>
      <c r="V214" s="32">
        <v>0</v>
      </c>
      <c r="W214" s="32">
        <v>0</v>
      </c>
      <c r="X214" s="32">
        <v>0</v>
      </c>
      <c r="Y214" s="32">
        <v>0</v>
      </c>
      <c r="Z214" s="32">
        <v>0</v>
      </c>
      <c r="AA214" s="32">
        <v>0</v>
      </c>
      <c r="AB214" s="13">
        <v>1</v>
      </c>
      <c r="AC214" s="32">
        <v>0</v>
      </c>
      <c r="AD214" s="32">
        <v>0</v>
      </c>
      <c r="AE214" s="32">
        <v>0</v>
      </c>
      <c r="AF214" s="32">
        <v>0</v>
      </c>
      <c r="AG214" s="32">
        <v>0</v>
      </c>
      <c r="AH214" s="32">
        <v>0</v>
      </c>
      <c r="AI214" s="32">
        <v>0</v>
      </c>
      <c r="AJ214" s="32">
        <v>0</v>
      </c>
      <c r="AK214" s="32">
        <v>0</v>
      </c>
      <c r="AL214" s="32">
        <v>0</v>
      </c>
      <c r="AM214" s="32">
        <v>0</v>
      </c>
      <c r="AN214" s="32">
        <v>0</v>
      </c>
      <c r="AO214" s="32">
        <v>0</v>
      </c>
      <c r="AP214" s="32">
        <v>0</v>
      </c>
      <c r="AQ214" s="32">
        <v>0</v>
      </c>
      <c r="AR214" s="32">
        <v>0</v>
      </c>
      <c r="AS214" s="32">
        <v>0</v>
      </c>
      <c r="AT214" s="32">
        <v>0</v>
      </c>
      <c r="AU214" s="32">
        <v>0</v>
      </c>
      <c r="AV214" s="13">
        <v>3</v>
      </c>
      <c r="AW214" s="32">
        <v>0</v>
      </c>
      <c r="AX214" s="32">
        <v>0</v>
      </c>
      <c r="AY214" s="32">
        <v>0</v>
      </c>
      <c r="AZ214" s="32">
        <v>0</v>
      </c>
      <c r="BA214" s="32">
        <v>0</v>
      </c>
      <c r="BB214" s="32">
        <v>0</v>
      </c>
      <c r="BC214">
        <f t="shared" si="3"/>
        <v>2</v>
      </c>
      <c r="BD214" s="13">
        <f>[1]!shannonweaver(J214:AZ214)</f>
        <v>0.56233514461880829</v>
      </c>
      <c r="BE214">
        <f t="shared" si="4"/>
        <v>2</v>
      </c>
    </row>
    <row r="215" spans="1:57">
      <c r="A215" t="s">
        <v>195</v>
      </c>
      <c r="B215" t="s">
        <v>183</v>
      </c>
      <c r="C215" t="s">
        <v>45</v>
      </c>
      <c r="D215" s="13" t="s">
        <v>320</v>
      </c>
      <c r="E215" s="13" t="s">
        <v>91</v>
      </c>
      <c r="F215" s="13">
        <v>0</v>
      </c>
      <c r="G215" s="13">
        <v>0</v>
      </c>
      <c r="H215" s="13">
        <v>0</v>
      </c>
      <c r="I215" s="13">
        <v>0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>
        <v>0</v>
      </c>
      <c r="P215" s="32">
        <v>0</v>
      </c>
      <c r="Q215" s="32">
        <v>0</v>
      </c>
      <c r="R215" s="32">
        <v>0</v>
      </c>
      <c r="S215" s="32">
        <v>0</v>
      </c>
      <c r="T215" s="32">
        <v>0</v>
      </c>
      <c r="U215" s="32">
        <v>0</v>
      </c>
      <c r="V215" s="32">
        <v>0</v>
      </c>
      <c r="W215" s="32">
        <v>0</v>
      </c>
      <c r="X215" s="32">
        <v>0</v>
      </c>
      <c r="Y215" s="32">
        <v>0</v>
      </c>
      <c r="Z215" s="32">
        <v>0</v>
      </c>
      <c r="AA215" s="32">
        <v>0</v>
      </c>
      <c r="AB215" s="32">
        <v>0</v>
      </c>
      <c r="AC215" s="32">
        <v>0</v>
      </c>
      <c r="AD215" s="32">
        <v>0</v>
      </c>
      <c r="AE215" s="32">
        <v>0</v>
      </c>
      <c r="AF215" s="32">
        <v>0</v>
      </c>
      <c r="AG215" s="32">
        <v>0</v>
      </c>
      <c r="AH215" s="32">
        <v>0</v>
      </c>
      <c r="AI215" s="32">
        <v>0</v>
      </c>
      <c r="AJ215" s="32">
        <v>0</v>
      </c>
      <c r="AK215" s="32">
        <v>0</v>
      </c>
      <c r="AL215" s="32">
        <v>0</v>
      </c>
      <c r="AM215" s="32">
        <v>0</v>
      </c>
      <c r="AN215" s="32">
        <v>0</v>
      </c>
      <c r="AO215" s="32">
        <v>0</v>
      </c>
      <c r="AP215" s="32">
        <v>0</v>
      </c>
      <c r="AQ215" s="32">
        <v>0</v>
      </c>
      <c r="AR215" s="32">
        <v>0</v>
      </c>
      <c r="AS215" s="32">
        <v>0</v>
      </c>
      <c r="AT215" s="32">
        <v>0</v>
      </c>
      <c r="AU215" s="32">
        <v>0</v>
      </c>
      <c r="AV215" s="32">
        <v>0</v>
      </c>
      <c r="AW215" s="32">
        <v>0</v>
      </c>
      <c r="AX215" s="32">
        <v>0</v>
      </c>
      <c r="AY215" s="32">
        <v>0</v>
      </c>
      <c r="AZ215" s="32">
        <v>0</v>
      </c>
      <c r="BA215" s="32">
        <v>0</v>
      </c>
      <c r="BB215" s="32">
        <v>0</v>
      </c>
      <c r="BC215">
        <f t="shared" si="3"/>
        <v>0</v>
      </c>
      <c r="BD215" s="13">
        <v>0</v>
      </c>
      <c r="BE215">
        <f t="shared" si="4"/>
        <v>0</v>
      </c>
    </row>
    <row r="216" spans="1:57">
      <c r="A216" t="s">
        <v>196</v>
      </c>
      <c r="B216" t="s">
        <v>183</v>
      </c>
      <c r="C216" t="s">
        <v>45</v>
      </c>
      <c r="D216" s="13" t="s">
        <v>320</v>
      </c>
      <c r="E216" s="13" t="s">
        <v>91</v>
      </c>
      <c r="F216" s="13">
        <v>0</v>
      </c>
      <c r="G216" s="13">
        <v>0</v>
      </c>
      <c r="H216" s="13">
        <v>0</v>
      </c>
      <c r="I216" s="13">
        <v>0</v>
      </c>
      <c r="J216" s="32">
        <v>0</v>
      </c>
      <c r="K216" s="32">
        <v>0</v>
      </c>
      <c r="L216" s="32">
        <v>0</v>
      </c>
      <c r="M216" s="32">
        <v>0</v>
      </c>
      <c r="N216" s="32">
        <v>0</v>
      </c>
      <c r="O216" s="32">
        <v>0</v>
      </c>
      <c r="P216" s="32">
        <v>0</v>
      </c>
      <c r="Q216" s="32">
        <v>0</v>
      </c>
      <c r="R216" s="32">
        <v>0</v>
      </c>
      <c r="S216" s="13">
        <v>1</v>
      </c>
      <c r="T216" s="32">
        <v>0</v>
      </c>
      <c r="U216" s="13">
        <v>1</v>
      </c>
      <c r="V216" s="32">
        <v>0</v>
      </c>
      <c r="W216" s="32">
        <v>0</v>
      </c>
      <c r="X216" s="32">
        <v>0</v>
      </c>
      <c r="Y216" s="32">
        <v>0</v>
      </c>
      <c r="Z216" s="32">
        <v>0</v>
      </c>
      <c r="AA216" s="32">
        <v>0</v>
      </c>
      <c r="AB216" s="32">
        <v>0</v>
      </c>
      <c r="AC216" s="32">
        <v>0</v>
      </c>
      <c r="AD216" s="32">
        <v>0</v>
      </c>
      <c r="AE216" s="32">
        <v>0</v>
      </c>
      <c r="AF216" s="32">
        <v>0</v>
      </c>
      <c r="AG216" s="32">
        <v>0</v>
      </c>
      <c r="AH216" s="32">
        <v>0</v>
      </c>
      <c r="AI216" s="32">
        <v>0</v>
      </c>
      <c r="AJ216" s="32">
        <v>0</v>
      </c>
      <c r="AK216" s="32">
        <v>0</v>
      </c>
      <c r="AL216" s="32">
        <v>0</v>
      </c>
      <c r="AM216" s="32">
        <v>0</v>
      </c>
      <c r="AN216" s="32">
        <v>0</v>
      </c>
      <c r="AO216" s="32">
        <v>0</v>
      </c>
      <c r="AP216" s="32">
        <v>0</v>
      </c>
      <c r="AQ216" s="32">
        <v>0</v>
      </c>
      <c r="AR216" s="32">
        <v>0</v>
      </c>
      <c r="AS216" s="32">
        <v>0</v>
      </c>
      <c r="AT216" s="32">
        <v>0</v>
      </c>
      <c r="AU216" s="32">
        <v>0</v>
      </c>
      <c r="AV216" s="32">
        <v>0</v>
      </c>
      <c r="AW216" s="32">
        <v>0</v>
      </c>
      <c r="AX216" s="32">
        <v>0</v>
      </c>
      <c r="AY216" s="32">
        <v>0</v>
      </c>
      <c r="AZ216" s="32">
        <v>0</v>
      </c>
      <c r="BA216" s="32">
        <v>0</v>
      </c>
      <c r="BB216" s="32">
        <v>0</v>
      </c>
      <c r="BC216">
        <f t="shared" si="3"/>
        <v>2</v>
      </c>
      <c r="BD216" s="13">
        <f>[1]!shannonweaver(J216:AZ216)</f>
        <v>0.69314718055994529</v>
      </c>
      <c r="BE216">
        <f t="shared" si="4"/>
        <v>2</v>
      </c>
    </row>
    <row r="217" spans="1:57">
      <c r="A217" t="s">
        <v>197</v>
      </c>
      <c r="B217" t="s">
        <v>183</v>
      </c>
      <c r="C217" t="s">
        <v>45</v>
      </c>
      <c r="D217" s="13" t="s">
        <v>320</v>
      </c>
      <c r="E217" s="13" t="s">
        <v>91</v>
      </c>
      <c r="F217" s="13">
        <v>0</v>
      </c>
      <c r="G217" s="13">
        <v>0</v>
      </c>
      <c r="H217" s="13">
        <v>0</v>
      </c>
      <c r="I217" s="13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>
        <v>0</v>
      </c>
      <c r="P217" s="32">
        <v>0</v>
      </c>
      <c r="Q217" s="32">
        <v>0</v>
      </c>
      <c r="R217" s="32">
        <v>0</v>
      </c>
      <c r="S217" s="32">
        <v>0</v>
      </c>
      <c r="T217" s="32">
        <v>0</v>
      </c>
      <c r="U217" s="32">
        <v>0</v>
      </c>
      <c r="V217" s="32">
        <v>0</v>
      </c>
      <c r="W217" s="32">
        <v>0</v>
      </c>
      <c r="X217" s="32">
        <v>0</v>
      </c>
      <c r="Y217" s="32">
        <v>0</v>
      </c>
      <c r="Z217" s="32">
        <v>0</v>
      </c>
      <c r="AA217" s="32">
        <v>0</v>
      </c>
      <c r="AB217" s="32">
        <v>0</v>
      </c>
      <c r="AC217" s="32">
        <v>0</v>
      </c>
      <c r="AD217" s="32">
        <v>0</v>
      </c>
      <c r="AE217" s="32">
        <v>0</v>
      </c>
      <c r="AF217" s="32">
        <v>0</v>
      </c>
      <c r="AG217" s="32">
        <v>0</v>
      </c>
      <c r="AH217" s="32">
        <v>0</v>
      </c>
      <c r="AI217" s="32">
        <v>0</v>
      </c>
      <c r="AJ217" s="32">
        <v>0</v>
      </c>
      <c r="AK217" s="32">
        <v>0</v>
      </c>
      <c r="AL217" s="32">
        <v>0</v>
      </c>
      <c r="AM217" s="32">
        <v>0</v>
      </c>
      <c r="AN217" s="32">
        <v>0</v>
      </c>
      <c r="AO217" s="32">
        <v>0</v>
      </c>
      <c r="AP217" s="32">
        <v>0</v>
      </c>
      <c r="AQ217" s="32">
        <v>0</v>
      </c>
      <c r="AR217" s="32">
        <v>0</v>
      </c>
      <c r="AS217" s="32">
        <v>0</v>
      </c>
      <c r="AT217" s="32">
        <v>0</v>
      </c>
      <c r="AU217" s="32">
        <v>0</v>
      </c>
      <c r="AV217" s="13">
        <v>2</v>
      </c>
      <c r="AW217" s="32">
        <v>0</v>
      </c>
      <c r="AX217" s="32">
        <v>0</v>
      </c>
      <c r="AY217" s="32">
        <v>0</v>
      </c>
      <c r="AZ217" s="32">
        <v>0</v>
      </c>
      <c r="BA217" s="13">
        <v>1</v>
      </c>
      <c r="BB217" s="32">
        <v>0</v>
      </c>
      <c r="BC217">
        <f t="shared" si="3"/>
        <v>1</v>
      </c>
      <c r="BD217" s="13">
        <f>[1]!shannonweaver(J217:AZ217)</f>
        <v>0</v>
      </c>
      <c r="BE217">
        <f t="shared" si="4"/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all_raw</vt:lpstr>
      <vt:lpstr>all_edit</vt:lpstr>
      <vt:lpstr>all_edit_cons</vt:lpstr>
      <vt:lpstr>all_edit_graz</vt:lpstr>
    </vt:vector>
  </TitlesOfParts>
  <Company>Friday Harbor Labs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 Elahi</cp:lastModifiedBy>
  <cp:lastPrinted>2010-03-17T19:30:30Z</cp:lastPrinted>
  <dcterms:created xsi:type="dcterms:W3CDTF">2009-11-24T04:43:00Z</dcterms:created>
  <dcterms:modified xsi:type="dcterms:W3CDTF">2011-06-02T04:33:43Z</dcterms:modified>
</cp:coreProperties>
</file>